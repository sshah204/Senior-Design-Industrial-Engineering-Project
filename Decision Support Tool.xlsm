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75" yWindow="-120" windowWidth="14235" windowHeight="11355" tabRatio="939"/>
  </bookViews>
  <sheets>
    <sheet name="SKUS" sheetId="47" r:id="rId1"/>
    <sheet name="Shifts" sheetId="50" r:id="rId2"/>
    <sheet name="Inputs" sheetId="33" r:id="rId3"/>
    <sheet name="D!VIDER" sheetId="51" r:id="rId4"/>
    <sheet name="Model" sheetId="4" r:id="rId5"/>
    <sheet name="MonteValues" sheetId="42" r:id="rId6"/>
    <sheet name="PivotTables" sheetId="48" r:id="rId7"/>
    <sheet name="DIV!DER" sheetId="44" r:id="rId8"/>
    <sheet name="MonteCarlo" sheetId="38" r:id="rId9"/>
    <sheet name="CurrentScheduleCosts" sheetId="40" r:id="rId10"/>
    <sheet name="DIVIDER" sheetId="43" r:id="rId11"/>
    <sheet name="DemandOptions" sheetId="13" r:id="rId12"/>
    <sheet name="RandNums" sheetId="39" r:id="rId13"/>
    <sheet name="VecMat" sheetId="41" r:id="rId14"/>
    <sheet name="SKUsList" sheetId="46" r:id="rId15"/>
    <sheet name="Rearrange Current" sheetId="49" r:id="rId16"/>
  </sheets>
  <definedNames>
    <definedName name="_xlnm._FilterDatabase" localSheetId="4" hidden="1">Model!$A$4:$S$453</definedName>
    <definedName name="CurMCCost">CurrentScheduleCosts!$BQ$1:$BQ$3</definedName>
    <definedName name="demands">VecMat!$C$2:$C$118</definedName>
    <definedName name="DynDem">VecMat!$D$2:$D$118</definedName>
    <definedName name="DynDemandOptions">OFFSET(SKUS!$S$1,0,0,COUNTA(SKUS!$S:$S),1)</definedName>
    <definedName name="MonteDemand">VecMat!$G$4:$O$16</definedName>
    <definedName name="SelectSKUs">OFFSET(SKUS!$L$4,0,0,COUNTA(SKUS!$L:$L)-3,1)</definedName>
    <definedName name="SKU_01">OFFSET(SKUS!$Z$2,0,0,COUNTA(SKUS!$Z:$Z)-1,1)</definedName>
    <definedName name="SKU_02">OFFSET(SKUS!$AA$2,0,0,COUNTA(SKUS!$AA:$AA)-1,1)</definedName>
    <definedName name="SKU_03">OFFSET(SKUS!$AB$2,0,0,COUNTA(SKUS!$AB:$AB)-1,1)</definedName>
    <definedName name="SKU_04">OFFSET(SKUS!$AC$2,0,0,COUNTA(SKUS!$AC:$AC)-1,1)</definedName>
    <definedName name="SKU_05">OFFSET(SKUS!$AD$2,0,0,COUNTA(SKUS!$AD:$AD)-1,1)</definedName>
    <definedName name="SKU_06">OFFSET(SKUS!$AE$2,0,0,COUNTA(SKUS!$AE:$AE)-1,1)</definedName>
    <definedName name="SKU_07">OFFSET(SKUS!$AF$2,0,0,COUNTA(SKUS!$AF:$AF)-1,1)</definedName>
    <definedName name="SKU_08">OFFSET(SKUS!$AG$2,0,0,COUNTA(SKUS!$AG:$AG)-1,1)</definedName>
    <definedName name="SKU_09">OFFSET(SKUS!$AH$2,0,0,COUNTA(SKUS!$AH:$AH)-1,1)</definedName>
    <definedName name="SKU_10">OFFSET(SKUS!$AI$2,0,0,COUNTA(SKUS!$AI:$AI)-1,1)</definedName>
    <definedName name="SKU_11">OFFSET(SKUS!$AJ$2,0,0,COUNTA(SKUS!$AJ:$AJ)-1,1)</definedName>
    <definedName name="SKU_12">OFFSET(SKUS!$AK$2,0,0,COUNTA(SKUS!$AK:$AK)-1,1)</definedName>
    <definedName name="SKU_13">OFFSET(SKUS!$AL$2,0,0,COUNTA(SKUS!$AL:$AL)-1,1)</definedName>
    <definedName name="SKU_14">OFFSET(SKUS!$AM$2,0,0,COUNTA(SKUS!$AM:$AM)-1,1)</definedName>
    <definedName name="SKU_15">OFFSET(SKUS!$AN$2,0,0,COUNTA(SKUS!$AN:$AN)-1,1)</definedName>
    <definedName name="SKU_16">OFFSET(SKUS!$AO$2,0,0,COUNTA(SKUS!$AO:$AO)-1,1)</definedName>
    <definedName name="SKU_17">OFFSET(SKUS!$AP$2,0,0,COUNTA(SKUS!$AP:$AP)-1,1)</definedName>
    <definedName name="SKU_18">OFFSET(SKUS!$AQ$2,0,0,COUNTA(SKUS!$AQ:$AQ)-1,1)</definedName>
    <definedName name="SKU_19">OFFSET(SKUS!$AR$2,0,0,COUNTA(SKUS!$AR:$AR)-1,1)</definedName>
    <definedName name="SKU_20">OFFSET(SKUS!$AS$2,0,0,COUNTA(SKUS!$AS:$AS)-1,1)</definedName>
    <definedName name="SKU_21">OFFSET(SKUS!$AT$2,0,0,COUNTA(SKUS!$AT:$AT)-1,1)</definedName>
    <definedName name="SKU_22">OFFSET(SKUS!$AU$2,0,0,COUNTA(SKUS!$AU:$AU)-1,1)</definedName>
    <definedName name="SKU_23">OFFSET(SKUS!$AV$2,0,0,COUNTA(SKUS!$AV:$AV)-1,1)</definedName>
    <definedName name="SKU_24">OFFSET(SKUS!$AW$2,0,0,COUNTA(SKUS!$AW:$AW)-1,1)</definedName>
    <definedName name="SKU_25">OFFSET(SKUS!$AX$2,0,0,COUNTA(SKUS!$AX:$AX)-1,1)</definedName>
    <definedName name="SKU_26">OFFSET(SKUS!$AY$2,0,0,COUNTA(SKUS!$AY:$AY)-1,1)</definedName>
    <definedName name="SKU_27">OFFSET(SKUS!$AZ$2,0,0,COUNTA(SKUS!$AZ:$AZ)-1,1)</definedName>
    <definedName name="SKU_28">OFFSET(SKUS!$BA$2,0,0,COUNTA(SKUS!$BA:$BA)-1,1)</definedName>
    <definedName name="SKU_29">OFFSET(SKUS!$BB$2,0,0,COUNTA(SKUS!$BB:$BB)-1,1)</definedName>
    <definedName name="SKU_30">OFFSET(SKUS!$BC$2,0,0,COUNTA(SKUS!$BC:$BC)-1,1)</definedName>
    <definedName name="SKU_31">OFFSET(SKUS!$BD$2,0,0,COUNTA(SKUS!$BD:$BD)-1,1)</definedName>
    <definedName name="SKU_32">OFFSET(SKUS!$BE$2,0,0,COUNTA(SKUS!$BE:$BE)-1,1)</definedName>
    <definedName name="SKU_33">OFFSET(SKUS!$BF$2,0,0,COUNTA(SKUS!$BF:$BF)-1,1)</definedName>
    <definedName name="SKU_34">OFFSET(SKUS!$BG$2,0,0,COUNTA(SKUS!$BG:$BG)-1,1)</definedName>
    <definedName name="SKU_35">OFFSET(SKUS!$BH$2,0,0,COUNTA(SKUS!$BH:$BH)-1,1)</definedName>
    <definedName name="SKU_36">OFFSET(SKUS!$BI$2,0,0,COUNTA(SKUS!$BI:$BI)-1,1)</definedName>
    <definedName name="SKU_37">OFFSET(SKUS!$BJ$2,0,0,COUNTA(SKUS!$BJ:$BJ)-1,1)</definedName>
    <definedName name="SKU_38">OFFSET(SKUS!$BK$2,0,0,COUNTA(SKUS!$BK:$BK)-1,1)</definedName>
    <definedName name="SKU_39">OFFSET(SKUS!$BL$2,0,0,COUNTA(SKUS!$BL:$BL)-1,1)</definedName>
    <definedName name="SKU_40">OFFSET(SKUS!$BM$2,0,0,COUNTA(SKUS!$BM:$BM)-1,1)</definedName>
    <definedName name="SKU_41">OFFSET(SKUS!$BN$2,0,0,COUNTA(SKUS!$BN:$BN)-1,1)</definedName>
    <definedName name="SKU_42">OFFSET(SKUS!$BO$2,0,0,COUNTA(SKUS!$BO:$BO)-1,1)</definedName>
    <definedName name="SKU_43">OFFSET(SKUS!$BP$2,0,0,COUNTA(SKUS!$BP:$BP)-1,1)</definedName>
    <definedName name="SKU_44">OFFSET(SKUS!$BQ$2,0,0,COUNTA(SKUS!$BQ:$BQ)-1,1)</definedName>
    <definedName name="SKU_45">OFFSET(SKUS!$BR$2,0,0,COUNTA(SKUS!$BR:$BR)-1,1)</definedName>
    <definedName name="SKU_46">OFFSET(SKUS!$BS$2,0,0,COUNTA(SKUS!$BS:$BS)-1,1)</definedName>
    <definedName name="SKU_47">OFFSET(SKUS!$BT$2,0,0,COUNTA(SKUS!$BT:$BT)-1,1)</definedName>
    <definedName name="SKU_48">OFFSET(SKUS!$BU$2,0,0,COUNTA(SKUS!$BU:$BU)-1,1)</definedName>
    <definedName name="SKU_DomesticMC">OFFSET(SKUS!$X$2,0,0,COUNTA(SKUS!$X:$X)-1,1)</definedName>
    <definedName name="SKU_DomesticPNT">OFFSET(SKUS!$Y$2,0,0,COUNTA(SKUS!$Y:$Y)-1,1)</definedName>
    <definedName name="SKUList">OFFSET(SKUsList!$A$1,0,0,COUNTA(SKUsList!$A:$A),1)</definedName>
    <definedName name="solver_adj" localSheetId="4" hidden="1">Model!$E$5:$E$139,Model!$K$5:$K$139,Model!$M$5:$N$139,Model!$AI$5:$AJ$139,Model!$BD$5:$BE$139,Model!$BY$5:$BZ$139</definedName>
    <definedName name="solver_cvg" localSheetId="2" hidden="1">0.0001</definedName>
    <definedName name="solver_cvg" localSheetId="4" hidden="1">0.00001</definedName>
    <definedName name="solver_drv" localSheetId="2" hidden="1">1</definedName>
    <definedName name="solver_drv" localSheetId="4" hidden="1">1</definedName>
    <definedName name="solver_eng" localSheetId="4" hidden="1">2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hs1" localSheetId="4" hidden="1">Model!$DP$5:$DP$54</definedName>
    <definedName name="solver_lhs10" localSheetId="4" hidden="1">Model!$AJ$5:$AJ$454</definedName>
    <definedName name="solver_lhs11" localSheetId="4" hidden="1">Model!$AM$5:$AM$454</definedName>
    <definedName name="solver_lhs12" localSheetId="4" hidden="1">Model!$AI$5:$AI$454</definedName>
    <definedName name="solver_lhs13" localSheetId="4" hidden="1">Model!$BE$5:$BE$454</definedName>
    <definedName name="solver_lhs14" localSheetId="4" hidden="1">Model!$BH$5:$BH$454</definedName>
    <definedName name="solver_lhs15" localSheetId="4" hidden="1">Model!$BD$5:$BD$454</definedName>
    <definedName name="solver_lhs16" localSheetId="4" hidden="1">Model!$BZ$5:$BZ$454</definedName>
    <definedName name="solver_lhs17" localSheetId="4" hidden="1">Model!$CC$5:$CC$454</definedName>
    <definedName name="solver_lhs18" localSheetId="4" hidden="1">Model!$BY$5:$BY$454</definedName>
    <definedName name="solver_lhs19" localSheetId="4" hidden="1">Model!$N$21</definedName>
    <definedName name="solver_lhs2" localSheetId="4" hidden="1">Model!$N$5:$N$454</definedName>
    <definedName name="solver_lhs20" localSheetId="4" hidden="1">Model!$N$23</definedName>
    <definedName name="solver_lhs21" localSheetId="4" hidden="1">Model!$N$24</definedName>
    <definedName name="solver_lhs22" localSheetId="4" hidden="1">Model!$N$25</definedName>
    <definedName name="solver_lhs23" localSheetId="4" hidden="1">Model!$N$26</definedName>
    <definedName name="solver_lhs24" localSheetId="4" hidden="1">Model!$N$27</definedName>
    <definedName name="solver_lhs25" localSheetId="4" hidden="1">Model!$N$28</definedName>
    <definedName name="solver_lhs26" localSheetId="4" hidden="1">Model!$N$29</definedName>
    <definedName name="solver_lhs27" localSheetId="4" hidden="1">Model!$N$30</definedName>
    <definedName name="solver_lhs28" localSheetId="4" hidden="1">Model!$N$32</definedName>
    <definedName name="solver_lhs29" localSheetId="4" hidden="1">Model!$N$33</definedName>
    <definedName name="solver_lhs3" localSheetId="4" hidden="1">Model!$DC$5:$DF$13</definedName>
    <definedName name="solver_lhs30" localSheetId="4" hidden="1">Model!$N$34</definedName>
    <definedName name="solver_lhs31" localSheetId="4" hidden="1">Model!$N$35</definedName>
    <definedName name="solver_lhs32" localSheetId="4" hidden="1">Model!$N$36</definedName>
    <definedName name="solver_lhs33" localSheetId="4" hidden="1">Model!$N$37</definedName>
    <definedName name="solver_lhs34" localSheetId="4" hidden="1">Model!$N$38</definedName>
    <definedName name="solver_lhs35" localSheetId="4" hidden="1">Model!$N$39</definedName>
    <definedName name="solver_lhs36" localSheetId="4" hidden="1">Model!$N$41</definedName>
    <definedName name="solver_lhs37" localSheetId="4" hidden="1">Model!$N$42</definedName>
    <definedName name="solver_lhs38" localSheetId="4" hidden="1">Model!$N$43</definedName>
    <definedName name="solver_lhs39" localSheetId="4" hidden="1">Model!$N$44</definedName>
    <definedName name="solver_lhs4" localSheetId="4" hidden="1">Model!$Q$5:$Q$454</definedName>
    <definedName name="solver_lhs40" localSheetId="4" hidden="1">Model!$N$45</definedName>
    <definedName name="solver_lhs41" localSheetId="4" hidden="1">Model!$N$46</definedName>
    <definedName name="solver_lhs42" localSheetId="4" hidden="1">Model!$N$47</definedName>
    <definedName name="solver_lhs43" localSheetId="4" hidden="1">Model!$N$48</definedName>
    <definedName name="solver_lhs44" localSheetId="4" hidden="1">Model!$N$50</definedName>
    <definedName name="solver_lhs45" localSheetId="4" hidden="1">Model!$N$51</definedName>
    <definedName name="solver_lhs46" localSheetId="4" hidden="1">Model!#REF!</definedName>
    <definedName name="solver_lhs47" localSheetId="4" hidden="1">Model!$N$53</definedName>
    <definedName name="solver_lhs48" localSheetId="4" hidden="1">Model!$N$54</definedName>
    <definedName name="solver_lhs49" localSheetId="4" hidden="1">Model!$N$5</definedName>
    <definedName name="solver_lhs5" localSheetId="4" hidden="1">Model!$CH$5</definedName>
    <definedName name="solver_lhs50" localSheetId="4" hidden="1">Model!$N$55</definedName>
    <definedName name="solver_lhs51" localSheetId="4" hidden="1">Model!$N$56</definedName>
    <definedName name="solver_lhs52" localSheetId="4" hidden="1">Model!$N$57</definedName>
    <definedName name="solver_lhs53" localSheetId="4" hidden="1">Model!$N$52</definedName>
    <definedName name="solver_lhs54" localSheetId="4" hidden="1">Model!$N$60</definedName>
    <definedName name="solver_lhs55" localSheetId="4" hidden="1">Model!$N$59</definedName>
    <definedName name="solver_lhs56" localSheetId="4" hidden="1">Model!$DP$5:$DP$11</definedName>
    <definedName name="solver_lhs57" localSheetId="4" hidden="1">Model!$N$64</definedName>
    <definedName name="solver_lhs58" localSheetId="4" hidden="1">Model!$N$62</definedName>
    <definedName name="solver_lhs59" localSheetId="4" hidden="1">Model!$N$65</definedName>
    <definedName name="solver_lhs6" localSheetId="4" hidden="1">Model!$M$5:$M$454</definedName>
    <definedName name="solver_lhs60" localSheetId="4" hidden="1">Model!$N$66</definedName>
    <definedName name="solver_lhs61" localSheetId="4" hidden="1">Model!$N$6</definedName>
    <definedName name="solver_lhs62" localSheetId="4" hidden="1">Model!$N$61</definedName>
    <definedName name="solver_lhs63" localSheetId="4" hidden="1">Model!$N$7</definedName>
    <definedName name="solver_lhs64" localSheetId="4" hidden="1">Model!$N$8</definedName>
    <definedName name="solver_lhs65" localSheetId="4" hidden="1">Model!$N$9</definedName>
    <definedName name="solver_lhs66" localSheetId="4" hidden="1">Model!$Q$5:$Q$66</definedName>
    <definedName name="solver_lhs67" localSheetId="4" hidden="1">Model!$N$63</definedName>
    <definedName name="solver_lhs68" localSheetId="4" hidden="1">Model!$N$60</definedName>
    <definedName name="solver_lhs7" localSheetId="4" hidden="1">Model!$CK$5:$CK$13</definedName>
    <definedName name="solver_lhs8" localSheetId="4" hidden="1">Model!$CO$5:$CO$53</definedName>
    <definedName name="solver_lhs9" localSheetId="4" hidden="1">Model!$CQ$5:$CQ$53</definedName>
    <definedName name="solver_lin" localSheetId="2" hidden="1">1</definedName>
    <definedName name="solver_lin" localSheetId="4" hidden="1">1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1</definedName>
    <definedName name="solver_neg" localSheetId="4" hidden="1">1</definedName>
    <definedName name="solver_nod" localSheetId="4" hidden="1">2147483647</definedName>
    <definedName name="solver_num" localSheetId="2" hidden="1">0</definedName>
    <definedName name="solver_num" localSheetId="4" hidden="1">18</definedName>
    <definedName name="solver_nwt" localSheetId="2" hidden="1">1</definedName>
    <definedName name="solver_nwt" localSheetId="4" hidden="1">1</definedName>
    <definedName name="solver_opt" localSheetId="4" hidden="1">Model!$B$1</definedName>
    <definedName name="solver_pre" localSheetId="2" hidden="1">0.000001</definedName>
    <definedName name="solver_pre" localSheetId="4" hidden="1">0.1</definedName>
    <definedName name="solver_rbv" localSheetId="4" hidden="1">1</definedName>
    <definedName name="solver_rel1" localSheetId="4" hidden="1">2</definedName>
    <definedName name="solver_rel10" localSheetId="4" hidden="1">3</definedName>
    <definedName name="solver_rel11" localSheetId="4" hidden="1">2</definedName>
    <definedName name="solver_rel12" localSheetId="4" hidden="1">3</definedName>
    <definedName name="solver_rel13" localSheetId="4" hidden="1">3</definedName>
    <definedName name="solver_rel14" localSheetId="4" hidden="1">2</definedName>
    <definedName name="solver_rel15" localSheetId="4" hidden="1">3</definedName>
    <definedName name="solver_rel16" localSheetId="4" hidden="1">3</definedName>
    <definedName name="solver_rel17" localSheetId="4" hidden="1">2</definedName>
    <definedName name="solver_rel18" localSheetId="4" hidden="1">3</definedName>
    <definedName name="solver_rel19" localSheetId="4" hidden="1">3</definedName>
    <definedName name="solver_rel2" localSheetId="4" hidden="1">3</definedName>
    <definedName name="solver_rel20" localSheetId="4" hidden="1">3</definedName>
    <definedName name="solver_rel21" localSheetId="4" hidden="1">3</definedName>
    <definedName name="solver_rel22" localSheetId="4" hidden="1">3</definedName>
    <definedName name="solver_rel23" localSheetId="4" hidden="1">3</definedName>
    <definedName name="solver_rel24" localSheetId="4" hidden="1">3</definedName>
    <definedName name="solver_rel25" localSheetId="4" hidden="1">3</definedName>
    <definedName name="solver_rel26" localSheetId="4" hidden="1">3</definedName>
    <definedName name="solver_rel27" localSheetId="4" hidden="1">3</definedName>
    <definedName name="solver_rel28" localSheetId="4" hidden="1">3</definedName>
    <definedName name="solver_rel29" localSheetId="4" hidden="1">3</definedName>
    <definedName name="solver_rel3" localSheetId="4" hidden="1">1</definedName>
    <definedName name="solver_rel30" localSheetId="4" hidden="1">3</definedName>
    <definedName name="solver_rel31" localSheetId="4" hidden="1">3</definedName>
    <definedName name="solver_rel32" localSheetId="4" hidden="1">3</definedName>
    <definedName name="solver_rel33" localSheetId="4" hidden="1">3</definedName>
    <definedName name="solver_rel34" localSheetId="4" hidden="1">3</definedName>
    <definedName name="solver_rel35" localSheetId="4" hidden="1">3</definedName>
    <definedName name="solver_rel36" localSheetId="4" hidden="1">3</definedName>
    <definedName name="solver_rel37" localSheetId="4" hidden="1">3</definedName>
    <definedName name="solver_rel38" localSheetId="4" hidden="1">3</definedName>
    <definedName name="solver_rel39" localSheetId="4" hidden="1">3</definedName>
    <definedName name="solver_rel4" localSheetId="4" hidden="1">2</definedName>
    <definedName name="solver_rel40" localSheetId="4" hidden="1">3</definedName>
    <definedName name="solver_rel41" localSheetId="4" hidden="1">3</definedName>
    <definedName name="solver_rel42" localSheetId="4" hidden="1">3</definedName>
    <definedName name="solver_rel43" localSheetId="4" hidden="1">3</definedName>
    <definedName name="solver_rel44" localSheetId="4" hidden="1">3</definedName>
    <definedName name="solver_rel45" localSheetId="4" hidden="1">3</definedName>
    <definedName name="solver_rel46" localSheetId="4" hidden="1">1</definedName>
    <definedName name="solver_rel47" localSheetId="4" hidden="1">3</definedName>
    <definedName name="solver_rel48" localSheetId="4" hidden="1">3</definedName>
    <definedName name="solver_rel49" localSheetId="4" hidden="1">3</definedName>
    <definedName name="solver_rel5" localSheetId="4" hidden="1">2</definedName>
    <definedName name="solver_rel50" localSheetId="4" hidden="1">3</definedName>
    <definedName name="solver_rel51" localSheetId="4" hidden="1">3</definedName>
    <definedName name="solver_rel52" localSheetId="4" hidden="1">3</definedName>
    <definedName name="solver_rel53" localSheetId="4" hidden="1">3</definedName>
    <definedName name="solver_rel54" localSheetId="4" hidden="1">3</definedName>
    <definedName name="solver_rel55" localSheetId="4" hidden="1">3</definedName>
    <definedName name="solver_rel56" localSheetId="4" hidden="1">2</definedName>
    <definedName name="solver_rel57" localSheetId="4" hidden="1">3</definedName>
    <definedName name="solver_rel58" localSheetId="4" hidden="1">3</definedName>
    <definedName name="solver_rel59" localSheetId="4" hidden="1">3</definedName>
    <definedName name="solver_rel6" localSheetId="4" hidden="1">3</definedName>
    <definedName name="solver_rel60" localSheetId="4" hidden="1">3</definedName>
    <definedName name="solver_rel61" localSheetId="4" hidden="1">3</definedName>
    <definedName name="solver_rel62" localSheetId="4" hidden="1">3</definedName>
    <definedName name="solver_rel63" localSheetId="4" hidden="1">3</definedName>
    <definedName name="solver_rel64" localSheetId="4" hidden="1">3</definedName>
    <definedName name="solver_rel65" localSheetId="4" hidden="1">3</definedName>
    <definedName name="solver_rel66" localSheetId="4" hidden="1">2</definedName>
    <definedName name="solver_rel67" localSheetId="4" hidden="1">3</definedName>
    <definedName name="solver_rel68" localSheetId="4" hidden="1">3</definedName>
    <definedName name="solver_rel7" localSheetId="4" hidden="1">3</definedName>
    <definedName name="solver_rel8" localSheetId="4" hidden="1">3</definedName>
    <definedName name="solver_rel9" localSheetId="4" hidden="1">3</definedName>
    <definedName name="solver_rhs1" localSheetId="4" hidden="1">Model!$DQ$5:$DQ$54</definedName>
    <definedName name="solver_rhs10" localSheetId="4" hidden="1">Model!$AK$5:$AK$454</definedName>
    <definedName name="solver_rhs11" localSheetId="4" hidden="1">0</definedName>
    <definedName name="solver_rhs12" localSheetId="4" hidden="1">0</definedName>
    <definedName name="solver_rhs13" localSheetId="4" hidden="1">Model!$BF$5:$BF$454</definedName>
    <definedName name="solver_rhs14" localSheetId="4" hidden="1">0</definedName>
    <definedName name="solver_rhs15" localSheetId="4" hidden="1">0</definedName>
    <definedName name="solver_rhs16" localSheetId="4" hidden="1">Model!$CA$5:$CA$454</definedName>
    <definedName name="solver_rhs17" localSheetId="4" hidden="1">0</definedName>
    <definedName name="solver_rhs18" localSheetId="4" hidden="1">0</definedName>
    <definedName name="solver_rhs19" localSheetId="4" hidden="1">Model!$U$30-Model!$E$21-Model!$M$20</definedName>
    <definedName name="solver_rhs2" localSheetId="4" hidden="1">Model!$O$5:$O$454</definedName>
    <definedName name="solver_rhs20" localSheetId="4" hidden="1">Model!$U$32-Model!$E$23-0</definedName>
    <definedName name="solver_rhs21" localSheetId="4" hidden="1">Model!$U$33-Model!$E$24-Model!$M$23</definedName>
    <definedName name="solver_rhs22" localSheetId="4" hidden="1">Model!$U$34-Model!$E$25-Model!$M$24</definedName>
    <definedName name="solver_rhs23" localSheetId="4" hidden="1">Model!$U$35-Model!$E$26-Model!$M$25</definedName>
    <definedName name="solver_rhs24" localSheetId="4" hidden="1">Model!$U$36-Model!$E$27-Model!$M$26</definedName>
    <definedName name="solver_rhs25" localSheetId="4" hidden="1">Model!$U$37-Model!$E$28-Model!$M$27</definedName>
    <definedName name="solver_rhs26" localSheetId="4" hidden="1">Model!$U$38-Model!$E$29-Model!$M$28</definedName>
    <definedName name="solver_rhs27" localSheetId="4" hidden="1">Model!$U$39-Model!$E$30-Model!$M$29</definedName>
    <definedName name="solver_rhs28" localSheetId="4" hidden="1">Model!$U$41-Model!$E$32-0</definedName>
    <definedName name="solver_rhs29" localSheetId="4" hidden="1">Model!$U$42-Model!$E$33-Model!$M$32</definedName>
    <definedName name="solver_rhs3" localSheetId="4" hidden="1">Model!$DH$5:$DK$13</definedName>
    <definedName name="solver_rhs30" localSheetId="4" hidden="1">Model!$U$43-Model!$E$34-Model!$M$33</definedName>
    <definedName name="solver_rhs31" localSheetId="4" hidden="1">Model!$U$44-Model!$E$35-Model!$M$34</definedName>
    <definedName name="solver_rhs32" localSheetId="4" hidden="1">Model!$U$45-Model!$E$36-Model!$M$35</definedName>
    <definedName name="solver_rhs33" localSheetId="4" hidden="1">Model!$U$46-Model!$E$37-Model!$M$36</definedName>
    <definedName name="solver_rhs34" localSheetId="4" hidden="1">Model!$U$47-Model!$E$38-Model!$M$37</definedName>
    <definedName name="solver_rhs35" localSheetId="4" hidden="1">Model!$U$48-Model!$E$39-Model!$M$38</definedName>
    <definedName name="solver_rhs36" localSheetId="4" hidden="1">Model!$U$50-Model!$E$41-0</definedName>
    <definedName name="solver_rhs37" localSheetId="4" hidden="1">Model!$U$51-Model!$E$42-Model!$M$41</definedName>
    <definedName name="solver_rhs38" localSheetId="4" hidden="1">Model!$U$52-Model!$E$43-Model!$M$42</definedName>
    <definedName name="solver_rhs39" localSheetId="4" hidden="1">Model!$U$53-Model!$E$44-Model!$M$43</definedName>
    <definedName name="solver_rhs4" localSheetId="4" hidden="1">0</definedName>
    <definedName name="solver_rhs40" localSheetId="4" hidden="1">Model!$U$54-Model!$E$45-Model!$M$44</definedName>
    <definedName name="solver_rhs41" localSheetId="4" hidden="1">Model!$U$55-Model!$E$46-Model!$M$45</definedName>
    <definedName name="solver_rhs42" localSheetId="4" hidden="1">Model!$U$56-Model!$E$47-Model!$M$46</definedName>
    <definedName name="solver_rhs43" localSheetId="4" hidden="1">Model!$U$57-Model!$E$48-Model!$M$47</definedName>
    <definedName name="solver_rhs44" localSheetId="4" hidden="1">Model!$U$59-Model!$E$50-0</definedName>
    <definedName name="solver_rhs45" localSheetId="4" hidden="1">Model!$U$60-Model!$E$51-Model!$M$50</definedName>
    <definedName name="solver_rhs46" localSheetId="4" hidden="1">Model!#REF!</definedName>
    <definedName name="solver_rhs47" localSheetId="4" hidden="1">Model!$U$62-Model!$E$53-Model!$M$52</definedName>
    <definedName name="solver_rhs48" localSheetId="4" hidden="1">Model!$U$63-Model!$E$54-Model!$M$53</definedName>
    <definedName name="solver_rhs49" localSheetId="4" hidden="1">Model!$U$14-0-Model!$E$5</definedName>
    <definedName name="solver_rhs5" localSheetId="4" hidden="1">0</definedName>
    <definedName name="solver_rhs50" localSheetId="4" hidden="1">Model!$U$64-Model!$E$55-Model!$M$54</definedName>
    <definedName name="solver_rhs51" localSheetId="4" hidden="1">Model!$U$65-Model!$E$56-Model!$M$55</definedName>
    <definedName name="solver_rhs52" localSheetId="4" hidden="1">Model!$U$66-Model!$E$57-Model!$M$56</definedName>
    <definedName name="solver_rhs53" localSheetId="4" hidden="1">Model!$U$61-Model!$E$52-Model!$M$51</definedName>
    <definedName name="solver_rhs54" localSheetId="4" hidden="1">Model!$U$6-Model!$M$59-Model!$E$60</definedName>
    <definedName name="solver_rhs55" localSheetId="4" hidden="1">Model!$U$5-0-Model!$E$59</definedName>
    <definedName name="solver_rhs56" localSheetId="4" hidden="1">Model!$DQ$5:$DQ$11</definedName>
    <definedName name="solver_rhs57" localSheetId="4" hidden="1">Model!$U$10-Model!$M$63-Model!$E$64</definedName>
    <definedName name="solver_rhs58" localSheetId="4" hidden="1">Model!$U$8-Model!$M$61-Model!$E$62</definedName>
    <definedName name="solver_rhs59" localSheetId="4" hidden="1">Model!$U$11-Model!$M$64-Model!$E$65</definedName>
    <definedName name="solver_rhs6" localSheetId="4" hidden="1">0</definedName>
    <definedName name="solver_rhs60" localSheetId="4" hidden="1">Model!$U$12-Model!$M$65-Model!$E$66</definedName>
    <definedName name="solver_rhs61" localSheetId="4" hidden="1">Model!$U$15-Model!$M$5-Model!$E$6</definedName>
    <definedName name="solver_rhs62" localSheetId="4" hidden="1">Model!$U$7-Model!$M$60-Model!$E$61</definedName>
    <definedName name="solver_rhs63" localSheetId="4" hidden="1">Model!$U$16-Model!$M$6-Model!$E$7</definedName>
    <definedName name="solver_rhs64" localSheetId="4" hidden="1">Model!$U$17-Model!$M$7-Model!$E$8</definedName>
    <definedName name="solver_rhs65" localSheetId="4" hidden="1">Model!$U$18-Model!$M$8-Model!$E$9</definedName>
    <definedName name="solver_rhs66" localSheetId="4" hidden="1">0</definedName>
    <definedName name="solver_rhs67" localSheetId="4" hidden="1">Model!$U$9-Model!$M$62-Model!$E$63</definedName>
    <definedName name="solver_rhs68" localSheetId="4" hidden="1">Model!$U$6-Model!$M$59-Model!$E$60</definedName>
    <definedName name="solver_rhs7" localSheetId="4" hidden="1">Model!$CL$5:$CL$13</definedName>
    <definedName name="solver_rhs8" localSheetId="4" hidden="1">Model!$CP$5:$CP$53</definedName>
    <definedName name="solver_rhs9" localSheetId="4" hidden="1">Model!$CR$5:$CR$53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9999999999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1</definedName>
    <definedName name="solver_typ" localSheetId="4" hidden="1">2</definedName>
    <definedName name="solver_val" localSheetId="2" hidden="1">0</definedName>
    <definedName name="solver_val" localSheetId="4" hidden="1">0</definedName>
    <definedName name="solver_ver" localSheetId="4" hidden="1">3</definedName>
    <definedName name="statDem">VecMat!#REF!</definedName>
    <definedName name="SugMCCost">MonteCarlo!$BQ$1:$BQ$3</definedName>
  </definedNames>
  <calcPr calcId="145621"/>
  <pivotCaches>
    <pivotCache cacheId="6" r:id="rId17"/>
  </pivotCaches>
</workbook>
</file>

<file path=xl/calcChain.xml><?xml version="1.0" encoding="utf-8"?>
<calcChain xmlns="http://schemas.openxmlformats.org/spreadsheetml/2006/main">
  <c r="G165" i="39" l="1"/>
  <c r="F165" i="39"/>
  <c r="G164" i="39"/>
  <c r="F164" i="39"/>
  <c r="G163" i="39"/>
  <c r="F163" i="39"/>
  <c r="G162" i="39"/>
  <c r="F162" i="39"/>
  <c r="G161" i="39"/>
  <c r="F161" i="39"/>
  <c r="G160" i="39"/>
  <c r="F160" i="39"/>
  <c r="G159" i="39"/>
  <c r="F159" i="39"/>
  <c r="G158" i="39"/>
  <c r="F158" i="39"/>
  <c r="G157" i="39"/>
  <c r="F157" i="39"/>
  <c r="G154" i="39"/>
  <c r="F154" i="39"/>
  <c r="G153" i="39"/>
  <c r="F153" i="39"/>
  <c r="G152" i="39"/>
  <c r="F152" i="39"/>
  <c r="G151" i="39"/>
  <c r="F151" i="39"/>
  <c r="G150" i="39"/>
  <c r="F150" i="39"/>
  <c r="G149" i="39"/>
  <c r="F149" i="39"/>
  <c r="G148" i="39"/>
  <c r="F148" i="39"/>
  <c r="G147" i="39"/>
  <c r="F147" i="39"/>
  <c r="G146" i="39"/>
  <c r="F146" i="39"/>
  <c r="G143" i="39"/>
  <c r="F143" i="39"/>
  <c r="G142" i="39"/>
  <c r="F142" i="39"/>
  <c r="G141" i="39"/>
  <c r="F141" i="39"/>
  <c r="G140" i="39"/>
  <c r="F140" i="39"/>
  <c r="G139" i="39"/>
  <c r="F139" i="39"/>
  <c r="G138" i="39"/>
  <c r="F138" i="39"/>
  <c r="G137" i="39"/>
  <c r="F137" i="39"/>
  <c r="G136" i="39"/>
  <c r="F136" i="39"/>
  <c r="G135" i="39"/>
  <c r="F135" i="39"/>
  <c r="G132" i="39"/>
  <c r="F132" i="39"/>
  <c r="G131" i="39"/>
  <c r="F131" i="39"/>
  <c r="G130" i="39"/>
  <c r="F130" i="39"/>
  <c r="G129" i="39"/>
  <c r="F129" i="39"/>
  <c r="G128" i="39"/>
  <c r="F128" i="39"/>
  <c r="G127" i="39"/>
  <c r="F127" i="39"/>
  <c r="G126" i="39"/>
  <c r="F126" i="39"/>
  <c r="G125" i="39"/>
  <c r="F125" i="39"/>
  <c r="G124" i="39"/>
  <c r="F124" i="39"/>
  <c r="G121" i="39"/>
  <c r="F121" i="39"/>
  <c r="G120" i="39"/>
  <c r="F120" i="39"/>
  <c r="G119" i="39"/>
  <c r="F119" i="39"/>
  <c r="G118" i="39"/>
  <c r="F118" i="39"/>
  <c r="G117" i="39"/>
  <c r="F117" i="39"/>
  <c r="G116" i="39"/>
  <c r="F116" i="39"/>
  <c r="G115" i="39"/>
  <c r="F115" i="39"/>
  <c r="G114" i="39"/>
  <c r="F114" i="39"/>
  <c r="G113" i="39"/>
  <c r="F113" i="39"/>
  <c r="G110" i="39"/>
  <c r="F110" i="39"/>
  <c r="G109" i="39"/>
  <c r="F109" i="39"/>
  <c r="G108" i="39"/>
  <c r="F108" i="39"/>
  <c r="G107" i="39"/>
  <c r="F107" i="39"/>
  <c r="G106" i="39"/>
  <c r="F106" i="39"/>
  <c r="G105" i="39"/>
  <c r="F105" i="39"/>
  <c r="G104" i="39"/>
  <c r="F104" i="39"/>
  <c r="G103" i="39"/>
  <c r="F103" i="39"/>
  <c r="G102" i="39"/>
  <c r="F102" i="39"/>
  <c r="G99" i="39"/>
  <c r="F99" i="39"/>
  <c r="G98" i="39"/>
  <c r="F98" i="39"/>
  <c r="G97" i="39"/>
  <c r="F97" i="39"/>
  <c r="G96" i="39"/>
  <c r="F96" i="39"/>
  <c r="G95" i="39"/>
  <c r="F95" i="39"/>
  <c r="G94" i="39"/>
  <c r="F94" i="39"/>
  <c r="G93" i="39"/>
  <c r="F93" i="39"/>
  <c r="G92" i="39"/>
  <c r="F92" i="39"/>
  <c r="G91" i="39"/>
  <c r="F91" i="39"/>
  <c r="G88" i="39"/>
  <c r="F88" i="39"/>
  <c r="G87" i="39"/>
  <c r="F87" i="39"/>
  <c r="G86" i="39"/>
  <c r="F86" i="39"/>
  <c r="G85" i="39"/>
  <c r="F85" i="39"/>
  <c r="G84" i="39"/>
  <c r="F84" i="39"/>
  <c r="G83" i="39"/>
  <c r="F83" i="39"/>
  <c r="G82" i="39"/>
  <c r="F82" i="39"/>
  <c r="G81" i="39"/>
  <c r="F81" i="39"/>
  <c r="G80" i="39"/>
  <c r="F80" i="39"/>
  <c r="G77" i="39"/>
  <c r="F77" i="39"/>
  <c r="G76" i="39"/>
  <c r="F76" i="39"/>
  <c r="G75" i="39"/>
  <c r="F75" i="39"/>
  <c r="G74" i="39"/>
  <c r="F74" i="39"/>
  <c r="G73" i="39"/>
  <c r="F73" i="39"/>
  <c r="G72" i="39"/>
  <c r="F72" i="39"/>
  <c r="G71" i="39"/>
  <c r="F71" i="39"/>
  <c r="G70" i="39"/>
  <c r="F70" i="39"/>
  <c r="G69" i="39"/>
  <c r="F69" i="39"/>
  <c r="G66" i="39"/>
  <c r="F66" i="39"/>
  <c r="G65" i="39"/>
  <c r="F65" i="39"/>
  <c r="G64" i="39"/>
  <c r="F64" i="39"/>
  <c r="G63" i="39"/>
  <c r="F63" i="39"/>
  <c r="G62" i="39"/>
  <c r="F62" i="39"/>
  <c r="G61" i="39"/>
  <c r="F61" i="39"/>
  <c r="G60" i="39"/>
  <c r="F60" i="39"/>
  <c r="G59" i="39"/>
  <c r="F59" i="39"/>
  <c r="G58" i="39"/>
  <c r="F58" i="39"/>
  <c r="G55" i="39"/>
  <c r="F55" i="39"/>
  <c r="G54" i="39"/>
  <c r="F54" i="39"/>
  <c r="G53" i="39"/>
  <c r="F53" i="39"/>
  <c r="G52" i="39"/>
  <c r="F52" i="39"/>
  <c r="G51" i="39"/>
  <c r="F51" i="39"/>
  <c r="G50" i="39"/>
  <c r="F50" i="39"/>
  <c r="G49" i="39"/>
  <c r="F49" i="39"/>
  <c r="G48" i="39"/>
  <c r="F48" i="39"/>
  <c r="G47" i="39"/>
  <c r="F47" i="39"/>
  <c r="G44" i="39"/>
  <c r="F44" i="39"/>
  <c r="G43" i="39"/>
  <c r="F43" i="39"/>
  <c r="G42" i="39"/>
  <c r="F42" i="39"/>
  <c r="G41" i="39"/>
  <c r="F41" i="39"/>
  <c r="G40" i="39"/>
  <c r="F40" i="39"/>
  <c r="G39" i="39"/>
  <c r="F39" i="39"/>
  <c r="G38" i="39"/>
  <c r="F38" i="39"/>
  <c r="G37" i="39"/>
  <c r="F37" i="39"/>
  <c r="G36" i="39"/>
  <c r="F36" i="39"/>
  <c r="G33" i="39"/>
  <c r="F33" i="39"/>
  <c r="G32" i="39"/>
  <c r="F32" i="39"/>
  <c r="G31" i="39"/>
  <c r="F31" i="39"/>
  <c r="G30" i="39"/>
  <c r="F30" i="39"/>
  <c r="G29" i="39"/>
  <c r="F29" i="39"/>
  <c r="G28" i="39"/>
  <c r="F28" i="39"/>
  <c r="G27" i="39"/>
  <c r="F27" i="39"/>
  <c r="G26" i="39"/>
  <c r="F26" i="39"/>
  <c r="G25" i="39"/>
  <c r="F25" i="39"/>
  <c r="G22" i="39"/>
  <c r="F22" i="39"/>
  <c r="G21" i="39"/>
  <c r="F21" i="39"/>
  <c r="G20" i="39"/>
  <c r="F20" i="39"/>
  <c r="G19" i="39"/>
  <c r="F19" i="39"/>
  <c r="G18" i="39"/>
  <c r="F18" i="39"/>
  <c r="G17" i="39"/>
  <c r="F17" i="39"/>
  <c r="G16" i="39"/>
  <c r="F16" i="39"/>
  <c r="G15" i="39"/>
  <c r="F15" i="39"/>
  <c r="G14" i="39"/>
  <c r="F14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G3" i="39"/>
  <c r="F3" i="39"/>
  <c r="S3" i="50" l="1"/>
  <c r="S4" i="50"/>
  <c r="S5" i="50"/>
  <c r="S6" i="50"/>
  <c r="S7" i="50"/>
  <c r="S8" i="50"/>
  <c r="S9" i="50"/>
  <c r="S10" i="50"/>
  <c r="S2" i="50"/>
  <c r="Q3" i="50"/>
  <c r="Q4" i="50"/>
  <c r="Q5" i="50"/>
  <c r="Q6" i="50"/>
  <c r="Q7" i="50"/>
  <c r="Q8" i="50"/>
  <c r="Q9" i="50"/>
  <c r="Q10" i="50"/>
  <c r="Q2" i="50"/>
  <c r="O3" i="50"/>
  <c r="O4" i="50"/>
  <c r="O5" i="50"/>
  <c r="O6" i="50"/>
  <c r="O7" i="50"/>
  <c r="O8" i="50"/>
  <c r="O9" i="50"/>
  <c r="O10" i="50"/>
  <c r="O2" i="50"/>
  <c r="M3" i="50"/>
  <c r="M4" i="50"/>
  <c r="M5" i="50"/>
  <c r="M6" i="50"/>
  <c r="M7" i="50"/>
  <c r="M8" i="50"/>
  <c r="M9" i="50"/>
  <c r="M10" i="50"/>
  <c r="M2" i="50"/>
  <c r="AV454" i="4" l="1"/>
  <c r="AV453" i="4"/>
  <c r="AV452" i="4"/>
  <c r="AV451" i="4"/>
  <c r="AV450" i="4"/>
  <c r="AV449" i="4"/>
  <c r="AV448" i="4"/>
  <c r="AV447" i="4"/>
  <c r="AV446" i="4"/>
  <c r="AV445" i="4"/>
  <c r="AV444" i="4"/>
  <c r="AV443" i="4"/>
  <c r="AV442" i="4"/>
  <c r="AV441" i="4"/>
  <c r="AV440" i="4"/>
  <c r="AV439" i="4"/>
  <c r="AV438" i="4"/>
  <c r="AV437" i="4"/>
  <c r="AV436" i="4"/>
  <c r="AV435" i="4"/>
  <c r="AV434" i="4"/>
  <c r="AV433" i="4"/>
  <c r="AV432" i="4"/>
  <c r="AV431" i="4"/>
  <c r="AV430" i="4"/>
  <c r="AV429" i="4"/>
  <c r="AV428" i="4"/>
  <c r="AV427" i="4"/>
  <c r="AV426" i="4"/>
  <c r="AV425" i="4"/>
  <c r="AV424" i="4"/>
  <c r="AV423" i="4"/>
  <c r="AV422" i="4"/>
  <c r="AV421" i="4"/>
  <c r="AV420" i="4"/>
  <c r="AV419" i="4"/>
  <c r="AV418" i="4"/>
  <c r="AV417" i="4"/>
  <c r="AV416" i="4"/>
  <c r="AV415" i="4"/>
  <c r="AV414" i="4"/>
  <c r="AV413" i="4"/>
  <c r="AV412" i="4"/>
  <c r="AV411" i="4"/>
  <c r="AV410" i="4"/>
  <c r="AV409" i="4"/>
  <c r="AV408" i="4"/>
  <c r="AV407" i="4"/>
  <c r="AV406" i="4"/>
  <c r="AV405" i="4"/>
  <c r="AV404" i="4"/>
  <c r="AV403" i="4"/>
  <c r="AV402" i="4"/>
  <c r="AV401" i="4"/>
  <c r="AV400" i="4"/>
  <c r="AV399" i="4"/>
  <c r="AV398" i="4"/>
  <c r="AV397" i="4"/>
  <c r="AV396" i="4"/>
  <c r="AV395" i="4"/>
  <c r="AV394" i="4"/>
  <c r="AV393" i="4"/>
  <c r="AV392" i="4"/>
  <c r="AV391" i="4"/>
  <c r="AV390" i="4"/>
  <c r="AV389" i="4"/>
  <c r="AV388" i="4"/>
  <c r="AV387" i="4"/>
  <c r="AV386" i="4"/>
  <c r="AV385" i="4"/>
  <c r="AV384" i="4"/>
  <c r="AV383" i="4"/>
  <c r="AV382" i="4"/>
  <c r="AV381" i="4"/>
  <c r="AV380" i="4"/>
  <c r="AV379" i="4"/>
  <c r="AV378" i="4"/>
  <c r="AV377" i="4"/>
  <c r="AV376" i="4"/>
  <c r="AV375" i="4"/>
  <c r="AV374" i="4"/>
  <c r="AV373" i="4"/>
  <c r="AV372" i="4"/>
  <c r="AV371" i="4"/>
  <c r="AV370" i="4"/>
  <c r="AV369" i="4"/>
  <c r="AV368" i="4"/>
  <c r="AV367" i="4"/>
  <c r="AV366" i="4"/>
  <c r="AV365" i="4"/>
  <c r="AV364" i="4"/>
  <c r="AV363" i="4"/>
  <c r="AV362" i="4"/>
  <c r="AV361" i="4"/>
  <c r="AV360" i="4"/>
  <c r="AV359" i="4"/>
  <c r="AV358" i="4"/>
  <c r="AV357" i="4"/>
  <c r="AV356" i="4"/>
  <c r="AV355" i="4"/>
  <c r="AV354" i="4"/>
  <c r="AV353" i="4"/>
  <c r="AV352" i="4"/>
  <c r="AV351" i="4"/>
  <c r="AV350" i="4"/>
  <c r="AV349" i="4"/>
  <c r="AV348" i="4"/>
  <c r="AV347" i="4"/>
  <c r="AV346" i="4"/>
  <c r="AV345" i="4"/>
  <c r="AV344" i="4"/>
  <c r="AV343" i="4"/>
  <c r="AV342" i="4"/>
  <c r="AV341" i="4"/>
  <c r="AV340" i="4"/>
  <c r="AV339" i="4"/>
  <c r="AV338" i="4"/>
  <c r="AV337" i="4"/>
  <c r="AV336" i="4"/>
  <c r="AV335" i="4"/>
  <c r="AV334" i="4"/>
  <c r="AV333" i="4"/>
  <c r="AV332" i="4"/>
  <c r="AV331" i="4"/>
  <c r="AV330" i="4"/>
  <c r="AV329" i="4"/>
  <c r="AV328" i="4"/>
  <c r="AV327" i="4"/>
  <c r="AV326" i="4"/>
  <c r="AV325" i="4"/>
  <c r="AV324" i="4"/>
  <c r="AV323" i="4"/>
  <c r="AV322" i="4"/>
  <c r="AV321" i="4"/>
  <c r="AV320" i="4"/>
  <c r="AV319" i="4"/>
  <c r="AV318" i="4"/>
  <c r="AV317" i="4"/>
  <c r="AV316" i="4"/>
  <c r="AV315" i="4"/>
  <c r="AV314" i="4"/>
  <c r="AV313" i="4"/>
  <c r="AV312" i="4"/>
  <c r="AV311" i="4"/>
  <c r="AV310" i="4"/>
  <c r="AV309" i="4"/>
  <c r="AV308" i="4"/>
  <c r="AV307" i="4"/>
  <c r="AV306" i="4"/>
  <c r="AV305" i="4"/>
  <c r="AV304" i="4"/>
  <c r="AV303" i="4"/>
  <c r="AV302" i="4"/>
  <c r="AV301" i="4"/>
  <c r="AV300" i="4"/>
  <c r="AV299" i="4"/>
  <c r="AV298" i="4"/>
  <c r="AV297" i="4"/>
  <c r="AV296" i="4"/>
  <c r="AV295" i="4"/>
  <c r="AV294" i="4"/>
  <c r="AV293" i="4"/>
  <c r="AV292" i="4"/>
  <c r="AV291" i="4"/>
  <c r="AV290" i="4"/>
  <c r="AV289" i="4"/>
  <c r="AV288" i="4"/>
  <c r="AV287" i="4"/>
  <c r="AV286" i="4"/>
  <c r="AV285" i="4"/>
  <c r="AV284" i="4"/>
  <c r="AV283" i="4"/>
  <c r="AV282" i="4"/>
  <c r="AV281" i="4"/>
  <c r="AV280" i="4"/>
  <c r="AV279" i="4"/>
  <c r="AV278" i="4"/>
  <c r="AV277" i="4"/>
  <c r="AV276" i="4"/>
  <c r="AV275" i="4"/>
  <c r="AV274" i="4"/>
  <c r="AV273" i="4"/>
  <c r="AV272" i="4"/>
  <c r="AV271" i="4"/>
  <c r="AV270" i="4"/>
  <c r="AV269" i="4"/>
  <c r="AV268" i="4"/>
  <c r="AV267" i="4"/>
  <c r="AV266" i="4"/>
  <c r="AV265" i="4"/>
  <c r="AV264" i="4"/>
  <c r="AV263" i="4"/>
  <c r="AV262" i="4"/>
  <c r="AV261" i="4"/>
  <c r="AV260" i="4"/>
  <c r="AV259" i="4"/>
  <c r="AV258" i="4"/>
  <c r="AV257" i="4"/>
  <c r="AV256" i="4"/>
  <c r="AV255" i="4"/>
  <c r="AV254" i="4"/>
  <c r="AV253" i="4"/>
  <c r="AV252" i="4"/>
  <c r="AV251" i="4"/>
  <c r="AV250" i="4"/>
  <c r="AV249" i="4"/>
  <c r="AV248" i="4"/>
  <c r="AV247" i="4"/>
  <c r="AV246" i="4"/>
  <c r="AV245" i="4"/>
  <c r="AV244" i="4"/>
  <c r="AV243" i="4"/>
  <c r="AV242" i="4"/>
  <c r="AV241" i="4"/>
  <c r="AV240" i="4"/>
  <c r="AV239" i="4"/>
  <c r="AV238" i="4"/>
  <c r="AV237" i="4"/>
  <c r="AV236" i="4"/>
  <c r="AV235" i="4"/>
  <c r="AV234" i="4"/>
  <c r="AV233" i="4"/>
  <c r="AV232" i="4"/>
  <c r="AV231" i="4"/>
  <c r="AV230" i="4"/>
  <c r="AV229" i="4"/>
  <c r="AV228" i="4"/>
  <c r="AV227" i="4"/>
  <c r="AV226" i="4"/>
  <c r="AV225" i="4"/>
  <c r="AV224" i="4"/>
  <c r="AV223" i="4"/>
  <c r="AV222" i="4"/>
  <c r="AV221" i="4"/>
  <c r="AV220" i="4"/>
  <c r="AV219" i="4"/>
  <c r="AV218" i="4"/>
  <c r="AV217" i="4"/>
  <c r="AV216" i="4"/>
  <c r="AV215" i="4"/>
  <c r="AV214" i="4"/>
  <c r="AV213" i="4"/>
  <c r="AV212" i="4"/>
  <c r="AV211" i="4"/>
  <c r="AV210" i="4"/>
  <c r="AV209" i="4"/>
  <c r="AV208" i="4"/>
  <c r="AV207" i="4"/>
  <c r="AV206" i="4"/>
  <c r="AV205" i="4"/>
  <c r="AV204" i="4"/>
  <c r="AV203" i="4"/>
  <c r="AV202" i="4"/>
  <c r="AV201" i="4"/>
  <c r="AV200" i="4"/>
  <c r="AV199" i="4"/>
  <c r="AV198" i="4"/>
  <c r="AV197" i="4"/>
  <c r="AV196" i="4"/>
  <c r="AV195" i="4"/>
  <c r="AV194" i="4"/>
  <c r="AV193" i="4"/>
  <c r="AV192" i="4"/>
  <c r="AV191" i="4"/>
  <c r="AV190" i="4"/>
  <c r="AV189" i="4"/>
  <c r="AV188" i="4"/>
  <c r="AV187" i="4"/>
  <c r="AV186" i="4"/>
  <c r="AV185" i="4"/>
  <c r="AV184" i="4"/>
  <c r="AV183" i="4"/>
  <c r="AV182" i="4"/>
  <c r="AV181" i="4"/>
  <c r="AV180" i="4"/>
  <c r="AV179" i="4"/>
  <c r="AV178" i="4"/>
  <c r="AV177" i="4"/>
  <c r="AV176" i="4"/>
  <c r="AV175" i="4"/>
  <c r="AV174" i="4"/>
  <c r="AV173" i="4"/>
  <c r="AV172" i="4"/>
  <c r="AV171" i="4"/>
  <c r="AV170" i="4"/>
  <c r="AV169" i="4"/>
  <c r="AV168" i="4"/>
  <c r="AV167" i="4"/>
  <c r="AV166" i="4"/>
  <c r="AV165" i="4"/>
  <c r="AV164" i="4"/>
  <c r="AV163" i="4"/>
  <c r="AV162" i="4"/>
  <c r="AV161" i="4"/>
  <c r="AV160" i="4"/>
  <c r="AV159" i="4"/>
  <c r="AV158" i="4"/>
  <c r="AV157" i="4"/>
  <c r="AV156" i="4"/>
  <c r="AV155" i="4"/>
  <c r="AV154" i="4"/>
  <c r="AV153" i="4"/>
  <c r="AV152" i="4"/>
  <c r="AV151" i="4"/>
  <c r="AV150" i="4"/>
  <c r="AV149" i="4"/>
  <c r="AV148" i="4"/>
  <c r="AV147" i="4"/>
  <c r="AV146" i="4"/>
  <c r="AV145" i="4"/>
  <c r="AV144" i="4"/>
  <c r="AV143" i="4"/>
  <c r="AV142" i="4"/>
  <c r="AV141" i="4"/>
  <c r="AV140" i="4"/>
  <c r="AV139" i="4"/>
  <c r="AV138" i="4"/>
  <c r="AV137" i="4"/>
  <c r="AV136" i="4"/>
  <c r="AV135" i="4"/>
  <c r="AV134" i="4"/>
  <c r="AV133" i="4"/>
  <c r="AV132" i="4"/>
  <c r="AV131" i="4"/>
  <c r="AV130" i="4"/>
  <c r="AV129" i="4"/>
  <c r="AV128" i="4"/>
  <c r="AV127" i="4"/>
  <c r="AV126" i="4"/>
  <c r="AV125" i="4"/>
  <c r="AV124" i="4"/>
  <c r="AV123" i="4"/>
  <c r="AV122" i="4"/>
  <c r="AV121" i="4"/>
  <c r="AV120" i="4"/>
  <c r="AV119" i="4"/>
  <c r="AV118" i="4"/>
  <c r="AV117" i="4"/>
  <c r="AV116" i="4"/>
  <c r="AV115" i="4"/>
  <c r="AV114" i="4"/>
  <c r="AV113" i="4"/>
  <c r="AV112" i="4"/>
  <c r="AV111" i="4"/>
  <c r="AV110" i="4"/>
  <c r="AV109" i="4"/>
  <c r="AV108" i="4"/>
  <c r="AV107" i="4"/>
  <c r="AV106" i="4"/>
  <c r="AV105" i="4"/>
  <c r="AV104" i="4"/>
  <c r="AV103" i="4"/>
  <c r="AV102" i="4"/>
  <c r="AV101" i="4"/>
  <c r="AV100" i="4"/>
  <c r="AV99" i="4"/>
  <c r="AV98" i="4"/>
  <c r="AV97" i="4"/>
  <c r="AV96" i="4"/>
  <c r="AV95" i="4"/>
  <c r="AV94" i="4"/>
  <c r="AV93" i="4"/>
  <c r="AV92" i="4"/>
  <c r="AV91" i="4"/>
  <c r="AV90" i="4"/>
  <c r="AV89" i="4"/>
  <c r="AV88" i="4"/>
  <c r="AV87" i="4"/>
  <c r="AV86" i="4"/>
  <c r="AV85" i="4"/>
  <c r="AV84" i="4"/>
  <c r="AV83" i="4"/>
  <c r="AV82" i="4"/>
  <c r="AV81" i="4"/>
  <c r="AV80" i="4"/>
  <c r="AV79" i="4"/>
  <c r="AV78" i="4"/>
  <c r="AV77" i="4"/>
  <c r="AV76" i="4"/>
  <c r="AV75" i="4"/>
  <c r="AV74" i="4"/>
  <c r="AV73" i="4"/>
  <c r="AV72" i="4"/>
  <c r="AV71" i="4"/>
  <c r="AV70" i="4"/>
  <c r="AV69" i="4"/>
  <c r="AV68" i="4"/>
  <c r="AV67" i="4"/>
  <c r="AV66" i="4"/>
  <c r="AV65" i="4"/>
  <c r="AV64" i="4"/>
  <c r="AV63" i="4"/>
  <c r="AV62" i="4"/>
  <c r="AV61" i="4"/>
  <c r="AV60" i="4"/>
  <c r="AV59" i="4"/>
  <c r="AV58" i="4"/>
  <c r="AV57" i="4"/>
  <c r="AV56" i="4"/>
  <c r="AV55" i="4"/>
  <c r="AV54" i="4"/>
  <c r="AV53" i="4"/>
  <c r="AV52" i="4"/>
  <c r="AV51" i="4"/>
  <c r="AV50" i="4"/>
  <c r="AV49" i="4"/>
  <c r="AV48" i="4"/>
  <c r="AV47" i="4"/>
  <c r="AV46" i="4"/>
  <c r="AV45" i="4"/>
  <c r="AV44" i="4"/>
  <c r="AV43" i="4"/>
  <c r="AV42" i="4"/>
  <c r="AV41" i="4"/>
  <c r="AV40" i="4"/>
  <c r="AV39" i="4"/>
  <c r="AV38" i="4"/>
  <c r="AV37" i="4"/>
  <c r="AV36" i="4"/>
  <c r="AV35" i="4"/>
  <c r="AV34" i="4"/>
  <c r="AV33" i="4"/>
  <c r="AV32" i="4"/>
  <c r="AV31" i="4"/>
  <c r="AV30" i="4"/>
  <c r="AV29" i="4"/>
  <c r="AV28" i="4"/>
  <c r="AV27" i="4"/>
  <c r="AV26" i="4"/>
  <c r="AV25" i="4"/>
  <c r="AV24" i="4"/>
  <c r="AV23" i="4"/>
  <c r="AV22" i="4"/>
  <c r="AV21" i="4"/>
  <c r="AV20" i="4"/>
  <c r="AV19" i="4"/>
  <c r="AV18" i="4"/>
  <c r="AV17" i="4"/>
  <c r="AV16" i="4"/>
  <c r="AV15" i="4"/>
  <c r="AV14" i="4"/>
  <c r="AV13" i="4"/>
  <c r="AV12" i="4"/>
  <c r="AV11" i="4"/>
  <c r="AV10" i="4"/>
  <c r="AV9" i="4"/>
  <c r="AV8" i="4"/>
  <c r="AV7" i="4"/>
  <c r="AV6" i="4"/>
  <c r="AV5" i="4"/>
  <c r="BW454" i="4"/>
  <c r="BW453" i="4"/>
  <c r="BW452" i="4"/>
  <c r="BW451" i="4"/>
  <c r="BW450" i="4"/>
  <c r="BW449" i="4"/>
  <c r="BW448" i="4"/>
  <c r="BW447" i="4"/>
  <c r="BW446" i="4"/>
  <c r="BW445" i="4"/>
  <c r="BW444" i="4"/>
  <c r="BW443" i="4"/>
  <c r="BW442" i="4"/>
  <c r="BW441" i="4"/>
  <c r="BW440" i="4"/>
  <c r="BW439" i="4"/>
  <c r="BW438" i="4"/>
  <c r="BW437" i="4"/>
  <c r="BW436" i="4"/>
  <c r="BW435" i="4"/>
  <c r="BW434" i="4"/>
  <c r="BW433" i="4"/>
  <c r="BW432" i="4"/>
  <c r="BW431" i="4"/>
  <c r="BW430" i="4"/>
  <c r="BW429" i="4"/>
  <c r="BW428" i="4"/>
  <c r="BW427" i="4"/>
  <c r="BW426" i="4"/>
  <c r="BW425" i="4"/>
  <c r="BW424" i="4"/>
  <c r="BW423" i="4"/>
  <c r="BW422" i="4"/>
  <c r="BW421" i="4"/>
  <c r="BW420" i="4"/>
  <c r="BW419" i="4"/>
  <c r="BW418" i="4"/>
  <c r="BW417" i="4"/>
  <c r="BW416" i="4"/>
  <c r="BW415" i="4"/>
  <c r="BW414" i="4"/>
  <c r="BW413" i="4"/>
  <c r="BW412" i="4"/>
  <c r="BW411" i="4"/>
  <c r="BW410" i="4"/>
  <c r="BW409" i="4"/>
  <c r="BW408" i="4"/>
  <c r="BW407" i="4"/>
  <c r="BW406" i="4"/>
  <c r="BW405" i="4"/>
  <c r="BW404" i="4"/>
  <c r="BW403" i="4"/>
  <c r="BW402" i="4"/>
  <c r="BW401" i="4"/>
  <c r="BW400" i="4"/>
  <c r="BW399" i="4"/>
  <c r="BW398" i="4"/>
  <c r="BW397" i="4"/>
  <c r="BW396" i="4"/>
  <c r="BW395" i="4"/>
  <c r="BW394" i="4"/>
  <c r="BW393" i="4"/>
  <c r="BW392" i="4"/>
  <c r="BW391" i="4"/>
  <c r="BW390" i="4"/>
  <c r="BW389" i="4"/>
  <c r="BW388" i="4"/>
  <c r="BW387" i="4"/>
  <c r="BW386" i="4"/>
  <c r="BW385" i="4"/>
  <c r="BW384" i="4"/>
  <c r="BW383" i="4"/>
  <c r="BW382" i="4"/>
  <c r="BW381" i="4"/>
  <c r="BW380" i="4"/>
  <c r="BW379" i="4"/>
  <c r="BW378" i="4"/>
  <c r="BW377" i="4"/>
  <c r="BW376" i="4"/>
  <c r="BW375" i="4"/>
  <c r="BW374" i="4"/>
  <c r="BW373" i="4"/>
  <c r="BW372" i="4"/>
  <c r="BW371" i="4"/>
  <c r="BW370" i="4"/>
  <c r="BW369" i="4"/>
  <c r="BW368" i="4"/>
  <c r="BW367" i="4"/>
  <c r="BW366" i="4"/>
  <c r="BW365" i="4"/>
  <c r="BW364" i="4"/>
  <c r="BW363" i="4"/>
  <c r="BW362" i="4"/>
  <c r="BW361" i="4"/>
  <c r="BW360" i="4"/>
  <c r="BW359" i="4"/>
  <c r="BW358" i="4"/>
  <c r="BW357" i="4"/>
  <c r="BW356" i="4"/>
  <c r="BW355" i="4"/>
  <c r="BW354" i="4"/>
  <c r="BW353" i="4"/>
  <c r="BW352" i="4"/>
  <c r="BW351" i="4"/>
  <c r="BW350" i="4"/>
  <c r="BW349" i="4"/>
  <c r="BW348" i="4"/>
  <c r="BW347" i="4"/>
  <c r="BW346" i="4"/>
  <c r="BW345" i="4"/>
  <c r="BW344" i="4"/>
  <c r="BW343" i="4"/>
  <c r="BW342" i="4"/>
  <c r="BW341" i="4"/>
  <c r="BW340" i="4"/>
  <c r="BW339" i="4"/>
  <c r="BW338" i="4"/>
  <c r="BW337" i="4"/>
  <c r="BW336" i="4"/>
  <c r="BW335" i="4"/>
  <c r="BW334" i="4"/>
  <c r="BW333" i="4"/>
  <c r="BW332" i="4"/>
  <c r="BW331" i="4"/>
  <c r="BW330" i="4"/>
  <c r="BW329" i="4"/>
  <c r="BW328" i="4"/>
  <c r="BW327" i="4"/>
  <c r="BW326" i="4"/>
  <c r="BW325" i="4"/>
  <c r="BW324" i="4"/>
  <c r="BW323" i="4"/>
  <c r="BW322" i="4"/>
  <c r="BW321" i="4"/>
  <c r="BW320" i="4"/>
  <c r="BW319" i="4"/>
  <c r="BW318" i="4"/>
  <c r="BW317" i="4"/>
  <c r="BW316" i="4"/>
  <c r="BW315" i="4"/>
  <c r="BW314" i="4"/>
  <c r="BW313" i="4"/>
  <c r="BW312" i="4"/>
  <c r="BW311" i="4"/>
  <c r="BW310" i="4"/>
  <c r="BW309" i="4"/>
  <c r="BW308" i="4"/>
  <c r="BW307" i="4"/>
  <c r="BW306" i="4"/>
  <c r="BW305" i="4"/>
  <c r="BW304" i="4"/>
  <c r="BW303" i="4"/>
  <c r="BW302" i="4"/>
  <c r="BW301" i="4"/>
  <c r="BW300" i="4"/>
  <c r="BW299" i="4"/>
  <c r="BW298" i="4"/>
  <c r="BW297" i="4"/>
  <c r="BW296" i="4"/>
  <c r="BW295" i="4"/>
  <c r="BW294" i="4"/>
  <c r="BW293" i="4"/>
  <c r="BW292" i="4"/>
  <c r="BW291" i="4"/>
  <c r="BW290" i="4"/>
  <c r="BW289" i="4"/>
  <c r="BW288" i="4"/>
  <c r="BW287" i="4"/>
  <c r="BW286" i="4"/>
  <c r="BW285" i="4"/>
  <c r="BW284" i="4"/>
  <c r="BW283" i="4"/>
  <c r="BW282" i="4"/>
  <c r="BW281" i="4"/>
  <c r="BW280" i="4"/>
  <c r="BW279" i="4"/>
  <c r="BW278" i="4"/>
  <c r="BW277" i="4"/>
  <c r="BW276" i="4"/>
  <c r="BW275" i="4"/>
  <c r="BW274" i="4"/>
  <c r="BW273" i="4"/>
  <c r="BW272" i="4"/>
  <c r="BW271" i="4"/>
  <c r="BW270" i="4"/>
  <c r="BW269" i="4"/>
  <c r="BW268" i="4"/>
  <c r="BW267" i="4"/>
  <c r="BW266" i="4"/>
  <c r="BW265" i="4"/>
  <c r="BW264" i="4"/>
  <c r="BW263" i="4"/>
  <c r="BW262" i="4"/>
  <c r="BW261" i="4"/>
  <c r="BW260" i="4"/>
  <c r="BW259" i="4"/>
  <c r="BW258" i="4"/>
  <c r="BW257" i="4"/>
  <c r="BW256" i="4"/>
  <c r="BW255" i="4"/>
  <c r="BW254" i="4"/>
  <c r="BW253" i="4"/>
  <c r="BW252" i="4"/>
  <c r="BW251" i="4"/>
  <c r="BW250" i="4"/>
  <c r="BW249" i="4"/>
  <c r="BW248" i="4"/>
  <c r="BW247" i="4"/>
  <c r="BW246" i="4"/>
  <c r="BW245" i="4"/>
  <c r="BW244" i="4"/>
  <c r="BW243" i="4"/>
  <c r="BW242" i="4"/>
  <c r="BW241" i="4"/>
  <c r="BW240" i="4"/>
  <c r="BW239" i="4"/>
  <c r="BW238" i="4"/>
  <c r="BW237" i="4"/>
  <c r="BW236" i="4"/>
  <c r="BW235" i="4"/>
  <c r="BW234" i="4"/>
  <c r="BW233" i="4"/>
  <c r="BW232" i="4"/>
  <c r="BW231" i="4"/>
  <c r="BW230" i="4"/>
  <c r="BW229" i="4"/>
  <c r="BW228" i="4"/>
  <c r="BW227" i="4"/>
  <c r="BW226" i="4"/>
  <c r="BW225" i="4"/>
  <c r="BW224" i="4"/>
  <c r="BW223" i="4"/>
  <c r="BW222" i="4"/>
  <c r="BW221" i="4"/>
  <c r="BW220" i="4"/>
  <c r="BW219" i="4"/>
  <c r="BW218" i="4"/>
  <c r="BW217" i="4"/>
  <c r="BW216" i="4"/>
  <c r="BW215" i="4"/>
  <c r="BW214" i="4"/>
  <c r="BW213" i="4"/>
  <c r="BW212" i="4"/>
  <c r="BW211" i="4"/>
  <c r="BW210" i="4"/>
  <c r="BW209" i="4"/>
  <c r="BW208" i="4"/>
  <c r="BW207" i="4"/>
  <c r="BW206" i="4"/>
  <c r="BW205" i="4"/>
  <c r="BW204" i="4"/>
  <c r="BW203" i="4"/>
  <c r="BW202" i="4"/>
  <c r="BW201" i="4"/>
  <c r="BW200" i="4"/>
  <c r="BW199" i="4"/>
  <c r="BW198" i="4"/>
  <c r="BW197" i="4"/>
  <c r="BW196" i="4"/>
  <c r="BW195" i="4"/>
  <c r="BW194" i="4"/>
  <c r="BW193" i="4"/>
  <c r="BW192" i="4"/>
  <c r="BW191" i="4"/>
  <c r="BW190" i="4"/>
  <c r="BW189" i="4"/>
  <c r="BW188" i="4"/>
  <c r="BW187" i="4"/>
  <c r="BW186" i="4"/>
  <c r="BW185" i="4"/>
  <c r="BW184" i="4"/>
  <c r="BW183" i="4"/>
  <c r="BW182" i="4"/>
  <c r="BW181" i="4"/>
  <c r="BW180" i="4"/>
  <c r="BW179" i="4"/>
  <c r="BW178" i="4"/>
  <c r="BW177" i="4"/>
  <c r="BW176" i="4"/>
  <c r="BW175" i="4"/>
  <c r="BW174" i="4"/>
  <c r="BW173" i="4"/>
  <c r="BW172" i="4"/>
  <c r="BW171" i="4"/>
  <c r="BW170" i="4"/>
  <c r="BW169" i="4"/>
  <c r="BW168" i="4"/>
  <c r="BW167" i="4"/>
  <c r="BW166" i="4"/>
  <c r="BW165" i="4"/>
  <c r="BW164" i="4"/>
  <c r="BW163" i="4"/>
  <c r="BW162" i="4"/>
  <c r="BW161" i="4"/>
  <c r="BW160" i="4"/>
  <c r="BW159" i="4"/>
  <c r="BW158" i="4"/>
  <c r="BW157" i="4"/>
  <c r="BW156" i="4"/>
  <c r="BW155" i="4"/>
  <c r="BW154" i="4"/>
  <c r="BW153" i="4"/>
  <c r="BW152" i="4"/>
  <c r="BW151" i="4"/>
  <c r="BW150" i="4"/>
  <c r="BW149" i="4"/>
  <c r="BW148" i="4"/>
  <c r="BW147" i="4"/>
  <c r="BW146" i="4"/>
  <c r="BW145" i="4"/>
  <c r="BW144" i="4"/>
  <c r="BW143" i="4"/>
  <c r="BW142" i="4"/>
  <c r="BW141" i="4"/>
  <c r="BW140" i="4"/>
  <c r="BW139" i="4"/>
  <c r="BW138" i="4"/>
  <c r="BW137" i="4"/>
  <c r="BW136" i="4"/>
  <c r="BW135" i="4"/>
  <c r="BW134" i="4"/>
  <c r="BW133" i="4"/>
  <c r="BW132" i="4"/>
  <c r="BW131" i="4"/>
  <c r="BW130" i="4"/>
  <c r="BW129" i="4"/>
  <c r="BW128" i="4"/>
  <c r="BW127" i="4"/>
  <c r="BW126" i="4"/>
  <c r="BW125" i="4"/>
  <c r="BW124" i="4"/>
  <c r="BW123" i="4"/>
  <c r="BW122" i="4"/>
  <c r="BW121" i="4"/>
  <c r="BW120" i="4"/>
  <c r="BW119" i="4"/>
  <c r="BW118" i="4"/>
  <c r="BW117" i="4"/>
  <c r="BW116" i="4"/>
  <c r="BW115" i="4"/>
  <c r="BW114" i="4"/>
  <c r="BW113" i="4"/>
  <c r="BW112" i="4"/>
  <c r="BW111" i="4"/>
  <c r="BW110" i="4"/>
  <c r="BW109" i="4"/>
  <c r="BW108" i="4"/>
  <c r="BW107" i="4"/>
  <c r="BW106" i="4"/>
  <c r="BW105" i="4"/>
  <c r="BW104" i="4"/>
  <c r="BW103" i="4"/>
  <c r="BW102" i="4"/>
  <c r="BW101" i="4"/>
  <c r="BW100" i="4"/>
  <c r="BW99" i="4"/>
  <c r="BW98" i="4"/>
  <c r="BW97" i="4"/>
  <c r="BW96" i="4"/>
  <c r="BW95" i="4"/>
  <c r="BW94" i="4"/>
  <c r="BW93" i="4"/>
  <c r="BW92" i="4"/>
  <c r="BW91" i="4"/>
  <c r="BW90" i="4"/>
  <c r="BW89" i="4"/>
  <c r="BW88" i="4"/>
  <c r="BW87" i="4"/>
  <c r="BW86" i="4"/>
  <c r="BW85" i="4"/>
  <c r="BW84" i="4"/>
  <c r="BW83" i="4"/>
  <c r="BW82" i="4"/>
  <c r="BW81" i="4"/>
  <c r="BW80" i="4"/>
  <c r="BW79" i="4"/>
  <c r="BW78" i="4"/>
  <c r="BW77" i="4"/>
  <c r="BW76" i="4"/>
  <c r="BW75" i="4"/>
  <c r="BW74" i="4"/>
  <c r="BW73" i="4"/>
  <c r="BW72" i="4"/>
  <c r="BW71" i="4"/>
  <c r="BW70" i="4"/>
  <c r="BW69" i="4"/>
  <c r="BW68" i="4"/>
  <c r="BW67" i="4"/>
  <c r="BW66" i="4"/>
  <c r="BW65" i="4"/>
  <c r="BW64" i="4"/>
  <c r="BW63" i="4"/>
  <c r="BW62" i="4"/>
  <c r="BW61" i="4"/>
  <c r="BW60" i="4"/>
  <c r="BW59" i="4"/>
  <c r="BW58" i="4"/>
  <c r="BW57" i="4"/>
  <c r="BW56" i="4"/>
  <c r="BW55" i="4"/>
  <c r="BW54" i="4"/>
  <c r="BW53" i="4"/>
  <c r="BW52" i="4"/>
  <c r="BW51" i="4"/>
  <c r="BW50" i="4"/>
  <c r="BW49" i="4"/>
  <c r="BW48" i="4"/>
  <c r="BW47" i="4"/>
  <c r="BW46" i="4"/>
  <c r="BW45" i="4"/>
  <c r="BW44" i="4"/>
  <c r="BW43" i="4"/>
  <c r="BW42" i="4"/>
  <c r="BW41" i="4"/>
  <c r="BW40" i="4"/>
  <c r="BW39" i="4"/>
  <c r="BW38" i="4"/>
  <c r="BW37" i="4"/>
  <c r="BW36" i="4"/>
  <c r="BW35" i="4"/>
  <c r="BW34" i="4"/>
  <c r="BW33" i="4"/>
  <c r="BW32" i="4"/>
  <c r="BW31" i="4"/>
  <c r="BW30" i="4"/>
  <c r="BW29" i="4"/>
  <c r="BW28" i="4"/>
  <c r="BW27" i="4"/>
  <c r="BW26" i="4"/>
  <c r="BW25" i="4"/>
  <c r="BW24" i="4"/>
  <c r="BW23" i="4"/>
  <c r="BW22" i="4"/>
  <c r="BW21" i="4"/>
  <c r="BW20" i="4"/>
  <c r="BW19" i="4"/>
  <c r="BW18" i="4"/>
  <c r="BW17" i="4"/>
  <c r="BW16" i="4"/>
  <c r="BW15" i="4"/>
  <c r="BW14" i="4"/>
  <c r="BW13" i="4"/>
  <c r="BW12" i="4"/>
  <c r="BW11" i="4"/>
  <c r="BW10" i="4"/>
  <c r="BW9" i="4"/>
  <c r="BW8" i="4"/>
  <c r="BW7" i="4"/>
  <c r="BW6" i="4"/>
  <c r="BW5" i="4"/>
  <c r="BQ454" i="4"/>
  <c r="BQ453" i="4"/>
  <c r="BQ452" i="4"/>
  <c r="BQ451" i="4"/>
  <c r="CA451" i="4" s="1"/>
  <c r="BQ450" i="4"/>
  <c r="BQ449" i="4"/>
  <c r="BQ448" i="4"/>
  <c r="BQ447" i="4"/>
  <c r="CA447" i="4" s="1"/>
  <c r="BQ446" i="4"/>
  <c r="BQ445" i="4"/>
  <c r="BQ444" i="4"/>
  <c r="BQ443" i="4"/>
  <c r="CA443" i="4" s="1"/>
  <c r="BQ442" i="4"/>
  <c r="BQ441" i="4"/>
  <c r="BQ440" i="4"/>
  <c r="BQ439" i="4"/>
  <c r="CA439" i="4" s="1"/>
  <c r="BQ438" i="4"/>
  <c r="BQ437" i="4"/>
  <c r="BQ436" i="4"/>
  <c r="BQ435" i="4"/>
  <c r="CA435" i="4" s="1"/>
  <c r="BQ434" i="4"/>
  <c r="BQ433" i="4"/>
  <c r="BQ432" i="4"/>
  <c r="BQ431" i="4"/>
  <c r="CA431" i="4" s="1"/>
  <c r="BQ430" i="4"/>
  <c r="BQ429" i="4"/>
  <c r="BQ428" i="4"/>
  <c r="BQ427" i="4"/>
  <c r="CA427" i="4" s="1"/>
  <c r="BQ426" i="4"/>
  <c r="BQ425" i="4"/>
  <c r="BQ424" i="4"/>
  <c r="BQ423" i="4"/>
  <c r="BQ422" i="4"/>
  <c r="BQ421" i="4"/>
  <c r="BQ420" i="4"/>
  <c r="BQ419" i="4"/>
  <c r="BQ418" i="4"/>
  <c r="BQ417" i="4"/>
  <c r="BQ416" i="4"/>
  <c r="BQ415" i="4"/>
  <c r="BQ414" i="4"/>
  <c r="BQ413" i="4"/>
  <c r="CA413" i="4" s="1"/>
  <c r="BQ412" i="4"/>
  <c r="BQ411" i="4"/>
  <c r="BQ410" i="4"/>
  <c r="BQ409" i="4"/>
  <c r="BQ408" i="4"/>
  <c r="BQ407" i="4"/>
  <c r="BQ406" i="4"/>
  <c r="BQ405" i="4"/>
  <c r="CA405" i="4" s="1"/>
  <c r="BQ404" i="4"/>
  <c r="BQ403" i="4"/>
  <c r="BQ402" i="4"/>
  <c r="BQ401" i="4"/>
  <c r="BQ400" i="4"/>
  <c r="BQ399" i="4"/>
  <c r="BQ398" i="4"/>
  <c r="BQ397" i="4"/>
  <c r="CA397" i="4" s="1"/>
  <c r="BQ396" i="4"/>
  <c r="BQ395" i="4"/>
  <c r="BQ394" i="4"/>
  <c r="BQ393" i="4"/>
  <c r="BQ392" i="4"/>
  <c r="BQ391" i="4"/>
  <c r="BQ390" i="4"/>
  <c r="BQ389" i="4"/>
  <c r="CA389" i="4" s="1"/>
  <c r="BQ388" i="4"/>
  <c r="BQ387" i="4"/>
  <c r="BQ386" i="4"/>
  <c r="BQ385" i="4"/>
  <c r="BQ384" i="4"/>
  <c r="BQ383" i="4"/>
  <c r="BQ382" i="4"/>
  <c r="BQ381" i="4"/>
  <c r="CA381" i="4" s="1"/>
  <c r="BQ380" i="4"/>
  <c r="BQ379" i="4"/>
  <c r="BQ378" i="4"/>
  <c r="BQ377" i="4"/>
  <c r="BQ376" i="4"/>
  <c r="BQ375" i="4"/>
  <c r="BQ374" i="4"/>
  <c r="BQ373" i="4"/>
  <c r="CA373" i="4" s="1"/>
  <c r="BQ372" i="4"/>
  <c r="BQ371" i="4"/>
  <c r="BQ370" i="4"/>
  <c r="BQ369" i="4"/>
  <c r="BQ368" i="4"/>
  <c r="BQ367" i="4"/>
  <c r="BQ366" i="4"/>
  <c r="BQ365" i="4"/>
  <c r="CA365" i="4" s="1"/>
  <c r="BQ364" i="4"/>
  <c r="BQ363" i="4"/>
  <c r="BQ362" i="4"/>
  <c r="BQ361" i="4"/>
  <c r="BQ360" i="4"/>
  <c r="BQ359" i="4"/>
  <c r="BQ358" i="4"/>
  <c r="BQ357" i="4"/>
  <c r="CA357" i="4" s="1"/>
  <c r="BQ356" i="4"/>
  <c r="BQ355" i="4"/>
  <c r="BQ354" i="4"/>
  <c r="BQ353" i="4"/>
  <c r="BQ352" i="4"/>
  <c r="BQ351" i="4"/>
  <c r="BQ350" i="4"/>
  <c r="BQ349" i="4"/>
  <c r="CA349" i="4" s="1"/>
  <c r="BQ348" i="4"/>
  <c r="BQ347" i="4"/>
  <c r="BQ346" i="4"/>
  <c r="BQ345" i="4"/>
  <c r="BQ344" i="4"/>
  <c r="BQ343" i="4"/>
  <c r="BQ342" i="4"/>
  <c r="BQ341" i="4"/>
  <c r="CA341" i="4" s="1"/>
  <c r="BQ340" i="4"/>
  <c r="BQ339" i="4"/>
  <c r="BQ338" i="4"/>
  <c r="BQ337" i="4"/>
  <c r="BQ336" i="4"/>
  <c r="BQ335" i="4"/>
  <c r="BQ334" i="4"/>
  <c r="BQ333" i="4"/>
  <c r="CA333" i="4" s="1"/>
  <c r="BQ332" i="4"/>
  <c r="BQ331" i="4"/>
  <c r="BQ330" i="4"/>
  <c r="BQ329" i="4"/>
  <c r="BQ328" i="4"/>
  <c r="BQ327" i="4"/>
  <c r="BQ326" i="4"/>
  <c r="BQ325" i="4"/>
  <c r="CA325" i="4" s="1"/>
  <c r="BQ324" i="4"/>
  <c r="BQ323" i="4"/>
  <c r="BQ322" i="4"/>
  <c r="BQ321" i="4"/>
  <c r="BQ320" i="4"/>
  <c r="BQ319" i="4"/>
  <c r="BQ318" i="4"/>
  <c r="BQ317" i="4"/>
  <c r="CA317" i="4" s="1"/>
  <c r="BQ316" i="4"/>
  <c r="BQ315" i="4"/>
  <c r="BQ314" i="4"/>
  <c r="BQ313" i="4"/>
  <c r="BQ312" i="4"/>
  <c r="BQ311" i="4"/>
  <c r="BQ310" i="4"/>
  <c r="BQ309" i="4"/>
  <c r="CA309" i="4" s="1"/>
  <c r="BQ308" i="4"/>
  <c r="BQ307" i="4"/>
  <c r="BQ306" i="4"/>
  <c r="BQ305" i="4"/>
  <c r="BQ304" i="4"/>
  <c r="BQ303" i="4"/>
  <c r="BQ302" i="4"/>
  <c r="BQ301" i="4"/>
  <c r="CA301" i="4" s="1"/>
  <c r="BQ300" i="4"/>
  <c r="BQ299" i="4"/>
  <c r="BQ298" i="4"/>
  <c r="BQ297" i="4"/>
  <c r="BQ296" i="4"/>
  <c r="BQ295" i="4"/>
  <c r="BQ294" i="4"/>
  <c r="BQ293" i="4"/>
  <c r="CA293" i="4" s="1"/>
  <c r="BQ292" i="4"/>
  <c r="BQ291" i="4"/>
  <c r="BQ290" i="4"/>
  <c r="BQ289" i="4"/>
  <c r="BQ288" i="4"/>
  <c r="BQ287" i="4"/>
  <c r="BQ286" i="4"/>
  <c r="BQ285" i="4"/>
  <c r="CA285" i="4" s="1"/>
  <c r="BQ284" i="4"/>
  <c r="BQ283" i="4"/>
  <c r="BQ282" i="4"/>
  <c r="BQ281" i="4"/>
  <c r="BQ280" i="4"/>
  <c r="BQ279" i="4"/>
  <c r="BQ278" i="4"/>
  <c r="BQ277" i="4"/>
  <c r="CA277" i="4" s="1"/>
  <c r="BQ276" i="4"/>
  <c r="BQ275" i="4"/>
  <c r="BQ274" i="4"/>
  <c r="BQ273" i="4"/>
  <c r="CC273" i="4" s="1"/>
  <c r="BQ272" i="4"/>
  <c r="BQ271" i="4"/>
  <c r="BQ270" i="4"/>
  <c r="BQ269" i="4"/>
  <c r="CC269" i="4" s="1"/>
  <c r="BQ268" i="4"/>
  <c r="BQ267" i="4"/>
  <c r="BQ266" i="4"/>
  <c r="BQ265" i="4"/>
  <c r="CC265" i="4" s="1"/>
  <c r="BQ264" i="4"/>
  <c r="BQ263" i="4"/>
  <c r="BQ262" i="4"/>
  <c r="BQ261" i="4"/>
  <c r="CC261" i="4" s="1"/>
  <c r="BQ260" i="4"/>
  <c r="BQ259" i="4"/>
  <c r="BQ258" i="4"/>
  <c r="BQ257" i="4"/>
  <c r="CC257" i="4" s="1"/>
  <c r="BQ256" i="4"/>
  <c r="BQ255" i="4"/>
  <c r="BQ254" i="4"/>
  <c r="BQ253" i="4"/>
  <c r="CC253" i="4" s="1"/>
  <c r="BQ252" i="4"/>
  <c r="BQ251" i="4"/>
  <c r="BQ250" i="4"/>
  <c r="BQ249" i="4"/>
  <c r="CC249" i="4" s="1"/>
  <c r="BQ248" i="4"/>
  <c r="BQ247" i="4"/>
  <c r="BQ246" i="4"/>
  <c r="BQ245" i="4"/>
  <c r="CC245" i="4" s="1"/>
  <c r="BQ244" i="4"/>
  <c r="BQ243" i="4"/>
  <c r="BQ242" i="4"/>
  <c r="BQ241" i="4"/>
  <c r="CC241" i="4" s="1"/>
  <c r="BQ240" i="4"/>
  <c r="BQ239" i="4"/>
  <c r="BQ238" i="4"/>
  <c r="BQ237" i="4"/>
  <c r="CC237" i="4" s="1"/>
  <c r="BQ236" i="4"/>
  <c r="BQ235" i="4"/>
  <c r="BQ234" i="4"/>
  <c r="BQ233" i="4"/>
  <c r="CC233" i="4" s="1"/>
  <c r="BQ232" i="4"/>
  <c r="BQ231" i="4"/>
  <c r="BQ230" i="4"/>
  <c r="BQ229" i="4"/>
  <c r="CC229" i="4" s="1"/>
  <c r="BQ228" i="4"/>
  <c r="BQ227" i="4"/>
  <c r="BQ226" i="4"/>
  <c r="BQ225" i="4"/>
  <c r="CC225" i="4" s="1"/>
  <c r="BQ224" i="4"/>
  <c r="BQ223" i="4"/>
  <c r="BQ222" i="4"/>
  <c r="BQ221" i="4"/>
  <c r="CC221" i="4" s="1"/>
  <c r="BQ220" i="4"/>
  <c r="BQ219" i="4"/>
  <c r="BQ218" i="4"/>
  <c r="BQ217" i="4"/>
  <c r="CC217" i="4" s="1"/>
  <c r="BQ216" i="4"/>
  <c r="BQ215" i="4"/>
  <c r="BQ214" i="4"/>
  <c r="BQ213" i="4"/>
  <c r="CC213" i="4" s="1"/>
  <c r="BQ212" i="4"/>
  <c r="BQ211" i="4"/>
  <c r="BQ210" i="4"/>
  <c r="BQ209" i="4"/>
  <c r="CC209" i="4" s="1"/>
  <c r="BQ208" i="4"/>
  <c r="BQ207" i="4"/>
  <c r="BQ206" i="4"/>
  <c r="BQ205" i="4"/>
  <c r="CC205" i="4" s="1"/>
  <c r="BQ204" i="4"/>
  <c r="BQ203" i="4"/>
  <c r="BQ202" i="4"/>
  <c r="BQ201" i="4"/>
  <c r="CC201" i="4" s="1"/>
  <c r="BQ200" i="4"/>
  <c r="BQ199" i="4"/>
  <c r="BQ198" i="4"/>
  <c r="BQ197" i="4"/>
  <c r="CC197" i="4" s="1"/>
  <c r="BQ196" i="4"/>
  <c r="BQ195" i="4"/>
  <c r="BQ194" i="4"/>
  <c r="BQ193" i="4"/>
  <c r="CC193" i="4" s="1"/>
  <c r="BQ192" i="4"/>
  <c r="BQ191" i="4"/>
  <c r="BQ190" i="4"/>
  <c r="BQ189" i="4"/>
  <c r="CC189" i="4" s="1"/>
  <c r="BQ188" i="4"/>
  <c r="BQ187" i="4"/>
  <c r="BQ186" i="4"/>
  <c r="BQ185" i="4"/>
  <c r="CC185" i="4" s="1"/>
  <c r="BQ184" i="4"/>
  <c r="BQ183" i="4"/>
  <c r="BQ182" i="4"/>
  <c r="BQ181" i="4"/>
  <c r="CC181" i="4" s="1"/>
  <c r="BQ180" i="4"/>
  <c r="BQ179" i="4"/>
  <c r="BQ178" i="4"/>
  <c r="BQ177" i="4"/>
  <c r="CC177" i="4" s="1"/>
  <c r="BQ176" i="4"/>
  <c r="BQ175" i="4"/>
  <c r="BQ174" i="4"/>
  <c r="BQ173" i="4"/>
  <c r="CC173" i="4" s="1"/>
  <c r="BQ172" i="4"/>
  <c r="BQ171" i="4"/>
  <c r="BQ170" i="4"/>
  <c r="BQ169" i="4"/>
  <c r="CC169" i="4" s="1"/>
  <c r="BQ168" i="4"/>
  <c r="BQ167" i="4"/>
  <c r="BQ166" i="4"/>
  <c r="BQ165" i="4"/>
  <c r="CC165" i="4" s="1"/>
  <c r="BQ164" i="4"/>
  <c r="BQ163" i="4"/>
  <c r="BQ162" i="4"/>
  <c r="BQ161" i="4"/>
  <c r="CC161" i="4" s="1"/>
  <c r="BQ160" i="4"/>
  <c r="BQ159" i="4"/>
  <c r="BQ158" i="4"/>
  <c r="BQ157" i="4"/>
  <c r="CC157" i="4" s="1"/>
  <c r="BQ156" i="4"/>
  <c r="BQ155" i="4"/>
  <c r="BQ154" i="4"/>
  <c r="BQ153" i="4"/>
  <c r="CC153" i="4" s="1"/>
  <c r="BQ152" i="4"/>
  <c r="BQ151" i="4"/>
  <c r="BQ150" i="4"/>
  <c r="BQ149" i="4"/>
  <c r="CC149" i="4" s="1"/>
  <c r="BQ148" i="4"/>
  <c r="BQ147" i="4"/>
  <c r="BQ146" i="4"/>
  <c r="BQ145" i="4"/>
  <c r="CC145" i="4" s="1"/>
  <c r="BQ144" i="4"/>
  <c r="BQ143" i="4"/>
  <c r="BQ142" i="4"/>
  <c r="BQ141" i="4"/>
  <c r="CC141" i="4" s="1"/>
  <c r="BQ140" i="4"/>
  <c r="BQ139" i="4"/>
  <c r="CC139" i="4" s="1"/>
  <c r="BQ138" i="4"/>
  <c r="CC138" i="4" s="1"/>
  <c r="BQ137" i="4"/>
  <c r="CC137" i="4" s="1"/>
  <c r="BQ136" i="4"/>
  <c r="CA136" i="4" s="1"/>
  <c r="BQ135" i="4"/>
  <c r="BQ134" i="4"/>
  <c r="CA134" i="4" s="1"/>
  <c r="BQ133" i="4"/>
  <c r="BQ132" i="4"/>
  <c r="BQ131" i="4"/>
  <c r="CC131" i="4" s="1"/>
  <c r="BQ130" i="4"/>
  <c r="CA130" i="4" s="1"/>
  <c r="BQ129" i="4"/>
  <c r="BQ128" i="4"/>
  <c r="CA128" i="4" s="1"/>
  <c r="BQ127" i="4"/>
  <c r="CC127" i="4" s="1"/>
  <c r="BQ126" i="4"/>
  <c r="CA126" i="4" s="1"/>
  <c r="BQ125" i="4"/>
  <c r="BQ124" i="4"/>
  <c r="BQ123" i="4"/>
  <c r="BQ122" i="4"/>
  <c r="BQ121" i="4"/>
  <c r="CC121" i="4" s="1"/>
  <c r="BQ120" i="4"/>
  <c r="CC120" i="4" s="1"/>
  <c r="BQ119" i="4"/>
  <c r="CA119" i="4" s="1"/>
  <c r="BQ118" i="4"/>
  <c r="BQ117" i="4"/>
  <c r="BQ116" i="4"/>
  <c r="CA116" i="4" s="1"/>
  <c r="BQ115" i="4"/>
  <c r="CA115" i="4" s="1"/>
  <c r="BQ114" i="4"/>
  <c r="BQ113" i="4"/>
  <c r="BQ112" i="4"/>
  <c r="BQ111" i="4"/>
  <c r="BQ110" i="4"/>
  <c r="BQ109" i="4"/>
  <c r="BQ108" i="4"/>
  <c r="CA108" i="4" s="1"/>
  <c r="BQ107" i="4"/>
  <c r="BQ106" i="4"/>
  <c r="BQ105" i="4"/>
  <c r="CA105" i="4" s="1"/>
  <c r="BQ104" i="4"/>
  <c r="BQ103" i="4"/>
  <c r="CC103" i="4" s="1"/>
  <c r="BQ102" i="4"/>
  <c r="CC102" i="4" s="1"/>
  <c r="BQ101" i="4"/>
  <c r="BQ100" i="4"/>
  <c r="CA100" i="4" s="1"/>
  <c r="BQ99" i="4"/>
  <c r="CC99" i="4" s="1"/>
  <c r="BQ98" i="4"/>
  <c r="BQ97" i="4"/>
  <c r="CC97" i="4" s="1"/>
  <c r="BQ96" i="4"/>
  <c r="BQ95" i="4"/>
  <c r="BQ94" i="4"/>
  <c r="BQ93" i="4"/>
  <c r="BQ92" i="4"/>
  <c r="CA92" i="4" s="1"/>
  <c r="BQ91" i="4"/>
  <c r="BQ90" i="4"/>
  <c r="BQ89" i="4"/>
  <c r="CA89" i="4" s="1"/>
  <c r="BQ88" i="4"/>
  <c r="CA88" i="4" s="1"/>
  <c r="BQ87" i="4"/>
  <c r="CA87" i="4" s="1"/>
  <c r="BQ86" i="4"/>
  <c r="BQ85" i="4"/>
  <c r="CA85" i="4" s="1"/>
  <c r="BQ84" i="4"/>
  <c r="CA84" i="4" s="1"/>
  <c r="BQ83" i="4"/>
  <c r="BQ82" i="4"/>
  <c r="BQ81" i="4"/>
  <c r="CA81" i="4" s="1"/>
  <c r="BQ80" i="4"/>
  <c r="BQ79" i="4"/>
  <c r="CA79" i="4" s="1"/>
  <c r="BQ78" i="4"/>
  <c r="CC78" i="4" s="1"/>
  <c r="BQ77" i="4"/>
  <c r="CC77" i="4" s="1"/>
  <c r="BQ76" i="4"/>
  <c r="CA76" i="4" s="1"/>
  <c r="BQ75" i="4"/>
  <c r="BQ74" i="4"/>
  <c r="BQ73" i="4"/>
  <c r="BQ72" i="4"/>
  <c r="BQ71" i="4"/>
  <c r="CA71" i="4" s="1"/>
  <c r="BQ70" i="4"/>
  <c r="BQ69" i="4"/>
  <c r="BQ68" i="4"/>
  <c r="BQ67" i="4"/>
  <c r="BQ66" i="4"/>
  <c r="BQ65" i="4"/>
  <c r="BQ64" i="4"/>
  <c r="CA64" i="4" s="1"/>
  <c r="BQ63" i="4"/>
  <c r="BQ62" i="4"/>
  <c r="CA62" i="4" s="1"/>
  <c r="BQ61" i="4"/>
  <c r="CC61" i="4" s="1"/>
  <c r="BQ60" i="4"/>
  <c r="CA60" i="4" s="1"/>
  <c r="BQ59" i="4"/>
  <c r="BQ58" i="4"/>
  <c r="BQ57" i="4"/>
  <c r="CC57" i="4" s="1"/>
  <c r="BQ56" i="4"/>
  <c r="CA56" i="4" s="1"/>
  <c r="BQ55" i="4"/>
  <c r="BQ54" i="4"/>
  <c r="BQ53" i="4"/>
  <c r="BQ52" i="4"/>
  <c r="BQ51" i="4"/>
  <c r="CC51" i="4" s="1"/>
  <c r="BQ50" i="4"/>
  <c r="BQ49" i="4"/>
  <c r="CA49" i="4" s="1"/>
  <c r="BQ48" i="4"/>
  <c r="BQ47" i="4"/>
  <c r="CC47" i="4" s="1"/>
  <c r="BQ46" i="4"/>
  <c r="CA46" i="4" s="1"/>
  <c r="BQ45" i="4"/>
  <c r="CA45" i="4" s="1"/>
  <c r="BQ44" i="4"/>
  <c r="BQ43" i="4"/>
  <c r="CC43" i="4" s="1"/>
  <c r="BQ42" i="4"/>
  <c r="BQ41" i="4"/>
  <c r="CC41" i="4" s="1"/>
  <c r="BQ40" i="4"/>
  <c r="BQ39" i="4"/>
  <c r="BQ38" i="4"/>
  <c r="BQ37" i="4"/>
  <c r="BQ36" i="4"/>
  <c r="BQ35" i="4"/>
  <c r="CA35" i="4" s="1"/>
  <c r="BQ34" i="4"/>
  <c r="CA34" i="4" s="1"/>
  <c r="BQ33" i="4"/>
  <c r="BQ32" i="4"/>
  <c r="BQ31" i="4"/>
  <c r="CA31" i="4" s="1"/>
  <c r="BQ30" i="4"/>
  <c r="CC30" i="4" s="1"/>
  <c r="BQ29" i="4"/>
  <c r="CA29" i="4" s="1"/>
  <c r="BQ28" i="4"/>
  <c r="CA28" i="4" s="1"/>
  <c r="BQ27" i="4"/>
  <c r="CA27" i="4" s="1"/>
  <c r="BQ26" i="4"/>
  <c r="BQ25" i="4"/>
  <c r="CA25" i="4" s="1"/>
  <c r="BQ24" i="4"/>
  <c r="CA24" i="4" s="1"/>
  <c r="BQ23" i="4"/>
  <c r="CA23" i="4" s="1"/>
  <c r="BQ22" i="4"/>
  <c r="BQ21" i="4"/>
  <c r="CA21" i="4" s="1"/>
  <c r="BQ20" i="4"/>
  <c r="BQ19" i="4"/>
  <c r="CC19" i="4" s="1"/>
  <c r="BQ18" i="4"/>
  <c r="CA18" i="4" s="1"/>
  <c r="BQ17" i="4"/>
  <c r="BQ16" i="4"/>
  <c r="BQ15" i="4"/>
  <c r="CA15" i="4" s="1"/>
  <c r="BQ14" i="4"/>
  <c r="CA14" i="4" s="1"/>
  <c r="BQ13" i="4"/>
  <c r="CC13" i="4" s="1"/>
  <c r="BQ12" i="4"/>
  <c r="BQ11" i="4"/>
  <c r="CC11" i="4" s="1"/>
  <c r="BQ10" i="4"/>
  <c r="CA10" i="4" s="1"/>
  <c r="BQ9" i="4"/>
  <c r="BQ8" i="4"/>
  <c r="BQ7" i="4"/>
  <c r="CC7" i="4" s="1"/>
  <c r="BQ6" i="4"/>
  <c r="BQ5" i="4"/>
  <c r="CC5" i="4" s="1"/>
  <c r="BB454" i="4"/>
  <c r="BB453" i="4"/>
  <c r="BB452" i="4"/>
  <c r="BB451" i="4"/>
  <c r="BB450" i="4"/>
  <c r="BB449" i="4"/>
  <c r="BB448" i="4"/>
  <c r="BB447" i="4"/>
  <c r="BB446" i="4"/>
  <c r="BB445" i="4"/>
  <c r="BB444" i="4"/>
  <c r="BB443" i="4"/>
  <c r="BB442" i="4"/>
  <c r="BB441" i="4"/>
  <c r="BB440" i="4"/>
  <c r="BB439" i="4"/>
  <c r="BB438" i="4"/>
  <c r="BB437" i="4"/>
  <c r="BB436" i="4"/>
  <c r="BB435" i="4"/>
  <c r="BB434" i="4"/>
  <c r="BB433" i="4"/>
  <c r="BB432" i="4"/>
  <c r="BB431" i="4"/>
  <c r="BB430" i="4"/>
  <c r="BB429" i="4"/>
  <c r="BB428" i="4"/>
  <c r="BB427" i="4"/>
  <c r="BB426" i="4"/>
  <c r="BB425" i="4"/>
  <c r="BB424" i="4"/>
  <c r="BB423" i="4"/>
  <c r="BB422" i="4"/>
  <c r="BB421" i="4"/>
  <c r="BB420" i="4"/>
  <c r="BB419" i="4"/>
  <c r="BB418" i="4"/>
  <c r="BB417" i="4"/>
  <c r="BB416" i="4"/>
  <c r="BB415" i="4"/>
  <c r="BB414" i="4"/>
  <c r="BB413" i="4"/>
  <c r="BB412" i="4"/>
  <c r="BB411" i="4"/>
  <c r="BB410" i="4"/>
  <c r="BB409" i="4"/>
  <c r="BB408" i="4"/>
  <c r="BB407" i="4"/>
  <c r="BB406" i="4"/>
  <c r="BB405" i="4"/>
  <c r="BB404" i="4"/>
  <c r="BB403" i="4"/>
  <c r="BB402" i="4"/>
  <c r="BB401" i="4"/>
  <c r="BB400" i="4"/>
  <c r="BB399" i="4"/>
  <c r="BB398" i="4"/>
  <c r="BB397" i="4"/>
  <c r="BB396" i="4"/>
  <c r="BB395" i="4"/>
  <c r="BB394" i="4"/>
  <c r="BB393" i="4"/>
  <c r="BB392" i="4"/>
  <c r="BB391" i="4"/>
  <c r="BB390" i="4"/>
  <c r="BB389" i="4"/>
  <c r="BB388" i="4"/>
  <c r="BB387" i="4"/>
  <c r="BB386" i="4"/>
  <c r="BB385" i="4"/>
  <c r="BB384" i="4"/>
  <c r="BB383" i="4"/>
  <c r="BB382" i="4"/>
  <c r="BB381" i="4"/>
  <c r="BB380" i="4"/>
  <c r="BB379" i="4"/>
  <c r="BB378" i="4"/>
  <c r="BB377" i="4"/>
  <c r="BB376" i="4"/>
  <c r="BB375" i="4"/>
  <c r="BB374" i="4"/>
  <c r="BB373" i="4"/>
  <c r="BB372" i="4"/>
  <c r="BB371" i="4"/>
  <c r="BB370" i="4"/>
  <c r="BB369" i="4"/>
  <c r="BB368" i="4"/>
  <c r="BB367" i="4"/>
  <c r="BB366" i="4"/>
  <c r="BB365" i="4"/>
  <c r="BB364" i="4"/>
  <c r="BB363" i="4"/>
  <c r="BB362" i="4"/>
  <c r="BB361" i="4"/>
  <c r="BB360" i="4"/>
  <c r="BB359" i="4"/>
  <c r="BB358" i="4"/>
  <c r="BB357" i="4"/>
  <c r="BB356" i="4"/>
  <c r="BB355" i="4"/>
  <c r="BB354" i="4"/>
  <c r="BB353" i="4"/>
  <c r="BB352" i="4"/>
  <c r="BB351" i="4"/>
  <c r="BB350" i="4"/>
  <c r="BB349" i="4"/>
  <c r="BB348" i="4"/>
  <c r="BB347" i="4"/>
  <c r="BB346" i="4"/>
  <c r="BB345" i="4"/>
  <c r="BB344" i="4"/>
  <c r="BB343" i="4"/>
  <c r="BB342" i="4"/>
  <c r="BB341" i="4"/>
  <c r="BB340" i="4"/>
  <c r="BB339" i="4"/>
  <c r="BB338" i="4"/>
  <c r="BB337" i="4"/>
  <c r="BB336" i="4"/>
  <c r="BB335" i="4"/>
  <c r="BB334" i="4"/>
  <c r="BB333" i="4"/>
  <c r="BB332" i="4"/>
  <c r="BB331" i="4"/>
  <c r="BB330" i="4"/>
  <c r="BB329" i="4"/>
  <c r="BB328" i="4"/>
  <c r="BB327" i="4"/>
  <c r="BB326" i="4"/>
  <c r="BB325" i="4"/>
  <c r="BB324" i="4"/>
  <c r="BB323" i="4"/>
  <c r="BB322" i="4"/>
  <c r="BB321" i="4"/>
  <c r="BB320" i="4"/>
  <c r="BB319" i="4"/>
  <c r="BB318" i="4"/>
  <c r="BB317" i="4"/>
  <c r="BB316" i="4"/>
  <c r="BB315" i="4"/>
  <c r="BB314" i="4"/>
  <c r="BB313" i="4"/>
  <c r="BB312" i="4"/>
  <c r="BB311" i="4"/>
  <c r="BB310" i="4"/>
  <c r="BB309" i="4"/>
  <c r="BB308" i="4"/>
  <c r="BB307" i="4"/>
  <c r="BB306" i="4"/>
  <c r="BB305" i="4"/>
  <c r="BB304" i="4"/>
  <c r="BB303" i="4"/>
  <c r="BB302" i="4"/>
  <c r="BB301" i="4"/>
  <c r="BB300" i="4"/>
  <c r="BB299" i="4"/>
  <c r="BB298" i="4"/>
  <c r="BB297" i="4"/>
  <c r="BB296" i="4"/>
  <c r="BB295" i="4"/>
  <c r="BB294" i="4"/>
  <c r="BB293" i="4"/>
  <c r="BB292" i="4"/>
  <c r="BB291" i="4"/>
  <c r="BB290" i="4"/>
  <c r="BB289" i="4"/>
  <c r="BB288" i="4"/>
  <c r="BB287" i="4"/>
  <c r="BB286" i="4"/>
  <c r="BB285" i="4"/>
  <c r="BB284" i="4"/>
  <c r="BB283" i="4"/>
  <c r="BB282" i="4"/>
  <c r="BB281" i="4"/>
  <c r="BB280" i="4"/>
  <c r="BB279" i="4"/>
  <c r="BB278" i="4"/>
  <c r="BB277" i="4"/>
  <c r="BB276" i="4"/>
  <c r="BB275" i="4"/>
  <c r="BB274" i="4"/>
  <c r="BB273" i="4"/>
  <c r="BB272" i="4"/>
  <c r="BB271" i="4"/>
  <c r="BB270" i="4"/>
  <c r="BB269" i="4"/>
  <c r="BB268" i="4"/>
  <c r="BB267" i="4"/>
  <c r="BB266" i="4"/>
  <c r="BB265" i="4"/>
  <c r="BB264" i="4"/>
  <c r="BB263" i="4"/>
  <c r="BB262" i="4"/>
  <c r="BB261" i="4"/>
  <c r="BB260" i="4"/>
  <c r="BB259" i="4"/>
  <c r="BB258" i="4"/>
  <c r="BB257" i="4"/>
  <c r="BB256" i="4"/>
  <c r="BB255" i="4"/>
  <c r="BB254" i="4"/>
  <c r="BB253" i="4"/>
  <c r="BB252" i="4"/>
  <c r="BB251" i="4"/>
  <c r="BB250" i="4"/>
  <c r="BB249" i="4"/>
  <c r="BB248" i="4"/>
  <c r="BB247" i="4"/>
  <c r="BB246" i="4"/>
  <c r="BB245" i="4"/>
  <c r="BB244" i="4"/>
  <c r="BB243" i="4"/>
  <c r="BB242" i="4"/>
  <c r="BB241" i="4"/>
  <c r="BB240" i="4"/>
  <c r="BB239" i="4"/>
  <c r="BB238" i="4"/>
  <c r="BB237" i="4"/>
  <c r="BB236" i="4"/>
  <c r="BB235" i="4"/>
  <c r="BB234" i="4"/>
  <c r="BB233" i="4"/>
  <c r="BB232" i="4"/>
  <c r="BB231" i="4"/>
  <c r="BB230" i="4"/>
  <c r="BB229" i="4"/>
  <c r="BB228" i="4"/>
  <c r="BB227" i="4"/>
  <c r="BB226" i="4"/>
  <c r="BB225" i="4"/>
  <c r="BB224" i="4"/>
  <c r="BB223" i="4"/>
  <c r="BB222" i="4"/>
  <c r="BB221" i="4"/>
  <c r="BB220" i="4"/>
  <c r="BB219" i="4"/>
  <c r="BB218" i="4"/>
  <c r="BB217" i="4"/>
  <c r="BB216" i="4"/>
  <c r="BB215" i="4"/>
  <c r="BB214" i="4"/>
  <c r="BB213" i="4"/>
  <c r="BB212" i="4"/>
  <c r="BB211" i="4"/>
  <c r="BB210" i="4"/>
  <c r="BB209" i="4"/>
  <c r="BB208" i="4"/>
  <c r="BB207" i="4"/>
  <c r="BB206" i="4"/>
  <c r="BB205" i="4"/>
  <c r="BB204" i="4"/>
  <c r="BB203" i="4"/>
  <c r="BB202" i="4"/>
  <c r="BB201" i="4"/>
  <c r="BB200" i="4"/>
  <c r="BB199" i="4"/>
  <c r="BB198" i="4"/>
  <c r="BB197" i="4"/>
  <c r="BB196" i="4"/>
  <c r="BB195" i="4"/>
  <c r="BB194" i="4"/>
  <c r="BB193" i="4"/>
  <c r="BB192" i="4"/>
  <c r="BB191" i="4"/>
  <c r="BB190" i="4"/>
  <c r="BB189" i="4"/>
  <c r="BB188" i="4"/>
  <c r="BB187" i="4"/>
  <c r="BB186" i="4"/>
  <c r="BB185" i="4"/>
  <c r="BB184" i="4"/>
  <c r="BB183" i="4"/>
  <c r="BB182" i="4"/>
  <c r="BB181" i="4"/>
  <c r="BB180" i="4"/>
  <c r="BB179" i="4"/>
  <c r="BB178" i="4"/>
  <c r="BB177" i="4"/>
  <c r="BB176" i="4"/>
  <c r="BB175" i="4"/>
  <c r="BB174" i="4"/>
  <c r="BB173" i="4"/>
  <c r="BB172" i="4"/>
  <c r="BB171" i="4"/>
  <c r="BB170" i="4"/>
  <c r="BB169" i="4"/>
  <c r="BB168" i="4"/>
  <c r="BB167" i="4"/>
  <c r="BB166" i="4"/>
  <c r="BB165" i="4"/>
  <c r="BB164" i="4"/>
  <c r="BB163" i="4"/>
  <c r="BB162" i="4"/>
  <c r="BB161" i="4"/>
  <c r="BB160" i="4"/>
  <c r="BB159" i="4"/>
  <c r="BB158" i="4"/>
  <c r="BB157" i="4"/>
  <c r="BB156" i="4"/>
  <c r="BB155" i="4"/>
  <c r="BB154" i="4"/>
  <c r="BB153" i="4"/>
  <c r="BB152" i="4"/>
  <c r="BB151" i="4"/>
  <c r="BB150" i="4"/>
  <c r="BB149" i="4"/>
  <c r="BB148" i="4"/>
  <c r="BB147" i="4"/>
  <c r="BB146" i="4"/>
  <c r="BB145" i="4"/>
  <c r="BB144" i="4"/>
  <c r="BB143" i="4"/>
  <c r="BB142" i="4"/>
  <c r="BB141" i="4"/>
  <c r="BB140" i="4"/>
  <c r="BB139" i="4"/>
  <c r="BH139" i="4" s="1"/>
  <c r="BB138" i="4"/>
  <c r="BB137" i="4"/>
  <c r="BB136" i="4"/>
  <c r="BB135" i="4"/>
  <c r="BB134" i="4"/>
  <c r="BH134" i="4" s="1"/>
  <c r="BB133" i="4"/>
  <c r="BH133" i="4" s="1"/>
  <c r="BB132" i="4"/>
  <c r="BB131" i="4"/>
  <c r="BH131" i="4" s="1"/>
  <c r="BB130" i="4"/>
  <c r="BB129" i="4"/>
  <c r="BB128" i="4"/>
  <c r="BB127" i="4"/>
  <c r="BF127" i="4" s="1"/>
  <c r="BB126" i="4"/>
  <c r="BF126" i="4" s="1"/>
  <c r="BB125" i="4"/>
  <c r="BB124" i="4"/>
  <c r="BH124" i="4" s="1"/>
  <c r="BB123" i="4"/>
  <c r="BB122" i="4"/>
  <c r="BB121" i="4"/>
  <c r="BB120" i="4"/>
  <c r="BB119" i="4"/>
  <c r="BF119" i="4" s="1"/>
  <c r="BB118" i="4"/>
  <c r="BH118" i="4" s="1"/>
  <c r="BB117" i="4"/>
  <c r="BB116" i="4"/>
  <c r="BB115" i="4"/>
  <c r="BF115" i="4" s="1"/>
  <c r="BB114" i="4"/>
  <c r="BB113" i="4"/>
  <c r="BB112" i="4"/>
  <c r="BB111" i="4"/>
  <c r="BH111" i="4" s="1"/>
  <c r="BB110" i="4"/>
  <c r="BF110" i="4" s="1"/>
  <c r="BB109" i="4"/>
  <c r="BH109" i="4" s="1"/>
  <c r="BB108" i="4"/>
  <c r="BB107" i="4"/>
  <c r="BH107" i="4" s="1"/>
  <c r="BB106" i="4"/>
  <c r="BB105" i="4"/>
  <c r="BB104" i="4"/>
  <c r="BH104" i="4" s="1"/>
  <c r="BB103" i="4"/>
  <c r="BH103" i="4" s="1"/>
  <c r="BB102" i="4"/>
  <c r="BB101" i="4"/>
  <c r="BF101" i="4" s="1"/>
  <c r="BB100" i="4"/>
  <c r="BB99" i="4"/>
  <c r="BH99" i="4" s="1"/>
  <c r="BB98" i="4"/>
  <c r="BH98" i="4" s="1"/>
  <c r="BB97" i="4"/>
  <c r="BB96" i="4"/>
  <c r="BH96" i="4" s="1"/>
  <c r="BB95" i="4"/>
  <c r="BB94" i="4"/>
  <c r="BB93" i="4"/>
  <c r="BB92" i="4"/>
  <c r="BB91" i="4"/>
  <c r="BB90" i="4"/>
  <c r="BF90" i="4" s="1"/>
  <c r="BB89" i="4"/>
  <c r="BF89" i="4" s="1"/>
  <c r="BB88" i="4"/>
  <c r="BB87" i="4"/>
  <c r="BB86" i="4"/>
  <c r="BB85" i="4"/>
  <c r="BF85" i="4" s="1"/>
  <c r="BB84" i="4"/>
  <c r="BB83" i="4"/>
  <c r="BB82" i="4"/>
  <c r="BB81" i="4"/>
  <c r="BB80" i="4"/>
  <c r="BH80" i="4" s="1"/>
  <c r="BB79" i="4"/>
  <c r="BH79" i="4" s="1"/>
  <c r="BB78" i="4"/>
  <c r="BF78" i="4" s="1"/>
  <c r="BB77" i="4"/>
  <c r="BB76" i="4"/>
  <c r="BF76" i="4" s="1"/>
  <c r="BB75" i="4"/>
  <c r="BB74" i="4"/>
  <c r="BB73" i="4"/>
  <c r="BB72" i="4"/>
  <c r="BH72" i="4" s="1"/>
  <c r="BB71" i="4"/>
  <c r="BB70" i="4"/>
  <c r="BB69" i="4"/>
  <c r="BB68" i="4"/>
  <c r="BB67" i="4"/>
  <c r="BB66" i="4"/>
  <c r="BB65" i="4"/>
  <c r="BB64" i="4"/>
  <c r="BB63" i="4"/>
  <c r="BB62" i="4"/>
  <c r="BH62" i="4" s="1"/>
  <c r="BB61" i="4"/>
  <c r="BB60" i="4"/>
  <c r="BB59" i="4"/>
  <c r="BB58" i="4"/>
  <c r="BB57" i="4"/>
  <c r="BB56" i="4"/>
  <c r="BB55" i="4"/>
  <c r="BB54" i="4"/>
  <c r="BB53" i="4"/>
  <c r="BF53" i="4" s="1"/>
  <c r="BB52" i="4"/>
  <c r="BB51" i="4"/>
  <c r="BH51" i="4" s="1"/>
  <c r="BB50" i="4"/>
  <c r="BH50" i="4" s="1"/>
  <c r="BB49" i="4"/>
  <c r="BB48" i="4"/>
  <c r="BB47" i="4"/>
  <c r="BB46" i="4"/>
  <c r="BB45" i="4"/>
  <c r="BH45" i="4" s="1"/>
  <c r="BB44" i="4"/>
  <c r="BH44" i="4" s="1"/>
  <c r="BB43" i="4"/>
  <c r="BB42" i="4"/>
  <c r="BB41" i="4"/>
  <c r="BB40" i="4"/>
  <c r="BF40" i="4" s="1"/>
  <c r="BB39" i="4"/>
  <c r="BB38" i="4"/>
  <c r="BB37" i="4"/>
  <c r="BB36" i="4"/>
  <c r="BB35" i="4"/>
  <c r="BF35" i="4" s="1"/>
  <c r="BB34" i="4"/>
  <c r="BB33" i="4"/>
  <c r="BH33" i="4" s="1"/>
  <c r="BB32" i="4"/>
  <c r="BB31" i="4"/>
  <c r="BB30" i="4"/>
  <c r="BB29" i="4"/>
  <c r="BB28" i="4"/>
  <c r="BB27" i="4"/>
  <c r="BB26" i="4"/>
  <c r="BH26" i="4" s="1"/>
  <c r="BB25" i="4"/>
  <c r="BH25" i="4" s="1"/>
  <c r="BB24" i="4"/>
  <c r="BB23" i="4"/>
  <c r="BH23" i="4" s="1"/>
  <c r="BB22" i="4"/>
  <c r="BF22" i="4" s="1"/>
  <c r="BB21" i="4"/>
  <c r="BH21" i="4" s="1"/>
  <c r="BB20" i="4"/>
  <c r="BB19" i="4"/>
  <c r="BB18" i="4"/>
  <c r="BB17" i="4"/>
  <c r="BB16" i="4"/>
  <c r="BB15" i="4"/>
  <c r="BB14" i="4"/>
  <c r="BB13" i="4"/>
  <c r="BH13" i="4" s="1"/>
  <c r="BB12" i="4"/>
  <c r="BB11" i="4"/>
  <c r="BH11" i="4" s="1"/>
  <c r="BB10" i="4"/>
  <c r="BB9" i="4"/>
  <c r="BB8" i="4"/>
  <c r="BF8" i="4" s="1"/>
  <c r="BB7" i="4"/>
  <c r="BB6" i="4"/>
  <c r="BB5" i="4"/>
  <c r="AA454" i="4"/>
  <c r="AA453" i="4"/>
  <c r="AA452" i="4"/>
  <c r="AA451" i="4"/>
  <c r="AA450" i="4"/>
  <c r="AA449" i="4"/>
  <c r="AA448" i="4"/>
  <c r="AA447" i="4"/>
  <c r="AA446" i="4"/>
  <c r="AA445" i="4"/>
  <c r="AA444" i="4"/>
  <c r="AA443" i="4"/>
  <c r="AA442" i="4"/>
  <c r="AA441" i="4"/>
  <c r="AA440" i="4"/>
  <c r="AA439" i="4"/>
  <c r="AA438" i="4"/>
  <c r="AA437" i="4"/>
  <c r="AA436" i="4"/>
  <c r="AA435" i="4"/>
  <c r="AA434" i="4"/>
  <c r="AA433" i="4"/>
  <c r="AA432" i="4"/>
  <c r="AA431" i="4"/>
  <c r="AA430" i="4"/>
  <c r="AA429" i="4"/>
  <c r="AA428" i="4"/>
  <c r="AA427" i="4"/>
  <c r="AA426" i="4"/>
  <c r="AA425" i="4"/>
  <c r="AA424" i="4"/>
  <c r="AA423" i="4"/>
  <c r="AA422" i="4"/>
  <c r="AA421" i="4"/>
  <c r="AA420" i="4"/>
  <c r="AA419" i="4"/>
  <c r="AA418" i="4"/>
  <c r="AA417" i="4"/>
  <c r="AA416" i="4"/>
  <c r="AA415" i="4"/>
  <c r="AA414" i="4"/>
  <c r="AA413" i="4"/>
  <c r="AA412" i="4"/>
  <c r="AA411" i="4"/>
  <c r="AA410" i="4"/>
  <c r="AA409" i="4"/>
  <c r="AA408" i="4"/>
  <c r="AA407" i="4"/>
  <c r="AA406" i="4"/>
  <c r="AA405" i="4"/>
  <c r="AA404" i="4"/>
  <c r="AA403" i="4"/>
  <c r="AA402" i="4"/>
  <c r="AA401" i="4"/>
  <c r="AA400" i="4"/>
  <c r="AA399" i="4"/>
  <c r="AA398" i="4"/>
  <c r="AA397" i="4"/>
  <c r="AA396" i="4"/>
  <c r="AA395" i="4"/>
  <c r="AA394" i="4"/>
  <c r="AA393" i="4"/>
  <c r="AA392" i="4"/>
  <c r="AA391" i="4"/>
  <c r="AA390" i="4"/>
  <c r="AA389" i="4"/>
  <c r="AA388" i="4"/>
  <c r="AA387" i="4"/>
  <c r="AA386" i="4"/>
  <c r="AA385" i="4"/>
  <c r="AA384" i="4"/>
  <c r="AA383" i="4"/>
  <c r="AA382" i="4"/>
  <c r="AA381" i="4"/>
  <c r="AA380" i="4"/>
  <c r="AA379" i="4"/>
  <c r="AA378" i="4"/>
  <c r="AA377" i="4"/>
  <c r="AA376" i="4"/>
  <c r="AA375" i="4"/>
  <c r="AA374" i="4"/>
  <c r="AA373" i="4"/>
  <c r="AA372" i="4"/>
  <c r="AA371" i="4"/>
  <c r="AA370" i="4"/>
  <c r="AA369" i="4"/>
  <c r="AA368" i="4"/>
  <c r="AA367" i="4"/>
  <c r="AA366" i="4"/>
  <c r="AA365" i="4"/>
  <c r="AA364" i="4"/>
  <c r="AA363" i="4"/>
  <c r="AA362" i="4"/>
  <c r="AA361" i="4"/>
  <c r="AA360" i="4"/>
  <c r="AA359" i="4"/>
  <c r="AA358" i="4"/>
  <c r="AA357" i="4"/>
  <c r="AA356" i="4"/>
  <c r="AA355" i="4"/>
  <c r="AA354" i="4"/>
  <c r="AA353" i="4"/>
  <c r="AA352" i="4"/>
  <c r="AA351" i="4"/>
  <c r="AA350" i="4"/>
  <c r="AA349" i="4"/>
  <c r="AA348" i="4"/>
  <c r="AA347" i="4"/>
  <c r="AA346" i="4"/>
  <c r="AA345" i="4"/>
  <c r="AA344" i="4"/>
  <c r="AA343" i="4"/>
  <c r="AA342" i="4"/>
  <c r="AA341" i="4"/>
  <c r="AA340" i="4"/>
  <c r="AA339" i="4"/>
  <c r="AA338" i="4"/>
  <c r="AA337" i="4"/>
  <c r="AA336" i="4"/>
  <c r="AA335" i="4"/>
  <c r="AA334" i="4"/>
  <c r="AA333" i="4"/>
  <c r="AM333" i="4" s="1"/>
  <c r="AA332" i="4"/>
  <c r="AA331" i="4"/>
  <c r="AA330" i="4"/>
  <c r="AA329" i="4"/>
  <c r="AA328" i="4"/>
  <c r="AA327" i="4"/>
  <c r="AA326" i="4"/>
  <c r="AA325" i="4"/>
  <c r="AM325" i="4" s="1"/>
  <c r="AA324" i="4"/>
  <c r="AA323" i="4"/>
  <c r="AA322" i="4"/>
  <c r="AA321" i="4"/>
  <c r="AA320" i="4"/>
  <c r="AA319" i="4"/>
  <c r="AA318" i="4"/>
  <c r="AA317" i="4"/>
  <c r="AA316" i="4"/>
  <c r="AA315" i="4"/>
  <c r="AA314" i="4"/>
  <c r="AA313" i="4"/>
  <c r="AA312" i="4"/>
  <c r="AA311" i="4"/>
  <c r="AA310" i="4"/>
  <c r="AA309" i="4"/>
  <c r="AM309" i="4" s="1"/>
  <c r="AA308" i="4"/>
  <c r="AA307" i="4"/>
  <c r="AA306" i="4"/>
  <c r="AA305" i="4"/>
  <c r="AA304" i="4"/>
  <c r="AA303" i="4"/>
  <c r="AA302" i="4"/>
  <c r="AA301" i="4"/>
  <c r="AM301" i="4" s="1"/>
  <c r="AA300" i="4"/>
  <c r="AA299" i="4"/>
  <c r="AA298" i="4"/>
  <c r="AA297" i="4"/>
  <c r="AA296" i="4"/>
  <c r="AA295" i="4"/>
  <c r="AA294" i="4"/>
  <c r="AA293" i="4"/>
  <c r="AM293" i="4" s="1"/>
  <c r="AA292" i="4"/>
  <c r="AA291" i="4"/>
  <c r="AA290" i="4"/>
  <c r="AA289" i="4"/>
  <c r="AA288" i="4"/>
  <c r="AA287" i="4"/>
  <c r="AA286" i="4"/>
  <c r="AA285" i="4"/>
  <c r="AM285" i="4" s="1"/>
  <c r="AA284" i="4"/>
  <c r="AA283" i="4"/>
  <c r="AA282" i="4"/>
  <c r="AA281" i="4"/>
  <c r="AA280" i="4"/>
  <c r="AA279" i="4"/>
  <c r="AA278" i="4"/>
  <c r="AA277" i="4"/>
  <c r="AK277" i="4" s="1"/>
  <c r="AA276" i="4"/>
  <c r="AA275" i="4"/>
  <c r="AA274" i="4"/>
  <c r="AA273" i="4"/>
  <c r="AA272" i="4"/>
  <c r="AA271" i="4"/>
  <c r="AA270" i="4"/>
  <c r="AA269" i="4"/>
  <c r="AK269" i="4" s="1"/>
  <c r="AA268" i="4"/>
  <c r="AA267" i="4"/>
  <c r="AA266" i="4"/>
  <c r="AA265" i="4"/>
  <c r="AA264" i="4"/>
  <c r="AA263" i="4"/>
  <c r="AA262" i="4"/>
  <c r="AA261" i="4"/>
  <c r="AK261" i="4" s="1"/>
  <c r="AA260" i="4"/>
  <c r="AA259" i="4"/>
  <c r="AA258" i="4"/>
  <c r="AA257" i="4"/>
  <c r="AA256" i="4"/>
  <c r="AA255" i="4"/>
  <c r="AA254" i="4"/>
  <c r="AA253" i="4"/>
  <c r="AK253" i="4" s="1"/>
  <c r="AA252" i="4"/>
  <c r="AA251" i="4"/>
  <c r="AA250" i="4"/>
  <c r="AA249" i="4"/>
  <c r="AA248" i="4"/>
  <c r="AA247" i="4"/>
  <c r="AA246" i="4"/>
  <c r="AA245" i="4"/>
  <c r="AK245" i="4" s="1"/>
  <c r="AA244" i="4"/>
  <c r="AA243" i="4"/>
  <c r="AA242" i="4"/>
  <c r="AA241" i="4"/>
  <c r="AA240" i="4"/>
  <c r="AA239" i="4"/>
  <c r="AA238" i="4"/>
  <c r="AA237" i="4"/>
  <c r="AK237" i="4" s="1"/>
  <c r="AA236" i="4"/>
  <c r="AA235" i="4"/>
  <c r="AA234" i="4"/>
  <c r="AA233" i="4"/>
  <c r="AA232" i="4"/>
  <c r="AA231" i="4"/>
  <c r="AA230" i="4"/>
  <c r="AA229" i="4"/>
  <c r="AK229" i="4" s="1"/>
  <c r="AA228" i="4"/>
  <c r="AA227" i="4"/>
  <c r="AA226" i="4"/>
  <c r="AA225" i="4"/>
  <c r="AA224" i="4"/>
  <c r="AA223" i="4"/>
  <c r="AA222" i="4"/>
  <c r="AA221" i="4"/>
  <c r="AK221" i="4" s="1"/>
  <c r="AA220" i="4"/>
  <c r="AA219" i="4"/>
  <c r="AA218" i="4"/>
  <c r="AA217" i="4"/>
  <c r="AA216" i="4"/>
  <c r="AA215" i="4"/>
  <c r="AA214" i="4"/>
  <c r="AA213" i="4"/>
  <c r="AK213" i="4" s="1"/>
  <c r="AA212" i="4"/>
  <c r="AA211" i="4"/>
  <c r="AA210" i="4"/>
  <c r="AA209" i="4"/>
  <c r="AA208" i="4"/>
  <c r="AA207" i="4"/>
  <c r="AA206" i="4"/>
  <c r="AA205" i="4"/>
  <c r="AK205" i="4" s="1"/>
  <c r="AA204" i="4"/>
  <c r="AA203" i="4"/>
  <c r="AA202" i="4"/>
  <c r="AA201" i="4"/>
  <c r="AA200" i="4"/>
  <c r="AA199" i="4"/>
  <c r="AA198" i="4"/>
  <c r="AA197" i="4"/>
  <c r="AK197" i="4" s="1"/>
  <c r="AA196" i="4"/>
  <c r="AA195" i="4"/>
  <c r="AA194" i="4"/>
  <c r="AA193" i="4"/>
  <c r="AA192" i="4"/>
  <c r="AA191" i="4"/>
  <c r="AA190" i="4"/>
  <c r="AA189" i="4"/>
  <c r="AK189" i="4" s="1"/>
  <c r="AA188" i="4"/>
  <c r="AA187" i="4"/>
  <c r="AA186" i="4"/>
  <c r="AA185" i="4"/>
  <c r="AA184" i="4"/>
  <c r="AA183" i="4"/>
  <c r="AA182" i="4"/>
  <c r="AA181" i="4"/>
  <c r="AK181" i="4" s="1"/>
  <c r="AA180" i="4"/>
  <c r="AA179" i="4"/>
  <c r="AA178" i="4"/>
  <c r="AA177" i="4"/>
  <c r="AA176" i="4"/>
  <c r="AA175" i="4"/>
  <c r="AA174" i="4"/>
  <c r="AA173" i="4"/>
  <c r="AK173" i="4" s="1"/>
  <c r="AA172" i="4"/>
  <c r="AA171" i="4"/>
  <c r="AA170" i="4"/>
  <c r="AA169" i="4"/>
  <c r="AA168" i="4"/>
  <c r="AA167" i="4"/>
  <c r="AA166" i="4"/>
  <c r="AA165" i="4"/>
  <c r="AK165" i="4" s="1"/>
  <c r="AA164" i="4"/>
  <c r="AA163" i="4"/>
  <c r="AA162" i="4"/>
  <c r="AA161" i="4"/>
  <c r="AA160" i="4"/>
  <c r="AA159" i="4"/>
  <c r="AA158" i="4"/>
  <c r="AA157" i="4"/>
  <c r="AK157" i="4" s="1"/>
  <c r="AA156" i="4"/>
  <c r="AA155" i="4"/>
  <c r="AA154" i="4"/>
  <c r="AA153" i="4"/>
  <c r="AA152" i="4"/>
  <c r="AA151" i="4"/>
  <c r="AA150" i="4"/>
  <c r="AA149" i="4"/>
  <c r="AK149" i="4" s="1"/>
  <c r="AA148" i="4"/>
  <c r="AA147" i="4"/>
  <c r="AA146" i="4"/>
  <c r="AA145" i="4"/>
  <c r="AA144" i="4"/>
  <c r="AA143" i="4"/>
  <c r="AA142" i="4"/>
  <c r="AA141" i="4"/>
  <c r="AK141" i="4" s="1"/>
  <c r="AA140" i="4"/>
  <c r="AA139" i="4"/>
  <c r="AA138" i="4"/>
  <c r="AA137" i="4"/>
  <c r="AA136" i="4"/>
  <c r="AA135" i="4"/>
  <c r="AA134" i="4"/>
  <c r="AA133" i="4"/>
  <c r="AA132" i="4"/>
  <c r="AA131" i="4"/>
  <c r="AA130" i="4"/>
  <c r="AA129" i="4"/>
  <c r="AA128" i="4"/>
  <c r="AA127" i="4"/>
  <c r="AA126" i="4"/>
  <c r="AA125" i="4"/>
  <c r="AA124" i="4"/>
  <c r="AA123" i="4"/>
  <c r="AA122" i="4"/>
  <c r="AA121" i="4"/>
  <c r="AA120" i="4"/>
  <c r="AA119" i="4"/>
  <c r="AA118" i="4"/>
  <c r="AA117" i="4"/>
  <c r="AA116" i="4"/>
  <c r="AA115" i="4"/>
  <c r="AA114" i="4"/>
  <c r="AA113" i="4"/>
  <c r="AA112" i="4"/>
  <c r="AA111" i="4"/>
  <c r="AA110" i="4"/>
  <c r="AA109" i="4"/>
  <c r="AA108" i="4"/>
  <c r="AA107" i="4"/>
  <c r="AA106" i="4"/>
  <c r="AA105" i="4"/>
  <c r="AA104" i="4"/>
  <c r="AA103" i="4"/>
  <c r="AA102" i="4"/>
  <c r="AA101" i="4"/>
  <c r="AA100" i="4"/>
  <c r="AA99" i="4"/>
  <c r="AA98" i="4"/>
  <c r="AA97" i="4"/>
  <c r="AA96" i="4"/>
  <c r="AA95" i="4"/>
  <c r="AA94" i="4"/>
  <c r="AA93" i="4"/>
  <c r="AA92" i="4"/>
  <c r="AA91" i="4"/>
  <c r="AA90" i="4"/>
  <c r="AA89" i="4"/>
  <c r="AA88" i="4"/>
  <c r="AA87" i="4"/>
  <c r="AA86" i="4"/>
  <c r="AA85" i="4"/>
  <c r="AA84" i="4"/>
  <c r="AA83" i="4"/>
  <c r="AA82" i="4"/>
  <c r="AA81" i="4"/>
  <c r="AA80" i="4"/>
  <c r="AA79" i="4"/>
  <c r="AA78" i="4"/>
  <c r="AA77" i="4"/>
  <c r="AA76" i="4"/>
  <c r="AA75" i="4"/>
  <c r="AA74" i="4"/>
  <c r="AA73" i="4"/>
  <c r="AA72" i="4"/>
  <c r="AA71" i="4"/>
  <c r="AA70" i="4"/>
  <c r="AA69" i="4"/>
  <c r="AA68" i="4"/>
  <c r="AA67" i="4"/>
  <c r="AA66" i="4"/>
  <c r="AA65" i="4"/>
  <c r="AA64" i="4"/>
  <c r="AA63" i="4"/>
  <c r="AA62" i="4"/>
  <c r="AA61" i="4"/>
  <c r="AA60" i="4"/>
  <c r="AA59" i="4"/>
  <c r="AA58" i="4"/>
  <c r="AA57" i="4"/>
  <c r="AA56" i="4"/>
  <c r="AA55" i="4"/>
  <c r="AA54" i="4"/>
  <c r="AA53" i="4"/>
  <c r="AA52" i="4"/>
  <c r="AA51" i="4"/>
  <c r="AA50" i="4"/>
  <c r="AA49" i="4"/>
  <c r="AA48" i="4"/>
  <c r="AA47" i="4"/>
  <c r="AA46" i="4"/>
  <c r="AA45" i="4"/>
  <c r="AA44" i="4"/>
  <c r="AA43" i="4"/>
  <c r="AA42" i="4"/>
  <c r="AA41" i="4"/>
  <c r="AA40" i="4"/>
  <c r="AA39" i="4"/>
  <c r="AA38" i="4"/>
  <c r="AA37" i="4"/>
  <c r="AA36" i="4"/>
  <c r="AA35" i="4"/>
  <c r="AA34" i="4"/>
  <c r="AA33" i="4"/>
  <c r="AA32" i="4"/>
  <c r="AA31" i="4"/>
  <c r="AA30" i="4"/>
  <c r="AA29" i="4"/>
  <c r="AA28" i="4"/>
  <c r="AA27" i="4"/>
  <c r="AA26" i="4"/>
  <c r="AA25" i="4"/>
  <c r="AA24" i="4"/>
  <c r="AA23" i="4"/>
  <c r="AA22" i="4"/>
  <c r="AA21" i="4"/>
  <c r="AA20" i="4"/>
  <c r="AA19" i="4"/>
  <c r="AA18" i="4"/>
  <c r="AA17" i="4"/>
  <c r="AA16" i="4"/>
  <c r="AA15" i="4"/>
  <c r="AA14" i="4"/>
  <c r="AA13" i="4"/>
  <c r="AA12" i="4"/>
  <c r="AA11" i="4"/>
  <c r="AA10" i="4"/>
  <c r="AA9" i="4"/>
  <c r="AA8" i="4"/>
  <c r="AA7" i="4"/>
  <c r="AA6" i="4"/>
  <c r="AG454" i="4"/>
  <c r="AM454" i="4" s="1"/>
  <c r="AG453" i="4"/>
  <c r="AG452" i="4"/>
  <c r="AK452" i="4" s="1"/>
  <c r="AG451" i="4"/>
  <c r="AG450" i="4"/>
  <c r="AK450" i="4" s="1"/>
  <c r="AG449" i="4"/>
  <c r="AG448" i="4"/>
  <c r="AK448" i="4" s="1"/>
  <c r="AG447" i="4"/>
  <c r="AG446" i="4"/>
  <c r="AK446" i="4" s="1"/>
  <c r="AG445" i="4"/>
  <c r="AG444" i="4"/>
  <c r="AM444" i="4" s="1"/>
  <c r="AG443" i="4"/>
  <c r="AG442" i="4"/>
  <c r="AM442" i="4" s="1"/>
  <c r="AG441" i="4"/>
  <c r="AG440" i="4"/>
  <c r="AM440" i="4" s="1"/>
  <c r="AG439" i="4"/>
  <c r="AG438" i="4"/>
  <c r="AM438" i="4" s="1"/>
  <c r="AG437" i="4"/>
  <c r="AG436" i="4"/>
  <c r="AK436" i="4" s="1"/>
  <c r="AG435" i="4"/>
  <c r="AG434" i="4"/>
  <c r="AK434" i="4" s="1"/>
  <c r="AG433" i="4"/>
  <c r="AG432" i="4"/>
  <c r="AK432" i="4" s="1"/>
  <c r="AG431" i="4"/>
  <c r="AG430" i="4"/>
  <c r="AK430" i="4" s="1"/>
  <c r="AG429" i="4"/>
  <c r="AG428" i="4"/>
  <c r="AM428" i="4" s="1"/>
  <c r="AG427" i="4"/>
  <c r="AG426" i="4"/>
  <c r="AM426" i="4" s="1"/>
  <c r="AG425" i="4"/>
  <c r="AG424" i="4"/>
  <c r="AM424" i="4" s="1"/>
  <c r="AG423" i="4"/>
  <c r="AG422" i="4"/>
  <c r="AM422" i="4" s="1"/>
  <c r="AG421" i="4"/>
  <c r="AG420" i="4"/>
  <c r="AK420" i="4" s="1"/>
  <c r="AG419" i="4"/>
  <c r="AG418" i="4"/>
  <c r="AK418" i="4" s="1"/>
  <c r="AG417" i="4"/>
  <c r="AG416" i="4"/>
  <c r="AK416" i="4" s="1"/>
  <c r="AG415" i="4"/>
  <c r="AG414" i="4"/>
  <c r="AK414" i="4" s="1"/>
  <c r="AG413" i="4"/>
  <c r="AG412" i="4"/>
  <c r="AM412" i="4" s="1"/>
  <c r="AG411" i="4"/>
  <c r="AG410" i="4"/>
  <c r="AM410" i="4" s="1"/>
  <c r="AG409" i="4"/>
  <c r="AG408" i="4"/>
  <c r="AM408" i="4" s="1"/>
  <c r="AG407" i="4"/>
  <c r="AG406" i="4"/>
  <c r="AM406" i="4" s="1"/>
  <c r="AG405" i="4"/>
  <c r="AG404" i="4"/>
  <c r="AK404" i="4" s="1"/>
  <c r="AG403" i="4"/>
  <c r="AG402" i="4"/>
  <c r="AK402" i="4" s="1"/>
  <c r="AG401" i="4"/>
  <c r="AG400" i="4"/>
  <c r="AK400" i="4" s="1"/>
  <c r="AG399" i="4"/>
  <c r="AG398" i="4"/>
  <c r="AK398" i="4" s="1"/>
  <c r="AG397" i="4"/>
  <c r="AG396" i="4"/>
  <c r="AM396" i="4" s="1"/>
  <c r="AG395" i="4"/>
  <c r="AG394" i="4"/>
  <c r="AM394" i="4" s="1"/>
  <c r="AG393" i="4"/>
  <c r="AG392" i="4"/>
  <c r="AM392" i="4" s="1"/>
  <c r="AG391" i="4"/>
  <c r="AG390" i="4"/>
  <c r="AM390" i="4" s="1"/>
  <c r="AG389" i="4"/>
  <c r="AG388" i="4"/>
  <c r="AK388" i="4" s="1"/>
  <c r="AG387" i="4"/>
  <c r="AG386" i="4"/>
  <c r="AK386" i="4" s="1"/>
  <c r="AG385" i="4"/>
  <c r="AG384" i="4"/>
  <c r="AK384" i="4" s="1"/>
  <c r="AG383" i="4"/>
  <c r="AG382" i="4"/>
  <c r="AK382" i="4" s="1"/>
  <c r="AG381" i="4"/>
  <c r="AG380" i="4"/>
  <c r="AM380" i="4" s="1"/>
  <c r="AG379" i="4"/>
  <c r="AG378" i="4"/>
  <c r="AM378" i="4" s="1"/>
  <c r="AG377" i="4"/>
  <c r="AG376" i="4"/>
  <c r="AM376" i="4" s="1"/>
  <c r="AG375" i="4"/>
  <c r="AG374" i="4"/>
  <c r="AM374" i="4" s="1"/>
  <c r="AG373" i="4"/>
  <c r="AG372" i="4"/>
  <c r="AK372" i="4" s="1"/>
  <c r="AG371" i="4"/>
  <c r="AG370" i="4"/>
  <c r="AK370" i="4" s="1"/>
  <c r="AG369" i="4"/>
  <c r="AG368" i="4"/>
  <c r="AK368" i="4" s="1"/>
  <c r="AG367" i="4"/>
  <c r="AG366" i="4"/>
  <c r="AK366" i="4" s="1"/>
  <c r="AG365" i="4"/>
  <c r="AG364" i="4"/>
  <c r="AM364" i="4" s="1"/>
  <c r="AG363" i="4"/>
  <c r="AG362" i="4"/>
  <c r="AM362" i="4" s="1"/>
  <c r="AG361" i="4"/>
  <c r="AG360" i="4"/>
  <c r="AM360" i="4" s="1"/>
  <c r="AG359" i="4"/>
  <c r="AG358" i="4"/>
  <c r="AM358" i="4" s="1"/>
  <c r="AG357" i="4"/>
  <c r="AG356" i="4"/>
  <c r="AK356" i="4" s="1"/>
  <c r="AG355" i="4"/>
  <c r="AG354" i="4"/>
  <c r="AK354" i="4" s="1"/>
  <c r="AG353" i="4"/>
  <c r="AG352" i="4"/>
  <c r="AK352" i="4" s="1"/>
  <c r="AG351" i="4"/>
  <c r="AG350" i="4"/>
  <c r="AK350" i="4" s="1"/>
  <c r="AG349" i="4"/>
  <c r="AG348" i="4"/>
  <c r="AM348" i="4" s="1"/>
  <c r="AG347" i="4"/>
  <c r="AG346" i="4"/>
  <c r="AM346" i="4" s="1"/>
  <c r="AG345" i="4"/>
  <c r="AG344" i="4"/>
  <c r="AM344" i="4" s="1"/>
  <c r="AG343" i="4"/>
  <c r="AG342" i="4"/>
  <c r="AM342" i="4" s="1"/>
  <c r="AG341" i="4"/>
  <c r="AG340" i="4"/>
  <c r="AK340" i="4" s="1"/>
  <c r="AG339" i="4"/>
  <c r="AG338" i="4"/>
  <c r="AK338" i="4" s="1"/>
  <c r="AG337" i="4"/>
  <c r="AG336" i="4"/>
  <c r="AK336" i="4" s="1"/>
  <c r="AG335" i="4"/>
  <c r="AG334" i="4"/>
  <c r="AK334" i="4" s="1"/>
  <c r="AG333" i="4"/>
  <c r="AG332" i="4"/>
  <c r="AM332" i="4" s="1"/>
  <c r="AG331" i="4"/>
  <c r="AG330" i="4"/>
  <c r="AM330" i="4" s="1"/>
  <c r="AG329" i="4"/>
  <c r="AG328" i="4"/>
  <c r="AM328" i="4" s="1"/>
  <c r="AG327" i="4"/>
  <c r="AG326" i="4"/>
  <c r="AM326" i="4" s="1"/>
  <c r="AG325" i="4"/>
  <c r="AG324" i="4"/>
  <c r="AK324" i="4" s="1"/>
  <c r="AG323" i="4"/>
  <c r="AG322" i="4"/>
  <c r="AK322" i="4" s="1"/>
  <c r="AG321" i="4"/>
  <c r="AG320" i="4"/>
  <c r="AK320" i="4" s="1"/>
  <c r="AG319" i="4"/>
  <c r="AG318" i="4"/>
  <c r="AK318" i="4" s="1"/>
  <c r="AG317" i="4"/>
  <c r="AG316" i="4"/>
  <c r="AM316" i="4" s="1"/>
  <c r="AG315" i="4"/>
  <c r="AG314" i="4"/>
  <c r="AM314" i="4" s="1"/>
  <c r="AG313" i="4"/>
  <c r="AG312" i="4"/>
  <c r="AM312" i="4" s="1"/>
  <c r="AG311" i="4"/>
  <c r="AG310" i="4"/>
  <c r="AM310" i="4" s="1"/>
  <c r="AG309" i="4"/>
  <c r="AG308" i="4"/>
  <c r="AK308" i="4" s="1"/>
  <c r="AG307" i="4"/>
  <c r="AG306" i="4"/>
  <c r="AK306" i="4" s="1"/>
  <c r="AG305" i="4"/>
  <c r="AG304" i="4"/>
  <c r="AK304" i="4" s="1"/>
  <c r="AG303" i="4"/>
  <c r="AG302" i="4"/>
  <c r="AK302" i="4" s="1"/>
  <c r="AG301" i="4"/>
  <c r="AG300" i="4"/>
  <c r="AM300" i="4" s="1"/>
  <c r="AG299" i="4"/>
  <c r="AG298" i="4"/>
  <c r="AM298" i="4" s="1"/>
  <c r="AG297" i="4"/>
  <c r="AG296" i="4"/>
  <c r="AM296" i="4" s="1"/>
  <c r="AG295" i="4"/>
  <c r="AG294" i="4"/>
  <c r="AM294" i="4" s="1"/>
  <c r="AG293" i="4"/>
  <c r="AG292" i="4"/>
  <c r="AK292" i="4" s="1"/>
  <c r="AG291" i="4"/>
  <c r="AG290" i="4"/>
  <c r="AM290" i="4" s="1"/>
  <c r="AG289" i="4"/>
  <c r="AG288" i="4"/>
  <c r="AM288" i="4" s="1"/>
  <c r="AG287" i="4"/>
  <c r="AG286" i="4"/>
  <c r="AM286" i="4" s="1"/>
  <c r="AG285" i="4"/>
  <c r="AG284" i="4"/>
  <c r="AK284" i="4" s="1"/>
  <c r="AG283" i="4"/>
  <c r="AG282" i="4"/>
  <c r="AK282" i="4" s="1"/>
  <c r="AG281" i="4"/>
  <c r="AG280" i="4"/>
  <c r="AM280" i="4" s="1"/>
  <c r="AG279" i="4"/>
  <c r="AG278" i="4"/>
  <c r="AM278" i="4" s="1"/>
  <c r="AG277" i="4"/>
  <c r="AG276" i="4"/>
  <c r="AK276" i="4" s="1"/>
  <c r="AG275" i="4"/>
  <c r="AG274" i="4"/>
  <c r="AK274" i="4" s="1"/>
  <c r="AG273" i="4"/>
  <c r="AG272" i="4"/>
  <c r="AM272" i="4" s="1"/>
  <c r="AG271" i="4"/>
  <c r="AG270" i="4"/>
  <c r="AM270" i="4" s="1"/>
  <c r="AG269" i="4"/>
  <c r="AG268" i="4"/>
  <c r="AK268" i="4" s="1"/>
  <c r="AG267" i="4"/>
  <c r="AG266" i="4"/>
  <c r="AK266" i="4" s="1"/>
  <c r="AG265" i="4"/>
  <c r="AG264" i="4"/>
  <c r="AM264" i="4" s="1"/>
  <c r="AG263" i="4"/>
  <c r="AG262" i="4"/>
  <c r="AM262" i="4" s="1"/>
  <c r="AG261" i="4"/>
  <c r="AG260" i="4"/>
  <c r="AK260" i="4" s="1"/>
  <c r="AG259" i="4"/>
  <c r="AG258" i="4"/>
  <c r="AK258" i="4" s="1"/>
  <c r="AG257" i="4"/>
  <c r="AG256" i="4"/>
  <c r="AM256" i="4" s="1"/>
  <c r="AG255" i="4"/>
  <c r="AG254" i="4"/>
  <c r="AM254" i="4" s="1"/>
  <c r="AG253" i="4"/>
  <c r="AG252" i="4"/>
  <c r="AK252" i="4" s="1"/>
  <c r="AG251" i="4"/>
  <c r="AG250" i="4"/>
  <c r="AK250" i="4" s="1"/>
  <c r="AG249" i="4"/>
  <c r="AG248" i="4"/>
  <c r="AM248" i="4" s="1"/>
  <c r="AG247" i="4"/>
  <c r="AG246" i="4"/>
  <c r="AM246" i="4" s="1"/>
  <c r="AG245" i="4"/>
  <c r="AG244" i="4"/>
  <c r="AK244" i="4" s="1"/>
  <c r="AG243" i="4"/>
  <c r="AG242" i="4"/>
  <c r="AK242" i="4" s="1"/>
  <c r="AG241" i="4"/>
  <c r="AG240" i="4"/>
  <c r="AM240" i="4" s="1"/>
  <c r="AG239" i="4"/>
  <c r="AG238" i="4"/>
  <c r="AM238" i="4" s="1"/>
  <c r="AG237" i="4"/>
  <c r="AG236" i="4"/>
  <c r="AK236" i="4" s="1"/>
  <c r="AG235" i="4"/>
  <c r="AG234" i="4"/>
  <c r="AK234" i="4" s="1"/>
  <c r="AG233" i="4"/>
  <c r="AG232" i="4"/>
  <c r="AM232" i="4" s="1"/>
  <c r="AG231" i="4"/>
  <c r="AG230" i="4"/>
  <c r="AM230" i="4" s="1"/>
  <c r="AG229" i="4"/>
  <c r="AG228" i="4"/>
  <c r="AK228" i="4" s="1"/>
  <c r="AG227" i="4"/>
  <c r="AG226" i="4"/>
  <c r="AK226" i="4" s="1"/>
  <c r="AG225" i="4"/>
  <c r="AG224" i="4"/>
  <c r="AM224" i="4" s="1"/>
  <c r="AG223" i="4"/>
  <c r="AG222" i="4"/>
  <c r="AM222" i="4" s="1"/>
  <c r="AG221" i="4"/>
  <c r="AG220" i="4"/>
  <c r="AK220" i="4" s="1"/>
  <c r="AG219" i="4"/>
  <c r="AG218" i="4"/>
  <c r="AK218" i="4" s="1"/>
  <c r="AG217" i="4"/>
  <c r="AG216" i="4"/>
  <c r="AM216" i="4" s="1"/>
  <c r="AG215" i="4"/>
  <c r="AG214" i="4"/>
  <c r="AM214" i="4" s="1"/>
  <c r="AG213" i="4"/>
  <c r="AG212" i="4"/>
  <c r="AK212" i="4" s="1"/>
  <c r="AG211" i="4"/>
  <c r="AG210" i="4"/>
  <c r="AK210" i="4" s="1"/>
  <c r="AG209" i="4"/>
  <c r="AG208" i="4"/>
  <c r="AM208" i="4" s="1"/>
  <c r="AG207" i="4"/>
  <c r="AG206" i="4"/>
  <c r="AM206" i="4" s="1"/>
  <c r="AG205" i="4"/>
  <c r="AG204" i="4"/>
  <c r="AK204" i="4" s="1"/>
  <c r="AG203" i="4"/>
  <c r="AG202" i="4"/>
  <c r="AK202" i="4" s="1"/>
  <c r="AG201" i="4"/>
  <c r="AG200" i="4"/>
  <c r="AM200" i="4" s="1"/>
  <c r="AG199" i="4"/>
  <c r="AG198" i="4"/>
  <c r="AM198" i="4" s="1"/>
  <c r="AG197" i="4"/>
  <c r="AG196" i="4"/>
  <c r="AK196" i="4" s="1"/>
  <c r="AG195" i="4"/>
  <c r="AG194" i="4"/>
  <c r="AK194" i="4" s="1"/>
  <c r="AG193" i="4"/>
  <c r="AG192" i="4"/>
  <c r="AM192" i="4" s="1"/>
  <c r="AG191" i="4"/>
  <c r="AG190" i="4"/>
  <c r="AM190" i="4" s="1"/>
  <c r="AG189" i="4"/>
  <c r="AG188" i="4"/>
  <c r="AK188" i="4" s="1"/>
  <c r="AG187" i="4"/>
  <c r="AG186" i="4"/>
  <c r="AK186" i="4" s="1"/>
  <c r="AG185" i="4"/>
  <c r="AG184" i="4"/>
  <c r="AM184" i="4" s="1"/>
  <c r="AG183" i="4"/>
  <c r="AG182" i="4"/>
  <c r="AM182" i="4" s="1"/>
  <c r="AG181" i="4"/>
  <c r="AG180" i="4"/>
  <c r="AK180" i="4" s="1"/>
  <c r="AG179" i="4"/>
  <c r="AG178" i="4"/>
  <c r="AK178" i="4" s="1"/>
  <c r="AG177" i="4"/>
  <c r="AG176" i="4"/>
  <c r="AM176" i="4" s="1"/>
  <c r="AG175" i="4"/>
  <c r="AG174" i="4"/>
  <c r="AM174" i="4" s="1"/>
  <c r="AG173" i="4"/>
  <c r="AG172" i="4"/>
  <c r="AK172" i="4" s="1"/>
  <c r="AG171" i="4"/>
  <c r="AG170" i="4"/>
  <c r="AK170" i="4" s="1"/>
  <c r="AG169" i="4"/>
  <c r="AG168" i="4"/>
  <c r="AM168" i="4" s="1"/>
  <c r="AG167" i="4"/>
  <c r="AG166" i="4"/>
  <c r="AM166" i="4" s="1"/>
  <c r="AG165" i="4"/>
  <c r="AG164" i="4"/>
  <c r="AK164" i="4" s="1"/>
  <c r="AG163" i="4"/>
  <c r="AG162" i="4"/>
  <c r="AK162" i="4" s="1"/>
  <c r="AG161" i="4"/>
  <c r="AG160" i="4"/>
  <c r="AM160" i="4" s="1"/>
  <c r="AG159" i="4"/>
  <c r="AG158" i="4"/>
  <c r="AM158" i="4" s="1"/>
  <c r="AG157" i="4"/>
  <c r="AG156" i="4"/>
  <c r="AK156" i="4" s="1"/>
  <c r="AG155" i="4"/>
  <c r="AG154" i="4"/>
  <c r="AK154" i="4" s="1"/>
  <c r="AG153" i="4"/>
  <c r="AG152" i="4"/>
  <c r="AM152" i="4" s="1"/>
  <c r="AG151" i="4"/>
  <c r="AG150" i="4"/>
  <c r="AM150" i="4" s="1"/>
  <c r="AG149" i="4"/>
  <c r="AG148" i="4"/>
  <c r="AK148" i="4" s="1"/>
  <c r="AG147" i="4"/>
  <c r="AG146" i="4"/>
  <c r="AK146" i="4" s="1"/>
  <c r="AG145" i="4"/>
  <c r="AG144" i="4"/>
  <c r="AM144" i="4" s="1"/>
  <c r="AG143" i="4"/>
  <c r="AG142" i="4"/>
  <c r="AM142" i="4" s="1"/>
  <c r="AG141" i="4"/>
  <c r="AG140" i="4"/>
  <c r="AK140" i="4" s="1"/>
  <c r="AG139" i="4"/>
  <c r="AG138" i="4"/>
  <c r="AG137" i="4"/>
  <c r="AG136" i="4"/>
  <c r="AG135" i="4"/>
  <c r="AG134" i="4"/>
  <c r="AM134" i="4" s="1"/>
  <c r="AG133" i="4"/>
  <c r="AG132" i="4"/>
  <c r="AG131" i="4"/>
  <c r="AG130" i="4"/>
  <c r="AG129" i="4"/>
  <c r="AG128" i="4"/>
  <c r="AK128" i="4" s="1"/>
  <c r="AG127" i="4"/>
  <c r="AG126" i="4"/>
  <c r="AG125" i="4"/>
  <c r="AG124" i="4"/>
  <c r="AG123" i="4"/>
  <c r="AG122" i="4"/>
  <c r="AK122" i="4" s="1"/>
  <c r="AG121" i="4"/>
  <c r="AG120" i="4"/>
  <c r="AG119" i="4"/>
  <c r="AG118" i="4"/>
  <c r="AM118" i="4" s="1"/>
  <c r="AG117" i="4"/>
  <c r="AG116" i="4"/>
  <c r="AG115" i="4"/>
  <c r="AG114" i="4"/>
  <c r="AM114" i="4" s="1"/>
  <c r="AG113" i="4"/>
  <c r="AG112" i="4"/>
  <c r="AG111" i="4"/>
  <c r="AG110" i="4"/>
  <c r="AK110" i="4" s="1"/>
  <c r="AG109" i="4"/>
  <c r="AG108" i="4"/>
  <c r="AG107" i="4"/>
  <c r="AG106" i="4"/>
  <c r="AG105" i="4"/>
  <c r="AG104" i="4"/>
  <c r="AK104" i="4" s="1"/>
  <c r="AG103" i="4"/>
  <c r="AG102" i="4"/>
  <c r="AK102" i="4" s="1"/>
  <c r="AG101" i="4"/>
  <c r="AG100" i="4"/>
  <c r="AG99" i="4"/>
  <c r="AG98" i="4"/>
  <c r="AG97" i="4"/>
  <c r="AG96" i="4"/>
  <c r="AG95" i="4"/>
  <c r="AG94" i="4"/>
  <c r="AM94" i="4" s="1"/>
  <c r="AG93" i="4"/>
  <c r="AG92" i="4"/>
  <c r="AG91" i="4"/>
  <c r="AG90" i="4"/>
  <c r="AK90" i="4" s="1"/>
  <c r="AG89" i="4"/>
  <c r="AG88" i="4"/>
  <c r="AK88" i="4" s="1"/>
  <c r="AG87" i="4"/>
  <c r="AG86" i="4"/>
  <c r="AG85" i="4"/>
  <c r="AG84" i="4"/>
  <c r="AK84" i="4" s="1"/>
  <c r="AG83" i="4"/>
  <c r="AG82" i="4"/>
  <c r="AG81" i="4"/>
  <c r="AG80" i="4"/>
  <c r="AG79" i="4"/>
  <c r="AG78" i="4"/>
  <c r="AG77" i="4"/>
  <c r="AG76" i="4"/>
  <c r="AG75" i="4"/>
  <c r="AG74" i="4"/>
  <c r="AG73" i="4"/>
  <c r="AG72" i="4"/>
  <c r="AM72" i="4" s="1"/>
  <c r="AG71" i="4"/>
  <c r="AG70" i="4"/>
  <c r="AK70" i="4" s="1"/>
  <c r="AG69" i="4"/>
  <c r="AG68" i="4"/>
  <c r="AG67" i="4"/>
  <c r="AG66" i="4"/>
  <c r="AK66" i="4" s="1"/>
  <c r="AG65" i="4"/>
  <c r="AG64" i="4"/>
  <c r="AG63" i="4"/>
  <c r="AG62" i="4"/>
  <c r="AG61" i="4"/>
  <c r="AG60" i="4"/>
  <c r="AG59" i="4"/>
  <c r="AG58" i="4"/>
  <c r="AM58" i="4" s="1"/>
  <c r="AG57" i="4"/>
  <c r="AG56" i="4"/>
  <c r="AG55" i="4"/>
  <c r="AG54" i="4"/>
  <c r="AK54" i="4" s="1"/>
  <c r="AG53" i="4"/>
  <c r="AG52" i="4"/>
  <c r="AK52" i="4" s="1"/>
  <c r="AG51" i="4"/>
  <c r="AG50" i="4"/>
  <c r="AG49" i="4"/>
  <c r="AG48" i="4"/>
  <c r="AG47" i="4"/>
  <c r="AG46" i="4"/>
  <c r="AG45" i="4"/>
  <c r="AG44" i="4"/>
  <c r="AG43" i="4"/>
  <c r="AG42" i="4"/>
  <c r="AG41" i="4"/>
  <c r="AG40" i="4"/>
  <c r="AM40" i="4" s="1"/>
  <c r="AG39" i="4"/>
  <c r="AG38" i="4"/>
  <c r="AK38" i="4" s="1"/>
  <c r="AG37" i="4"/>
  <c r="AG36" i="4"/>
  <c r="AK36" i="4" s="1"/>
  <c r="AG35" i="4"/>
  <c r="AG34" i="4"/>
  <c r="AG33" i="4"/>
  <c r="AG32" i="4"/>
  <c r="AK32" i="4" s="1"/>
  <c r="AG31" i="4"/>
  <c r="AG30" i="4"/>
  <c r="AM30" i="4" s="1"/>
  <c r="AG29" i="4"/>
  <c r="AG28" i="4"/>
  <c r="AG27" i="4"/>
  <c r="AG26" i="4"/>
  <c r="AM26" i="4" s="1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K12" i="4" s="1"/>
  <c r="AG11" i="4"/>
  <c r="AG10" i="4"/>
  <c r="AG9" i="4"/>
  <c r="AG8" i="4"/>
  <c r="AG7" i="4"/>
  <c r="AG6" i="4"/>
  <c r="AK6" i="4" s="1"/>
  <c r="AG5" i="4"/>
  <c r="AA5" i="4"/>
  <c r="CE454" i="4"/>
  <c r="CD454" i="4"/>
  <c r="CC454" i="4"/>
  <c r="CA454" i="4"/>
  <c r="BU454" i="4"/>
  <c r="BT454" i="4"/>
  <c r="BO454" i="4"/>
  <c r="BN454" i="4"/>
  <c r="CE453" i="4"/>
  <c r="CD453" i="4"/>
  <c r="BU453" i="4"/>
  <c r="BT453" i="4"/>
  <c r="BO453" i="4"/>
  <c r="BN453" i="4"/>
  <c r="CE452" i="4"/>
  <c r="CD452" i="4"/>
  <c r="CC452" i="4"/>
  <c r="CA452" i="4"/>
  <c r="BU452" i="4"/>
  <c r="BT452" i="4"/>
  <c r="BO452" i="4"/>
  <c r="BN452" i="4"/>
  <c r="CE451" i="4"/>
  <c r="CD451" i="4"/>
  <c r="BU451" i="4"/>
  <c r="BT451" i="4"/>
  <c r="BO451" i="4"/>
  <c r="BN451" i="4"/>
  <c r="CE450" i="4"/>
  <c r="CD450" i="4"/>
  <c r="CC450" i="4"/>
  <c r="CA450" i="4"/>
  <c r="BU450" i="4"/>
  <c r="BT450" i="4"/>
  <c r="BO450" i="4"/>
  <c r="BN450" i="4"/>
  <c r="CE449" i="4"/>
  <c r="CD449" i="4"/>
  <c r="BU449" i="4"/>
  <c r="BT449" i="4"/>
  <c r="BO449" i="4"/>
  <c r="BN449" i="4"/>
  <c r="CE448" i="4"/>
  <c r="CD448" i="4"/>
  <c r="CC448" i="4"/>
  <c r="CA448" i="4"/>
  <c r="BU448" i="4"/>
  <c r="BT448" i="4"/>
  <c r="BO448" i="4"/>
  <c r="BN448" i="4"/>
  <c r="CE447" i="4"/>
  <c r="CD447" i="4"/>
  <c r="BU447" i="4"/>
  <c r="BT447" i="4"/>
  <c r="BO447" i="4"/>
  <c r="BN447" i="4"/>
  <c r="CE446" i="4"/>
  <c r="CD446" i="4"/>
  <c r="CC446" i="4"/>
  <c r="CA446" i="4"/>
  <c r="BU446" i="4"/>
  <c r="BT446" i="4"/>
  <c r="BO446" i="4"/>
  <c r="BN446" i="4"/>
  <c r="CE445" i="4"/>
  <c r="CD445" i="4"/>
  <c r="BU445" i="4"/>
  <c r="BT445" i="4"/>
  <c r="BO445" i="4"/>
  <c r="BN445" i="4"/>
  <c r="CE444" i="4"/>
  <c r="CD444" i="4"/>
  <c r="CC444" i="4"/>
  <c r="CA444" i="4"/>
  <c r="BU444" i="4"/>
  <c r="BT444" i="4"/>
  <c r="BO444" i="4"/>
  <c r="BN444" i="4"/>
  <c r="CE443" i="4"/>
  <c r="CD443" i="4"/>
  <c r="BU443" i="4"/>
  <c r="BT443" i="4"/>
  <c r="BO443" i="4"/>
  <c r="BN443" i="4"/>
  <c r="CE442" i="4"/>
  <c r="CD442" i="4"/>
  <c r="CC442" i="4"/>
  <c r="CA442" i="4"/>
  <c r="BU442" i="4"/>
  <c r="BT442" i="4"/>
  <c r="BO442" i="4"/>
  <c r="BN442" i="4"/>
  <c r="CE441" i="4"/>
  <c r="CD441" i="4"/>
  <c r="BU441" i="4"/>
  <c r="BT441" i="4"/>
  <c r="BO441" i="4"/>
  <c r="BN441" i="4"/>
  <c r="CE440" i="4"/>
  <c r="CD440" i="4"/>
  <c r="CC440" i="4"/>
  <c r="CA440" i="4"/>
  <c r="BU440" i="4"/>
  <c r="BT440" i="4"/>
  <c r="BO440" i="4"/>
  <c r="BN440" i="4"/>
  <c r="CE439" i="4"/>
  <c r="CD439" i="4"/>
  <c r="BU439" i="4"/>
  <c r="BT439" i="4"/>
  <c r="BO439" i="4"/>
  <c r="BN439" i="4"/>
  <c r="CE438" i="4"/>
  <c r="CD438" i="4"/>
  <c r="CC438" i="4"/>
  <c r="CA438" i="4"/>
  <c r="BU438" i="4"/>
  <c r="BT438" i="4"/>
  <c r="BO438" i="4"/>
  <c r="BN438" i="4"/>
  <c r="CE437" i="4"/>
  <c r="CD437" i="4"/>
  <c r="BU437" i="4"/>
  <c r="BT437" i="4"/>
  <c r="BO437" i="4"/>
  <c r="BN437" i="4"/>
  <c r="CE436" i="4"/>
  <c r="CD436" i="4"/>
  <c r="CC436" i="4"/>
  <c r="CA436" i="4"/>
  <c r="BU436" i="4"/>
  <c r="BT436" i="4"/>
  <c r="BO436" i="4"/>
  <c r="BN436" i="4"/>
  <c r="CE435" i="4"/>
  <c r="CD435" i="4"/>
  <c r="BU435" i="4"/>
  <c r="BT435" i="4"/>
  <c r="BO435" i="4"/>
  <c r="BN435" i="4"/>
  <c r="CE434" i="4"/>
  <c r="CD434" i="4"/>
  <c r="CC434" i="4"/>
  <c r="CA434" i="4"/>
  <c r="BU434" i="4"/>
  <c r="BT434" i="4"/>
  <c r="BO434" i="4"/>
  <c r="BN434" i="4"/>
  <c r="CE433" i="4"/>
  <c r="CD433" i="4"/>
  <c r="BU433" i="4"/>
  <c r="BT433" i="4"/>
  <c r="BO433" i="4"/>
  <c r="BN433" i="4"/>
  <c r="CE432" i="4"/>
  <c r="CD432" i="4"/>
  <c r="CC432" i="4"/>
  <c r="CA432" i="4"/>
  <c r="BU432" i="4"/>
  <c r="BT432" i="4"/>
  <c r="BO432" i="4"/>
  <c r="BN432" i="4"/>
  <c r="CE431" i="4"/>
  <c r="CD431" i="4"/>
  <c r="BU431" i="4"/>
  <c r="BT431" i="4"/>
  <c r="BO431" i="4"/>
  <c r="BN431" i="4"/>
  <c r="CE430" i="4"/>
  <c r="CD430" i="4"/>
  <c r="CC430" i="4"/>
  <c r="CA430" i="4"/>
  <c r="BU430" i="4"/>
  <c r="BT430" i="4"/>
  <c r="BO430" i="4"/>
  <c r="BN430" i="4"/>
  <c r="CE429" i="4"/>
  <c r="CD429" i="4"/>
  <c r="BU429" i="4"/>
  <c r="BT429" i="4"/>
  <c r="BO429" i="4"/>
  <c r="BN429" i="4"/>
  <c r="CE428" i="4"/>
  <c r="CD428" i="4"/>
  <c r="CC428" i="4"/>
  <c r="CA428" i="4"/>
  <c r="BU428" i="4"/>
  <c r="BT428" i="4"/>
  <c r="BO428" i="4"/>
  <c r="BN428" i="4"/>
  <c r="CE427" i="4"/>
  <c r="CD427" i="4"/>
  <c r="BU427" i="4"/>
  <c r="BT427" i="4"/>
  <c r="BO427" i="4"/>
  <c r="BN427" i="4"/>
  <c r="CE426" i="4"/>
  <c r="CD426" i="4"/>
  <c r="CC426" i="4"/>
  <c r="CA426" i="4"/>
  <c r="BU426" i="4"/>
  <c r="BT426" i="4"/>
  <c r="BO426" i="4"/>
  <c r="BN426" i="4"/>
  <c r="CE425" i="4"/>
  <c r="CD425" i="4"/>
  <c r="BU425" i="4"/>
  <c r="BT425" i="4"/>
  <c r="BO425" i="4"/>
  <c r="BN425" i="4"/>
  <c r="CE424" i="4"/>
  <c r="CD424" i="4"/>
  <c r="CC424" i="4"/>
  <c r="CA424" i="4"/>
  <c r="BU424" i="4"/>
  <c r="BT424" i="4"/>
  <c r="BO424" i="4"/>
  <c r="BN424" i="4"/>
  <c r="CE423" i="4"/>
  <c r="CD423" i="4"/>
  <c r="CA423" i="4"/>
  <c r="BU423" i="4"/>
  <c r="BT423" i="4"/>
  <c r="BO423" i="4"/>
  <c r="BN423" i="4"/>
  <c r="CE422" i="4"/>
  <c r="CD422" i="4"/>
  <c r="CC422" i="4"/>
  <c r="CA422" i="4"/>
  <c r="BU422" i="4"/>
  <c r="BT422" i="4"/>
  <c r="BO422" i="4"/>
  <c r="BN422" i="4"/>
  <c r="CE421" i="4"/>
  <c r="CD421" i="4"/>
  <c r="BU421" i="4"/>
  <c r="BT421" i="4"/>
  <c r="BO421" i="4"/>
  <c r="BN421" i="4"/>
  <c r="CE420" i="4"/>
  <c r="CD420" i="4"/>
  <c r="CC420" i="4"/>
  <c r="CA420" i="4"/>
  <c r="BU420" i="4"/>
  <c r="BT420" i="4"/>
  <c r="BO420" i="4"/>
  <c r="BN420" i="4"/>
  <c r="CE419" i="4"/>
  <c r="CD419" i="4"/>
  <c r="BU419" i="4"/>
  <c r="BT419" i="4"/>
  <c r="BO419" i="4"/>
  <c r="BN419" i="4"/>
  <c r="CE418" i="4"/>
  <c r="CD418" i="4"/>
  <c r="CC418" i="4"/>
  <c r="CA418" i="4"/>
  <c r="BU418" i="4"/>
  <c r="BT418" i="4"/>
  <c r="BO418" i="4"/>
  <c r="BN418" i="4"/>
  <c r="CE417" i="4"/>
  <c r="CD417" i="4"/>
  <c r="BU417" i="4"/>
  <c r="BT417" i="4"/>
  <c r="BO417" i="4"/>
  <c r="BN417" i="4"/>
  <c r="CE416" i="4"/>
  <c r="CD416" i="4"/>
  <c r="CC416" i="4"/>
  <c r="CA416" i="4"/>
  <c r="BU416" i="4"/>
  <c r="BT416" i="4"/>
  <c r="BO416" i="4"/>
  <c r="BN416" i="4"/>
  <c r="CE415" i="4"/>
  <c r="CD415" i="4"/>
  <c r="BU415" i="4"/>
  <c r="BT415" i="4"/>
  <c r="BO415" i="4"/>
  <c r="BN415" i="4"/>
  <c r="CE414" i="4"/>
  <c r="CD414" i="4"/>
  <c r="CC414" i="4"/>
  <c r="CA414" i="4"/>
  <c r="BU414" i="4"/>
  <c r="BT414" i="4"/>
  <c r="BO414" i="4"/>
  <c r="BN414" i="4"/>
  <c r="CE413" i="4"/>
  <c r="CD413" i="4"/>
  <c r="BU413" i="4"/>
  <c r="BT413" i="4"/>
  <c r="BO413" i="4"/>
  <c r="BN413" i="4"/>
  <c r="CE412" i="4"/>
  <c r="CD412" i="4"/>
  <c r="CC412" i="4"/>
  <c r="CA412" i="4"/>
  <c r="BU412" i="4"/>
  <c r="BT412" i="4"/>
  <c r="BO412" i="4"/>
  <c r="BN412" i="4"/>
  <c r="CE411" i="4"/>
  <c r="CD411" i="4"/>
  <c r="BU411" i="4"/>
  <c r="BT411" i="4"/>
  <c r="BO411" i="4"/>
  <c r="BN411" i="4"/>
  <c r="CE410" i="4"/>
  <c r="CD410" i="4"/>
  <c r="CC410" i="4"/>
  <c r="CA410" i="4"/>
  <c r="BU410" i="4"/>
  <c r="BT410" i="4"/>
  <c r="BO410" i="4"/>
  <c r="BN410" i="4"/>
  <c r="CE409" i="4"/>
  <c r="CD409" i="4"/>
  <c r="BU409" i="4"/>
  <c r="BT409" i="4"/>
  <c r="BO409" i="4"/>
  <c r="BN409" i="4"/>
  <c r="CE408" i="4"/>
  <c r="CD408" i="4"/>
  <c r="CC408" i="4"/>
  <c r="CA408" i="4"/>
  <c r="BU408" i="4"/>
  <c r="BT408" i="4"/>
  <c r="BO408" i="4"/>
  <c r="BN408" i="4"/>
  <c r="CE407" i="4"/>
  <c r="CD407" i="4"/>
  <c r="BU407" i="4"/>
  <c r="BT407" i="4"/>
  <c r="BO407" i="4"/>
  <c r="BN407" i="4"/>
  <c r="CE406" i="4"/>
  <c r="CD406" i="4"/>
  <c r="CC406" i="4"/>
  <c r="CA406" i="4"/>
  <c r="BU406" i="4"/>
  <c r="BT406" i="4"/>
  <c r="BO406" i="4"/>
  <c r="BN406" i="4"/>
  <c r="CE405" i="4"/>
  <c r="CD405" i="4"/>
  <c r="CC405" i="4"/>
  <c r="BU405" i="4"/>
  <c r="BT405" i="4"/>
  <c r="BO405" i="4"/>
  <c r="BN405" i="4"/>
  <c r="CE404" i="4"/>
  <c r="CD404" i="4"/>
  <c r="CC404" i="4"/>
  <c r="CA404" i="4"/>
  <c r="BU404" i="4"/>
  <c r="BT404" i="4"/>
  <c r="BO404" i="4"/>
  <c r="BN404" i="4"/>
  <c r="CE403" i="4"/>
  <c r="CD403" i="4"/>
  <c r="BU403" i="4"/>
  <c r="BT403" i="4"/>
  <c r="BO403" i="4"/>
  <c r="BN403" i="4"/>
  <c r="CE402" i="4"/>
  <c r="CD402" i="4"/>
  <c r="CC402" i="4"/>
  <c r="CA402" i="4"/>
  <c r="BU402" i="4"/>
  <c r="BT402" i="4"/>
  <c r="BO402" i="4"/>
  <c r="BN402" i="4"/>
  <c r="CE401" i="4"/>
  <c r="CD401" i="4"/>
  <c r="BU401" i="4"/>
  <c r="BT401" i="4"/>
  <c r="BO401" i="4"/>
  <c r="BN401" i="4"/>
  <c r="CE400" i="4"/>
  <c r="CD400" i="4"/>
  <c r="CC400" i="4"/>
  <c r="CA400" i="4"/>
  <c r="BU400" i="4"/>
  <c r="BT400" i="4"/>
  <c r="BO400" i="4"/>
  <c r="BN400" i="4"/>
  <c r="CE399" i="4"/>
  <c r="CD399" i="4"/>
  <c r="BU399" i="4"/>
  <c r="BT399" i="4"/>
  <c r="BO399" i="4"/>
  <c r="BN399" i="4"/>
  <c r="CE398" i="4"/>
  <c r="CD398" i="4"/>
  <c r="CC398" i="4"/>
  <c r="CA398" i="4"/>
  <c r="BU398" i="4"/>
  <c r="BT398" i="4"/>
  <c r="BO398" i="4"/>
  <c r="BN398" i="4"/>
  <c r="CE397" i="4"/>
  <c r="CD397" i="4"/>
  <c r="BU397" i="4"/>
  <c r="BT397" i="4"/>
  <c r="BO397" i="4"/>
  <c r="BN397" i="4"/>
  <c r="CE396" i="4"/>
  <c r="CD396" i="4"/>
  <c r="CC396" i="4"/>
  <c r="CA396" i="4"/>
  <c r="BU396" i="4"/>
  <c r="BT396" i="4"/>
  <c r="BO396" i="4"/>
  <c r="BN396" i="4"/>
  <c r="CE395" i="4"/>
  <c r="CD395" i="4"/>
  <c r="BU395" i="4"/>
  <c r="BT395" i="4"/>
  <c r="BO395" i="4"/>
  <c r="BN395" i="4"/>
  <c r="CE394" i="4"/>
  <c r="CD394" i="4"/>
  <c r="CC394" i="4"/>
  <c r="CA394" i="4"/>
  <c r="BU394" i="4"/>
  <c r="BT394" i="4"/>
  <c r="BO394" i="4"/>
  <c r="BN394" i="4"/>
  <c r="CE393" i="4"/>
  <c r="CD393" i="4"/>
  <c r="BU393" i="4"/>
  <c r="BT393" i="4"/>
  <c r="BO393" i="4"/>
  <c r="BN393" i="4"/>
  <c r="CE392" i="4"/>
  <c r="CD392" i="4"/>
  <c r="CC392" i="4"/>
  <c r="CA392" i="4"/>
  <c r="BU392" i="4"/>
  <c r="BT392" i="4"/>
  <c r="BO392" i="4"/>
  <c r="BN392" i="4"/>
  <c r="CE391" i="4"/>
  <c r="CD391" i="4"/>
  <c r="BU391" i="4"/>
  <c r="BT391" i="4"/>
  <c r="BO391" i="4"/>
  <c r="BN391" i="4"/>
  <c r="CE390" i="4"/>
  <c r="CD390" i="4"/>
  <c r="CC390" i="4"/>
  <c r="CA390" i="4"/>
  <c r="BU390" i="4"/>
  <c r="BT390" i="4"/>
  <c r="BO390" i="4"/>
  <c r="BN390" i="4"/>
  <c r="CE389" i="4"/>
  <c r="CD389" i="4"/>
  <c r="CC389" i="4"/>
  <c r="BU389" i="4"/>
  <c r="BT389" i="4"/>
  <c r="BO389" i="4"/>
  <c r="BN389" i="4"/>
  <c r="CE388" i="4"/>
  <c r="CD388" i="4"/>
  <c r="CC388" i="4"/>
  <c r="CA388" i="4"/>
  <c r="BU388" i="4"/>
  <c r="BT388" i="4"/>
  <c r="BO388" i="4"/>
  <c r="BN388" i="4"/>
  <c r="CE387" i="4"/>
  <c r="CD387" i="4"/>
  <c r="BU387" i="4"/>
  <c r="BT387" i="4"/>
  <c r="BO387" i="4"/>
  <c r="BN387" i="4"/>
  <c r="CE386" i="4"/>
  <c r="CD386" i="4"/>
  <c r="CC386" i="4"/>
  <c r="CA386" i="4"/>
  <c r="BU386" i="4"/>
  <c r="BT386" i="4"/>
  <c r="BO386" i="4"/>
  <c r="BN386" i="4"/>
  <c r="CE385" i="4"/>
  <c r="CD385" i="4"/>
  <c r="BU385" i="4"/>
  <c r="BT385" i="4"/>
  <c r="BO385" i="4"/>
  <c r="BN385" i="4"/>
  <c r="CE384" i="4"/>
  <c r="CD384" i="4"/>
  <c r="CC384" i="4"/>
  <c r="CA384" i="4"/>
  <c r="BU384" i="4"/>
  <c r="BT384" i="4"/>
  <c r="BO384" i="4"/>
  <c r="BN384" i="4"/>
  <c r="CE383" i="4"/>
  <c r="CD383" i="4"/>
  <c r="BU383" i="4"/>
  <c r="BT383" i="4"/>
  <c r="BO383" i="4"/>
  <c r="BN383" i="4"/>
  <c r="CE382" i="4"/>
  <c r="CD382" i="4"/>
  <c r="CC382" i="4"/>
  <c r="CA382" i="4"/>
  <c r="BU382" i="4"/>
  <c r="BT382" i="4"/>
  <c r="BO382" i="4"/>
  <c r="BN382" i="4"/>
  <c r="CE381" i="4"/>
  <c r="CD381" i="4"/>
  <c r="BU381" i="4"/>
  <c r="BT381" i="4"/>
  <c r="BO381" i="4"/>
  <c r="BN381" i="4"/>
  <c r="CE380" i="4"/>
  <c r="CD380" i="4"/>
  <c r="CC380" i="4"/>
  <c r="CA380" i="4"/>
  <c r="BU380" i="4"/>
  <c r="BT380" i="4"/>
  <c r="BO380" i="4"/>
  <c r="BN380" i="4"/>
  <c r="CE379" i="4"/>
  <c r="CD379" i="4"/>
  <c r="BU379" i="4"/>
  <c r="BT379" i="4"/>
  <c r="BO379" i="4"/>
  <c r="BN379" i="4"/>
  <c r="CE378" i="4"/>
  <c r="CD378" i="4"/>
  <c r="CC378" i="4"/>
  <c r="CA378" i="4"/>
  <c r="BU378" i="4"/>
  <c r="BT378" i="4"/>
  <c r="BO378" i="4"/>
  <c r="BN378" i="4"/>
  <c r="CE377" i="4"/>
  <c r="CD377" i="4"/>
  <c r="BU377" i="4"/>
  <c r="BT377" i="4"/>
  <c r="BO377" i="4"/>
  <c r="BN377" i="4"/>
  <c r="CE376" i="4"/>
  <c r="CD376" i="4"/>
  <c r="CC376" i="4"/>
  <c r="CA376" i="4"/>
  <c r="BU376" i="4"/>
  <c r="BT376" i="4"/>
  <c r="BO376" i="4"/>
  <c r="BN376" i="4"/>
  <c r="CE375" i="4"/>
  <c r="CD375" i="4"/>
  <c r="BU375" i="4"/>
  <c r="BT375" i="4"/>
  <c r="BO375" i="4"/>
  <c r="BN375" i="4"/>
  <c r="CE374" i="4"/>
  <c r="CD374" i="4"/>
  <c r="CC374" i="4"/>
  <c r="CA374" i="4"/>
  <c r="BU374" i="4"/>
  <c r="BT374" i="4"/>
  <c r="BO374" i="4"/>
  <c r="BN374" i="4"/>
  <c r="CE373" i="4"/>
  <c r="CD373" i="4"/>
  <c r="CC373" i="4"/>
  <c r="BU373" i="4"/>
  <c r="BT373" i="4"/>
  <c r="BO373" i="4"/>
  <c r="BN373" i="4"/>
  <c r="CE372" i="4"/>
  <c r="CD372" i="4"/>
  <c r="CC372" i="4"/>
  <c r="CA372" i="4"/>
  <c r="BU372" i="4"/>
  <c r="BT372" i="4"/>
  <c r="BO372" i="4"/>
  <c r="BN372" i="4"/>
  <c r="CE371" i="4"/>
  <c r="CD371" i="4"/>
  <c r="BU371" i="4"/>
  <c r="BT371" i="4"/>
  <c r="BO371" i="4"/>
  <c r="BN371" i="4"/>
  <c r="CE370" i="4"/>
  <c r="CD370" i="4"/>
  <c r="CC370" i="4"/>
  <c r="CA370" i="4"/>
  <c r="BU370" i="4"/>
  <c r="BT370" i="4"/>
  <c r="BO370" i="4"/>
  <c r="BN370" i="4"/>
  <c r="CE369" i="4"/>
  <c r="CD369" i="4"/>
  <c r="BU369" i="4"/>
  <c r="BT369" i="4"/>
  <c r="BO369" i="4"/>
  <c r="BN369" i="4"/>
  <c r="CE368" i="4"/>
  <c r="CD368" i="4"/>
  <c r="CC368" i="4"/>
  <c r="CA368" i="4"/>
  <c r="BU368" i="4"/>
  <c r="BT368" i="4"/>
  <c r="BO368" i="4"/>
  <c r="BN368" i="4"/>
  <c r="CE367" i="4"/>
  <c r="CD367" i="4"/>
  <c r="BU367" i="4"/>
  <c r="BT367" i="4"/>
  <c r="BO367" i="4"/>
  <c r="BN367" i="4"/>
  <c r="CE366" i="4"/>
  <c r="CD366" i="4"/>
  <c r="CC366" i="4"/>
  <c r="CA366" i="4"/>
  <c r="BU366" i="4"/>
  <c r="BT366" i="4"/>
  <c r="BO366" i="4"/>
  <c r="BN366" i="4"/>
  <c r="CE365" i="4"/>
  <c r="CD365" i="4"/>
  <c r="BU365" i="4"/>
  <c r="BT365" i="4"/>
  <c r="BO365" i="4"/>
  <c r="BN365" i="4"/>
  <c r="CE364" i="4"/>
  <c r="CD364" i="4"/>
  <c r="CC364" i="4"/>
  <c r="CA364" i="4"/>
  <c r="BU364" i="4"/>
  <c r="BT364" i="4"/>
  <c r="BO364" i="4"/>
  <c r="BN364" i="4"/>
  <c r="CE363" i="4"/>
  <c r="CD363" i="4"/>
  <c r="BU363" i="4"/>
  <c r="BT363" i="4"/>
  <c r="BO363" i="4"/>
  <c r="BN363" i="4"/>
  <c r="CE362" i="4"/>
  <c r="CD362" i="4"/>
  <c r="CC362" i="4"/>
  <c r="CA362" i="4"/>
  <c r="BU362" i="4"/>
  <c r="BT362" i="4"/>
  <c r="BO362" i="4"/>
  <c r="BN362" i="4"/>
  <c r="CE361" i="4"/>
  <c r="CD361" i="4"/>
  <c r="BU361" i="4"/>
  <c r="BT361" i="4"/>
  <c r="BO361" i="4"/>
  <c r="BN361" i="4"/>
  <c r="CE360" i="4"/>
  <c r="CD360" i="4"/>
  <c r="CC360" i="4"/>
  <c r="CA360" i="4"/>
  <c r="BU360" i="4"/>
  <c r="BT360" i="4"/>
  <c r="BO360" i="4"/>
  <c r="BN360" i="4"/>
  <c r="CE359" i="4"/>
  <c r="CD359" i="4"/>
  <c r="BU359" i="4"/>
  <c r="BT359" i="4"/>
  <c r="BO359" i="4"/>
  <c r="BN359" i="4"/>
  <c r="CE358" i="4"/>
  <c r="CD358" i="4"/>
  <c r="CC358" i="4"/>
  <c r="CA358" i="4"/>
  <c r="BU358" i="4"/>
  <c r="BT358" i="4"/>
  <c r="BO358" i="4"/>
  <c r="BN358" i="4"/>
  <c r="CE357" i="4"/>
  <c r="CD357" i="4"/>
  <c r="CC357" i="4"/>
  <c r="BU357" i="4"/>
  <c r="BT357" i="4"/>
  <c r="BO357" i="4"/>
  <c r="BN357" i="4"/>
  <c r="CE356" i="4"/>
  <c r="CD356" i="4"/>
  <c r="CC356" i="4"/>
  <c r="CA356" i="4"/>
  <c r="BU356" i="4"/>
  <c r="BT356" i="4"/>
  <c r="BO356" i="4"/>
  <c r="BN356" i="4"/>
  <c r="CE355" i="4"/>
  <c r="CD355" i="4"/>
  <c r="BU355" i="4"/>
  <c r="BT355" i="4"/>
  <c r="BO355" i="4"/>
  <c r="BN355" i="4"/>
  <c r="CE354" i="4"/>
  <c r="CD354" i="4"/>
  <c r="CC354" i="4"/>
  <c r="CA354" i="4"/>
  <c r="BU354" i="4"/>
  <c r="BT354" i="4"/>
  <c r="BO354" i="4"/>
  <c r="BN354" i="4"/>
  <c r="CE353" i="4"/>
  <c r="CD353" i="4"/>
  <c r="BU353" i="4"/>
  <c r="BT353" i="4"/>
  <c r="BO353" i="4"/>
  <c r="BN353" i="4"/>
  <c r="CE352" i="4"/>
  <c r="CD352" i="4"/>
  <c r="CC352" i="4"/>
  <c r="CA352" i="4"/>
  <c r="BU352" i="4"/>
  <c r="BT352" i="4"/>
  <c r="BO352" i="4"/>
  <c r="BN352" i="4"/>
  <c r="CE351" i="4"/>
  <c r="CD351" i="4"/>
  <c r="BU351" i="4"/>
  <c r="BT351" i="4"/>
  <c r="BO351" i="4"/>
  <c r="BN351" i="4"/>
  <c r="CE350" i="4"/>
  <c r="CD350" i="4"/>
  <c r="CC350" i="4"/>
  <c r="CA350" i="4"/>
  <c r="BU350" i="4"/>
  <c r="BT350" i="4"/>
  <c r="BO350" i="4"/>
  <c r="BN350" i="4"/>
  <c r="CE349" i="4"/>
  <c r="CD349" i="4"/>
  <c r="BU349" i="4"/>
  <c r="BT349" i="4"/>
  <c r="BO349" i="4"/>
  <c r="BN349" i="4"/>
  <c r="CE348" i="4"/>
  <c r="CD348" i="4"/>
  <c r="CC348" i="4"/>
  <c r="CA348" i="4"/>
  <c r="BU348" i="4"/>
  <c r="BT348" i="4"/>
  <c r="BO348" i="4"/>
  <c r="BN348" i="4"/>
  <c r="CE347" i="4"/>
  <c r="CD347" i="4"/>
  <c r="BU347" i="4"/>
  <c r="BT347" i="4"/>
  <c r="BO347" i="4"/>
  <c r="BN347" i="4"/>
  <c r="CE346" i="4"/>
  <c r="CD346" i="4"/>
  <c r="CC346" i="4"/>
  <c r="CA346" i="4"/>
  <c r="BU346" i="4"/>
  <c r="BT346" i="4"/>
  <c r="BO346" i="4"/>
  <c r="BN346" i="4"/>
  <c r="CE345" i="4"/>
  <c r="CD345" i="4"/>
  <c r="BU345" i="4"/>
  <c r="BT345" i="4"/>
  <c r="BO345" i="4"/>
  <c r="BN345" i="4"/>
  <c r="CE344" i="4"/>
  <c r="CD344" i="4"/>
  <c r="CC344" i="4"/>
  <c r="CA344" i="4"/>
  <c r="BU344" i="4"/>
  <c r="BT344" i="4"/>
  <c r="BO344" i="4"/>
  <c r="BN344" i="4"/>
  <c r="CE343" i="4"/>
  <c r="CD343" i="4"/>
  <c r="BU343" i="4"/>
  <c r="BT343" i="4"/>
  <c r="BO343" i="4"/>
  <c r="BN343" i="4"/>
  <c r="CE342" i="4"/>
  <c r="CD342" i="4"/>
  <c r="CC342" i="4"/>
  <c r="CA342" i="4"/>
  <c r="BU342" i="4"/>
  <c r="BT342" i="4"/>
  <c r="BO342" i="4"/>
  <c r="BN342" i="4"/>
  <c r="CE341" i="4"/>
  <c r="CD341" i="4"/>
  <c r="CC341" i="4"/>
  <c r="BU341" i="4"/>
  <c r="BT341" i="4"/>
  <c r="BO341" i="4"/>
  <c r="BN341" i="4"/>
  <c r="CE340" i="4"/>
  <c r="CD340" i="4"/>
  <c r="CC340" i="4"/>
  <c r="CA340" i="4"/>
  <c r="BU340" i="4"/>
  <c r="BT340" i="4"/>
  <c r="BO340" i="4"/>
  <c r="BN340" i="4"/>
  <c r="CE339" i="4"/>
  <c r="CD339" i="4"/>
  <c r="BU339" i="4"/>
  <c r="BT339" i="4"/>
  <c r="BO339" i="4"/>
  <c r="BN339" i="4"/>
  <c r="CE338" i="4"/>
  <c r="CD338" i="4"/>
  <c r="CC338" i="4"/>
  <c r="CA338" i="4"/>
  <c r="BU338" i="4"/>
  <c r="BT338" i="4"/>
  <c r="BO338" i="4"/>
  <c r="BN338" i="4"/>
  <c r="CE337" i="4"/>
  <c r="CD337" i="4"/>
  <c r="BU337" i="4"/>
  <c r="BT337" i="4"/>
  <c r="BO337" i="4"/>
  <c r="BN337" i="4"/>
  <c r="CE336" i="4"/>
  <c r="CD336" i="4"/>
  <c r="CC336" i="4"/>
  <c r="CA336" i="4"/>
  <c r="BU336" i="4"/>
  <c r="BT336" i="4"/>
  <c r="BO336" i="4"/>
  <c r="BN336" i="4"/>
  <c r="CE335" i="4"/>
  <c r="CD335" i="4"/>
  <c r="BU335" i="4"/>
  <c r="BT335" i="4"/>
  <c r="BO335" i="4"/>
  <c r="BN335" i="4"/>
  <c r="CE334" i="4"/>
  <c r="CD334" i="4"/>
  <c r="CC334" i="4"/>
  <c r="CA334" i="4"/>
  <c r="BU334" i="4"/>
  <c r="BT334" i="4"/>
  <c r="BO334" i="4"/>
  <c r="BN334" i="4"/>
  <c r="CE333" i="4"/>
  <c r="CD333" i="4"/>
  <c r="BU333" i="4"/>
  <c r="BT333" i="4"/>
  <c r="BO333" i="4"/>
  <c r="BN333" i="4"/>
  <c r="CE332" i="4"/>
  <c r="CD332" i="4"/>
  <c r="CC332" i="4"/>
  <c r="CA332" i="4"/>
  <c r="BU332" i="4"/>
  <c r="BT332" i="4"/>
  <c r="BO332" i="4"/>
  <c r="BN332" i="4"/>
  <c r="CE331" i="4"/>
  <c r="CD331" i="4"/>
  <c r="BU331" i="4"/>
  <c r="BT331" i="4"/>
  <c r="BO331" i="4"/>
  <c r="BN331" i="4"/>
  <c r="CE330" i="4"/>
  <c r="CD330" i="4"/>
  <c r="CC330" i="4"/>
  <c r="CA330" i="4"/>
  <c r="BU330" i="4"/>
  <c r="BT330" i="4"/>
  <c r="BO330" i="4"/>
  <c r="BN330" i="4"/>
  <c r="CE329" i="4"/>
  <c r="CD329" i="4"/>
  <c r="BU329" i="4"/>
  <c r="BT329" i="4"/>
  <c r="BO329" i="4"/>
  <c r="BN329" i="4"/>
  <c r="CE328" i="4"/>
  <c r="CD328" i="4"/>
  <c r="CC328" i="4"/>
  <c r="CA328" i="4"/>
  <c r="BU328" i="4"/>
  <c r="BT328" i="4"/>
  <c r="BO328" i="4"/>
  <c r="BN328" i="4"/>
  <c r="CE327" i="4"/>
  <c r="CD327" i="4"/>
  <c r="BU327" i="4"/>
  <c r="BT327" i="4"/>
  <c r="BO327" i="4"/>
  <c r="BN327" i="4"/>
  <c r="CE326" i="4"/>
  <c r="CD326" i="4"/>
  <c r="CC326" i="4"/>
  <c r="CA326" i="4"/>
  <c r="BU326" i="4"/>
  <c r="BT326" i="4"/>
  <c r="BO326" i="4"/>
  <c r="BN326" i="4"/>
  <c r="CE325" i="4"/>
  <c r="CD325" i="4"/>
  <c r="CC325" i="4"/>
  <c r="BU325" i="4"/>
  <c r="BT325" i="4"/>
  <c r="BO325" i="4"/>
  <c r="BN325" i="4"/>
  <c r="CE324" i="4"/>
  <c r="CD324" i="4"/>
  <c r="CC324" i="4"/>
  <c r="CA324" i="4"/>
  <c r="BU324" i="4"/>
  <c r="BT324" i="4"/>
  <c r="BO324" i="4"/>
  <c r="BN324" i="4"/>
  <c r="CE323" i="4"/>
  <c r="CD323" i="4"/>
  <c r="BU323" i="4"/>
  <c r="BT323" i="4"/>
  <c r="BO323" i="4"/>
  <c r="BN323" i="4"/>
  <c r="CE322" i="4"/>
  <c r="CD322" i="4"/>
  <c r="CC322" i="4"/>
  <c r="CA322" i="4"/>
  <c r="BU322" i="4"/>
  <c r="BT322" i="4"/>
  <c r="BO322" i="4"/>
  <c r="BN322" i="4"/>
  <c r="CE321" i="4"/>
  <c r="CD321" i="4"/>
  <c r="BU321" i="4"/>
  <c r="BT321" i="4"/>
  <c r="BO321" i="4"/>
  <c r="BN321" i="4"/>
  <c r="CE320" i="4"/>
  <c r="CD320" i="4"/>
  <c r="CC320" i="4"/>
  <c r="CA320" i="4"/>
  <c r="BU320" i="4"/>
  <c r="BT320" i="4"/>
  <c r="BO320" i="4"/>
  <c r="BN320" i="4"/>
  <c r="CE319" i="4"/>
  <c r="CD319" i="4"/>
  <c r="BU319" i="4"/>
  <c r="BT319" i="4"/>
  <c r="BO319" i="4"/>
  <c r="BN319" i="4"/>
  <c r="CE318" i="4"/>
  <c r="CD318" i="4"/>
  <c r="CC318" i="4"/>
  <c r="CA318" i="4"/>
  <c r="BU318" i="4"/>
  <c r="BT318" i="4"/>
  <c r="BO318" i="4"/>
  <c r="BN318" i="4"/>
  <c r="CE317" i="4"/>
  <c r="CD317" i="4"/>
  <c r="BU317" i="4"/>
  <c r="BT317" i="4"/>
  <c r="BO317" i="4"/>
  <c r="BN317" i="4"/>
  <c r="CE316" i="4"/>
  <c r="CD316" i="4"/>
  <c r="CC316" i="4"/>
  <c r="CA316" i="4"/>
  <c r="BU316" i="4"/>
  <c r="BT316" i="4"/>
  <c r="BO316" i="4"/>
  <c r="BN316" i="4"/>
  <c r="CE315" i="4"/>
  <c r="CD315" i="4"/>
  <c r="BU315" i="4"/>
  <c r="BT315" i="4"/>
  <c r="BO315" i="4"/>
  <c r="BN315" i="4"/>
  <c r="CE314" i="4"/>
  <c r="CD314" i="4"/>
  <c r="CC314" i="4"/>
  <c r="CA314" i="4"/>
  <c r="BU314" i="4"/>
  <c r="BT314" i="4"/>
  <c r="BO314" i="4"/>
  <c r="BN314" i="4"/>
  <c r="CE313" i="4"/>
  <c r="CD313" i="4"/>
  <c r="BU313" i="4"/>
  <c r="BT313" i="4"/>
  <c r="BO313" i="4"/>
  <c r="BN313" i="4"/>
  <c r="CE312" i="4"/>
  <c r="CD312" i="4"/>
  <c r="CC312" i="4"/>
  <c r="CA312" i="4"/>
  <c r="BU312" i="4"/>
  <c r="BT312" i="4"/>
  <c r="BO312" i="4"/>
  <c r="BN312" i="4"/>
  <c r="CE311" i="4"/>
  <c r="CD311" i="4"/>
  <c r="BU311" i="4"/>
  <c r="BT311" i="4"/>
  <c r="BO311" i="4"/>
  <c r="BN311" i="4"/>
  <c r="CE310" i="4"/>
  <c r="CD310" i="4"/>
  <c r="CC310" i="4"/>
  <c r="CA310" i="4"/>
  <c r="BU310" i="4"/>
  <c r="BT310" i="4"/>
  <c r="BO310" i="4"/>
  <c r="BN310" i="4"/>
  <c r="CE309" i="4"/>
  <c r="CD309" i="4"/>
  <c r="CC309" i="4"/>
  <c r="BU309" i="4"/>
  <c r="BT309" i="4"/>
  <c r="BO309" i="4"/>
  <c r="BN309" i="4"/>
  <c r="CE308" i="4"/>
  <c r="CD308" i="4"/>
  <c r="CC308" i="4"/>
  <c r="CA308" i="4"/>
  <c r="BU308" i="4"/>
  <c r="BT308" i="4"/>
  <c r="BO308" i="4"/>
  <c r="BN308" i="4"/>
  <c r="CE307" i="4"/>
  <c r="CD307" i="4"/>
  <c r="BU307" i="4"/>
  <c r="BT307" i="4"/>
  <c r="BO307" i="4"/>
  <c r="BN307" i="4"/>
  <c r="CE306" i="4"/>
  <c r="CD306" i="4"/>
  <c r="CC306" i="4"/>
  <c r="CA306" i="4"/>
  <c r="BU306" i="4"/>
  <c r="BT306" i="4"/>
  <c r="BO306" i="4"/>
  <c r="BN306" i="4"/>
  <c r="CE305" i="4"/>
  <c r="CD305" i="4"/>
  <c r="BU305" i="4"/>
  <c r="BT305" i="4"/>
  <c r="BO305" i="4"/>
  <c r="BN305" i="4"/>
  <c r="CE304" i="4"/>
  <c r="CD304" i="4"/>
  <c r="CC304" i="4"/>
  <c r="CA304" i="4"/>
  <c r="BU304" i="4"/>
  <c r="BT304" i="4"/>
  <c r="BO304" i="4"/>
  <c r="BN304" i="4"/>
  <c r="CE303" i="4"/>
  <c r="CD303" i="4"/>
  <c r="BU303" i="4"/>
  <c r="BT303" i="4"/>
  <c r="BO303" i="4"/>
  <c r="BN303" i="4"/>
  <c r="CE302" i="4"/>
  <c r="CD302" i="4"/>
  <c r="CC302" i="4"/>
  <c r="CA302" i="4"/>
  <c r="BU302" i="4"/>
  <c r="BT302" i="4"/>
  <c r="BO302" i="4"/>
  <c r="BN302" i="4"/>
  <c r="CE301" i="4"/>
  <c r="CD301" i="4"/>
  <c r="BU301" i="4"/>
  <c r="BT301" i="4"/>
  <c r="BO301" i="4"/>
  <c r="BN301" i="4"/>
  <c r="CE300" i="4"/>
  <c r="CD300" i="4"/>
  <c r="CC300" i="4"/>
  <c r="CA300" i="4"/>
  <c r="BU300" i="4"/>
  <c r="BT300" i="4"/>
  <c r="BO300" i="4"/>
  <c r="BN300" i="4"/>
  <c r="CE299" i="4"/>
  <c r="CD299" i="4"/>
  <c r="BU299" i="4"/>
  <c r="BT299" i="4"/>
  <c r="BO299" i="4"/>
  <c r="BN299" i="4"/>
  <c r="CE298" i="4"/>
  <c r="CD298" i="4"/>
  <c r="CC298" i="4"/>
  <c r="CA298" i="4"/>
  <c r="BU298" i="4"/>
  <c r="BT298" i="4"/>
  <c r="BO298" i="4"/>
  <c r="BN298" i="4"/>
  <c r="CE297" i="4"/>
  <c r="CD297" i="4"/>
  <c r="BU297" i="4"/>
  <c r="BT297" i="4"/>
  <c r="BO297" i="4"/>
  <c r="BN297" i="4"/>
  <c r="CE296" i="4"/>
  <c r="CD296" i="4"/>
  <c r="CC296" i="4"/>
  <c r="CA296" i="4"/>
  <c r="BU296" i="4"/>
  <c r="BT296" i="4"/>
  <c r="BO296" i="4"/>
  <c r="BN296" i="4"/>
  <c r="CE295" i="4"/>
  <c r="CD295" i="4"/>
  <c r="BU295" i="4"/>
  <c r="BT295" i="4"/>
  <c r="BO295" i="4"/>
  <c r="BN295" i="4"/>
  <c r="CE294" i="4"/>
  <c r="CD294" i="4"/>
  <c r="CC294" i="4"/>
  <c r="CA294" i="4"/>
  <c r="BU294" i="4"/>
  <c r="BT294" i="4"/>
  <c r="BO294" i="4"/>
  <c r="BN294" i="4"/>
  <c r="CE293" i="4"/>
  <c r="CD293" i="4"/>
  <c r="CC293" i="4"/>
  <c r="BU293" i="4"/>
  <c r="BT293" i="4"/>
  <c r="BO293" i="4"/>
  <c r="BN293" i="4"/>
  <c r="CE292" i="4"/>
  <c r="CD292" i="4"/>
  <c r="CC292" i="4"/>
  <c r="CA292" i="4"/>
  <c r="BU292" i="4"/>
  <c r="BT292" i="4"/>
  <c r="BO292" i="4"/>
  <c r="BN292" i="4"/>
  <c r="CE291" i="4"/>
  <c r="CD291" i="4"/>
  <c r="BU291" i="4"/>
  <c r="BT291" i="4"/>
  <c r="BO291" i="4"/>
  <c r="BN291" i="4"/>
  <c r="CE290" i="4"/>
  <c r="CD290" i="4"/>
  <c r="CC290" i="4"/>
  <c r="CA290" i="4"/>
  <c r="BU290" i="4"/>
  <c r="BT290" i="4"/>
  <c r="BO290" i="4"/>
  <c r="BN290" i="4"/>
  <c r="CE289" i="4"/>
  <c r="CD289" i="4"/>
  <c r="BU289" i="4"/>
  <c r="BT289" i="4"/>
  <c r="BO289" i="4"/>
  <c r="BN289" i="4"/>
  <c r="CE288" i="4"/>
  <c r="CD288" i="4"/>
  <c r="CC288" i="4"/>
  <c r="CA288" i="4"/>
  <c r="BU288" i="4"/>
  <c r="BT288" i="4"/>
  <c r="BO288" i="4"/>
  <c r="BN288" i="4"/>
  <c r="CE287" i="4"/>
  <c r="CD287" i="4"/>
  <c r="BU287" i="4"/>
  <c r="BT287" i="4"/>
  <c r="BO287" i="4"/>
  <c r="BN287" i="4"/>
  <c r="CE286" i="4"/>
  <c r="CD286" i="4"/>
  <c r="CC286" i="4"/>
  <c r="CA286" i="4"/>
  <c r="BU286" i="4"/>
  <c r="BT286" i="4"/>
  <c r="BO286" i="4"/>
  <c r="BN286" i="4"/>
  <c r="CE285" i="4"/>
  <c r="CD285" i="4"/>
  <c r="BU285" i="4"/>
  <c r="BT285" i="4"/>
  <c r="BO285" i="4"/>
  <c r="BN285" i="4"/>
  <c r="CE284" i="4"/>
  <c r="CD284" i="4"/>
  <c r="CC284" i="4"/>
  <c r="CA284" i="4"/>
  <c r="BU284" i="4"/>
  <c r="BT284" i="4"/>
  <c r="BO284" i="4"/>
  <c r="BN284" i="4"/>
  <c r="CE283" i="4"/>
  <c r="CD283" i="4"/>
  <c r="BU283" i="4"/>
  <c r="BT283" i="4"/>
  <c r="BO283" i="4"/>
  <c r="BN283" i="4"/>
  <c r="CE282" i="4"/>
  <c r="CD282" i="4"/>
  <c r="CC282" i="4"/>
  <c r="CA282" i="4"/>
  <c r="BU282" i="4"/>
  <c r="BT282" i="4"/>
  <c r="BO282" i="4"/>
  <c r="BN282" i="4"/>
  <c r="CE281" i="4"/>
  <c r="CD281" i="4"/>
  <c r="BU281" i="4"/>
  <c r="BT281" i="4"/>
  <c r="BO281" i="4"/>
  <c r="BN281" i="4"/>
  <c r="CE280" i="4"/>
  <c r="CD280" i="4"/>
  <c r="CC280" i="4"/>
  <c r="CA280" i="4"/>
  <c r="BU280" i="4"/>
  <c r="BT280" i="4"/>
  <c r="BO280" i="4"/>
  <c r="BN280" i="4"/>
  <c r="CE279" i="4"/>
  <c r="CD279" i="4"/>
  <c r="BU279" i="4"/>
  <c r="BT279" i="4"/>
  <c r="BO279" i="4"/>
  <c r="BN279" i="4"/>
  <c r="CE278" i="4"/>
  <c r="CD278" i="4"/>
  <c r="CC278" i="4"/>
  <c r="CA278" i="4"/>
  <c r="BU278" i="4"/>
  <c r="BT278" i="4"/>
  <c r="BO278" i="4"/>
  <c r="BN278" i="4"/>
  <c r="CE277" i="4"/>
  <c r="CD277" i="4"/>
  <c r="CC277" i="4"/>
  <c r="BU277" i="4"/>
  <c r="BT277" i="4"/>
  <c r="BO277" i="4"/>
  <c r="BN277" i="4"/>
  <c r="CE276" i="4"/>
  <c r="CD276" i="4"/>
  <c r="CC276" i="4"/>
  <c r="CA276" i="4"/>
  <c r="BU276" i="4"/>
  <c r="BT276" i="4"/>
  <c r="BO276" i="4"/>
  <c r="BN276" i="4"/>
  <c r="CE275" i="4"/>
  <c r="CD275" i="4"/>
  <c r="BU275" i="4"/>
  <c r="BT275" i="4"/>
  <c r="BO275" i="4"/>
  <c r="BN275" i="4"/>
  <c r="CE274" i="4"/>
  <c r="CD274" i="4"/>
  <c r="CC274" i="4"/>
  <c r="CA274" i="4"/>
  <c r="BU274" i="4"/>
  <c r="BT274" i="4"/>
  <c r="BO274" i="4"/>
  <c r="BN274" i="4"/>
  <c r="CE273" i="4"/>
  <c r="CD273" i="4"/>
  <c r="BU273" i="4"/>
  <c r="BT273" i="4"/>
  <c r="BO273" i="4"/>
  <c r="BN273" i="4"/>
  <c r="CE272" i="4"/>
  <c r="CD272" i="4"/>
  <c r="CC272" i="4"/>
  <c r="CA272" i="4"/>
  <c r="BU272" i="4"/>
  <c r="BT272" i="4"/>
  <c r="BO272" i="4"/>
  <c r="BN272" i="4"/>
  <c r="CE271" i="4"/>
  <c r="CD271" i="4"/>
  <c r="BU271" i="4"/>
  <c r="BT271" i="4"/>
  <c r="BO271" i="4"/>
  <c r="BN271" i="4"/>
  <c r="CE270" i="4"/>
  <c r="CD270" i="4"/>
  <c r="CC270" i="4"/>
  <c r="CA270" i="4"/>
  <c r="BU270" i="4"/>
  <c r="BT270" i="4"/>
  <c r="BO270" i="4"/>
  <c r="BN270" i="4"/>
  <c r="CE269" i="4"/>
  <c r="CD269" i="4"/>
  <c r="CA269" i="4"/>
  <c r="BU269" i="4"/>
  <c r="BT269" i="4"/>
  <c r="BO269" i="4"/>
  <c r="BN269" i="4"/>
  <c r="CE268" i="4"/>
  <c r="CD268" i="4"/>
  <c r="CC268" i="4"/>
  <c r="CA268" i="4"/>
  <c r="BU268" i="4"/>
  <c r="BT268" i="4"/>
  <c r="BO268" i="4"/>
  <c r="BN268" i="4"/>
  <c r="CE267" i="4"/>
  <c r="CD267" i="4"/>
  <c r="BU267" i="4"/>
  <c r="BT267" i="4"/>
  <c r="BO267" i="4"/>
  <c r="BN267" i="4"/>
  <c r="CE266" i="4"/>
  <c r="CD266" i="4"/>
  <c r="CC266" i="4"/>
  <c r="CA266" i="4"/>
  <c r="BU266" i="4"/>
  <c r="BT266" i="4"/>
  <c r="BO266" i="4"/>
  <c r="BN266" i="4"/>
  <c r="CE265" i="4"/>
  <c r="CD265" i="4"/>
  <c r="BU265" i="4"/>
  <c r="BT265" i="4"/>
  <c r="BO265" i="4"/>
  <c r="BN265" i="4"/>
  <c r="CE264" i="4"/>
  <c r="CD264" i="4"/>
  <c r="CC264" i="4"/>
  <c r="CA264" i="4"/>
  <c r="BU264" i="4"/>
  <c r="BT264" i="4"/>
  <c r="BO264" i="4"/>
  <c r="BN264" i="4"/>
  <c r="CE263" i="4"/>
  <c r="CD263" i="4"/>
  <c r="BU263" i="4"/>
  <c r="BT263" i="4"/>
  <c r="BO263" i="4"/>
  <c r="BN263" i="4"/>
  <c r="CE262" i="4"/>
  <c r="CD262" i="4"/>
  <c r="CC262" i="4"/>
  <c r="CA262" i="4"/>
  <c r="BU262" i="4"/>
  <c r="BT262" i="4"/>
  <c r="BO262" i="4"/>
  <c r="BN262" i="4"/>
  <c r="CE261" i="4"/>
  <c r="CD261" i="4"/>
  <c r="CA261" i="4"/>
  <c r="BU261" i="4"/>
  <c r="BT261" i="4"/>
  <c r="BO261" i="4"/>
  <c r="BN261" i="4"/>
  <c r="CE260" i="4"/>
  <c r="CD260" i="4"/>
  <c r="CC260" i="4"/>
  <c r="CA260" i="4"/>
  <c r="BU260" i="4"/>
  <c r="BT260" i="4"/>
  <c r="BO260" i="4"/>
  <c r="BN260" i="4"/>
  <c r="CE259" i="4"/>
  <c r="CD259" i="4"/>
  <c r="BU259" i="4"/>
  <c r="BT259" i="4"/>
  <c r="BO259" i="4"/>
  <c r="BN259" i="4"/>
  <c r="CE258" i="4"/>
  <c r="CD258" i="4"/>
  <c r="CC258" i="4"/>
  <c r="CA258" i="4"/>
  <c r="BU258" i="4"/>
  <c r="BT258" i="4"/>
  <c r="BO258" i="4"/>
  <c r="BN258" i="4"/>
  <c r="CE257" i="4"/>
  <c r="CD257" i="4"/>
  <c r="BU257" i="4"/>
  <c r="BT257" i="4"/>
  <c r="BO257" i="4"/>
  <c r="BN257" i="4"/>
  <c r="CE256" i="4"/>
  <c r="CD256" i="4"/>
  <c r="CC256" i="4"/>
  <c r="CA256" i="4"/>
  <c r="BU256" i="4"/>
  <c r="BT256" i="4"/>
  <c r="BO256" i="4"/>
  <c r="BN256" i="4"/>
  <c r="CE255" i="4"/>
  <c r="CD255" i="4"/>
  <c r="BU255" i="4"/>
  <c r="BT255" i="4"/>
  <c r="BO255" i="4"/>
  <c r="BN255" i="4"/>
  <c r="CE254" i="4"/>
  <c r="CD254" i="4"/>
  <c r="CC254" i="4"/>
  <c r="CA254" i="4"/>
  <c r="BU254" i="4"/>
  <c r="BT254" i="4"/>
  <c r="BO254" i="4"/>
  <c r="BN254" i="4"/>
  <c r="CE253" i="4"/>
  <c r="CD253" i="4"/>
  <c r="CA253" i="4"/>
  <c r="BU253" i="4"/>
  <c r="BT253" i="4"/>
  <c r="BO253" i="4"/>
  <c r="BN253" i="4"/>
  <c r="CE252" i="4"/>
  <c r="CD252" i="4"/>
  <c r="CC252" i="4"/>
  <c r="CA252" i="4"/>
  <c r="BU252" i="4"/>
  <c r="BT252" i="4"/>
  <c r="BO252" i="4"/>
  <c r="BN252" i="4"/>
  <c r="CE251" i="4"/>
  <c r="CD251" i="4"/>
  <c r="BU251" i="4"/>
  <c r="BT251" i="4"/>
  <c r="BO251" i="4"/>
  <c r="BN251" i="4"/>
  <c r="CE250" i="4"/>
  <c r="CD250" i="4"/>
  <c r="CC250" i="4"/>
  <c r="CA250" i="4"/>
  <c r="BU250" i="4"/>
  <c r="BT250" i="4"/>
  <c r="BO250" i="4"/>
  <c r="BN250" i="4"/>
  <c r="CE249" i="4"/>
  <c r="CD249" i="4"/>
  <c r="BU249" i="4"/>
  <c r="BT249" i="4"/>
  <c r="BO249" i="4"/>
  <c r="BN249" i="4"/>
  <c r="CE248" i="4"/>
  <c r="CD248" i="4"/>
  <c r="CC248" i="4"/>
  <c r="CA248" i="4"/>
  <c r="BU248" i="4"/>
  <c r="BT248" i="4"/>
  <c r="BO248" i="4"/>
  <c r="BN248" i="4"/>
  <c r="CE247" i="4"/>
  <c r="CD247" i="4"/>
  <c r="BU247" i="4"/>
  <c r="BT247" i="4"/>
  <c r="BO247" i="4"/>
  <c r="BN247" i="4"/>
  <c r="CE246" i="4"/>
  <c r="CD246" i="4"/>
  <c r="CC246" i="4"/>
  <c r="CA246" i="4"/>
  <c r="BU246" i="4"/>
  <c r="BT246" i="4"/>
  <c r="BO246" i="4"/>
  <c r="BN246" i="4"/>
  <c r="CE245" i="4"/>
  <c r="CD245" i="4"/>
  <c r="CA245" i="4"/>
  <c r="BU245" i="4"/>
  <c r="BT245" i="4"/>
  <c r="BO245" i="4"/>
  <c r="BN245" i="4"/>
  <c r="CE244" i="4"/>
  <c r="CD244" i="4"/>
  <c r="CC244" i="4"/>
  <c r="CA244" i="4"/>
  <c r="BU244" i="4"/>
  <c r="BT244" i="4"/>
  <c r="BO244" i="4"/>
  <c r="BN244" i="4"/>
  <c r="CE243" i="4"/>
  <c r="CD243" i="4"/>
  <c r="BU243" i="4"/>
  <c r="BT243" i="4"/>
  <c r="BO243" i="4"/>
  <c r="BN243" i="4"/>
  <c r="CE242" i="4"/>
  <c r="CD242" i="4"/>
  <c r="CC242" i="4"/>
  <c r="CA242" i="4"/>
  <c r="BU242" i="4"/>
  <c r="BT242" i="4"/>
  <c r="BO242" i="4"/>
  <c r="BN242" i="4"/>
  <c r="CE241" i="4"/>
  <c r="CD241" i="4"/>
  <c r="BU241" i="4"/>
  <c r="BT241" i="4"/>
  <c r="BO241" i="4"/>
  <c r="BN241" i="4"/>
  <c r="CE240" i="4"/>
  <c r="CD240" i="4"/>
  <c r="CC240" i="4"/>
  <c r="CA240" i="4"/>
  <c r="BU240" i="4"/>
  <c r="BT240" i="4"/>
  <c r="BO240" i="4"/>
  <c r="BN240" i="4"/>
  <c r="CE239" i="4"/>
  <c r="CD239" i="4"/>
  <c r="BU239" i="4"/>
  <c r="BT239" i="4"/>
  <c r="BO239" i="4"/>
  <c r="BN239" i="4"/>
  <c r="CE238" i="4"/>
  <c r="CD238" i="4"/>
  <c r="CC238" i="4"/>
  <c r="CA238" i="4"/>
  <c r="BU238" i="4"/>
  <c r="BT238" i="4"/>
  <c r="BO238" i="4"/>
  <c r="BN238" i="4"/>
  <c r="CE237" i="4"/>
  <c r="CD237" i="4"/>
  <c r="CA237" i="4"/>
  <c r="BU237" i="4"/>
  <c r="BT237" i="4"/>
  <c r="BO237" i="4"/>
  <c r="BN237" i="4"/>
  <c r="CE236" i="4"/>
  <c r="CD236" i="4"/>
  <c r="CC236" i="4"/>
  <c r="CA236" i="4"/>
  <c r="BU236" i="4"/>
  <c r="BT236" i="4"/>
  <c r="BO236" i="4"/>
  <c r="BN236" i="4"/>
  <c r="CE235" i="4"/>
  <c r="CD235" i="4"/>
  <c r="BU235" i="4"/>
  <c r="BT235" i="4"/>
  <c r="BO235" i="4"/>
  <c r="BN235" i="4"/>
  <c r="CE234" i="4"/>
  <c r="CD234" i="4"/>
  <c r="CC234" i="4"/>
  <c r="CA234" i="4"/>
  <c r="BU234" i="4"/>
  <c r="BT234" i="4"/>
  <c r="BO234" i="4"/>
  <c r="BN234" i="4"/>
  <c r="CE233" i="4"/>
  <c r="CD233" i="4"/>
  <c r="BU233" i="4"/>
  <c r="BT233" i="4"/>
  <c r="BO233" i="4"/>
  <c r="BN233" i="4"/>
  <c r="CE232" i="4"/>
  <c r="CD232" i="4"/>
  <c r="CC232" i="4"/>
  <c r="CA232" i="4"/>
  <c r="BU232" i="4"/>
  <c r="BT232" i="4"/>
  <c r="BO232" i="4"/>
  <c r="BN232" i="4"/>
  <c r="CE231" i="4"/>
  <c r="CD231" i="4"/>
  <c r="BU231" i="4"/>
  <c r="BT231" i="4"/>
  <c r="BO231" i="4"/>
  <c r="BN231" i="4"/>
  <c r="CE230" i="4"/>
  <c r="CD230" i="4"/>
  <c r="CC230" i="4"/>
  <c r="CA230" i="4"/>
  <c r="BU230" i="4"/>
  <c r="BT230" i="4"/>
  <c r="BO230" i="4"/>
  <c r="BN230" i="4"/>
  <c r="CE229" i="4"/>
  <c r="CD229" i="4"/>
  <c r="CA229" i="4"/>
  <c r="BU229" i="4"/>
  <c r="BT229" i="4"/>
  <c r="BO229" i="4"/>
  <c r="BN229" i="4"/>
  <c r="CE228" i="4"/>
  <c r="CD228" i="4"/>
  <c r="CC228" i="4"/>
  <c r="CA228" i="4"/>
  <c r="BU228" i="4"/>
  <c r="BT228" i="4"/>
  <c r="BO228" i="4"/>
  <c r="BN228" i="4"/>
  <c r="CE227" i="4"/>
  <c r="CD227" i="4"/>
  <c r="BU227" i="4"/>
  <c r="BT227" i="4"/>
  <c r="BO227" i="4"/>
  <c r="BN227" i="4"/>
  <c r="CE226" i="4"/>
  <c r="CD226" i="4"/>
  <c r="CC226" i="4"/>
  <c r="CA226" i="4"/>
  <c r="BU226" i="4"/>
  <c r="BT226" i="4"/>
  <c r="BO226" i="4"/>
  <c r="BN226" i="4"/>
  <c r="CE225" i="4"/>
  <c r="CD225" i="4"/>
  <c r="BU225" i="4"/>
  <c r="BT225" i="4"/>
  <c r="BO225" i="4"/>
  <c r="BN225" i="4"/>
  <c r="CE224" i="4"/>
  <c r="CD224" i="4"/>
  <c r="CC224" i="4"/>
  <c r="CA224" i="4"/>
  <c r="BU224" i="4"/>
  <c r="BT224" i="4"/>
  <c r="BO224" i="4"/>
  <c r="BN224" i="4"/>
  <c r="CE223" i="4"/>
  <c r="CD223" i="4"/>
  <c r="BU223" i="4"/>
  <c r="BT223" i="4"/>
  <c r="BO223" i="4"/>
  <c r="BN223" i="4"/>
  <c r="CE222" i="4"/>
  <c r="CD222" i="4"/>
  <c r="CC222" i="4"/>
  <c r="CA222" i="4"/>
  <c r="BU222" i="4"/>
  <c r="BT222" i="4"/>
  <c r="BO222" i="4"/>
  <c r="BN222" i="4"/>
  <c r="CE221" i="4"/>
  <c r="CD221" i="4"/>
  <c r="CA221" i="4"/>
  <c r="BU221" i="4"/>
  <c r="BT221" i="4"/>
  <c r="BO221" i="4"/>
  <c r="BN221" i="4"/>
  <c r="CE220" i="4"/>
  <c r="CD220" i="4"/>
  <c r="CC220" i="4"/>
  <c r="CA220" i="4"/>
  <c r="BU220" i="4"/>
  <c r="BT220" i="4"/>
  <c r="BO220" i="4"/>
  <c r="BN220" i="4"/>
  <c r="CE219" i="4"/>
  <c r="CD219" i="4"/>
  <c r="BU219" i="4"/>
  <c r="BT219" i="4"/>
  <c r="BO219" i="4"/>
  <c r="BN219" i="4"/>
  <c r="CE218" i="4"/>
  <c r="CD218" i="4"/>
  <c r="CC218" i="4"/>
  <c r="CA218" i="4"/>
  <c r="BU218" i="4"/>
  <c r="BT218" i="4"/>
  <c r="BO218" i="4"/>
  <c r="BN218" i="4"/>
  <c r="CE217" i="4"/>
  <c r="CD217" i="4"/>
  <c r="BU217" i="4"/>
  <c r="BT217" i="4"/>
  <c r="BO217" i="4"/>
  <c r="BN217" i="4"/>
  <c r="CE216" i="4"/>
  <c r="CD216" i="4"/>
  <c r="CC216" i="4"/>
  <c r="CA216" i="4"/>
  <c r="BU216" i="4"/>
  <c r="BT216" i="4"/>
  <c r="BO216" i="4"/>
  <c r="BN216" i="4"/>
  <c r="CE215" i="4"/>
  <c r="CD215" i="4"/>
  <c r="BU215" i="4"/>
  <c r="BT215" i="4"/>
  <c r="BO215" i="4"/>
  <c r="BN215" i="4"/>
  <c r="CE214" i="4"/>
  <c r="CD214" i="4"/>
  <c r="CC214" i="4"/>
  <c r="CA214" i="4"/>
  <c r="BU214" i="4"/>
  <c r="BT214" i="4"/>
  <c r="BO214" i="4"/>
  <c r="BN214" i="4"/>
  <c r="CE213" i="4"/>
  <c r="CD213" i="4"/>
  <c r="CA213" i="4"/>
  <c r="BU213" i="4"/>
  <c r="BT213" i="4"/>
  <c r="BO213" i="4"/>
  <c r="BN213" i="4"/>
  <c r="CE212" i="4"/>
  <c r="CD212" i="4"/>
  <c r="CC212" i="4"/>
  <c r="CA212" i="4"/>
  <c r="BU212" i="4"/>
  <c r="BT212" i="4"/>
  <c r="BO212" i="4"/>
  <c r="BN212" i="4"/>
  <c r="CE211" i="4"/>
  <c r="CD211" i="4"/>
  <c r="BU211" i="4"/>
  <c r="BT211" i="4"/>
  <c r="BO211" i="4"/>
  <c r="BN211" i="4"/>
  <c r="CE210" i="4"/>
  <c r="CD210" i="4"/>
  <c r="CC210" i="4"/>
  <c r="CA210" i="4"/>
  <c r="BU210" i="4"/>
  <c r="BT210" i="4"/>
  <c r="BO210" i="4"/>
  <c r="BN210" i="4"/>
  <c r="CE209" i="4"/>
  <c r="CD209" i="4"/>
  <c r="BU209" i="4"/>
  <c r="BT209" i="4"/>
  <c r="BO209" i="4"/>
  <c r="BN209" i="4"/>
  <c r="CE208" i="4"/>
  <c r="CD208" i="4"/>
  <c r="CC208" i="4"/>
  <c r="CA208" i="4"/>
  <c r="BU208" i="4"/>
  <c r="BT208" i="4"/>
  <c r="BO208" i="4"/>
  <c r="BN208" i="4"/>
  <c r="CE207" i="4"/>
  <c r="CD207" i="4"/>
  <c r="BU207" i="4"/>
  <c r="BT207" i="4"/>
  <c r="BO207" i="4"/>
  <c r="BN207" i="4"/>
  <c r="CE206" i="4"/>
  <c r="CD206" i="4"/>
  <c r="CC206" i="4"/>
  <c r="CA206" i="4"/>
  <c r="BU206" i="4"/>
  <c r="BT206" i="4"/>
  <c r="BO206" i="4"/>
  <c r="BN206" i="4"/>
  <c r="CE205" i="4"/>
  <c r="CD205" i="4"/>
  <c r="CA205" i="4"/>
  <c r="BU205" i="4"/>
  <c r="BT205" i="4"/>
  <c r="BO205" i="4"/>
  <c r="BN205" i="4"/>
  <c r="CE204" i="4"/>
  <c r="CD204" i="4"/>
  <c r="CC204" i="4"/>
  <c r="CA204" i="4"/>
  <c r="BU204" i="4"/>
  <c r="BT204" i="4"/>
  <c r="BO204" i="4"/>
  <c r="BN204" i="4"/>
  <c r="CE203" i="4"/>
  <c r="CD203" i="4"/>
  <c r="BU203" i="4"/>
  <c r="BT203" i="4"/>
  <c r="BO203" i="4"/>
  <c r="BN203" i="4"/>
  <c r="CE202" i="4"/>
  <c r="CD202" i="4"/>
  <c r="CC202" i="4"/>
  <c r="CA202" i="4"/>
  <c r="BU202" i="4"/>
  <c r="BT202" i="4"/>
  <c r="BO202" i="4"/>
  <c r="BN202" i="4"/>
  <c r="CE201" i="4"/>
  <c r="CD201" i="4"/>
  <c r="BU201" i="4"/>
  <c r="BT201" i="4"/>
  <c r="BO201" i="4"/>
  <c r="BN201" i="4"/>
  <c r="CE200" i="4"/>
  <c r="CD200" i="4"/>
  <c r="CC200" i="4"/>
  <c r="CA200" i="4"/>
  <c r="BU200" i="4"/>
  <c r="BT200" i="4"/>
  <c r="BO200" i="4"/>
  <c r="BN200" i="4"/>
  <c r="CE199" i="4"/>
  <c r="CD199" i="4"/>
  <c r="BU199" i="4"/>
  <c r="BT199" i="4"/>
  <c r="BO199" i="4"/>
  <c r="BN199" i="4"/>
  <c r="CE198" i="4"/>
  <c r="CD198" i="4"/>
  <c r="CC198" i="4"/>
  <c r="CA198" i="4"/>
  <c r="BU198" i="4"/>
  <c r="BT198" i="4"/>
  <c r="BO198" i="4"/>
  <c r="BN198" i="4"/>
  <c r="CE197" i="4"/>
  <c r="CD197" i="4"/>
  <c r="CA197" i="4"/>
  <c r="BU197" i="4"/>
  <c r="BT197" i="4"/>
  <c r="BO197" i="4"/>
  <c r="BN197" i="4"/>
  <c r="CE196" i="4"/>
  <c r="CD196" i="4"/>
  <c r="CC196" i="4"/>
  <c r="CA196" i="4"/>
  <c r="BU196" i="4"/>
  <c r="BT196" i="4"/>
  <c r="BO196" i="4"/>
  <c r="BN196" i="4"/>
  <c r="CE195" i="4"/>
  <c r="CD195" i="4"/>
  <c r="BU195" i="4"/>
  <c r="BT195" i="4"/>
  <c r="BO195" i="4"/>
  <c r="BN195" i="4"/>
  <c r="CE194" i="4"/>
  <c r="CD194" i="4"/>
  <c r="CC194" i="4"/>
  <c r="CA194" i="4"/>
  <c r="BU194" i="4"/>
  <c r="BT194" i="4"/>
  <c r="BO194" i="4"/>
  <c r="BN194" i="4"/>
  <c r="CE193" i="4"/>
  <c r="CD193" i="4"/>
  <c r="BU193" i="4"/>
  <c r="BT193" i="4"/>
  <c r="BO193" i="4"/>
  <c r="BN193" i="4"/>
  <c r="CE192" i="4"/>
  <c r="CD192" i="4"/>
  <c r="CC192" i="4"/>
  <c r="CA192" i="4"/>
  <c r="BU192" i="4"/>
  <c r="BT192" i="4"/>
  <c r="BO192" i="4"/>
  <c r="BN192" i="4"/>
  <c r="CE191" i="4"/>
  <c r="CD191" i="4"/>
  <c r="BU191" i="4"/>
  <c r="BT191" i="4"/>
  <c r="BO191" i="4"/>
  <c r="BN191" i="4"/>
  <c r="CE190" i="4"/>
  <c r="CD190" i="4"/>
  <c r="CC190" i="4"/>
  <c r="CA190" i="4"/>
  <c r="BU190" i="4"/>
  <c r="BT190" i="4"/>
  <c r="BO190" i="4"/>
  <c r="BN190" i="4"/>
  <c r="CE189" i="4"/>
  <c r="CD189" i="4"/>
  <c r="CA189" i="4"/>
  <c r="BU189" i="4"/>
  <c r="BT189" i="4"/>
  <c r="BO189" i="4"/>
  <c r="BN189" i="4"/>
  <c r="CE188" i="4"/>
  <c r="CD188" i="4"/>
  <c r="CC188" i="4"/>
  <c r="CA188" i="4"/>
  <c r="BU188" i="4"/>
  <c r="BT188" i="4"/>
  <c r="BO188" i="4"/>
  <c r="BN188" i="4"/>
  <c r="CE187" i="4"/>
  <c r="CD187" i="4"/>
  <c r="BU187" i="4"/>
  <c r="BT187" i="4"/>
  <c r="BO187" i="4"/>
  <c r="BN187" i="4"/>
  <c r="CE186" i="4"/>
  <c r="CD186" i="4"/>
  <c r="CC186" i="4"/>
  <c r="CA186" i="4"/>
  <c r="BU186" i="4"/>
  <c r="BT186" i="4"/>
  <c r="BO186" i="4"/>
  <c r="BN186" i="4"/>
  <c r="CE185" i="4"/>
  <c r="CD185" i="4"/>
  <c r="BU185" i="4"/>
  <c r="BT185" i="4"/>
  <c r="BO185" i="4"/>
  <c r="BN185" i="4"/>
  <c r="CE184" i="4"/>
  <c r="CD184" i="4"/>
  <c r="CC184" i="4"/>
  <c r="CA184" i="4"/>
  <c r="BU184" i="4"/>
  <c r="BT184" i="4"/>
  <c r="BO184" i="4"/>
  <c r="BN184" i="4"/>
  <c r="CE183" i="4"/>
  <c r="CD183" i="4"/>
  <c r="BU183" i="4"/>
  <c r="BT183" i="4"/>
  <c r="BO183" i="4"/>
  <c r="BN183" i="4"/>
  <c r="CE182" i="4"/>
  <c r="CD182" i="4"/>
  <c r="CC182" i="4"/>
  <c r="CA182" i="4"/>
  <c r="BU182" i="4"/>
  <c r="BT182" i="4"/>
  <c r="BO182" i="4"/>
  <c r="BN182" i="4"/>
  <c r="CE181" i="4"/>
  <c r="CD181" i="4"/>
  <c r="CA181" i="4"/>
  <c r="BU181" i="4"/>
  <c r="BT181" i="4"/>
  <c r="BO181" i="4"/>
  <c r="BN181" i="4"/>
  <c r="CE180" i="4"/>
  <c r="CD180" i="4"/>
  <c r="CC180" i="4"/>
  <c r="CA180" i="4"/>
  <c r="BU180" i="4"/>
  <c r="BT180" i="4"/>
  <c r="BO180" i="4"/>
  <c r="BN180" i="4"/>
  <c r="CE179" i="4"/>
  <c r="CD179" i="4"/>
  <c r="BU179" i="4"/>
  <c r="BT179" i="4"/>
  <c r="BO179" i="4"/>
  <c r="BN179" i="4"/>
  <c r="CE178" i="4"/>
  <c r="CD178" i="4"/>
  <c r="CC178" i="4"/>
  <c r="CA178" i="4"/>
  <c r="BU178" i="4"/>
  <c r="BT178" i="4"/>
  <c r="BO178" i="4"/>
  <c r="BN178" i="4"/>
  <c r="CE177" i="4"/>
  <c r="CD177" i="4"/>
  <c r="BU177" i="4"/>
  <c r="BT177" i="4"/>
  <c r="BO177" i="4"/>
  <c r="BN177" i="4"/>
  <c r="CE176" i="4"/>
  <c r="CD176" i="4"/>
  <c r="CC176" i="4"/>
  <c r="CA176" i="4"/>
  <c r="BU176" i="4"/>
  <c r="BT176" i="4"/>
  <c r="BO176" i="4"/>
  <c r="BN176" i="4"/>
  <c r="CE175" i="4"/>
  <c r="CD175" i="4"/>
  <c r="BU175" i="4"/>
  <c r="BT175" i="4"/>
  <c r="BO175" i="4"/>
  <c r="BN175" i="4"/>
  <c r="CE174" i="4"/>
  <c r="CD174" i="4"/>
  <c r="CC174" i="4"/>
  <c r="CA174" i="4"/>
  <c r="BU174" i="4"/>
  <c r="BT174" i="4"/>
  <c r="BO174" i="4"/>
  <c r="BN174" i="4"/>
  <c r="CE173" i="4"/>
  <c r="CD173" i="4"/>
  <c r="CA173" i="4"/>
  <c r="BU173" i="4"/>
  <c r="BT173" i="4"/>
  <c r="BO173" i="4"/>
  <c r="BN173" i="4"/>
  <c r="CE172" i="4"/>
  <c r="CD172" i="4"/>
  <c r="CC172" i="4"/>
  <c r="CA172" i="4"/>
  <c r="BU172" i="4"/>
  <c r="BT172" i="4"/>
  <c r="BO172" i="4"/>
  <c r="BN172" i="4"/>
  <c r="CE171" i="4"/>
  <c r="CD171" i="4"/>
  <c r="BU171" i="4"/>
  <c r="BT171" i="4"/>
  <c r="BO171" i="4"/>
  <c r="BN171" i="4"/>
  <c r="CE170" i="4"/>
  <c r="CD170" i="4"/>
  <c r="CC170" i="4"/>
  <c r="CA170" i="4"/>
  <c r="BU170" i="4"/>
  <c r="BT170" i="4"/>
  <c r="BO170" i="4"/>
  <c r="BN170" i="4"/>
  <c r="CE169" i="4"/>
  <c r="CD169" i="4"/>
  <c r="BU169" i="4"/>
  <c r="BT169" i="4"/>
  <c r="BO169" i="4"/>
  <c r="BN169" i="4"/>
  <c r="CE168" i="4"/>
  <c r="CD168" i="4"/>
  <c r="CC168" i="4"/>
  <c r="CA168" i="4"/>
  <c r="BU168" i="4"/>
  <c r="BT168" i="4"/>
  <c r="BO168" i="4"/>
  <c r="BN168" i="4"/>
  <c r="CE167" i="4"/>
  <c r="CD167" i="4"/>
  <c r="BU167" i="4"/>
  <c r="BT167" i="4"/>
  <c r="BO167" i="4"/>
  <c r="BN167" i="4"/>
  <c r="CE166" i="4"/>
  <c r="CD166" i="4"/>
  <c r="CC166" i="4"/>
  <c r="CA166" i="4"/>
  <c r="BU166" i="4"/>
  <c r="BT166" i="4"/>
  <c r="BO166" i="4"/>
  <c r="BN166" i="4"/>
  <c r="CE165" i="4"/>
  <c r="CD165" i="4"/>
  <c r="CA165" i="4"/>
  <c r="BU165" i="4"/>
  <c r="BT165" i="4"/>
  <c r="BO165" i="4"/>
  <c r="BN165" i="4"/>
  <c r="CE164" i="4"/>
  <c r="CD164" i="4"/>
  <c r="CC164" i="4"/>
  <c r="CA164" i="4"/>
  <c r="BU164" i="4"/>
  <c r="BT164" i="4"/>
  <c r="BO164" i="4"/>
  <c r="BN164" i="4"/>
  <c r="CE163" i="4"/>
  <c r="CD163" i="4"/>
  <c r="BU163" i="4"/>
  <c r="BT163" i="4"/>
  <c r="BO163" i="4"/>
  <c r="BN163" i="4"/>
  <c r="CE162" i="4"/>
  <c r="CD162" i="4"/>
  <c r="CC162" i="4"/>
  <c r="CA162" i="4"/>
  <c r="BU162" i="4"/>
  <c r="BT162" i="4"/>
  <c r="BO162" i="4"/>
  <c r="BN162" i="4"/>
  <c r="CE161" i="4"/>
  <c r="CD161" i="4"/>
  <c r="BU161" i="4"/>
  <c r="BT161" i="4"/>
  <c r="BO161" i="4"/>
  <c r="BN161" i="4"/>
  <c r="CE160" i="4"/>
  <c r="CD160" i="4"/>
  <c r="CC160" i="4"/>
  <c r="CA160" i="4"/>
  <c r="BU160" i="4"/>
  <c r="BT160" i="4"/>
  <c r="BO160" i="4"/>
  <c r="BN160" i="4"/>
  <c r="CE159" i="4"/>
  <c r="CD159" i="4"/>
  <c r="BU159" i="4"/>
  <c r="BT159" i="4"/>
  <c r="BO159" i="4"/>
  <c r="BN159" i="4"/>
  <c r="CE158" i="4"/>
  <c r="CD158" i="4"/>
  <c r="CC158" i="4"/>
  <c r="CA158" i="4"/>
  <c r="BU158" i="4"/>
  <c r="BT158" i="4"/>
  <c r="BO158" i="4"/>
  <c r="BN158" i="4"/>
  <c r="CE157" i="4"/>
  <c r="CD157" i="4"/>
  <c r="CA157" i="4"/>
  <c r="BU157" i="4"/>
  <c r="BT157" i="4"/>
  <c r="BO157" i="4"/>
  <c r="BN157" i="4"/>
  <c r="CE156" i="4"/>
  <c r="CD156" i="4"/>
  <c r="CC156" i="4"/>
  <c r="CA156" i="4"/>
  <c r="BU156" i="4"/>
  <c r="BT156" i="4"/>
  <c r="BO156" i="4"/>
  <c r="BN156" i="4"/>
  <c r="CE155" i="4"/>
  <c r="CD155" i="4"/>
  <c r="BU155" i="4"/>
  <c r="BT155" i="4"/>
  <c r="BO155" i="4"/>
  <c r="BN155" i="4"/>
  <c r="CE154" i="4"/>
  <c r="CD154" i="4"/>
  <c r="CC154" i="4"/>
  <c r="CA154" i="4"/>
  <c r="BU154" i="4"/>
  <c r="BT154" i="4"/>
  <c r="BO154" i="4"/>
  <c r="BN154" i="4"/>
  <c r="CE153" i="4"/>
  <c r="CD153" i="4"/>
  <c r="BU153" i="4"/>
  <c r="BT153" i="4"/>
  <c r="BO153" i="4"/>
  <c r="BN153" i="4"/>
  <c r="CE152" i="4"/>
  <c r="CD152" i="4"/>
  <c r="CC152" i="4"/>
  <c r="CA152" i="4"/>
  <c r="BU152" i="4"/>
  <c r="BT152" i="4"/>
  <c r="BO152" i="4"/>
  <c r="BN152" i="4"/>
  <c r="CE151" i="4"/>
  <c r="CD151" i="4"/>
  <c r="BU151" i="4"/>
  <c r="BT151" i="4"/>
  <c r="BO151" i="4"/>
  <c r="BN151" i="4"/>
  <c r="CE150" i="4"/>
  <c r="CD150" i="4"/>
  <c r="CC150" i="4"/>
  <c r="CA150" i="4"/>
  <c r="BU150" i="4"/>
  <c r="BT150" i="4"/>
  <c r="BO150" i="4"/>
  <c r="BN150" i="4"/>
  <c r="CE149" i="4"/>
  <c r="CD149" i="4"/>
  <c r="CA149" i="4"/>
  <c r="BU149" i="4"/>
  <c r="BT149" i="4"/>
  <c r="BO149" i="4"/>
  <c r="BN149" i="4"/>
  <c r="CE148" i="4"/>
  <c r="CD148" i="4"/>
  <c r="CC148" i="4"/>
  <c r="CA148" i="4"/>
  <c r="BU148" i="4"/>
  <c r="BT148" i="4"/>
  <c r="BO148" i="4"/>
  <c r="BN148" i="4"/>
  <c r="CE147" i="4"/>
  <c r="CD147" i="4"/>
  <c r="BU147" i="4"/>
  <c r="BT147" i="4"/>
  <c r="BO147" i="4"/>
  <c r="BN147" i="4"/>
  <c r="CE146" i="4"/>
  <c r="CD146" i="4"/>
  <c r="CC146" i="4"/>
  <c r="CA146" i="4"/>
  <c r="BU146" i="4"/>
  <c r="BT146" i="4"/>
  <c r="BO146" i="4"/>
  <c r="BN146" i="4"/>
  <c r="CE145" i="4"/>
  <c r="CD145" i="4"/>
  <c r="BU145" i="4"/>
  <c r="BT145" i="4"/>
  <c r="BO145" i="4"/>
  <c r="BN145" i="4"/>
  <c r="CE144" i="4"/>
  <c r="CD144" i="4"/>
  <c r="CC144" i="4"/>
  <c r="CA144" i="4"/>
  <c r="BU144" i="4"/>
  <c r="BT144" i="4"/>
  <c r="BO144" i="4"/>
  <c r="BN144" i="4"/>
  <c r="CE143" i="4"/>
  <c r="CD143" i="4"/>
  <c r="BU143" i="4"/>
  <c r="BT143" i="4"/>
  <c r="BO143" i="4"/>
  <c r="BN143" i="4"/>
  <c r="CE142" i="4"/>
  <c r="CD142" i="4"/>
  <c r="CC142" i="4"/>
  <c r="CA142" i="4"/>
  <c r="BU142" i="4"/>
  <c r="BT142" i="4"/>
  <c r="BO142" i="4"/>
  <c r="BN142" i="4"/>
  <c r="CE141" i="4"/>
  <c r="CD141" i="4"/>
  <c r="CA141" i="4"/>
  <c r="BU141" i="4"/>
  <c r="BT141" i="4"/>
  <c r="BO141" i="4"/>
  <c r="BN141" i="4"/>
  <c r="CE140" i="4"/>
  <c r="CD140" i="4"/>
  <c r="CC140" i="4"/>
  <c r="CA140" i="4"/>
  <c r="BU140" i="4"/>
  <c r="BT140" i="4"/>
  <c r="BO140" i="4"/>
  <c r="BN140" i="4"/>
  <c r="CE139" i="4"/>
  <c r="CD139" i="4"/>
  <c r="BU139" i="4"/>
  <c r="BT139" i="4"/>
  <c r="BO139" i="4"/>
  <c r="BN139" i="4"/>
  <c r="CE138" i="4"/>
  <c r="CD138" i="4"/>
  <c r="CA138" i="4"/>
  <c r="BU138" i="4"/>
  <c r="BT138" i="4"/>
  <c r="BO138" i="4"/>
  <c r="BN138" i="4"/>
  <c r="CE137" i="4"/>
  <c r="CD137" i="4"/>
  <c r="CA137" i="4"/>
  <c r="BU137" i="4"/>
  <c r="BT137" i="4"/>
  <c r="BO137" i="4"/>
  <c r="BN137" i="4"/>
  <c r="CE136" i="4"/>
  <c r="CD136" i="4"/>
  <c r="BU136" i="4"/>
  <c r="BT136" i="4"/>
  <c r="BO136" i="4"/>
  <c r="BN136" i="4"/>
  <c r="CE135" i="4"/>
  <c r="CD135" i="4"/>
  <c r="BU135" i="4"/>
  <c r="BT135" i="4"/>
  <c r="BO135" i="4"/>
  <c r="BN135" i="4"/>
  <c r="CE134" i="4"/>
  <c r="CD134" i="4"/>
  <c r="CC134" i="4"/>
  <c r="BU134" i="4"/>
  <c r="BT134" i="4"/>
  <c r="BO134" i="4"/>
  <c r="BN134" i="4"/>
  <c r="CE133" i="4"/>
  <c r="CD133" i="4"/>
  <c r="BU133" i="4"/>
  <c r="BT133" i="4"/>
  <c r="BO133" i="4"/>
  <c r="BN133" i="4"/>
  <c r="CE132" i="4"/>
  <c r="CD132" i="4"/>
  <c r="BU132" i="4"/>
  <c r="BT132" i="4"/>
  <c r="BO132" i="4"/>
  <c r="BN132" i="4"/>
  <c r="CE131" i="4"/>
  <c r="CD131" i="4"/>
  <c r="BU131" i="4"/>
  <c r="BT131" i="4"/>
  <c r="BO131" i="4"/>
  <c r="BN131" i="4"/>
  <c r="CE130" i="4"/>
  <c r="CD130" i="4"/>
  <c r="CC130" i="4"/>
  <c r="BU130" i="4"/>
  <c r="BT130" i="4"/>
  <c r="BO130" i="4"/>
  <c r="BN130" i="4"/>
  <c r="CE129" i="4"/>
  <c r="CD129" i="4"/>
  <c r="BU129" i="4"/>
  <c r="BT129" i="4"/>
  <c r="BO129" i="4"/>
  <c r="BN129" i="4"/>
  <c r="CE128" i="4"/>
  <c r="CD128" i="4"/>
  <c r="CC128" i="4"/>
  <c r="BU128" i="4"/>
  <c r="BT128" i="4"/>
  <c r="BO128" i="4"/>
  <c r="BN128" i="4"/>
  <c r="CE127" i="4"/>
  <c r="CD127" i="4"/>
  <c r="BU127" i="4"/>
  <c r="BT127" i="4"/>
  <c r="BO127" i="4"/>
  <c r="BN127" i="4"/>
  <c r="CE126" i="4"/>
  <c r="CD126" i="4"/>
  <c r="BU126" i="4"/>
  <c r="BT126" i="4"/>
  <c r="BO126" i="4"/>
  <c r="BN126" i="4"/>
  <c r="CE125" i="4"/>
  <c r="CD125" i="4"/>
  <c r="BU125" i="4"/>
  <c r="BT125" i="4"/>
  <c r="BO125" i="4"/>
  <c r="BN125" i="4"/>
  <c r="CE124" i="4"/>
  <c r="CD124" i="4"/>
  <c r="CA124" i="4"/>
  <c r="BU124" i="4"/>
  <c r="BT124" i="4"/>
  <c r="BO124" i="4"/>
  <c r="BN124" i="4"/>
  <c r="CE123" i="4"/>
  <c r="CD123" i="4"/>
  <c r="BU123" i="4"/>
  <c r="BT123" i="4"/>
  <c r="BO123" i="4"/>
  <c r="BN123" i="4"/>
  <c r="CE122" i="4"/>
  <c r="CD122" i="4"/>
  <c r="CC122" i="4"/>
  <c r="CA122" i="4"/>
  <c r="BU122" i="4"/>
  <c r="BT122" i="4"/>
  <c r="BO122" i="4"/>
  <c r="BN122" i="4"/>
  <c r="CE121" i="4"/>
  <c r="CD121" i="4"/>
  <c r="BU121" i="4"/>
  <c r="BT121" i="4"/>
  <c r="BO121" i="4"/>
  <c r="BN121" i="4"/>
  <c r="CE120" i="4"/>
  <c r="CD120" i="4"/>
  <c r="CA120" i="4"/>
  <c r="BU120" i="4"/>
  <c r="BT120" i="4"/>
  <c r="BO120" i="4"/>
  <c r="BN120" i="4"/>
  <c r="CE119" i="4"/>
  <c r="CD119" i="4"/>
  <c r="BU119" i="4"/>
  <c r="BT119" i="4"/>
  <c r="BO119" i="4"/>
  <c r="BN119" i="4"/>
  <c r="CE118" i="4"/>
  <c r="CD118" i="4"/>
  <c r="BU118" i="4"/>
  <c r="BT118" i="4"/>
  <c r="BO118" i="4"/>
  <c r="BN118" i="4"/>
  <c r="CE117" i="4"/>
  <c r="CD117" i="4"/>
  <c r="BU117" i="4"/>
  <c r="BT117" i="4"/>
  <c r="BO117" i="4"/>
  <c r="BN117" i="4"/>
  <c r="CE116" i="4"/>
  <c r="CD116" i="4"/>
  <c r="CC116" i="4"/>
  <c r="BU116" i="4"/>
  <c r="BT116" i="4"/>
  <c r="BO116" i="4"/>
  <c r="BN116" i="4"/>
  <c r="CE115" i="4"/>
  <c r="CD115" i="4"/>
  <c r="BU115" i="4"/>
  <c r="BT115" i="4"/>
  <c r="BO115" i="4"/>
  <c r="BN115" i="4"/>
  <c r="CE114" i="4"/>
  <c r="CD114" i="4"/>
  <c r="CC114" i="4"/>
  <c r="CA114" i="4"/>
  <c r="BU114" i="4"/>
  <c r="BT114" i="4"/>
  <c r="BO114" i="4"/>
  <c r="BN114" i="4"/>
  <c r="CE113" i="4"/>
  <c r="CD113" i="4"/>
  <c r="BU113" i="4"/>
  <c r="BT113" i="4"/>
  <c r="BO113" i="4"/>
  <c r="BN113" i="4"/>
  <c r="CE112" i="4"/>
  <c r="CD112" i="4"/>
  <c r="CC112" i="4"/>
  <c r="BU112" i="4"/>
  <c r="BT112" i="4"/>
  <c r="BO112" i="4"/>
  <c r="BN112" i="4"/>
  <c r="CE111" i="4"/>
  <c r="CD111" i="4"/>
  <c r="BU111" i="4"/>
  <c r="BT111" i="4"/>
  <c r="BO111" i="4"/>
  <c r="BN111" i="4"/>
  <c r="CE110" i="4"/>
  <c r="CD110" i="4"/>
  <c r="CA110" i="4"/>
  <c r="BU110" i="4"/>
  <c r="BT110" i="4"/>
  <c r="BO110" i="4"/>
  <c r="BN110" i="4"/>
  <c r="CE109" i="4"/>
  <c r="CD109" i="4"/>
  <c r="BU109" i="4"/>
  <c r="BT109" i="4"/>
  <c r="BO109" i="4"/>
  <c r="BN109" i="4"/>
  <c r="CE108" i="4"/>
  <c r="CD108" i="4"/>
  <c r="BU108" i="4"/>
  <c r="BT108" i="4"/>
  <c r="BO108" i="4"/>
  <c r="BN108" i="4"/>
  <c r="CE107" i="4"/>
  <c r="CD107" i="4"/>
  <c r="BU107" i="4"/>
  <c r="BT107" i="4"/>
  <c r="BO107" i="4"/>
  <c r="BN107" i="4"/>
  <c r="CE106" i="4"/>
  <c r="CD106" i="4"/>
  <c r="CA106" i="4"/>
  <c r="BU106" i="4"/>
  <c r="BT106" i="4"/>
  <c r="BO106" i="4"/>
  <c r="BN106" i="4"/>
  <c r="CE105" i="4"/>
  <c r="CD105" i="4"/>
  <c r="BU105" i="4"/>
  <c r="BT105" i="4"/>
  <c r="BO105" i="4"/>
  <c r="BN105" i="4"/>
  <c r="CE104" i="4"/>
  <c r="CD104" i="4"/>
  <c r="CC104" i="4"/>
  <c r="BU104" i="4"/>
  <c r="BT104" i="4"/>
  <c r="BO104" i="4"/>
  <c r="BN104" i="4"/>
  <c r="CE103" i="4"/>
  <c r="CD103" i="4"/>
  <c r="BU103" i="4"/>
  <c r="BT103" i="4"/>
  <c r="BO103" i="4"/>
  <c r="BN103" i="4"/>
  <c r="CE102" i="4"/>
  <c r="CD102" i="4"/>
  <c r="CA102" i="4"/>
  <c r="BU102" i="4"/>
  <c r="BT102" i="4"/>
  <c r="BO102" i="4"/>
  <c r="BN102" i="4"/>
  <c r="CE101" i="4"/>
  <c r="CD101" i="4"/>
  <c r="BU101" i="4"/>
  <c r="BT101" i="4"/>
  <c r="BO101" i="4"/>
  <c r="BN101" i="4"/>
  <c r="CE100" i="4"/>
  <c r="CD100" i="4"/>
  <c r="BU100" i="4"/>
  <c r="BT100" i="4"/>
  <c r="BO100" i="4"/>
  <c r="BN100" i="4"/>
  <c r="CE99" i="4"/>
  <c r="CD99" i="4"/>
  <c r="BU99" i="4"/>
  <c r="BT99" i="4"/>
  <c r="BO99" i="4"/>
  <c r="BN99" i="4"/>
  <c r="CE98" i="4"/>
  <c r="CD98" i="4"/>
  <c r="BU98" i="4"/>
  <c r="BT98" i="4"/>
  <c r="BO98" i="4"/>
  <c r="BN98" i="4"/>
  <c r="CE97" i="4"/>
  <c r="CD97" i="4"/>
  <c r="BU97" i="4"/>
  <c r="BT97" i="4"/>
  <c r="BO97" i="4"/>
  <c r="BN97" i="4"/>
  <c r="CE96" i="4"/>
  <c r="CD96" i="4"/>
  <c r="CC96" i="4"/>
  <c r="BU96" i="4"/>
  <c r="BT96" i="4"/>
  <c r="BO96" i="4"/>
  <c r="BN96" i="4"/>
  <c r="CE95" i="4"/>
  <c r="CD95" i="4"/>
  <c r="CA95" i="4"/>
  <c r="BU95" i="4"/>
  <c r="BT95" i="4"/>
  <c r="BO95" i="4"/>
  <c r="BN95" i="4"/>
  <c r="CE94" i="4"/>
  <c r="CD94" i="4"/>
  <c r="CC94" i="4"/>
  <c r="CA94" i="4"/>
  <c r="BU94" i="4"/>
  <c r="BT94" i="4"/>
  <c r="BO94" i="4"/>
  <c r="BN94" i="4"/>
  <c r="CE93" i="4"/>
  <c r="CD93" i="4"/>
  <c r="BU93" i="4"/>
  <c r="BT93" i="4"/>
  <c r="BO93" i="4"/>
  <c r="BN93" i="4"/>
  <c r="CE92" i="4"/>
  <c r="CD92" i="4"/>
  <c r="CC92" i="4"/>
  <c r="BU92" i="4"/>
  <c r="BT92" i="4"/>
  <c r="BO92" i="4"/>
  <c r="BN92" i="4"/>
  <c r="CE91" i="4"/>
  <c r="CD91" i="4"/>
  <c r="BU91" i="4"/>
  <c r="BT91" i="4"/>
  <c r="BO91" i="4"/>
  <c r="BN91" i="4"/>
  <c r="CE90" i="4"/>
  <c r="CD90" i="4"/>
  <c r="CC90" i="4"/>
  <c r="BU90" i="4"/>
  <c r="BT90" i="4"/>
  <c r="BO90" i="4"/>
  <c r="BN90" i="4"/>
  <c r="CE89" i="4"/>
  <c r="CD89" i="4"/>
  <c r="BU89" i="4"/>
  <c r="BT89" i="4"/>
  <c r="BO89" i="4"/>
  <c r="BN89" i="4"/>
  <c r="CE88" i="4"/>
  <c r="CD88" i="4"/>
  <c r="BU88" i="4"/>
  <c r="BT88" i="4"/>
  <c r="BO88" i="4"/>
  <c r="BN88" i="4"/>
  <c r="CE87" i="4"/>
  <c r="CD87" i="4"/>
  <c r="BU87" i="4"/>
  <c r="BT87" i="4"/>
  <c r="BO87" i="4"/>
  <c r="BN87" i="4"/>
  <c r="CE86" i="4"/>
  <c r="CD86" i="4"/>
  <c r="CC86" i="4"/>
  <c r="CA86" i="4"/>
  <c r="BU86" i="4"/>
  <c r="BT86" i="4"/>
  <c r="BO86" i="4"/>
  <c r="BN86" i="4"/>
  <c r="CE85" i="4"/>
  <c r="CD85" i="4"/>
  <c r="BU85" i="4"/>
  <c r="BT85" i="4"/>
  <c r="BO85" i="4"/>
  <c r="BN85" i="4"/>
  <c r="CE84" i="4"/>
  <c r="CD84" i="4"/>
  <c r="CC84" i="4"/>
  <c r="BU84" i="4"/>
  <c r="BT84" i="4"/>
  <c r="BO84" i="4"/>
  <c r="BN84" i="4"/>
  <c r="CE83" i="4"/>
  <c r="CD83" i="4"/>
  <c r="BU83" i="4"/>
  <c r="BT83" i="4"/>
  <c r="BO83" i="4"/>
  <c r="BN83" i="4"/>
  <c r="CE82" i="4"/>
  <c r="CD82" i="4"/>
  <c r="CC82" i="4"/>
  <c r="CA82" i="4"/>
  <c r="BU82" i="4"/>
  <c r="BT82" i="4"/>
  <c r="BO82" i="4"/>
  <c r="BN82" i="4"/>
  <c r="CE81" i="4"/>
  <c r="CD81" i="4"/>
  <c r="CC81" i="4"/>
  <c r="BU81" i="4"/>
  <c r="BT81" i="4"/>
  <c r="BO81" i="4"/>
  <c r="BN81" i="4"/>
  <c r="CE80" i="4"/>
  <c r="CD80" i="4"/>
  <c r="CA80" i="4"/>
  <c r="BU80" i="4"/>
  <c r="BT80" i="4"/>
  <c r="BO80" i="4"/>
  <c r="BN80" i="4"/>
  <c r="CE79" i="4"/>
  <c r="CD79" i="4"/>
  <c r="BU79" i="4"/>
  <c r="BT79" i="4"/>
  <c r="BO79" i="4"/>
  <c r="BN79" i="4"/>
  <c r="CE78" i="4"/>
  <c r="CD78" i="4"/>
  <c r="BU78" i="4"/>
  <c r="BT78" i="4"/>
  <c r="BO78" i="4"/>
  <c r="BN78" i="4"/>
  <c r="CE77" i="4"/>
  <c r="CD77" i="4"/>
  <c r="CA77" i="4"/>
  <c r="BU77" i="4"/>
  <c r="BT77" i="4"/>
  <c r="BO77" i="4"/>
  <c r="BN77" i="4"/>
  <c r="CE76" i="4"/>
  <c r="CD76" i="4"/>
  <c r="CC76" i="4"/>
  <c r="BU76" i="4"/>
  <c r="BT76" i="4"/>
  <c r="BO76" i="4"/>
  <c r="BN76" i="4"/>
  <c r="CE75" i="4"/>
  <c r="CD75" i="4"/>
  <c r="CC75" i="4"/>
  <c r="BU75" i="4"/>
  <c r="BT75" i="4"/>
  <c r="BO75" i="4"/>
  <c r="BN75" i="4"/>
  <c r="CE74" i="4"/>
  <c r="CD74" i="4"/>
  <c r="CC74" i="4"/>
  <c r="CA74" i="4"/>
  <c r="BU74" i="4"/>
  <c r="BT74" i="4"/>
  <c r="BO74" i="4"/>
  <c r="BN74" i="4"/>
  <c r="CE73" i="4"/>
  <c r="CD73" i="4"/>
  <c r="BU73" i="4"/>
  <c r="BT73" i="4"/>
  <c r="BO73" i="4"/>
  <c r="BN73" i="4"/>
  <c r="CE72" i="4"/>
  <c r="CD72" i="4"/>
  <c r="CA72" i="4"/>
  <c r="BU72" i="4"/>
  <c r="BT72" i="4"/>
  <c r="BO72" i="4"/>
  <c r="BN72" i="4"/>
  <c r="CE71" i="4"/>
  <c r="CD71" i="4"/>
  <c r="BU71" i="4"/>
  <c r="BT71" i="4"/>
  <c r="BO71" i="4"/>
  <c r="BN71" i="4"/>
  <c r="CE70" i="4"/>
  <c r="CD70" i="4"/>
  <c r="CC70" i="4"/>
  <c r="CA70" i="4"/>
  <c r="BU70" i="4"/>
  <c r="BT70" i="4"/>
  <c r="BO70" i="4"/>
  <c r="BN70" i="4"/>
  <c r="CE69" i="4"/>
  <c r="CD69" i="4"/>
  <c r="BU69" i="4"/>
  <c r="BT69" i="4"/>
  <c r="BO69" i="4"/>
  <c r="BN69" i="4"/>
  <c r="CE68" i="4"/>
  <c r="CD68" i="4"/>
  <c r="CC68" i="4"/>
  <c r="CA68" i="4"/>
  <c r="BU68" i="4"/>
  <c r="BT68" i="4"/>
  <c r="BO68" i="4"/>
  <c r="BN68" i="4"/>
  <c r="CE67" i="4"/>
  <c r="CD67" i="4"/>
  <c r="CC67" i="4"/>
  <c r="BU67" i="4"/>
  <c r="BT67" i="4"/>
  <c r="BO67" i="4"/>
  <c r="BN67" i="4"/>
  <c r="CE66" i="4"/>
  <c r="CD66" i="4"/>
  <c r="CC66" i="4"/>
  <c r="CA66" i="4"/>
  <c r="BU66" i="4"/>
  <c r="BT66" i="4"/>
  <c r="BO66" i="4"/>
  <c r="BN66" i="4"/>
  <c r="CE65" i="4"/>
  <c r="CD65" i="4"/>
  <c r="BU65" i="4"/>
  <c r="BT65" i="4"/>
  <c r="BO65" i="4"/>
  <c r="BN65" i="4"/>
  <c r="CE64" i="4"/>
  <c r="CD64" i="4"/>
  <c r="CC64" i="4"/>
  <c r="BU64" i="4"/>
  <c r="BT64" i="4"/>
  <c r="BO64" i="4"/>
  <c r="BN64" i="4"/>
  <c r="CE63" i="4"/>
  <c r="CD63" i="4"/>
  <c r="BU63" i="4"/>
  <c r="BT63" i="4"/>
  <c r="BO63" i="4"/>
  <c r="BN63" i="4"/>
  <c r="CE62" i="4"/>
  <c r="CD62" i="4"/>
  <c r="BU62" i="4"/>
  <c r="BT62" i="4"/>
  <c r="BO62" i="4"/>
  <c r="BN62" i="4"/>
  <c r="CE61" i="4"/>
  <c r="CD61" i="4"/>
  <c r="CA61" i="4"/>
  <c r="BU61" i="4"/>
  <c r="BT61" i="4"/>
  <c r="BO61" i="4"/>
  <c r="BN61" i="4"/>
  <c r="CE60" i="4"/>
  <c r="CD60" i="4"/>
  <c r="CC60" i="4"/>
  <c r="BU60" i="4"/>
  <c r="BT60" i="4"/>
  <c r="BO60" i="4"/>
  <c r="BN60" i="4"/>
  <c r="CE59" i="4"/>
  <c r="CD59" i="4"/>
  <c r="BU59" i="4"/>
  <c r="BT59" i="4"/>
  <c r="BO59" i="4"/>
  <c r="BN59" i="4"/>
  <c r="CE58" i="4"/>
  <c r="CD58" i="4"/>
  <c r="CC58" i="4"/>
  <c r="CA58" i="4"/>
  <c r="BU58" i="4"/>
  <c r="BT58" i="4"/>
  <c r="BO58" i="4"/>
  <c r="BN58" i="4"/>
  <c r="CE57" i="4"/>
  <c r="CD57" i="4"/>
  <c r="BU57" i="4"/>
  <c r="BT57" i="4"/>
  <c r="BO57" i="4"/>
  <c r="BN57" i="4"/>
  <c r="CE56" i="4"/>
  <c r="CD56" i="4"/>
  <c r="BU56" i="4"/>
  <c r="BT56" i="4"/>
  <c r="BO56" i="4"/>
  <c r="BN56" i="4"/>
  <c r="CE55" i="4"/>
  <c r="CD55" i="4"/>
  <c r="BU55" i="4"/>
  <c r="BT55" i="4"/>
  <c r="BO55" i="4"/>
  <c r="BN55" i="4"/>
  <c r="CE54" i="4"/>
  <c r="CD54" i="4"/>
  <c r="CC54" i="4"/>
  <c r="CA54" i="4"/>
  <c r="BU54" i="4"/>
  <c r="BT54" i="4"/>
  <c r="BO54" i="4"/>
  <c r="BN54" i="4"/>
  <c r="CE53" i="4"/>
  <c r="CD53" i="4"/>
  <c r="BU53" i="4"/>
  <c r="BT53" i="4"/>
  <c r="BO53" i="4"/>
  <c r="BN53" i="4"/>
  <c r="CE52" i="4"/>
  <c r="CD52" i="4"/>
  <c r="CC52" i="4"/>
  <c r="CA52" i="4"/>
  <c r="BU52" i="4"/>
  <c r="BT52" i="4"/>
  <c r="BO52" i="4"/>
  <c r="BN52" i="4"/>
  <c r="CE51" i="4"/>
  <c r="CD51" i="4"/>
  <c r="BU51" i="4"/>
  <c r="BT51" i="4"/>
  <c r="BO51" i="4"/>
  <c r="BN51" i="4"/>
  <c r="CE50" i="4"/>
  <c r="CD50" i="4"/>
  <c r="BU50" i="4"/>
  <c r="BT50" i="4"/>
  <c r="BO50" i="4"/>
  <c r="BN50" i="4"/>
  <c r="CE49" i="4"/>
  <c r="CD49" i="4"/>
  <c r="BU49" i="4"/>
  <c r="BT49" i="4"/>
  <c r="BO49" i="4"/>
  <c r="BN49" i="4"/>
  <c r="CE48" i="4"/>
  <c r="CD48" i="4"/>
  <c r="CC48" i="4"/>
  <c r="CA48" i="4"/>
  <c r="BU48" i="4"/>
  <c r="BT48" i="4"/>
  <c r="BO48" i="4"/>
  <c r="BN48" i="4"/>
  <c r="CE47" i="4"/>
  <c r="CD47" i="4"/>
  <c r="BU47" i="4"/>
  <c r="BT47" i="4"/>
  <c r="BO47" i="4"/>
  <c r="BN47" i="4"/>
  <c r="CE46" i="4"/>
  <c r="CD46" i="4"/>
  <c r="CC46" i="4"/>
  <c r="BU46" i="4"/>
  <c r="BT46" i="4"/>
  <c r="BO46" i="4"/>
  <c r="BN46" i="4"/>
  <c r="CE45" i="4"/>
  <c r="CD45" i="4"/>
  <c r="BU45" i="4"/>
  <c r="BT45" i="4"/>
  <c r="BO45" i="4"/>
  <c r="BN45" i="4"/>
  <c r="CE44" i="4"/>
  <c r="CD44" i="4"/>
  <c r="CC44" i="4"/>
  <c r="BU44" i="4"/>
  <c r="BT44" i="4"/>
  <c r="BO44" i="4"/>
  <c r="BN44" i="4"/>
  <c r="CE43" i="4"/>
  <c r="CD43" i="4"/>
  <c r="BU43" i="4"/>
  <c r="BT43" i="4"/>
  <c r="BO43" i="4"/>
  <c r="BN43" i="4"/>
  <c r="CE42" i="4"/>
  <c r="CD42" i="4"/>
  <c r="CC42" i="4"/>
  <c r="CA42" i="4"/>
  <c r="BU42" i="4"/>
  <c r="BT42" i="4"/>
  <c r="BO42" i="4"/>
  <c r="BN42" i="4"/>
  <c r="CE41" i="4"/>
  <c r="CD41" i="4"/>
  <c r="BU41" i="4"/>
  <c r="BT41" i="4"/>
  <c r="BO41" i="4"/>
  <c r="BN41" i="4"/>
  <c r="CE40" i="4"/>
  <c r="CD40" i="4"/>
  <c r="BU40" i="4"/>
  <c r="BT40" i="4"/>
  <c r="BO40" i="4"/>
  <c r="BN40" i="4"/>
  <c r="CE39" i="4"/>
  <c r="CD39" i="4"/>
  <c r="BU39" i="4"/>
  <c r="BT39" i="4"/>
  <c r="BO39" i="4"/>
  <c r="BN39" i="4"/>
  <c r="CE38" i="4"/>
  <c r="CD38" i="4"/>
  <c r="CC38" i="4"/>
  <c r="CA38" i="4"/>
  <c r="BU38" i="4"/>
  <c r="BT38" i="4"/>
  <c r="BO38" i="4"/>
  <c r="BN38" i="4"/>
  <c r="CE37" i="4"/>
  <c r="CD37" i="4"/>
  <c r="BU37" i="4"/>
  <c r="BT37" i="4"/>
  <c r="BO37" i="4"/>
  <c r="BN37" i="4"/>
  <c r="CE36" i="4"/>
  <c r="CD36" i="4"/>
  <c r="CC36" i="4"/>
  <c r="CA36" i="4"/>
  <c r="BU36" i="4"/>
  <c r="BT36" i="4"/>
  <c r="BO36" i="4"/>
  <c r="BN36" i="4"/>
  <c r="CE35" i="4"/>
  <c r="CD35" i="4"/>
  <c r="BU35" i="4"/>
  <c r="BT35" i="4"/>
  <c r="BO35" i="4"/>
  <c r="BN35" i="4"/>
  <c r="CE34" i="4"/>
  <c r="CD34" i="4"/>
  <c r="CC34" i="4"/>
  <c r="BU34" i="4"/>
  <c r="BT34" i="4"/>
  <c r="BO34" i="4"/>
  <c r="BN34" i="4"/>
  <c r="CE33" i="4"/>
  <c r="CD33" i="4"/>
  <c r="BU33" i="4"/>
  <c r="BT33" i="4"/>
  <c r="BO33" i="4"/>
  <c r="BN33" i="4"/>
  <c r="CE32" i="4"/>
  <c r="CD32" i="4"/>
  <c r="CC32" i="4"/>
  <c r="CA32" i="4"/>
  <c r="BU32" i="4"/>
  <c r="BT32" i="4"/>
  <c r="BO32" i="4"/>
  <c r="BN32" i="4"/>
  <c r="CE31" i="4"/>
  <c r="CD31" i="4"/>
  <c r="BU31" i="4"/>
  <c r="BT31" i="4"/>
  <c r="BO31" i="4"/>
  <c r="BN31" i="4"/>
  <c r="CE30" i="4"/>
  <c r="CD30" i="4"/>
  <c r="CA30" i="4"/>
  <c r="BU30" i="4"/>
  <c r="BT30" i="4"/>
  <c r="BO30" i="4"/>
  <c r="BN30" i="4"/>
  <c r="CE29" i="4"/>
  <c r="CD29" i="4"/>
  <c r="CC29" i="4"/>
  <c r="BU29" i="4"/>
  <c r="BT29" i="4"/>
  <c r="BO29" i="4"/>
  <c r="BN29" i="4"/>
  <c r="CE28" i="4"/>
  <c r="CD28" i="4"/>
  <c r="CC28" i="4"/>
  <c r="BU28" i="4"/>
  <c r="BT28" i="4"/>
  <c r="BO28" i="4"/>
  <c r="BN28" i="4"/>
  <c r="CE27" i="4"/>
  <c r="CD27" i="4"/>
  <c r="BU27" i="4"/>
  <c r="BT27" i="4"/>
  <c r="BO27" i="4"/>
  <c r="BN27" i="4"/>
  <c r="CE26" i="4"/>
  <c r="CD26" i="4"/>
  <c r="CC26" i="4"/>
  <c r="BU26" i="4"/>
  <c r="BT26" i="4"/>
  <c r="BO26" i="4"/>
  <c r="BN26" i="4"/>
  <c r="CE25" i="4"/>
  <c r="CD25" i="4"/>
  <c r="BU25" i="4"/>
  <c r="BT25" i="4"/>
  <c r="BO25" i="4"/>
  <c r="BN25" i="4"/>
  <c r="CE24" i="4"/>
  <c r="CD24" i="4"/>
  <c r="CC24" i="4"/>
  <c r="BU24" i="4"/>
  <c r="BT24" i="4"/>
  <c r="BO24" i="4"/>
  <c r="BN24" i="4"/>
  <c r="CE23" i="4"/>
  <c r="CD23" i="4"/>
  <c r="BU23" i="4"/>
  <c r="BT23" i="4"/>
  <c r="BO23" i="4"/>
  <c r="BN23" i="4"/>
  <c r="CE22" i="4"/>
  <c r="CD22" i="4"/>
  <c r="CC22" i="4"/>
  <c r="BU22" i="4"/>
  <c r="BT22" i="4"/>
  <c r="BO22" i="4"/>
  <c r="BN22" i="4"/>
  <c r="CE21" i="4"/>
  <c r="CD21" i="4"/>
  <c r="BU21" i="4"/>
  <c r="BT21" i="4"/>
  <c r="BO21" i="4"/>
  <c r="BN21" i="4"/>
  <c r="CE20" i="4"/>
  <c r="CD20" i="4"/>
  <c r="CC20" i="4"/>
  <c r="CA20" i="4"/>
  <c r="BU20" i="4"/>
  <c r="BT20" i="4"/>
  <c r="BO20" i="4"/>
  <c r="BN20" i="4"/>
  <c r="CE19" i="4"/>
  <c r="CD19" i="4"/>
  <c r="BU19" i="4"/>
  <c r="BT19" i="4"/>
  <c r="BO19" i="4"/>
  <c r="BN19" i="4"/>
  <c r="CE18" i="4"/>
  <c r="CD18" i="4"/>
  <c r="BU18" i="4"/>
  <c r="BT18" i="4"/>
  <c r="BO18" i="4"/>
  <c r="BN18" i="4"/>
  <c r="CE17" i="4"/>
  <c r="CD17" i="4"/>
  <c r="BU17" i="4"/>
  <c r="BT17" i="4"/>
  <c r="BO17" i="4"/>
  <c r="BN17" i="4"/>
  <c r="CE16" i="4"/>
  <c r="CD16" i="4"/>
  <c r="CC16" i="4"/>
  <c r="CA16" i="4"/>
  <c r="BU16" i="4"/>
  <c r="BT16" i="4"/>
  <c r="BO16" i="4"/>
  <c r="BN16" i="4"/>
  <c r="CE15" i="4"/>
  <c r="CD15" i="4"/>
  <c r="BU15" i="4"/>
  <c r="BT15" i="4"/>
  <c r="BO15" i="4"/>
  <c r="BN15" i="4"/>
  <c r="CE14" i="4"/>
  <c r="CD14" i="4"/>
  <c r="CC14" i="4"/>
  <c r="BU14" i="4"/>
  <c r="BT14" i="4"/>
  <c r="BO14" i="4"/>
  <c r="BN14" i="4"/>
  <c r="CE13" i="4"/>
  <c r="CD13" i="4"/>
  <c r="BU13" i="4"/>
  <c r="BT13" i="4"/>
  <c r="BO13" i="4"/>
  <c r="BN13" i="4"/>
  <c r="CE12" i="4"/>
  <c r="CD12" i="4"/>
  <c r="CC12" i="4"/>
  <c r="CA12" i="4"/>
  <c r="BU12" i="4"/>
  <c r="BT12" i="4"/>
  <c r="BO12" i="4"/>
  <c r="BN12" i="4"/>
  <c r="CE11" i="4"/>
  <c r="CD11" i="4"/>
  <c r="BU11" i="4"/>
  <c r="BT11" i="4"/>
  <c r="BO11" i="4"/>
  <c r="BN11" i="4"/>
  <c r="CE10" i="4"/>
  <c r="CD10" i="4"/>
  <c r="BU10" i="4"/>
  <c r="BT10" i="4"/>
  <c r="BO10" i="4"/>
  <c r="BN10" i="4"/>
  <c r="CE9" i="4"/>
  <c r="CD9" i="4"/>
  <c r="BU9" i="4"/>
  <c r="BT9" i="4"/>
  <c r="BO9" i="4"/>
  <c r="BN9" i="4"/>
  <c r="CE8" i="4"/>
  <c r="CD8" i="4"/>
  <c r="CC8" i="4"/>
  <c r="BU8" i="4"/>
  <c r="BT8" i="4"/>
  <c r="BO8" i="4"/>
  <c r="BN8" i="4"/>
  <c r="CE7" i="4"/>
  <c r="CD7" i="4"/>
  <c r="BU7" i="4"/>
  <c r="BT7" i="4"/>
  <c r="BO7" i="4"/>
  <c r="BN7" i="4"/>
  <c r="CE6" i="4"/>
  <c r="CD6" i="4"/>
  <c r="CC6" i="4"/>
  <c r="CA6" i="4"/>
  <c r="BU6" i="4"/>
  <c r="BT6" i="4"/>
  <c r="BO6" i="4"/>
  <c r="BN6" i="4"/>
  <c r="CE5" i="4"/>
  <c r="CD5" i="4"/>
  <c r="BU5" i="4"/>
  <c r="BT5" i="4"/>
  <c r="BO5" i="4"/>
  <c r="BN5" i="4"/>
  <c r="BJ454" i="4"/>
  <c r="BI454" i="4"/>
  <c r="BH454" i="4"/>
  <c r="BF454" i="4"/>
  <c r="AZ454" i="4"/>
  <c r="AY454" i="4"/>
  <c r="AT454" i="4"/>
  <c r="AS454" i="4"/>
  <c r="BJ453" i="4"/>
  <c r="BI453" i="4"/>
  <c r="AZ453" i="4"/>
  <c r="AY453" i="4"/>
  <c r="AT453" i="4"/>
  <c r="AS453" i="4"/>
  <c r="BJ452" i="4"/>
  <c r="BI452" i="4"/>
  <c r="BH452" i="4"/>
  <c r="BF452" i="4"/>
  <c r="AZ452" i="4"/>
  <c r="AY452" i="4"/>
  <c r="AT452" i="4"/>
  <c r="AS452" i="4"/>
  <c r="BJ451" i="4"/>
  <c r="BI451" i="4"/>
  <c r="AZ451" i="4"/>
  <c r="AY451" i="4"/>
  <c r="AT451" i="4"/>
  <c r="AS451" i="4"/>
  <c r="BJ450" i="4"/>
  <c r="BI450" i="4"/>
  <c r="BH450" i="4"/>
  <c r="BF450" i="4"/>
  <c r="AZ450" i="4"/>
  <c r="AY450" i="4"/>
  <c r="AT450" i="4"/>
  <c r="AS450" i="4"/>
  <c r="BJ449" i="4"/>
  <c r="BI449" i="4"/>
  <c r="AZ449" i="4"/>
  <c r="AY449" i="4"/>
  <c r="AT449" i="4"/>
  <c r="AS449" i="4"/>
  <c r="BJ448" i="4"/>
  <c r="BI448" i="4"/>
  <c r="BH448" i="4"/>
  <c r="BF448" i="4"/>
  <c r="AZ448" i="4"/>
  <c r="AY448" i="4"/>
  <c r="AT448" i="4"/>
  <c r="AS448" i="4"/>
  <c r="BJ447" i="4"/>
  <c r="BI447" i="4"/>
  <c r="BH447" i="4"/>
  <c r="AZ447" i="4"/>
  <c r="AY447" i="4"/>
  <c r="AT447" i="4"/>
  <c r="AS447" i="4"/>
  <c r="BJ446" i="4"/>
  <c r="BI446" i="4"/>
  <c r="BH446" i="4"/>
  <c r="BF446" i="4"/>
  <c r="AZ446" i="4"/>
  <c r="AY446" i="4"/>
  <c r="AT446" i="4"/>
  <c r="AS446" i="4"/>
  <c r="BJ445" i="4"/>
  <c r="BI445" i="4"/>
  <c r="AZ445" i="4"/>
  <c r="AY445" i="4"/>
  <c r="AT445" i="4"/>
  <c r="AS445" i="4"/>
  <c r="BJ444" i="4"/>
  <c r="BI444" i="4"/>
  <c r="BH444" i="4"/>
  <c r="BF444" i="4"/>
  <c r="AZ444" i="4"/>
  <c r="AY444" i="4"/>
  <c r="AT444" i="4"/>
  <c r="AS444" i="4"/>
  <c r="BJ443" i="4"/>
  <c r="BI443" i="4"/>
  <c r="AZ443" i="4"/>
  <c r="AY443" i="4"/>
  <c r="AT443" i="4"/>
  <c r="AS443" i="4"/>
  <c r="BJ442" i="4"/>
  <c r="BI442" i="4"/>
  <c r="BH442" i="4"/>
  <c r="BF442" i="4"/>
  <c r="AZ442" i="4"/>
  <c r="AY442" i="4"/>
  <c r="AT442" i="4"/>
  <c r="AS442" i="4"/>
  <c r="BJ441" i="4"/>
  <c r="BI441" i="4"/>
  <c r="AZ441" i="4"/>
  <c r="AY441" i="4"/>
  <c r="AT441" i="4"/>
  <c r="AS441" i="4"/>
  <c r="BJ440" i="4"/>
  <c r="BI440" i="4"/>
  <c r="BH440" i="4"/>
  <c r="BF440" i="4"/>
  <c r="AZ440" i="4"/>
  <c r="AY440" i="4"/>
  <c r="AT440" i="4"/>
  <c r="AS440" i="4"/>
  <c r="BJ439" i="4"/>
  <c r="BI439" i="4"/>
  <c r="BH439" i="4"/>
  <c r="AZ439" i="4"/>
  <c r="AY439" i="4"/>
  <c r="AT439" i="4"/>
  <c r="AS439" i="4"/>
  <c r="BJ438" i="4"/>
  <c r="BI438" i="4"/>
  <c r="BH438" i="4"/>
  <c r="BF438" i="4"/>
  <c r="AZ438" i="4"/>
  <c r="AY438" i="4"/>
  <c r="AT438" i="4"/>
  <c r="AS438" i="4"/>
  <c r="BJ437" i="4"/>
  <c r="BI437" i="4"/>
  <c r="AZ437" i="4"/>
  <c r="AY437" i="4"/>
  <c r="AT437" i="4"/>
  <c r="AS437" i="4"/>
  <c r="BJ436" i="4"/>
  <c r="BI436" i="4"/>
  <c r="BH436" i="4"/>
  <c r="BF436" i="4"/>
  <c r="AZ436" i="4"/>
  <c r="AY436" i="4"/>
  <c r="AT436" i="4"/>
  <c r="AS436" i="4"/>
  <c r="BJ435" i="4"/>
  <c r="BI435" i="4"/>
  <c r="AZ435" i="4"/>
  <c r="AY435" i="4"/>
  <c r="AT435" i="4"/>
  <c r="AS435" i="4"/>
  <c r="BJ434" i="4"/>
  <c r="BI434" i="4"/>
  <c r="BH434" i="4"/>
  <c r="BF434" i="4"/>
  <c r="AZ434" i="4"/>
  <c r="AY434" i="4"/>
  <c r="AT434" i="4"/>
  <c r="AS434" i="4"/>
  <c r="BJ433" i="4"/>
  <c r="BI433" i="4"/>
  <c r="AZ433" i="4"/>
  <c r="AY433" i="4"/>
  <c r="AT433" i="4"/>
  <c r="AS433" i="4"/>
  <c r="BJ432" i="4"/>
  <c r="BI432" i="4"/>
  <c r="BH432" i="4"/>
  <c r="BF432" i="4"/>
  <c r="AZ432" i="4"/>
  <c r="AY432" i="4"/>
  <c r="AT432" i="4"/>
  <c r="AS432" i="4"/>
  <c r="BJ431" i="4"/>
  <c r="BI431" i="4"/>
  <c r="BH431" i="4"/>
  <c r="AZ431" i="4"/>
  <c r="AY431" i="4"/>
  <c r="AT431" i="4"/>
  <c r="AS431" i="4"/>
  <c r="BJ430" i="4"/>
  <c r="BI430" i="4"/>
  <c r="BH430" i="4"/>
  <c r="BF430" i="4"/>
  <c r="AZ430" i="4"/>
  <c r="AY430" i="4"/>
  <c r="AT430" i="4"/>
  <c r="AS430" i="4"/>
  <c r="BJ429" i="4"/>
  <c r="BI429" i="4"/>
  <c r="AZ429" i="4"/>
  <c r="AY429" i="4"/>
  <c r="AT429" i="4"/>
  <c r="AS429" i="4"/>
  <c r="BJ428" i="4"/>
  <c r="BI428" i="4"/>
  <c r="BH428" i="4"/>
  <c r="BF428" i="4"/>
  <c r="AZ428" i="4"/>
  <c r="AY428" i="4"/>
  <c r="AT428" i="4"/>
  <c r="AS428" i="4"/>
  <c r="BJ427" i="4"/>
  <c r="BI427" i="4"/>
  <c r="AZ427" i="4"/>
  <c r="AY427" i="4"/>
  <c r="AT427" i="4"/>
  <c r="AS427" i="4"/>
  <c r="BJ426" i="4"/>
  <c r="BI426" i="4"/>
  <c r="BH426" i="4"/>
  <c r="BF426" i="4"/>
  <c r="AZ426" i="4"/>
  <c r="AY426" i="4"/>
  <c r="AT426" i="4"/>
  <c r="AS426" i="4"/>
  <c r="BJ425" i="4"/>
  <c r="BI425" i="4"/>
  <c r="AZ425" i="4"/>
  <c r="AY425" i="4"/>
  <c r="AT425" i="4"/>
  <c r="AS425" i="4"/>
  <c r="BJ424" i="4"/>
  <c r="BI424" i="4"/>
  <c r="BH424" i="4"/>
  <c r="BF424" i="4"/>
  <c r="AZ424" i="4"/>
  <c r="AY424" i="4"/>
  <c r="AT424" i="4"/>
  <c r="AS424" i="4"/>
  <c r="BJ423" i="4"/>
  <c r="BI423" i="4"/>
  <c r="BH423" i="4"/>
  <c r="AZ423" i="4"/>
  <c r="AY423" i="4"/>
  <c r="AT423" i="4"/>
  <c r="AS423" i="4"/>
  <c r="BJ422" i="4"/>
  <c r="BI422" i="4"/>
  <c r="BH422" i="4"/>
  <c r="BF422" i="4"/>
  <c r="AZ422" i="4"/>
  <c r="AY422" i="4"/>
  <c r="AT422" i="4"/>
  <c r="AS422" i="4"/>
  <c r="BJ421" i="4"/>
  <c r="BI421" i="4"/>
  <c r="AZ421" i="4"/>
  <c r="AY421" i="4"/>
  <c r="AT421" i="4"/>
  <c r="AS421" i="4"/>
  <c r="BJ420" i="4"/>
  <c r="BI420" i="4"/>
  <c r="BH420" i="4"/>
  <c r="BF420" i="4"/>
  <c r="AZ420" i="4"/>
  <c r="AY420" i="4"/>
  <c r="AT420" i="4"/>
  <c r="AS420" i="4"/>
  <c r="BJ419" i="4"/>
  <c r="BI419" i="4"/>
  <c r="AZ419" i="4"/>
  <c r="AY419" i="4"/>
  <c r="AT419" i="4"/>
  <c r="AS419" i="4"/>
  <c r="BJ418" i="4"/>
  <c r="BI418" i="4"/>
  <c r="BH418" i="4"/>
  <c r="BF418" i="4"/>
  <c r="AZ418" i="4"/>
  <c r="AY418" i="4"/>
  <c r="AT418" i="4"/>
  <c r="AS418" i="4"/>
  <c r="BJ417" i="4"/>
  <c r="BI417" i="4"/>
  <c r="AZ417" i="4"/>
  <c r="AY417" i="4"/>
  <c r="AT417" i="4"/>
  <c r="AS417" i="4"/>
  <c r="BJ416" i="4"/>
  <c r="BI416" i="4"/>
  <c r="BH416" i="4"/>
  <c r="BF416" i="4"/>
  <c r="AZ416" i="4"/>
  <c r="AY416" i="4"/>
  <c r="AT416" i="4"/>
  <c r="AS416" i="4"/>
  <c r="BJ415" i="4"/>
  <c r="BI415" i="4"/>
  <c r="BH415" i="4"/>
  <c r="AZ415" i="4"/>
  <c r="AY415" i="4"/>
  <c r="AT415" i="4"/>
  <c r="AS415" i="4"/>
  <c r="BJ414" i="4"/>
  <c r="BI414" i="4"/>
  <c r="BH414" i="4"/>
  <c r="BF414" i="4"/>
  <c r="AZ414" i="4"/>
  <c r="AY414" i="4"/>
  <c r="AT414" i="4"/>
  <c r="AS414" i="4"/>
  <c r="BJ413" i="4"/>
  <c r="BI413" i="4"/>
  <c r="AZ413" i="4"/>
  <c r="AY413" i="4"/>
  <c r="AT413" i="4"/>
  <c r="AS413" i="4"/>
  <c r="BJ412" i="4"/>
  <c r="BI412" i="4"/>
  <c r="BH412" i="4"/>
  <c r="BF412" i="4"/>
  <c r="AZ412" i="4"/>
  <c r="AY412" i="4"/>
  <c r="AT412" i="4"/>
  <c r="AS412" i="4"/>
  <c r="BJ411" i="4"/>
  <c r="BI411" i="4"/>
  <c r="AZ411" i="4"/>
  <c r="AY411" i="4"/>
  <c r="AT411" i="4"/>
  <c r="AS411" i="4"/>
  <c r="BJ410" i="4"/>
  <c r="BI410" i="4"/>
  <c r="BH410" i="4"/>
  <c r="BF410" i="4"/>
  <c r="AZ410" i="4"/>
  <c r="AY410" i="4"/>
  <c r="AT410" i="4"/>
  <c r="AS410" i="4"/>
  <c r="BJ409" i="4"/>
  <c r="BI409" i="4"/>
  <c r="AZ409" i="4"/>
  <c r="AY409" i="4"/>
  <c r="AT409" i="4"/>
  <c r="AS409" i="4"/>
  <c r="BJ408" i="4"/>
  <c r="BI408" i="4"/>
  <c r="BH408" i="4"/>
  <c r="BF408" i="4"/>
  <c r="AZ408" i="4"/>
  <c r="AY408" i="4"/>
  <c r="AT408" i="4"/>
  <c r="AS408" i="4"/>
  <c r="BJ407" i="4"/>
  <c r="BI407" i="4"/>
  <c r="BH407" i="4"/>
  <c r="AZ407" i="4"/>
  <c r="AY407" i="4"/>
  <c r="AT407" i="4"/>
  <c r="AS407" i="4"/>
  <c r="BJ406" i="4"/>
  <c r="BI406" i="4"/>
  <c r="BH406" i="4"/>
  <c r="BF406" i="4"/>
  <c r="AZ406" i="4"/>
  <c r="AY406" i="4"/>
  <c r="AT406" i="4"/>
  <c r="AS406" i="4"/>
  <c r="BJ405" i="4"/>
  <c r="BI405" i="4"/>
  <c r="AZ405" i="4"/>
  <c r="AY405" i="4"/>
  <c r="AT405" i="4"/>
  <c r="AS405" i="4"/>
  <c r="BJ404" i="4"/>
  <c r="BI404" i="4"/>
  <c r="BH404" i="4"/>
  <c r="BF404" i="4"/>
  <c r="AZ404" i="4"/>
  <c r="AY404" i="4"/>
  <c r="AT404" i="4"/>
  <c r="AS404" i="4"/>
  <c r="BJ403" i="4"/>
  <c r="BI403" i="4"/>
  <c r="AZ403" i="4"/>
  <c r="AY403" i="4"/>
  <c r="AT403" i="4"/>
  <c r="AS403" i="4"/>
  <c r="BJ402" i="4"/>
  <c r="BI402" i="4"/>
  <c r="BH402" i="4"/>
  <c r="BF402" i="4"/>
  <c r="AZ402" i="4"/>
  <c r="AY402" i="4"/>
  <c r="AT402" i="4"/>
  <c r="AS402" i="4"/>
  <c r="BJ401" i="4"/>
  <c r="BI401" i="4"/>
  <c r="AZ401" i="4"/>
  <c r="AY401" i="4"/>
  <c r="AT401" i="4"/>
  <c r="AS401" i="4"/>
  <c r="BJ400" i="4"/>
  <c r="BI400" i="4"/>
  <c r="BH400" i="4"/>
  <c r="BF400" i="4"/>
  <c r="AZ400" i="4"/>
  <c r="AY400" i="4"/>
  <c r="AT400" i="4"/>
  <c r="AS400" i="4"/>
  <c r="BJ399" i="4"/>
  <c r="BI399" i="4"/>
  <c r="BH399" i="4"/>
  <c r="AZ399" i="4"/>
  <c r="AY399" i="4"/>
  <c r="AT399" i="4"/>
  <c r="AS399" i="4"/>
  <c r="BJ398" i="4"/>
  <c r="BI398" i="4"/>
  <c r="BH398" i="4"/>
  <c r="BF398" i="4"/>
  <c r="AZ398" i="4"/>
  <c r="AY398" i="4"/>
  <c r="AT398" i="4"/>
  <c r="AS398" i="4"/>
  <c r="BJ397" i="4"/>
  <c r="BI397" i="4"/>
  <c r="AZ397" i="4"/>
  <c r="AY397" i="4"/>
  <c r="AT397" i="4"/>
  <c r="AS397" i="4"/>
  <c r="BJ396" i="4"/>
  <c r="BI396" i="4"/>
  <c r="BH396" i="4"/>
  <c r="BF396" i="4"/>
  <c r="AZ396" i="4"/>
  <c r="AY396" i="4"/>
  <c r="AT396" i="4"/>
  <c r="AS396" i="4"/>
  <c r="BJ395" i="4"/>
  <c r="BI395" i="4"/>
  <c r="BH395" i="4"/>
  <c r="AZ395" i="4"/>
  <c r="AY395" i="4"/>
  <c r="AT395" i="4"/>
  <c r="AS395" i="4"/>
  <c r="BJ394" i="4"/>
  <c r="BI394" i="4"/>
  <c r="BH394" i="4"/>
  <c r="BF394" i="4"/>
  <c r="AZ394" i="4"/>
  <c r="AY394" i="4"/>
  <c r="AT394" i="4"/>
  <c r="AS394" i="4"/>
  <c r="BJ393" i="4"/>
  <c r="BI393" i="4"/>
  <c r="AZ393" i="4"/>
  <c r="AY393" i="4"/>
  <c r="AT393" i="4"/>
  <c r="AS393" i="4"/>
  <c r="BJ392" i="4"/>
  <c r="BI392" i="4"/>
  <c r="BH392" i="4"/>
  <c r="BF392" i="4"/>
  <c r="AZ392" i="4"/>
  <c r="AY392" i="4"/>
  <c r="AT392" i="4"/>
  <c r="AS392" i="4"/>
  <c r="BJ391" i="4"/>
  <c r="BI391" i="4"/>
  <c r="BH391" i="4"/>
  <c r="AZ391" i="4"/>
  <c r="AY391" i="4"/>
  <c r="AT391" i="4"/>
  <c r="AS391" i="4"/>
  <c r="BJ390" i="4"/>
  <c r="BI390" i="4"/>
  <c r="BH390" i="4"/>
  <c r="BF390" i="4"/>
  <c r="AZ390" i="4"/>
  <c r="AY390" i="4"/>
  <c r="AT390" i="4"/>
  <c r="AS390" i="4"/>
  <c r="BJ389" i="4"/>
  <c r="BI389" i="4"/>
  <c r="AZ389" i="4"/>
  <c r="AY389" i="4"/>
  <c r="AT389" i="4"/>
  <c r="AS389" i="4"/>
  <c r="BJ388" i="4"/>
  <c r="BI388" i="4"/>
  <c r="BH388" i="4"/>
  <c r="BF388" i="4"/>
  <c r="AZ388" i="4"/>
  <c r="AY388" i="4"/>
  <c r="AT388" i="4"/>
  <c r="AS388" i="4"/>
  <c r="BJ387" i="4"/>
  <c r="BI387" i="4"/>
  <c r="BH387" i="4"/>
  <c r="AZ387" i="4"/>
  <c r="AY387" i="4"/>
  <c r="AT387" i="4"/>
  <c r="AS387" i="4"/>
  <c r="BJ386" i="4"/>
  <c r="BI386" i="4"/>
  <c r="BH386" i="4"/>
  <c r="BF386" i="4"/>
  <c r="AZ386" i="4"/>
  <c r="AY386" i="4"/>
  <c r="AT386" i="4"/>
  <c r="AS386" i="4"/>
  <c r="BJ385" i="4"/>
  <c r="BI385" i="4"/>
  <c r="AZ385" i="4"/>
  <c r="AY385" i="4"/>
  <c r="AT385" i="4"/>
  <c r="AS385" i="4"/>
  <c r="BJ384" i="4"/>
  <c r="BI384" i="4"/>
  <c r="BH384" i="4"/>
  <c r="BF384" i="4"/>
  <c r="AZ384" i="4"/>
  <c r="AY384" i="4"/>
  <c r="AT384" i="4"/>
  <c r="AS384" i="4"/>
  <c r="BJ383" i="4"/>
  <c r="BI383" i="4"/>
  <c r="BH383" i="4"/>
  <c r="AZ383" i="4"/>
  <c r="AY383" i="4"/>
  <c r="AT383" i="4"/>
  <c r="AS383" i="4"/>
  <c r="BJ382" i="4"/>
  <c r="BI382" i="4"/>
  <c r="BH382" i="4"/>
  <c r="BF382" i="4"/>
  <c r="AZ382" i="4"/>
  <c r="AY382" i="4"/>
  <c r="AT382" i="4"/>
  <c r="AS382" i="4"/>
  <c r="BJ381" i="4"/>
  <c r="BI381" i="4"/>
  <c r="AZ381" i="4"/>
  <c r="AY381" i="4"/>
  <c r="AT381" i="4"/>
  <c r="AS381" i="4"/>
  <c r="BJ380" i="4"/>
  <c r="BI380" i="4"/>
  <c r="BH380" i="4"/>
  <c r="BF380" i="4"/>
  <c r="AZ380" i="4"/>
  <c r="AY380" i="4"/>
  <c r="AT380" i="4"/>
  <c r="AS380" i="4"/>
  <c r="BJ379" i="4"/>
  <c r="BI379" i="4"/>
  <c r="BH379" i="4"/>
  <c r="AZ379" i="4"/>
  <c r="AY379" i="4"/>
  <c r="AT379" i="4"/>
  <c r="AS379" i="4"/>
  <c r="BJ378" i="4"/>
  <c r="BI378" i="4"/>
  <c r="BH378" i="4"/>
  <c r="BF378" i="4"/>
  <c r="AZ378" i="4"/>
  <c r="AY378" i="4"/>
  <c r="AT378" i="4"/>
  <c r="AS378" i="4"/>
  <c r="BJ377" i="4"/>
  <c r="BI377" i="4"/>
  <c r="AZ377" i="4"/>
  <c r="AY377" i="4"/>
  <c r="AT377" i="4"/>
  <c r="AS377" i="4"/>
  <c r="BJ376" i="4"/>
  <c r="BI376" i="4"/>
  <c r="BH376" i="4"/>
  <c r="BF376" i="4"/>
  <c r="AZ376" i="4"/>
  <c r="AY376" i="4"/>
  <c r="AT376" i="4"/>
  <c r="AS376" i="4"/>
  <c r="BJ375" i="4"/>
  <c r="BI375" i="4"/>
  <c r="BH375" i="4"/>
  <c r="AZ375" i="4"/>
  <c r="AY375" i="4"/>
  <c r="AT375" i="4"/>
  <c r="AS375" i="4"/>
  <c r="BJ374" i="4"/>
  <c r="BI374" i="4"/>
  <c r="BH374" i="4"/>
  <c r="BF374" i="4"/>
  <c r="AZ374" i="4"/>
  <c r="AY374" i="4"/>
  <c r="AT374" i="4"/>
  <c r="AS374" i="4"/>
  <c r="BJ373" i="4"/>
  <c r="BI373" i="4"/>
  <c r="AZ373" i="4"/>
  <c r="AY373" i="4"/>
  <c r="AT373" i="4"/>
  <c r="AS373" i="4"/>
  <c r="BJ372" i="4"/>
  <c r="BI372" i="4"/>
  <c r="BH372" i="4"/>
  <c r="BF372" i="4"/>
  <c r="AZ372" i="4"/>
  <c r="AY372" i="4"/>
  <c r="AT372" i="4"/>
  <c r="AS372" i="4"/>
  <c r="BJ371" i="4"/>
  <c r="BI371" i="4"/>
  <c r="BH371" i="4"/>
  <c r="AZ371" i="4"/>
  <c r="AY371" i="4"/>
  <c r="AT371" i="4"/>
  <c r="AS371" i="4"/>
  <c r="BJ370" i="4"/>
  <c r="BI370" i="4"/>
  <c r="BH370" i="4"/>
  <c r="BF370" i="4"/>
  <c r="AZ370" i="4"/>
  <c r="AY370" i="4"/>
  <c r="AT370" i="4"/>
  <c r="AS370" i="4"/>
  <c r="BJ369" i="4"/>
  <c r="BI369" i="4"/>
  <c r="AZ369" i="4"/>
  <c r="AY369" i="4"/>
  <c r="AT369" i="4"/>
  <c r="AS369" i="4"/>
  <c r="BJ368" i="4"/>
  <c r="BI368" i="4"/>
  <c r="BH368" i="4"/>
  <c r="BF368" i="4"/>
  <c r="AZ368" i="4"/>
  <c r="AY368" i="4"/>
  <c r="AT368" i="4"/>
  <c r="AS368" i="4"/>
  <c r="BJ367" i="4"/>
  <c r="BI367" i="4"/>
  <c r="BH367" i="4"/>
  <c r="AZ367" i="4"/>
  <c r="AY367" i="4"/>
  <c r="AT367" i="4"/>
  <c r="AS367" i="4"/>
  <c r="BJ366" i="4"/>
  <c r="BI366" i="4"/>
  <c r="BH366" i="4"/>
  <c r="BF366" i="4"/>
  <c r="AZ366" i="4"/>
  <c r="AY366" i="4"/>
  <c r="AT366" i="4"/>
  <c r="AS366" i="4"/>
  <c r="BJ365" i="4"/>
  <c r="BI365" i="4"/>
  <c r="AZ365" i="4"/>
  <c r="AY365" i="4"/>
  <c r="AT365" i="4"/>
  <c r="AS365" i="4"/>
  <c r="BJ364" i="4"/>
  <c r="BI364" i="4"/>
  <c r="BH364" i="4"/>
  <c r="BF364" i="4"/>
  <c r="AZ364" i="4"/>
  <c r="AY364" i="4"/>
  <c r="AT364" i="4"/>
  <c r="AS364" i="4"/>
  <c r="BJ363" i="4"/>
  <c r="BI363" i="4"/>
  <c r="BH363" i="4"/>
  <c r="AZ363" i="4"/>
  <c r="AY363" i="4"/>
  <c r="AT363" i="4"/>
  <c r="AS363" i="4"/>
  <c r="BJ362" i="4"/>
  <c r="BI362" i="4"/>
  <c r="BH362" i="4"/>
  <c r="BF362" i="4"/>
  <c r="AZ362" i="4"/>
  <c r="AY362" i="4"/>
  <c r="AT362" i="4"/>
  <c r="AS362" i="4"/>
  <c r="BJ361" i="4"/>
  <c r="BI361" i="4"/>
  <c r="AZ361" i="4"/>
  <c r="AY361" i="4"/>
  <c r="AT361" i="4"/>
  <c r="AS361" i="4"/>
  <c r="BJ360" i="4"/>
  <c r="BI360" i="4"/>
  <c r="BH360" i="4"/>
  <c r="BF360" i="4"/>
  <c r="AZ360" i="4"/>
  <c r="AY360" i="4"/>
  <c r="AT360" i="4"/>
  <c r="AS360" i="4"/>
  <c r="BJ359" i="4"/>
  <c r="BI359" i="4"/>
  <c r="BH359" i="4"/>
  <c r="AZ359" i="4"/>
  <c r="AY359" i="4"/>
  <c r="AT359" i="4"/>
  <c r="AS359" i="4"/>
  <c r="BJ358" i="4"/>
  <c r="BI358" i="4"/>
  <c r="BH358" i="4"/>
  <c r="BF358" i="4"/>
  <c r="AZ358" i="4"/>
  <c r="AY358" i="4"/>
  <c r="AT358" i="4"/>
  <c r="AS358" i="4"/>
  <c r="BJ357" i="4"/>
  <c r="BI357" i="4"/>
  <c r="AZ357" i="4"/>
  <c r="AY357" i="4"/>
  <c r="AT357" i="4"/>
  <c r="AS357" i="4"/>
  <c r="BJ356" i="4"/>
  <c r="BI356" i="4"/>
  <c r="BH356" i="4"/>
  <c r="BF356" i="4"/>
  <c r="AZ356" i="4"/>
  <c r="AY356" i="4"/>
  <c r="AT356" i="4"/>
  <c r="AS356" i="4"/>
  <c r="BJ355" i="4"/>
  <c r="BI355" i="4"/>
  <c r="BH355" i="4"/>
  <c r="AZ355" i="4"/>
  <c r="AY355" i="4"/>
  <c r="AT355" i="4"/>
  <c r="AS355" i="4"/>
  <c r="BJ354" i="4"/>
  <c r="BI354" i="4"/>
  <c r="BH354" i="4"/>
  <c r="BF354" i="4"/>
  <c r="AZ354" i="4"/>
  <c r="AY354" i="4"/>
  <c r="AT354" i="4"/>
  <c r="AS354" i="4"/>
  <c r="BJ353" i="4"/>
  <c r="BI353" i="4"/>
  <c r="AZ353" i="4"/>
  <c r="AY353" i="4"/>
  <c r="AT353" i="4"/>
  <c r="AS353" i="4"/>
  <c r="BJ352" i="4"/>
  <c r="BI352" i="4"/>
  <c r="BH352" i="4"/>
  <c r="BF352" i="4"/>
  <c r="AZ352" i="4"/>
  <c r="AY352" i="4"/>
  <c r="AT352" i="4"/>
  <c r="AS352" i="4"/>
  <c r="BJ351" i="4"/>
  <c r="BI351" i="4"/>
  <c r="BH351" i="4"/>
  <c r="AZ351" i="4"/>
  <c r="AY351" i="4"/>
  <c r="AT351" i="4"/>
  <c r="AS351" i="4"/>
  <c r="BJ350" i="4"/>
  <c r="BI350" i="4"/>
  <c r="BH350" i="4"/>
  <c r="BF350" i="4"/>
  <c r="AZ350" i="4"/>
  <c r="AY350" i="4"/>
  <c r="AT350" i="4"/>
  <c r="AS350" i="4"/>
  <c r="BJ349" i="4"/>
  <c r="BI349" i="4"/>
  <c r="AZ349" i="4"/>
  <c r="AY349" i="4"/>
  <c r="AT349" i="4"/>
  <c r="AS349" i="4"/>
  <c r="BJ348" i="4"/>
  <c r="BI348" i="4"/>
  <c r="BH348" i="4"/>
  <c r="BF348" i="4"/>
  <c r="AZ348" i="4"/>
  <c r="AY348" i="4"/>
  <c r="AT348" i="4"/>
  <c r="AS348" i="4"/>
  <c r="BJ347" i="4"/>
  <c r="BI347" i="4"/>
  <c r="BH347" i="4"/>
  <c r="AZ347" i="4"/>
  <c r="AY347" i="4"/>
  <c r="AT347" i="4"/>
  <c r="AS347" i="4"/>
  <c r="BJ346" i="4"/>
  <c r="BI346" i="4"/>
  <c r="BH346" i="4"/>
  <c r="BF346" i="4"/>
  <c r="AZ346" i="4"/>
  <c r="AY346" i="4"/>
  <c r="AT346" i="4"/>
  <c r="AS346" i="4"/>
  <c r="BJ345" i="4"/>
  <c r="BI345" i="4"/>
  <c r="AZ345" i="4"/>
  <c r="AY345" i="4"/>
  <c r="AT345" i="4"/>
  <c r="AS345" i="4"/>
  <c r="BJ344" i="4"/>
  <c r="BI344" i="4"/>
  <c r="BH344" i="4"/>
  <c r="BF344" i="4"/>
  <c r="AZ344" i="4"/>
  <c r="AY344" i="4"/>
  <c r="AT344" i="4"/>
  <c r="AS344" i="4"/>
  <c r="BJ343" i="4"/>
  <c r="BI343" i="4"/>
  <c r="BH343" i="4"/>
  <c r="AZ343" i="4"/>
  <c r="AY343" i="4"/>
  <c r="AT343" i="4"/>
  <c r="AS343" i="4"/>
  <c r="BJ342" i="4"/>
  <c r="BI342" i="4"/>
  <c r="BH342" i="4"/>
  <c r="BF342" i="4"/>
  <c r="AZ342" i="4"/>
  <c r="AY342" i="4"/>
  <c r="AT342" i="4"/>
  <c r="AS342" i="4"/>
  <c r="BJ341" i="4"/>
  <c r="BI341" i="4"/>
  <c r="AZ341" i="4"/>
  <c r="AY341" i="4"/>
  <c r="AT341" i="4"/>
  <c r="AS341" i="4"/>
  <c r="BJ340" i="4"/>
  <c r="BI340" i="4"/>
  <c r="BH340" i="4"/>
  <c r="BF340" i="4"/>
  <c r="AZ340" i="4"/>
  <c r="AY340" i="4"/>
  <c r="AT340" i="4"/>
  <c r="AS340" i="4"/>
  <c r="BJ339" i="4"/>
  <c r="BI339" i="4"/>
  <c r="BH339" i="4"/>
  <c r="AZ339" i="4"/>
  <c r="AY339" i="4"/>
  <c r="AT339" i="4"/>
  <c r="AS339" i="4"/>
  <c r="BJ338" i="4"/>
  <c r="BI338" i="4"/>
  <c r="BH338" i="4"/>
  <c r="BF338" i="4"/>
  <c r="AZ338" i="4"/>
  <c r="AY338" i="4"/>
  <c r="AT338" i="4"/>
  <c r="AS338" i="4"/>
  <c r="BJ337" i="4"/>
  <c r="BI337" i="4"/>
  <c r="AZ337" i="4"/>
  <c r="AY337" i="4"/>
  <c r="AT337" i="4"/>
  <c r="AS337" i="4"/>
  <c r="BJ336" i="4"/>
  <c r="BI336" i="4"/>
  <c r="BH336" i="4"/>
  <c r="BF336" i="4"/>
  <c r="AZ336" i="4"/>
  <c r="AY336" i="4"/>
  <c r="AT336" i="4"/>
  <c r="AS336" i="4"/>
  <c r="BJ335" i="4"/>
  <c r="BI335" i="4"/>
  <c r="BH335" i="4"/>
  <c r="AZ335" i="4"/>
  <c r="AY335" i="4"/>
  <c r="AT335" i="4"/>
  <c r="AS335" i="4"/>
  <c r="BJ334" i="4"/>
  <c r="BI334" i="4"/>
  <c r="BH334" i="4"/>
  <c r="BF334" i="4"/>
  <c r="AZ334" i="4"/>
  <c r="AY334" i="4"/>
  <c r="AT334" i="4"/>
  <c r="AS334" i="4"/>
  <c r="BJ333" i="4"/>
  <c r="BI333" i="4"/>
  <c r="AZ333" i="4"/>
  <c r="AY333" i="4"/>
  <c r="AT333" i="4"/>
  <c r="AS333" i="4"/>
  <c r="BJ332" i="4"/>
  <c r="BI332" i="4"/>
  <c r="BH332" i="4"/>
  <c r="BF332" i="4"/>
  <c r="AZ332" i="4"/>
  <c r="AY332" i="4"/>
  <c r="AT332" i="4"/>
  <c r="AS332" i="4"/>
  <c r="BJ331" i="4"/>
  <c r="BI331" i="4"/>
  <c r="BH331" i="4"/>
  <c r="AZ331" i="4"/>
  <c r="AY331" i="4"/>
  <c r="AT331" i="4"/>
  <c r="AS331" i="4"/>
  <c r="BJ330" i="4"/>
  <c r="BI330" i="4"/>
  <c r="BH330" i="4"/>
  <c r="BF330" i="4"/>
  <c r="AZ330" i="4"/>
  <c r="AY330" i="4"/>
  <c r="AT330" i="4"/>
  <c r="AS330" i="4"/>
  <c r="BJ329" i="4"/>
  <c r="BI329" i="4"/>
  <c r="AZ329" i="4"/>
  <c r="AY329" i="4"/>
  <c r="AT329" i="4"/>
  <c r="AS329" i="4"/>
  <c r="BJ328" i="4"/>
  <c r="BI328" i="4"/>
  <c r="BH328" i="4"/>
  <c r="BF328" i="4"/>
  <c r="AZ328" i="4"/>
  <c r="AY328" i="4"/>
  <c r="AT328" i="4"/>
  <c r="AS328" i="4"/>
  <c r="BJ327" i="4"/>
  <c r="BI327" i="4"/>
  <c r="BH327" i="4"/>
  <c r="AZ327" i="4"/>
  <c r="AY327" i="4"/>
  <c r="AT327" i="4"/>
  <c r="AS327" i="4"/>
  <c r="BJ326" i="4"/>
  <c r="BI326" i="4"/>
  <c r="BH326" i="4"/>
  <c r="BF326" i="4"/>
  <c r="AZ326" i="4"/>
  <c r="AY326" i="4"/>
  <c r="AT326" i="4"/>
  <c r="AS326" i="4"/>
  <c r="BJ325" i="4"/>
  <c r="BI325" i="4"/>
  <c r="AZ325" i="4"/>
  <c r="AY325" i="4"/>
  <c r="AT325" i="4"/>
  <c r="AS325" i="4"/>
  <c r="BJ324" i="4"/>
  <c r="BI324" i="4"/>
  <c r="BH324" i="4"/>
  <c r="BF324" i="4"/>
  <c r="AZ324" i="4"/>
  <c r="AY324" i="4"/>
  <c r="AT324" i="4"/>
  <c r="AS324" i="4"/>
  <c r="BJ323" i="4"/>
  <c r="BI323" i="4"/>
  <c r="BH323" i="4"/>
  <c r="AZ323" i="4"/>
  <c r="AY323" i="4"/>
  <c r="AT323" i="4"/>
  <c r="AS323" i="4"/>
  <c r="BJ322" i="4"/>
  <c r="BI322" i="4"/>
  <c r="BH322" i="4"/>
  <c r="BF322" i="4"/>
  <c r="AZ322" i="4"/>
  <c r="AY322" i="4"/>
  <c r="AT322" i="4"/>
  <c r="AS322" i="4"/>
  <c r="BJ321" i="4"/>
  <c r="BI321" i="4"/>
  <c r="AZ321" i="4"/>
  <c r="AY321" i="4"/>
  <c r="AT321" i="4"/>
  <c r="AS321" i="4"/>
  <c r="BJ320" i="4"/>
  <c r="BI320" i="4"/>
  <c r="BH320" i="4"/>
  <c r="BF320" i="4"/>
  <c r="AZ320" i="4"/>
  <c r="AY320" i="4"/>
  <c r="AT320" i="4"/>
  <c r="AS320" i="4"/>
  <c r="BJ319" i="4"/>
  <c r="BI319" i="4"/>
  <c r="BH319" i="4"/>
  <c r="AZ319" i="4"/>
  <c r="AY319" i="4"/>
  <c r="AT319" i="4"/>
  <c r="AS319" i="4"/>
  <c r="BJ318" i="4"/>
  <c r="BI318" i="4"/>
  <c r="BH318" i="4"/>
  <c r="BF318" i="4"/>
  <c r="AZ318" i="4"/>
  <c r="AY318" i="4"/>
  <c r="AT318" i="4"/>
  <c r="AS318" i="4"/>
  <c r="BJ317" i="4"/>
  <c r="BI317" i="4"/>
  <c r="AZ317" i="4"/>
  <c r="AY317" i="4"/>
  <c r="AT317" i="4"/>
  <c r="AS317" i="4"/>
  <c r="BJ316" i="4"/>
  <c r="BI316" i="4"/>
  <c r="BH316" i="4"/>
  <c r="BF316" i="4"/>
  <c r="AZ316" i="4"/>
  <c r="AY316" i="4"/>
  <c r="AT316" i="4"/>
  <c r="AS316" i="4"/>
  <c r="BJ315" i="4"/>
  <c r="BI315" i="4"/>
  <c r="BH315" i="4"/>
  <c r="AZ315" i="4"/>
  <c r="AY315" i="4"/>
  <c r="AT315" i="4"/>
  <c r="AS315" i="4"/>
  <c r="BJ314" i="4"/>
  <c r="BI314" i="4"/>
  <c r="BH314" i="4"/>
  <c r="BF314" i="4"/>
  <c r="AZ314" i="4"/>
  <c r="AY314" i="4"/>
  <c r="AT314" i="4"/>
  <c r="AS314" i="4"/>
  <c r="BJ313" i="4"/>
  <c r="BI313" i="4"/>
  <c r="AZ313" i="4"/>
  <c r="AY313" i="4"/>
  <c r="AT313" i="4"/>
  <c r="AS313" i="4"/>
  <c r="BJ312" i="4"/>
  <c r="BI312" i="4"/>
  <c r="BH312" i="4"/>
  <c r="BF312" i="4"/>
  <c r="AZ312" i="4"/>
  <c r="AY312" i="4"/>
  <c r="AT312" i="4"/>
  <c r="AS312" i="4"/>
  <c r="BJ311" i="4"/>
  <c r="BI311" i="4"/>
  <c r="BH311" i="4"/>
  <c r="AZ311" i="4"/>
  <c r="AY311" i="4"/>
  <c r="AT311" i="4"/>
  <c r="AS311" i="4"/>
  <c r="BJ310" i="4"/>
  <c r="BI310" i="4"/>
  <c r="BH310" i="4"/>
  <c r="BF310" i="4"/>
  <c r="AZ310" i="4"/>
  <c r="AY310" i="4"/>
  <c r="AT310" i="4"/>
  <c r="AS310" i="4"/>
  <c r="BJ309" i="4"/>
  <c r="BI309" i="4"/>
  <c r="AZ309" i="4"/>
  <c r="AY309" i="4"/>
  <c r="AT309" i="4"/>
  <c r="AS309" i="4"/>
  <c r="BJ308" i="4"/>
  <c r="BI308" i="4"/>
  <c r="BH308" i="4"/>
  <c r="BF308" i="4"/>
  <c r="AZ308" i="4"/>
  <c r="AY308" i="4"/>
  <c r="AT308" i="4"/>
  <c r="AS308" i="4"/>
  <c r="BJ307" i="4"/>
  <c r="BI307" i="4"/>
  <c r="BH307" i="4"/>
  <c r="AZ307" i="4"/>
  <c r="AY307" i="4"/>
  <c r="AT307" i="4"/>
  <c r="AS307" i="4"/>
  <c r="BJ306" i="4"/>
  <c r="BI306" i="4"/>
  <c r="BH306" i="4"/>
  <c r="BF306" i="4"/>
  <c r="AZ306" i="4"/>
  <c r="AY306" i="4"/>
  <c r="AT306" i="4"/>
  <c r="AS306" i="4"/>
  <c r="BJ305" i="4"/>
  <c r="BI305" i="4"/>
  <c r="AZ305" i="4"/>
  <c r="AY305" i="4"/>
  <c r="AT305" i="4"/>
  <c r="AS305" i="4"/>
  <c r="BJ304" i="4"/>
  <c r="BI304" i="4"/>
  <c r="BH304" i="4"/>
  <c r="BF304" i="4"/>
  <c r="AZ304" i="4"/>
  <c r="AY304" i="4"/>
  <c r="AT304" i="4"/>
  <c r="AS304" i="4"/>
  <c r="BJ303" i="4"/>
  <c r="BI303" i="4"/>
  <c r="BH303" i="4"/>
  <c r="AZ303" i="4"/>
  <c r="AY303" i="4"/>
  <c r="AT303" i="4"/>
  <c r="AS303" i="4"/>
  <c r="BJ302" i="4"/>
  <c r="BI302" i="4"/>
  <c r="BH302" i="4"/>
  <c r="BF302" i="4"/>
  <c r="AZ302" i="4"/>
  <c r="AY302" i="4"/>
  <c r="AT302" i="4"/>
  <c r="AS302" i="4"/>
  <c r="BJ301" i="4"/>
  <c r="BI301" i="4"/>
  <c r="AZ301" i="4"/>
  <c r="AY301" i="4"/>
  <c r="AT301" i="4"/>
  <c r="AS301" i="4"/>
  <c r="BJ300" i="4"/>
  <c r="BI300" i="4"/>
  <c r="BH300" i="4"/>
  <c r="BF300" i="4"/>
  <c r="AZ300" i="4"/>
  <c r="AY300" i="4"/>
  <c r="AT300" i="4"/>
  <c r="AS300" i="4"/>
  <c r="BJ299" i="4"/>
  <c r="BI299" i="4"/>
  <c r="BH299" i="4"/>
  <c r="AZ299" i="4"/>
  <c r="AY299" i="4"/>
  <c r="AT299" i="4"/>
  <c r="AS299" i="4"/>
  <c r="BJ298" i="4"/>
  <c r="BI298" i="4"/>
  <c r="BH298" i="4"/>
  <c r="BF298" i="4"/>
  <c r="AZ298" i="4"/>
  <c r="AY298" i="4"/>
  <c r="AT298" i="4"/>
  <c r="AS298" i="4"/>
  <c r="BJ297" i="4"/>
  <c r="BI297" i="4"/>
  <c r="AZ297" i="4"/>
  <c r="AY297" i="4"/>
  <c r="AT297" i="4"/>
  <c r="AS297" i="4"/>
  <c r="BJ296" i="4"/>
  <c r="BI296" i="4"/>
  <c r="BH296" i="4"/>
  <c r="BF296" i="4"/>
  <c r="AZ296" i="4"/>
  <c r="AY296" i="4"/>
  <c r="AT296" i="4"/>
  <c r="AS296" i="4"/>
  <c r="BJ295" i="4"/>
  <c r="BI295" i="4"/>
  <c r="BH295" i="4"/>
  <c r="AZ295" i="4"/>
  <c r="AY295" i="4"/>
  <c r="AT295" i="4"/>
  <c r="AS295" i="4"/>
  <c r="BJ294" i="4"/>
  <c r="BI294" i="4"/>
  <c r="BH294" i="4"/>
  <c r="BF294" i="4"/>
  <c r="AZ294" i="4"/>
  <c r="AY294" i="4"/>
  <c r="AT294" i="4"/>
  <c r="AS294" i="4"/>
  <c r="BJ293" i="4"/>
  <c r="BI293" i="4"/>
  <c r="AZ293" i="4"/>
  <c r="AY293" i="4"/>
  <c r="AT293" i="4"/>
  <c r="AS293" i="4"/>
  <c r="BJ292" i="4"/>
  <c r="BI292" i="4"/>
  <c r="BH292" i="4"/>
  <c r="BF292" i="4"/>
  <c r="AZ292" i="4"/>
  <c r="AY292" i="4"/>
  <c r="AT292" i="4"/>
  <c r="AS292" i="4"/>
  <c r="BJ291" i="4"/>
  <c r="BI291" i="4"/>
  <c r="BH291" i="4"/>
  <c r="AZ291" i="4"/>
  <c r="AY291" i="4"/>
  <c r="AT291" i="4"/>
  <c r="AS291" i="4"/>
  <c r="BJ290" i="4"/>
  <c r="BI290" i="4"/>
  <c r="BH290" i="4"/>
  <c r="BF290" i="4"/>
  <c r="AZ290" i="4"/>
  <c r="AY290" i="4"/>
  <c r="AT290" i="4"/>
  <c r="AS290" i="4"/>
  <c r="BJ289" i="4"/>
  <c r="BI289" i="4"/>
  <c r="AZ289" i="4"/>
  <c r="AY289" i="4"/>
  <c r="AT289" i="4"/>
  <c r="AS289" i="4"/>
  <c r="BJ288" i="4"/>
  <c r="BI288" i="4"/>
  <c r="BH288" i="4"/>
  <c r="BF288" i="4"/>
  <c r="AZ288" i="4"/>
  <c r="AY288" i="4"/>
  <c r="AT288" i="4"/>
  <c r="AS288" i="4"/>
  <c r="BJ287" i="4"/>
  <c r="BI287" i="4"/>
  <c r="BH287" i="4"/>
  <c r="AZ287" i="4"/>
  <c r="AY287" i="4"/>
  <c r="AT287" i="4"/>
  <c r="AS287" i="4"/>
  <c r="BJ286" i="4"/>
  <c r="BI286" i="4"/>
  <c r="BH286" i="4"/>
  <c r="BF286" i="4"/>
  <c r="AZ286" i="4"/>
  <c r="AY286" i="4"/>
  <c r="AT286" i="4"/>
  <c r="AS286" i="4"/>
  <c r="BJ285" i="4"/>
  <c r="BI285" i="4"/>
  <c r="AZ285" i="4"/>
  <c r="AY285" i="4"/>
  <c r="AT285" i="4"/>
  <c r="AS285" i="4"/>
  <c r="BJ284" i="4"/>
  <c r="BI284" i="4"/>
  <c r="BH284" i="4"/>
  <c r="BF284" i="4"/>
  <c r="AZ284" i="4"/>
  <c r="AY284" i="4"/>
  <c r="AT284" i="4"/>
  <c r="AS284" i="4"/>
  <c r="BJ283" i="4"/>
  <c r="BI283" i="4"/>
  <c r="BH283" i="4"/>
  <c r="AZ283" i="4"/>
  <c r="AY283" i="4"/>
  <c r="AT283" i="4"/>
  <c r="AS283" i="4"/>
  <c r="BJ282" i="4"/>
  <c r="BI282" i="4"/>
  <c r="BH282" i="4"/>
  <c r="BF282" i="4"/>
  <c r="AZ282" i="4"/>
  <c r="AY282" i="4"/>
  <c r="AT282" i="4"/>
  <c r="AS282" i="4"/>
  <c r="BJ281" i="4"/>
  <c r="BI281" i="4"/>
  <c r="AZ281" i="4"/>
  <c r="AY281" i="4"/>
  <c r="AT281" i="4"/>
  <c r="AS281" i="4"/>
  <c r="BJ280" i="4"/>
  <c r="BI280" i="4"/>
  <c r="BH280" i="4"/>
  <c r="BF280" i="4"/>
  <c r="AZ280" i="4"/>
  <c r="AY280" i="4"/>
  <c r="AT280" i="4"/>
  <c r="AS280" i="4"/>
  <c r="BJ279" i="4"/>
  <c r="BI279" i="4"/>
  <c r="BH279" i="4"/>
  <c r="AZ279" i="4"/>
  <c r="AY279" i="4"/>
  <c r="AT279" i="4"/>
  <c r="AS279" i="4"/>
  <c r="BJ278" i="4"/>
  <c r="BI278" i="4"/>
  <c r="BH278" i="4"/>
  <c r="BF278" i="4"/>
  <c r="AZ278" i="4"/>
  <c r="AY278" i="4"/>
  <c r="AT278" i="4"/>
  <c r="AS278" i="4"/>
  <c r="BJ277" i="4"/>
  <c r="BI277" i="4"/>
  <c r="AZ277" i="4"/>
  <c r="AY277" i="4"/>
  <c r="AT277" i="4"/>
  <c r="AS277" i="4"/>
  <c r="BJ276" i="4"/>
  <c r="BI276" i="4"/>
  <c r="BH276" i="4"/>
  <c r="BF276" i="4"/>
  <c r="AZ276" i="4"/>
  <c r="AY276" i="4"/>
  <c r="AT276" i="4"/>
  <c r="AS276" i="4"/>
  <c r="BJ275" i="4"/>
  <c r="BI275" i="4"/>
  <c r="BH275" i="4"/>
  <c r="AZ275" i="4"/>
  <c r="AY275" i="4"/>
  <c r="AT275" i="4"/>
  <c r="AS275" i="4"/>
  <c r="BJ274" i="4"/>
  <c r="BI274" i="4"/>
  <c r="BH274" i="4"/>
  <c r="BF274" i="4"/>
  <c r="AZ274" i="4"/>
  <c r="AY274" i="4"/>
  <c r="AT274" i="4"/>
  <c r="AS274" i="4"/>
  <c r="BJ273" i="4"/>
  <c r="BI273" i="4"/>
  <c r="AZ273" i="4"/>
  <c r="AY273" i="4"/>
  <c r="AT273" i="4"/>
  <c r="AS273" i="4"/>
  <c r="BJ272" i="4"/>
  <c r="BI272" i="4"/>
  <c r="BH272" i="4"/>
  <c r="BF272" i="4"/>
  <c r="AZ272" i="4"/>
  <c r="AY272" i="4"/>
  <c r="AT272" i="4"/>
  <c r="AS272" i="4"/>
  <c r="BJ271" i="4"/>
  <c r="BI271" i="4"/>
  <c r="BH271" i="4"/>
  <c r="AZ271" i="4"/>
  <c r="AY271" i="4"/>
  <c r="AT271" i="4"/>
  <c r="AS271" i="4"/>
  <c r="BJ270" i="4"/>
  <c r="BI270" i="4"/>
  <c r="BH270" i="4"/>
  <c r="BF270" i="4"/>
  <c r="AZ270" i="4"/>
  <c r="AY270" i="4"/>
  <c r="AT270" i="4"/>
  <c r="AS270" i="4"/>
  <c r="BJ269" i="4"/>
  <c r="BI269" i="4"/>
  <c r="AZ269" i="4"/>
  <c r="AY269" i="4"/>
  <c r="AT269" i="4"/>
  <c r="AS269" i="4"/>
  <c r="BJ268" i="4"/>
  <c r="BI268" i="4"/>
  <c r="BH268" i="4"/>
  <c r="BF268" i="4"/>
  <c r="AZ268" i="4"/>
  <c r="AY268" i="4"/>
  <c r="AT268" i="4"/>
  <c r="AS268" i="4"/>
  <c r="BJ267" i="4"/>
  <c r="BI267" i="4"/>
  <c r="BH267" i="4"/>
  <c r="AZ267" i="4"/>
  <c r="AY267" i="4"/>
  <c r="AT267" i="4"/>
  <c r="AS267" i="4"/>
  <c r="BJ266" i="4"/>
  <c r="BI266" i="4"/>
  <c r="BH266" i="4"/>
  <c r="BF266" i="4"/>
  <c r="AZ266" i="4"/>
  <c r="AY266" i="4"/>
  <c r="AT266" i="4"/>
  <c r="AS266" i="4"/>
  <c r="BJ265" i="4"/>
  <c r="BI265" i="4"/>
  <c r="AZ265" i="4"/>
  <c r="AY265" i="4"/>
  <c r="AT265" i="4"/>
  <c r="AS265" i="4"/>
  <c r="BJ264" i="4"/>
  <c r="BI264" i="4"/>
  <c r="BH264" i="4"/>
  <c r="BF264" i="4"/>
  <c r="AZ264" i="4"/>
  <c r="AY264" i="4"/>
  <c r="AT264" i="4"/>
  <c r="AS264" i="4"/>
  <c r="BJ263" i="4"/>
  <c r="BI263" i="4"/>
  <c r="BH263" i="4"/>
  <c r="AZ263" i="4"/>
  <c r="AY263" i="4"/>
  <c r="AT263" i="4"/>
  <c r="AS263" i="4"/>
  <c r="BJ262" i="4"/>
  <c r="BI262" i="4"/>
  <c r="BH262" i="4"/>
  <c r="BF262" i="4"/>
  <c r="AZ262" i="4"/>
  <c r="AY262" i="4"/>
  <c r="AT262" i="4"/>
  <c r="AS262" i="4"/>
  <c r="BJ261" i="4"/>
  <c r="BI261" i="4"/>
  <c r="AZ261" i="4"/>
  <c r="AY261" i="4"/>
  <c r="AT261" i="4"/>
  <c r="AS261" i="4"/>
  <c r="BJ260" i="4"/>
  <c r="BI260" i="4"/>
  <c r="BH260" i="4"/>
  <c r="BF260" i="4"/>
  <c r="AZ260" i="4"/>
  <c r="AY260" i="4"/>
  <c r="AT260" i="4"/>
  <c r="AS260" i="4"/>
  <c r="BJ259" i="4"/>
  <c r="BI259" i="4"/>
  <c r="BH259" i="4"/>
  <c r="AZ259" i="4"/>
  <c r="AY259" i="4"/>
  <c r="AT259" i="4"/>
  <c r="AS259" i="4"/>
  <c r="BJ258" i="4"/>
  <c r="BI258" i="4"/>
  <c r="BH258" i="4"/>
  <c r="BF258" i="4"/>
  <c r="AZ258" i="4"/>
  <c r="AY258" i="4"/>
  <c r="AT258" i="4"/>
  <c r="AS258" i="4"/>
  <c r="BJ257" i="4"/>
  <c r="BI257" i="4"/>
  <c r="AZ257" i="4"/>
  <c r="AY257" i="4"/>
  <c r="AT257" i="4"/>
  <c r="AS257" i="4"/>
  <c r="BJ256" i="4"/>
  <c r="BI256" i="4"/>
  <c r="BH256" i="4"/>
  <c r="BF256" i="4"/>
  <c r="AZ256" i="4"/>
  <c r="AY256" i="4"/>
  <c r="AT256" i="4"/>
  <c r="AS256" i="4"/>
  <c r="BJ255" i="4"/>
  <c r="BI255" i="4"/>
  <c r="BH255" i="4"/>
  <c r="AZ255" i="4"/>
  <c r="AY255" i="4"/>
  <c r="AT255" i="4"/>
  <c r="AS255" i="4"/>
  <c r="BJ254" i="4"/>
  <c r="BI254" i="4"/>
  <c r="BH254" i="4"/>
  <c r="BF254" i="4"/>
  <c r="AZ254" i="4"/>
  <c r="AY254" i="4"/>
  <c r="AT254" i="4"/>
  <c r="AS254" i="4"/>
  <c r="BJ253" i="4"/>
  <c r="BI253" i="4"/>
  <c r="AZ253" i="4"/>
  <c r="AY253" i="4"/>
  <c r="AT253" i="4"/>
  <c r="AS253" i="4"/>
  <c r="BJ252" i="4"/>
  <c r="BI252" i="4"/>
  <c r="BH252" i="4"/>
  <c r="BF252" i="4"/>
  <c r="AZ252" i="4"/>
  <c r="AY252" i="4"/>
  <c r="AT252" i="4"/>
  <c r="AS252" i="4"/>
  <c r="BJ251" i="4"/>
  <c r="BI251" i="4"/>
  <c r="BH251" i="4"/>
  <c r="AZ251" i="4"/>
  <c r="AY251" i="4"/>
  <c r="AT251" i="4"/>
  <c r="AS251" i="4"/>
  <c r="BJ250" i="4"/>
  <c r="BI250" i="4"/>
  <c r="BH250" i="4"/>
  <c r="BF250" i="4"/>
  <c r="AZ250" i="4"/>
  <c r="AY250" i="4"/>
  <c r="AT250" i="4"/>
  <c r="AS250" i="4"/>
  <c r="BJ249" i="4"/>
  <c r="BI249" i="4"/>
  <c r="AZ249" i="4"/>
  <c r="AY249" i="4"/>
  <c r="AT249" i="4"/>
  <c r="AS249" i="4"/>
  <c r="BJ248" i="4"/>
  <c r="BI248" i="4"/>
  <c r="BH248" i="4"/>
  <c r="BF248" i="4"/>
  <c r="AZ248" i="4"/>
  <c r="AY248" i="4"/>
  <c r="AT248" i="4"/>
  <c r="AS248" i="4"/>
  <c r="BJ247" i="4"/>
  <c r="BI247" i="4"/>
  <c r="BH247" i="4"/>
  <c r="AZ247" i="4"/>
  <c r="AY247" i="4"/>
  <c r="AT247" i="4"/>
  <c r="AS247" i="4"/>
  <c r="BJ246" i="4"/>
  <c r="BI246" i="4"/>
  <c r="BH246" i="4"/>
  <c r="BF246" i="4"/>
  <c r="AZ246" i="4"/>
  <c r="AY246" i="4"/>
  <c r="AT246" i="4"/>
  <c r="AS246" i="4"/>
  <c r="BJ245" i="4"/>
  <c r="BI245" i="4"/>
  <c r="AZ245" i="4"/>
  <c r="AY245" i="4"/>
  <c r="AT245" i="4"/>
  <c r="AS245" i="4"/>
  <c r="BJ244" i="4"/>
  <c r="BI244" i="4"/>
  <c r="BH244" i="4"/>
  <c r="BF244" i="4"/>
  <c r="AZ244" i="4"/>
  <c r="AY244" i="4"/>
  <c r="AT244" i="4"/>
  <c r="AS244" i="4"/>
  <c r="BJ243" i="4"/>
  <c r="BI243" i="4"/>
  <c r="BH243" i="4"/>
  <c r="AZ243" i="4"/>
  <c r="AY243" i="4"/>
  <c r="AT243" i="4"/>
  <c r="AS243" i="4"/>
  <c r="BJ242" i="4"/>
  <c r="BI242" i="4"/>
  <c r="BH242" i="4"/>
  <c r="BF242" i="4"/>
  <c r="AZ242" i="4"/>
  <c r="AY242" i="4"/>
  <c r="AT242" i="4"/>
  <c r="AS242" i="4"/>
  <c r="BJ241" i="4"/>
  <c r="BI241" i="4"/>
  <c r="AZ241" i="4"/>
  <c r="AY241" i="4"/>
  <c r="AT241" i="4"/>
  <c r="AS241" i="4"/>
  <c r="BJ240" i="4"/>
  <c r="BI240" i="4"/>
  <c r="BH240" i="4"/>
  <c r="BF240" i="4"/>
  <c r="AZ240" i="4"/>
  <c r="AY240" i="4"/>
  <c r="AT240" i="4"/>
  <c r="AS240" i="4"/>
  <c r="BJ239" i="4"/>
  <c r="BI239" i="4"/>
  <c r="BH239" i="4"/>
  <c r="AZ239" i="4"/>
  <c r="AY239" i="4"/>
  <c r="AT239" i="4"/>
  <c r="AS239" i="4"/>
  <c r="BJ238" i="4"/>
  <c r="BI238" i="4"/>
  <c r="BH238" i="4"/>
  <c r="BF238" i="4"/>
  <c r="AZ238" i="4"/>
  <c r="AY238" i="4"/>
  <c r="AT238" i="4"/>
  <c r="AS238" i="4"/>
  <c r="BJ237" i="4"/>
  <c r="BI237" i="4"/>
  <c r="AZ237" i="4"/>
  <c r="AY237" i="4"/>
  <c r="AT237" i="4"/>
  <c r="AS237" i="4"/>
  <c r="BJ236" i="4"/>
  <c r="BI236" i="4"/>
  <c r="BH236" i="4"/>
  <c r="BF236" i="4"/>
  <c r="AZ236" i="4"/>
  <c r="AY236" i="4"/>
  <c r="AT236" i="4"/>
  <c r="AS236" i="4"/>
  <c r="BJ235" i="4"/>
  <c r="BI235" i="4"/>
  <c r="BH235" i="4"/>
  <c r="AZ235" i="4"/>
  <c r="AY235" i="4"/>
  <c r="AT235" i="4"/>
  <c r="AS235" i="4"/>
  <c r="BJ234" i="4"/>
  <c r="BI234" i="4"/>
  <c r="BH234" i="4"/>
  <c r="BF234" i="4"/>
  <c r="AZ234" i="4"/>
  <c r="AY234" i="4"/>
  <c r="AT234" i="4"/>
  <c r="AS234" i="4"/>
  <c r="BJ233" i="4"/>
  <c r="BI233" i="4"/>
  <c r="AZ233" i="4"/>
  <c r="AY233" i="4"/>
  <c r="AT233" i="4"/>
  <c r="AS233" i="4"/>
  <c r="BJ232" i="4"/>
  <c r="BI232" i="4"/>
  <c r="BH232" i="4"/>
  <c r="BF232" i="4"/>
  <c r="AZ232" i="4"/>
  <c r="AY232" i="4"/>
  <c r="AT232" i="4"/>
  <c r="AS232" i="4"/>
  <c r="BJ231" i="4"/>
  <c r="BI231" i="4"/>
  <c r="BH231" i="4"/>
  <c r="AZ231" i="4"/>
  <c r="AY231" i="4"/>
  <c r="AT231" i="4"/>
  <c r="AS231" i="4"/>
  <c r="BJ230" i="4"/>
  <c r="BI230" i="4"/>
  <c r="BH230" i="4"/>
  <c r="BF230" i="4"/>
  <c r="AZ230" i="4"/>
  <c r="AY230" i="4"/>
  <c r="AT230" i="4"/>
  <c r="AS230" i="4"/>
  <c r="BJ229" i="4"/>
  <c r="BI229" i="4"/>
  <c r="AZ229" i="4"/>
  <c r="AY229" i="4"/>
  <c r="AT229" i="4"/>
  <c r="AS229" i="4"/>
  <c r="BJ228" i="4"/>
  <c r="BI228" i="4"/>
  <c r="BH228" i="4"/>
  <c r="BF228" i="4"/>
  <c r="AZ228" i="4"/>
  <c r="AY228" i="4"/>
  <c r="AT228" i="4"/>
  <c r="AS228" i="4"/>
  <c r="BJ227" i="4"/>
  <c r="BI227" i="4"/>
  <c r="BH227" i="4"/>
  <c r="AZ227" i="4"/>
  <c r="AY227" i="4"/>
  <c r="AT227" i="4"/>
  <c r="AS227" i="4"/>
  <c r="BJ226" i="4"/>
  <c r="BI226" i="4"/>
  <c r="BH226" i="4"/>
  <c r="BF226" i="4"/>
  <c r="AZ226" i="4"/>
  <c r="AY226" i="4"/>
  <c r="AT226" i="4"/>
  <c r="AS226" i="4"/>
  <c r="BJ225" i="4"/>
  <c r="BI225" i="4"/>
  <c r="AZ225" i="4"/>
  <c r="AY225" i="4"/>
  <c r="AT225" i="4"/>
  <c r="AS225" i="4"/>
  <c r="BJ224" i="4"/>
  <c r="BI224" i="4"/>
  <c r="BH224" i="4"/>
  <c r="BF224" i="4"/>
  <c r="AZ224" i="4"/>
  <c r="AY224" i="4"/>
  <c r="AT224" i="4"/>
  <c r="AS224" i="4"/>
  <c r="BJ223" i="4"/>
  <c r="BI223" i="4"/>
  <c r="BH223" i="4"/>
  <c r="AZ223" i="4"/>
  <c r="AY223" i="4"/>
  <c r="AT223" i="4"/>
  <c r="AS223" i="4"/>
  <c r="BJ222" i="4"/>
  <c r="BI222" i="4"/>
  <c r="BH222" i="4"/>
  <c r="BF222" i="4"/>
  <c r="AZ222" i="4"/>
  <c r="AY222" i="4"/>
  <c r="AT222" i="4"/>
  <c r="AS222" i="4"/>
  <c r="BJ221" i="4"/>
  <c r="BI221" i="4"/>
  <c r="AZ221" i="4"/>
  <c r="AY221" i="4"/>
  <c r="AT221" i="4"/>
  <c r="AS221" i="4"/>
  <c r="BJ220" i="4"/>
  <c r="BI220" i="4"/>
  <c r="BH220" i="4"/>
  <c r="BF220" i="4"/>
  <c r="AZ220" i="4"/>
  <c r="AY220" i="4"/>
  <c r="AT220" i="4"/>
  <c r="AS220" i="4"/>
  <c r="BJ219" i="4"/>
  <c r="BI219" i="4"/>
  <c r="BH219" i="4"/>
  <c r="AZ219" i="4"/>
  <c r="AY219" i="4"/>
  <c r="AT219" i="4"/>
  <c r="AS219" i="4"/>
  <c r="BJ218" i="4"/>
  <c r="BI218" i="4"/>
  <c r="BH218" i="4"/>
  <c r="BF218" i="4"/>
  <c r="AZ218" i="4"/>
  <c r="AY218" i="4"/>
  <c r="AT218" i="4"/>
  <c r="AS218" i="4"/>
  <c r="BJ217" i="4"/>
  <c r="BI217" i="4"/>
  <c r="AZ217" i="4"/>
  <c r="AY217" i="4"/>
  <c r="AT217" i="4"/>
  <c r="AS217" i="4"/>
  <c r="BJ216" i="4"/>
  <c r="BI216" i="4"/>
  <c r="BH216" i="4"/>
  <c r="BF216" i="4"/>
  <c r="AZ216" i="4"/>
  <c r="AY216" i="4"/>
  <c r="AT216" i="4"/>
  <c r="AS216" i="4"/>
  <c r="BJ215" i="4"/>
  <c r="BI215" i="4"/>
  <c r="BH215" i="4"/>
  <c r="AZ215" i="4"/>
  <c r="AY215" i="4"/>
  <c r="AT215" i="4"/>
  <c r="AS215" i="4"/>
  <c r="BJ214" i="4"/>
  <c r="BI214" i="4"/>
  <c r="BH214" i="4"/>
  <c r="BF214" i="4"/>
  <c r="AZ214" i="4"/>
  <c r="AY214" i="4"/>
  <c r="AT214" i="4"/>
  <c r="AS214" i="4"/>
  <c r="BJ213" i="4"/>
  <c r="BI213" i="4"/>
  <c r="AZ213" i="4"/>
  <c r="AY213" i="4"/>
  <c r="AT213" i="4"/>
  <c r="AS213" i="4"/>
  <c r="BJ212" i="4"/>
  <c r="BI212" i="4"/>
  <c r="BH212" i="4"/>
  <c r="BF212" i="4"/>
  <c r="AZ212" i="4"/>
  <c r="AY212" i="4"/>
  <c r="AT212" i="4"/>
  <c r="AS212" i="4"/>
  <c r="BJ211" i="4"/>
  <c r="BI211" i="4"/>
  <c r="BH211" i="4"/>
  <c r="AZ211" i="4"/>
  <c r="AY211" i="4"/>
  <c r="AT211" i="4"/>
  <c r="AS211" i="4"/>
  <c r="BJ210" i="4"/>
  <c r="BI210" i="4"/>
  <c r="BH210" i="4"/>
  <c r="BF210" i="4"/>
  <c r="AZ210" i="4"/>
  <c r="AY210" i="4"/>
  <c r="AT210" i="4"/>
  <c r="AS210" i="4"/>
  <c r="BJ209" i="4"/>
  <c r="BI209" i="4"/>
  <c r="AZ209" i="4"/>
  <c r="AY209" i="4"/>
  <c r="AT209" i="4"/>
  <c r="AS209" i="4"/>
  <c r="BJ208" i="4"/>
  <c r="BI208" i="4"/>
  <c r="BH208" i="4"/>
  <c r="BF208" i="4"/>
  <c r="AZ208" i="4"/>
  <c r="AY208" i="4"/>
  <c r="AT208" i="4"/>
  <c r="AS208" i="4"/>
  <c r="BJ207" i="4"/>
  <c r="BI207" i="4"/>
  <c r="BH207" i="4"/>
  <c r="AZ207" i="4"/>
  <c r="AY207" i="4"/>
  <c r="AT207" i="4"/>
  <c r="AS207" i="4"/>
  <c r="BJ206" i="4"/>
  <c r="BI206" i="4"/>
  <c r="BH206" i="4"/>
  <c r="BF206" i="4"/>
  <c r="AZ206" i="4"/>
  <c r="AY206" i="4"/>
  <c r="AT206" i="4"/>
  <c r="AS206" i="4"/>
  <c r="BJ205" i="4"/>
  <c r="BI205" i="4"/>
  <c r="AZ205" i="4"/>
  <c r="AY205" i="4"/>
  <c r="AT205" i="4"/>
  <c r="AS205" i="4"/>
  <c r="BJ204" i="4"/>
  <c r="BI204" i="4"/>
  <c r="BH204" i="4"/>
  <c r="BF204" i="4"/>
  <c r="AZ204" i="4"/>
  <c r="AY204" i="4"/>
  <c r="AT204" i="4"/>
  <c r="AS204" i="4"/>
  <c r="BJ203" i="4"/>
  <c r="BI203" i="4"/>
  <c r="BH203" i="4"/>
  <c r="AZ203" i="4"/>
  <c r="AY203" i="4"/>
  <c r="AT203" i="4"/>
  <c r="AS203" i="4"/>
  <c r="BJ202" i="4"/>
  <c r="BI202" i="4"/>
  <c r="BH202" i="4"/>
  <c r="BF202" i="4"/>
  <c r="AZ202" i="4"/>
  <c r="AY202" i="4"/>
  <c r="AT202" i="4"/>
  <c r="AS202" i="4"/>
  <c r="BJ201" i="4"/>
  <c r="BI201" i="4"/>
  <c r="AZ201" i="4"/>
  <c r="AY201" i="4"/>
  <c r="AT201" i="4"/>
  <c r="AS201" i="4"/>
  <c r="BJ200" i="4"/>
  <c r="BI200" i="4"/>
  <c r="BH200" i="4"/>
  <c r="BF200" i="4"/>
  <c r="AZ200" i="4"/>
  <c r="AY200" i="4"/>
  <c r="AT200" i="4"/>
  <c r="AS200" i="4"/>
  <c r="BJ199" i="4"/>
  <c r="BI199" i="4"/>
  <c r="BH199" i="4"/>
  <c r="AZ199" i="4"/>
  <c r="AY199" i="4"/>
  <c r="AT199" i="4"/>
  <c r="AS199" i="4"/>
  <c r="BJ198" i="4"/>
  <c r="BI198" i="4"/>
  <c r="BH198" i="4"/>
  <c r="BF198" i="4"/>
  <c r="AZ198" i="4"/>
  <c r="AY198" i="4"/>
  <c r="AT198" i="4"/>
  <c r="AS198" i="4"/>
  <c r="BJ197" i="4"/>
  <c r="BI197" i="4"/>
  <c r="AZ197" i="4"/>
  <c r="AY197" i="4"/>
  <c r="AT197" i="4"/>
  <c r="AS197" i="4"/>
  <c r="BJ196" i="4"/>
  <c r="BI196" i="4"/>
  <c r="BH196" i="4"/>
  <c r="BF196" i="4"/>
  <c r="AZ196" i="4"/>
  <c r="AY196" i="4"/>
  <c r="AT196" i="4"/>
  <c r="AS196" i="4"/>
  <c r="BJ195" i="4"/>
  <c r="BI195" i="4"/>
  <c r="BH195" i="4"/>
  <c r="AZ195" i="4"/>
  <c r="AY195" i="4"/>
  <c r="AT195" i="4"/>
  <c r="AS195" i="4"/>
  <c r="BJ194" i="4"/>
  <c r="BI194" i="4"/>
  <c r="BH194" i="4"/>
  <c r="BF194" i="4"/>
  <c r="AZ194" i="4"/>
  <c r="AY194" i="4"/>
  <c r="AT194" i="4"/>
  <c r="AS194" i="4"/>
  <c r="BJ193" i="4"/>
  <c r="BI193" i="4"/>
  <c r="AZ193" i="4"/>
  <c r="AY193" i="4"/>
  <c r="AT193" i="4"/>
  <c r="AS193" i="4"/>
  <c r="BJ192" i="4"/>
  <c r="BI192" i="4"/>
  <c r="BH192" i="4"/>
  <c r="BF192" i="4"/>
  <c r="AZ192" i="4"/>
  <c r="AY192" i="4"/>
  <c r="AT192" i="4"/>
  <c r="AS192" i="4"/>
  <c r="BJ191" i="4"/>
  <c r="BI191" i="4"/>
  <c r="BH191" i="4"/>
  <c r="AZ191" i="4"/>
  <c r="AY191" i="4"/>
  <c r="AT191" i="4"/>
  <c r="AS191" i="4"/>
  <c r="BJ190" i="4"/>
  <c r="BI190" i="4"/>
  <c r="BH190" i="4"/>
  <c r="BF190" i="4"/>
  <c r="AZ190" i="4"/>
  <c r="AY190" i="4"/>
  <c r="AT190" i="4"/>
  <c r="AS190" i="4"/>
  <c r="BJ189" i="4"/>
  <c r="BI189" i="4"/>
  <c r="AZ189" i="4"/>
  <c r="AY189" i="4"/>
  <c r="AT189" i="4"/>
  <c r="AS189" i="4"/>
  <c r="BJ188" i="4"/>
  <c r="BI188" i="4"/>
  <c r="BH188" i="4"/>
  <c r="BF188" i="4"/>
  <c r="AZ188" i="4"/>
  <c r="AY188" i="4"/>
  <c r="AT188" i="4"/>
  <c r="AS188" i="4"/>
  <c r="BJ187" i="4"/>
  <c r="BI187" i="4"/>
  <c r="BH187" i="4"/>
  <c r="AZ187" i="4"/>
  <c r="AY187" i="4"/>
  <c r="AT187" i="4"/>
  <c r="AS187" i="4"/>
  <c r="BJ186" i="4"/>
  <c r="BI186" i="4"/>
  <c r="BH186" i="4"/>
  <c r="BF186" i="4"/>
  <c r="AZ186" i="4"/>
  <c r="AY186" i="4"/>
  <c r="AT186" i="4"/>
  <c r="AS186" i="4"/>
  <c r="BJ185" i="4"/>
  <c r="BI185" i="4"/>
  <c r="AZ185" i="4"/>
  <c r="AY185" i="4"/>
  <c r="AT185" i="4"/>
  <c r="AS185" i="4"/>
  <c r="BJ184" i="4"/>
  <c r="BI184" i="4"/>
  <c r="BH184" i="4"/>
  <c r="BF184" i="4"/>
  <c r="AZ184" i="4"/>
  <c r="AY184" i="4"/>
  <c r="AT184" i="4"/>
  <c r="AS184" i="4"/>
  <c r="BJ183" i="4"/>
  <c r="BI183" i="4"/>
  <c r="BH183" i="4"/>
  <c r="AZ183" i="4"/>
  <c r="AY183" i="4"/>
  <c r="AT183" i="4"/>
  <c r="AS183" i="4"/>
  <c r="BJ182" i="4"/>
  <c r="BI182" i="4"/>
  <c r="BH182" i="4"/>
  <c r="BF182" i="4"/>
  <c r="AZ182" i="4"/>
  <c r="AY182" i="4"/>
  <c r="AT182" i="4"/>
  <c r="AS182" i="4"/>
  <c r="BJ181" i="4"/>
  <c r="BI181" i="4"/>
  <c r="AZ181" i="4"/>
  <c r="AY181" i="4"/>
  <c r="AT181" i="4"/>
  <c r="AS181" i="4"/>
  <c r="BJ180" i="4"/>
  <c r="BI180" i="4"/>
  <c r="BH180" i="4"/>
  <c r="BF180" i="4"/>
  <c r="AZ180" i="4"/>
  <c r="AY180" i="4"/>
  <c r="AT180" i="4"/>
  <c r="AS180" i="4"/>
  <c r="BJ179" i="4"/>
  <c r="BI179" i="4"/>
  <c r="BH179" i="4"/>
  <c r="AZ179" i="4"/>
  <c r="AY179" i="4"/>
  <c r="AT179" i="4"/>
  <c r="AS179" i="4"/>
  <c r="BJ178" i="4"/>
  <c r="BI178" i="4"/>
  <c r="BH178" i="4"/>
  <c r="BF178" i="4"/>
  <c r="AZ178" i="4"/>
  <c r="AY178" i="4"/>
  <c r="AT178" i="4"/>
  <c r="AS178" i="4"/>
  <c r="BJ177" i="4"/>
  <c r="BI177" i="4"/>
  <c r="AZ177" i="4"/>
  <c r="AY177" i="4"/>
  <c r="AT177" i="4"/>
  <c r="AS177" i="4"/>
  <c r="BJ176" i="4"/>
  <c r="BI176" i="4"/>
  <c r="BH176" i="4"/>
  <c r="BF176" i="4"/>
  <c r="AZ176" i="4"/>
  <c r="AY176" i="4"/>
  <c r="AT176" i="4"/>
  <c r="AS176" i="4"/>
  <c r="BJ175" i="4"/>
  <c r="BI175" i="4"/>
  <c r="BH175" i="4"/>
  <c r="AZ175" i="4"/>
  <c r="AY175" i="4"/>
  <c r="AT175" i="4"/>
  <c r="AS175" i="4"/>
  <c r="BJ174" i="4"/>
  <c r="BI174" i="4"/>
  <c r="BH174" i="4"/>
  <c r="BF174" i="4"/>
  <c r="AZ174" i="4"/>
  <c r="AY174" i="4"/>
  <c r="AT174" i="4"/>
  <c r="AS174" i="4"/>
  <c r="BJ173" i="4"/>
  <c r="BI173" i="4"/>
  <c r="AZ173" i="4"/>
  <c r="AY173" i="4"/>
  <c r="AT173" i="4"/>
  <c r="AS173" i="4"/>
  <c r="BJ172" i="4"/>
  <c r="BI172" i="4"/>
  <c r="BH172" i="4"/>
  <c r="BF172" i="4"/>
  <c r="AZ172" i="4"/>
  <c r="AY172" i="4"/>
  <c r="AT172" i="4"/>
  <c r="AS172" i="4"/>
  <c r="BJ171" i="4"/>
  <c r="BI171" i="4"/>
  <c r="BH171" i="4"/>
  <c r="AZ171" i="4"/>
  <c r="AY171" i="4"/>
  <c r="AT171" i="4"/>
  <c r="AS171" i="4"/>
  <c r="BJ170" i="4"/>
  <c r="BI170" i="4"/>
  <c r="BH170" i="4"/>
  <c r="BF170" i="4"/>
  <c r="AZ170" i="4"/>
  <c r="AY170" i="4"/>
  <c r="AT170" i="4"/>
  <c r="AS170" i="4"/>
  <c r="BJ169" i="4"/>
  <c r="BI169" i="4"/>
  <c r="AZ169" i="4"/>
  <c r="AY169" i="4"/>
  <c r="AT169" i="4"/>
  <c r="AS169" i="4"/>
  <c r="BJ168" i="4"/>
  <c r="BI168" i="4"/>
  <c r="BH168" i="4"/>
  <c r="BF168" i="4"/>
  <c r="AZ168" i="4"/>
  <c r="AY168" i="4"/>
  <c r="AT168" i="4"/>
  <c r="AS168" i="4"/>
  <c r="BJ167" i="4"/>
  <c r="BI167" i="4"/>
  <c r="BH167" i="4"/>
  <c r="AZ167" i="4"/>
  <c r="AY167" i="4"/>
  <c r="AT167" i="4"/>
  <c r="AS167" i="4"/>
  <c r="BJ166" i="4"/>
  <c r="BI166" i="4"/>
  <c r="BH166" i="4"/>
  <c r="BF166" i="4"/>
  <c r="AZ166" i="4"/>
  <c r="AY166" i="4"/>
  <c r="AT166" i="4"/>
  <c r="AS166" i="4"/>
  <c r="BJ165" i="4"/>
  <c r="BI165" i="4"/>
  <c r="AZ165" i="4"/>
  <c r="AY165" i="4"/>
  <c r="AT165" i="4"/>
  <c r="AS165" i="4"/>
  <c r="BJ164" i="4"/>
  <c r="BI164" i="4"/>
  <c r="BH164" i="4"/>
  <c r="BF164" i="4"/>
  <c r="AZ164" i="4"/>
  <c r="AY164" i="4"/>
  <c r="AT164" i="4"/>
  <c r="AS164" i="4"/>
  <c r="BJ163" i="4"/>
  <c r="BI163" i="4"/>
  <c r="BH163" i="4"/>
  <c r="AZ163" i="4"/>
  <c r="AY163" i="4"/>
  <c r="AT163" i="4"/>
  <c r="AS163" i="4"/>
  <c r="BJ162" i="4"/>
  <c r="BI162" i="4"/>
  <c r="BH162" i="4"/>
  <c r="BF162" i="4"/>
  <c r="AZ162" i="4"/>
  <c r="AY162" i="4"/>
  <c r="AT162" i="4"/>
  <c r="AS162" i="4"/>
  <c r="BJ161" i="4"/>
  <c r="BI161" i="4"/>
  <c r="AZ161" i="4"/>
  <c r="AY161" i="4"/>
  <c r="AT161" i="4"/>
  <c r="AS161" i="4"/>
  <c r="BJ160" i="4"/>
  <c r="BI160" i="4"/>
  <c r="BH160" i="4"/>
  <c r="BF160" i="4"/>
  <c r="AZ160" i="4"/>
  <c r="AY160" i="4"/>
  <c r="AT160" i="4"/>
  <c r="AS160" i="4"/>
  <c r="BJ159" i="4"/>
  <c r="BI159" i="4"/>
  <c r="BH159" i="4"/>
  <c r="AZ159" i="4"/>
  <c r="AY159" i="4"/>
  <c r="AT159" i="4"/>
  <c r="AS159" i="4"/>
  <c r="BJ158" i="4"/>
  <c r="BI158" i="4"/>
  <c r="BH158" i="4"/>
  <c r="BF158" i="4"/>
  <c r="AZ158" i="4"/>
  <c r="AY158" i="4"/>
  <c r="AT158" i="4"/>
  <c r="AS158" i="4"/>
  <c r="BJ157" i="4"/>
  <c r="BI157" i="4"/>
  <c r="AZ157" i="4"/>
  <c r="AY157" i="4"/>
  <c r="AT157" i="4"/>
  <c r="AS157" i="4"/>
  <c r="BJ156" i="4"/>
  <c r="BI156" i="4"/>
  <c r="BH156" i="4"/>
  <c r="BF156" i="4"/>
  <c r="AZ156" i="4"/>
  <c r="AY156" i="4"/>
  <c r="AT156" i="4"/>
  <c r="AS156" i="4"/>
  <c r="BJ155" i="4"/>
  <c r="BI155" i="4"/>
  <c r="BH155" i="4"/>
  <c r="AZ155" i="4"/>
  <c r="AY155" i="4"/>
  <c r="AT155" i="4"/>
  <c r="AS155" i="4"/>
  <c r="BJ154" i="4"/>
  <c r="BI154" i="4"/>
  <c r="BH154" i="4"/>
  <c r="BF154" i="4"/>
  <c r="AZ154" i="4"/>
  <c r="AY154" i="4"/>
  <c r="AT154" i="4"/>
  <c r="AS154" i="4"/>
  <c r="BJ153" i="4"/>
  <c r="BI153" i="4"/>
  <c r="AZ153" i="4"/>
  <c r="AY153" i="4"/>
  <c r="AT153" i="4"/>
  <c r="AS153" i="4"/>
  <c r="BJ152" i="4"/>
  <c r="BI152" i="4"/>
  <c r="BH152" i="4"/>
  <c r="BF152" i="4"/>
  <c r="AZ152" i="4"/>
  <c r="AY152" i="4"/>
  <c r="AT152" i="4"/>
  <c r="AS152" i="4"/>
  <c r="BJ151" i="4"/>
  <c r="BI151" i="4"/>
  <c r="BH151" i="4"/>
  <c r="AZ151" i="4"/>
  <c r="AY151" i="4"/>
  <c r="AT151" i="4"/>
  <c r="AS151" i="4"/>
  <c r="BJ150" i="4"/>
  <c r="BI150" i="4"/>
  <c r="BH150" i="4"/>
  <c r="BF150" i="4"/>
  <c r="AZ150" i="4"/>
  <c r="AY150" i="4"/>
  <c r="AT150" i="4"/>
  <c r="AS150" i="4"/>
  <c r="BJ149" i="4"/>
  <c r="BI149" i="4"/>
  <c r="AZ149" i="4"/>
  <c r="AY149" i="4"/>
  <c r="AT149" i="4"/>
  <c r="AS149" i="4"/>
  <c r="BJ148" i="4"/>
  <c r="BI148" i="4"/>
  <c r="BH148" i="4"/>
  <c r="BF148" i="4"/>
  <c r="AZ148" i="4"/>
  <c r="AY148" i="4"/>
  <c r="AT148" i="4"/>
  <c r="AS148" i="4"/>
  <c r="BJ147" i="4"/>
  <c r="BI147" i="4"/>
  <c r="BH147" i="4"/>
  <c r="AZ147" i="4"/>
  <c r="AY147" i="4"/>
  <c r="AT147" i="4"/>
  <c r="AS147" i="4"/>
  <c r="BJ146" i="4"/>
  <c r="BI146" i="4"/>
  <c r="BH146" i="4"/>
  <c r="BF146" i="4"/>
  <c r="AZ146" i="4"/>
  <c r="AY146" i="4"/>
  <c r="AT146" i="4"/>
  <c r="AS146" i="4"/>
  <c r="BJ145" i="4"/>
  <c r="BI145" i="4"/>
  <c r="AZ145" i="4"/>
  <c r="AY145" i="4"/>
  <c r="AT145" i="4"/>
  <c r="AS145" i="4"/>
  <c r="BJ144" i="4"/>
  <c r="BI144" i="4"/>
  <c r="BH144" i="4"/>
  <c r="BF144" i="4"/>
  <c r="AZ144" i="4"/>
  <c r="AY144" i="4"/>
  <c r="AT144" i="4"/>
  <c r="AS144" i="4"/>
  <c r="BJ143" i="4"/>
  <c r="BI143" i="4"/>
  <c r="BH143" i="4"/>
  <c r="AZ143" i="4"/>
  <c r="AY143" i="4"/>
  <c r="AT143" i="4"/>
  <c r="AS143" i="4"/>
  <c r="BJ142" i="4"/>
  <c r="BI142" i="4"/>
  <c r="BH142" i="4"/>
  <c r="BF142" i="4"/>
  <c r="AZ142" i="4"/>
  <c r="AY142" i="4"/>
  <c r="AT142" i="4"/>
  <c r="AS142" i="4"/>
  <c r="BJ141" i="4"/>
  <c r="BI141" i="4"/>
  <c r="AZ141" i="4"/>
  <c r="AY141" i="4"/>
  <c r="AT141" i="4"/>
  <c r="AS141" i="4"/>
  <c r="BJ140" i="4"/>
  <c r="BI140" i="4"/>
  <c r="BH140" i="4"/>
  <c r="BF140" i="4"/>
  <c r="AZ140" i="4"/>
  <c r="AY140" i="4"/>
  <c r="AT140" i="4"/>
  <c r="AS140" i="4"/>
  <c r="BJ139" i="4"/>
  <c r="BI139" i="4"/>
  <c r="BF139" i="4"/>
  <c r="AZ139" i="4"/>
  <c r="AY139" i="4"/>
  <c r="AT139" i="4"/>
  <c r="AS139" i="4"/>
  <c r="BJ138" i="4"/>
  <c r="BI138" i="4"/>
  <c r="BH138" i="4"/>
  <c r="AZ138" i="4"/>
  <c r="AY138" i="4"/>
  <c r="AT138" i="4"/>
  <c r="AS138" i="4"/>
  <c r="BJ137" i="4"/>
  <c r="BI137" i="4"/>
  <c r="BH137" i="4"/>
  <c r="AZ137" i="4"/>
  <c r="AY137" i="4"/>
  <c r="AT137" i="4"/>
  <c r="AS137" i="4"/>
  <c r="BJ136" i="4"/>
  <c r="BI136" i="4"/>
  <c r="AZ136" i="4"/>
  <c r="AY136" i="4"/>
  <c r="AT136" i="4"/>
  <c r="AS136" i="4"/>
  <c r="BJ135" i="4"/>
  <c r="BI135" i="4"/>
  <c r="AZ135" i="4"/>
  <c r="AY135" i="4"/>
  <c r="AT135" i="4"/>
  <c r="AS135" i="4"/>
  <c r="BJ134" i="4"/>
  <c r="BI134" i="4"/>
  <c r="BF134" i="4"/>
  <c r="AZ134" i="4"/>
  <c r="AY134" i="4"/>
  <c r="AT134" i="4"/>
  <c r="AS134" i="4"/>
  <c r="BJ133" i="4"/>
  <c r="BI133" i="4"/>
  <c r="AZ133" i="4"/>
  <c r="AY133" i="4"/>
  <c r="AT133" i="4"/>
  <c r="AS133" i="4"/>
  <c r="BJ132" i="4"/>
  <c r="BI132" i="4"/>
  <c r="AZ132" i="4"/>
  <c r="AY132" i="4"/>
  <c r="AT132" i="4"/>
  <c r="AS132" i="4"/>
  <c r="BJ131" i="4"/>
  <c r="BI131" i="4"/>
  <c r="AZ131" i="4"/>
  <c r="AY131" i="4"/>
  <c r="AT131" i="4"/>
  <c r="AS131" i="4"/>
  <c r="BJ130" i="4"/>
  <c r="BI130" i="4"/>
  <c r="BF130" i="4"/>
  <c r="AZ130" i="4"/>
  <c r="AY130" i="4"/>
  <c r="AT130" i="4"/>
  <c r="AS130" i="4"/>
  <c r="BJ129" i="4"/>
  <c r="BI129" i="4"/>
  <c r="AZ129" i="4"/>
  <c r="AY129" i="4"/>
  <c r="AT129" i="4"/>
  <c r="AS129" i="4"/>
  <c r="BJ128" i="4"/>
  <c r="BI128" i="4"/>
  <c r="BH128" i="4"/>
  <c r="BF128" i="4"/>
  <c r="AZ128" i="4"/>
  <c r="AY128" i="4"/>
  <c r="AT128" i="4"/>
  <c r="AS128" i="4"/>
  <c r="BJ127" i="4"/>
  <c r="BI127" i="4"/>
  <c r="BH127" i="4"/>
  <c r="AZ127" i="4"/>
  <c r="AY127" i="4"/>
  <c r="AT127" i="4"/>
  <c r="AS127" i="4"/>
  <c r="BJ126" i="4"/>
  <c r="BI126" i="4"/>
  <c r="BH126" i="4"/>
  <c r="AZ126" i="4"/>
  <c r="AY126" i="4"/>
  <c r="AT126" i="4"/>
  <c r="AS126" i="4"/>
  <c r="BJ125" i="4"/>
  <c r="BI125" i="4"/>
  <c r="BH125" i="4"/>
  <c r="AZ125" i="4"/>
  <c r="AY125" i="4"/>
  <c r="AT125" i="4"/>
  <c r="AS125" i="4"/>
  <c r="BJ124" i="4"/>
  <c r="BI124" i="4"/>
  <c r="BF124" i="4"/>
  <c r="AZ124" i="4"/>
  <c r="AY124" i="4"/>
  <c r="AT124" i="4"/>
  <c r="AS124" i="4"/>
  <c r="BJ123" i="4"/>
  <c r="BI123" i="4"/>
  <c r="BH123" i="4"/>
  <c r="AZ123" i="4"/>
  <c r="AY123" i="4"/>
  <c r="AT123" i="4"/>
  <c r="AS123" i="4"/>
  <c r="BJ122" i="4"/>
  <c r="BI122" i="4"/>
  <c r="BH122" i="4"/>
  <c r="BF122" i="4"/>
  <c r="AZ122" i="4"/>
  <c r="AY122" i="4"/>
  <c r="AT122" i="4"/>
  <c r="AS122" i="4"/>
  <c r="BJ121" i="4"/>
  <c r="BI121" i="4"/>
  <c r="AZ121" i="4"/>
  <c r="AY121" i="4"/>
  <c r="AT121" i="4"/>
  <c r="AS121" i="4"/>
  <c r="BJ120" i="4"/>
  <c r="BI120" i="4"/>
  <c r="BF120" i="4"/>
  <c r="AZ120" i="4"/>
  <c r="AY120" i="4"/>
  <c r="AT120" i="4"/>
  <c r="AS120" i="4"/>
  <c r="BJ119" i="4"/>
  <c r="BI119" i="4"/>
  <c r="AZ119" i="4"/>
  <c r="AY119" i="4"/>
  <c r="AT119" i="4"/>
  <c r="AS119" i="4"/>
  <c r="BJ118" i="4"/>
  <c r="BI118" i="4"/>
  <c r="AZ118" i="4"/>
  <c r="AY118" i="4"/>
  <c r="AT118" i="4"/>
  <c r="AS118" i="4"/>
  <c r="BJ117" i="4"/>
  <c r="BI117" i="4"/>
  <c r="AZ117" i="4"/>
  <c r="AY117" i="4"/>
  <c r="AT117" i="4"/>
  <c r="AS117" i="4"/>
  <c r="BJ116" i="4"/>
  <c r="BI116" i="4"/>
  <c r="BH116" i="4"/>
  <c r="BF116" i="4"/>
  <c r="AZ116" i="4"/>
  <c r="AY116" i="4"/>
  <c r="AT116" i="4"/>
  <c r="AS116" i="4"/>
  <c r="BJ115" i="4"/>
  <c r="BI115" i="4"/>
  <c r="BH115" i="4"/>
  <c r="AZ115" i="4"/>
  <c r="AY115" i="4"/>
  <c r="AT115" i="4"/>
  <c r="AS115" i="4"/>
  <c r="BJ114" i="4"/>
  <c r="BI114" i="4"/>
  <c r="BH114" i="4"/>
  <c r="BF114" i="4"/>
  <c r="AZ114" i="4"/>
  <c r="AY114" i="4"/>
  <c r="AT114" i="4"/>
  <c r="AS114" i="4"/>
  <c r="BJ113" i="4"/>
  <c r="BI113" i="4"/>
  <c r="AZ113" i="4"/>
  <c r="AY113" i="4"/>
  <c r="AT113" i="4"/>
  <c r="AS113" i="4"/>
  <c r="BJ112" i="4"/>
  <c r="BI112" i="4"/>
  <c r="BH112" i="4"/>
  <c r="BF112" i="4"/>
  <c r="AZ112" i="4"/>
  <c r="AY112" i="4"/>
  <c r="AT112" i="4"/>
  <c r="AS112" i="4"/>
  <c r="BJ111" i="4"/>
  <c r="BI111" i="4"/>
  <c r="AZ111" i="4"/>
  <c r="AY111" i="4"/>
  <c r="AT111" i="4"/>
  <c r="AS111" i="4"/>
  <c r="BJ110" i="4"/>
  <c r="BI110" i="4"/>
  <c r="BH110" i="4"/>
  <c r="AZ110" i="4"/>
  <c r="AY110" i="4"/>
  <c r="AT110" i="4"/>
  <c r="AS110" i="4"/>
  <c r="BJ109" i="4"/>
  <c r="BI109" i="4"/>
  <c r="AZ109" i="4"/>
  <c r="AY109" i="4"/>
  <c r="AT109" i="4"/>
  <c r="AS109" i="4"/>
  <c r="BJ108" i="4"/>
  <c r="BI108" i="4"/>
  <c r="BH108" i="4"/>
  <c r="AZ108" i="4"/>
  <c r="AY108" i="4"/>
  <c r="AT108" i="4"/>
  <c r="AS108" i="4"/>
  <c r="BJ107" i="4"/>
  <c r="BI107" i="4"/>
  <c r="AZ107" i="4"/>
  <c r="AY107" i="4"/>
  <c r="AT107" i="4"/>
  <c r="AS107" i="4"/>
  <c r="BJ106" i="4"/>
  <c r="BI106" i="4"/>
  <c r="BH106" i="4"/>
  <c r="BF106" i="4"/>
  <c r="AZ106" i="4"/>
  <c r="AY106" i="4"/>
  <c r="AT106" i="4"/>
  <c r="AS106" i="4"/>
  <c r="BJ105" i="4"/>
  <c r="BI105" i="4"/>
  <c r="BF105" i="4"/>
  <c r="AZ105" i="4"/>
  <c r="AY105" i="4"/>
  <c r="AT105" i="4"/>
  <c r="AS105" i="4"/>
  <c r="BJ104" i="4"/>
  <c r="BI104" i="4"/>
  <c r="BF104" i="4"/>
  <c r="AZ104" i="4"/>
  <c r="AY104" i="4"/>
  <c r="AT104" i="4"/>
  <c r="AS104" i="4"/>
  <c r="BJ103" i="4"/>
  <c r="BI103" i="4"/>
  <c r="AZ103" i="4"/>
  <c r="AY103" i="4"/>
  <c r="AT103" i="4"/>
  <c r="AS103" i="4"/>
  <c r="BJ102" i="4"/>
  <c r="BI102" i="4"/>
  <c r="BH102" i="4"/>
  <c r="AZ102" i="4"/>
  <c r="AY102" i="4"/>
  <c r="AT102" i="4"/>
  <c r="AS102" i="4"/>
  <c r="BJ101" i="4"/>
  <c r="BI101" i="4"/>
  <c r="AZ101" i="4"/>
  <c r="AY101" i="4"/>
  <c r="AT101" i="4"/>
  <c r="AS101" i="4"/>
  <c r="BJ100" i="4"/>
  <c r="BI100" i="4"/>
  <c r="AZ100" i="4"/>
  <c r="AY100" i="4"/>
  <c r="AT100" i="4"/>
  <c r="AS100" i="4"/>
  <c r="BJ99" i="4"/>
  <c r="BI99" i="4"/>
  <c r="AZ99" i="4"/>
  <c r="AY99" i="4"/>
  <c r="AT99" i="4"/>
  <c r="AS99" i="4"/>
  <c r="BJ98" i="4"/>
  <c r="BI98" i="4"/>
  <c r="BF98" i="4"/>
  <c r="AZ98" i="4"/>
  <c r="AY98" i="4"/>
  <c r="AT98" i="4"/>
  <c r="AS98" i="4"/>
  <c r="BJ97" i="4"/>
  <c r="BI97" i="4"/>
  <c r="AZ97" i="4"/>
  <c r="AY97" i="4"/>
  <c r="AT97" i="4"/>
  <c r="AS97" i="4"/>
  <c r="BJ96" i="4"/>
  <c r="BI96" i="4"/>
  <c r="BF96" i="4"/>
  <c r="AZ96" i="4"/>
  <c r="AY96" i="4"/>
  <c r="AT96" i="4"/>
  <c r="AS96" i="4"/>
  <c r="BJ95" i="4"/>
  <c r="BI95" i="4"/>
  <c r="BF95" i="4"/>
  <c r="AZ95" i="4"/>
  <c r="AY95" i="4"/>
  <c r="AT95" i="4"/>
  <c r="AS95" i="4"/>
  <c r="BJ94" i="4"/>
  <c r="BI94" i="4"/>
  <c r="BH94" i="4"/>
  <c r="BF94" i="4"/>
  <c r="AZ94" i="4"/>
  <c r="AY94" i="4"/>
  <c r="AT94" i="4"/>
  <c r="AS94" i="4"/>
  <c r="BJ93" i="4"/>
  <c r="BI93" i="4"/>
  <c r="AZ93" i="4"/>
  <c r="AY93" i="4"/>
  <c r="AT93" i="4"/>
  <c r="AS93" i="4"/>
  <c r="BJ92" i="4"/>
  <c r="BI92" i="4"/>
  <c r="BH92" i="4"/>
  <c r="AZ92" i="4"/>
  <c r="AY92" i="4"/>
  <c r="AT92" i="4"/>
  <c r="AS92" i="4"/>
  <c r="BJ91" i="4"/>
  <c r="BI91" i="4"/>
  <c r="AZ91" i="4"/>
  <c r="AY91" i="4"/>
  <c r="AT91" i="4"/>
  <c r="AS91" i="4"/>
  <c r="BJ90" i="4"/>
  <c r="BI90" i="4"/>
  <c r="BH90" i="4"/>
  <c r="AZ90" i="4"/>
  <c r="AY90" i="4"/>
  <c r="AT90" i="4"/>
  <c r="AS90" i="4"/>
  <c r="BJ89" i="4"/>
  <c r="BI89" i="4"/>
  <c r="AZ89" i="4"/>
  <c r="AY89" i="4"/>
  <c r="AT89" i="4"/>
  <c r="AS89" i="4"/>
  <c r="BJ88" i="4"/>
  <c r="BI88" i="4"/>
  <c r="AZ88" i="4"/>
  <c r="AY88" i="4"/>
  <c r="AT88" i="4"/>
  <c r="AS88" i="4"/>
  <c r="BJ87" i="4"/>
  <c r="BI87" i="4"/>
  <c r="AZ87" i="4"/>
  <c r="AY87" i="4"/>
  <c r="AT87" i="4"/>
  <c r="AS87" i="4"/>
  <c r="BJ86" i="4"/>
  <c r="BI86" i="4"/>
  <c r="BH86" i="4"/>
  <c r="BF86" i="4"/>
  <c r="AZ86" i="4"/>
  <c r="AY86" i="4"/>
  <c r="AT86" i="4"/>
  <c r="AS86" i="4"/>
  <c r="BJ85" i="4"/>
  <c r="BI85" i="4"/>
  <c r="AZ85" i="4"/>
  <c r="AY85" i="4"/>
  <c r="AT85" i="4"/>
  <c r="AS85" i="4"/>
  <c r="BJ84" i="4"/>
  <c r="BI84" i="4"/>
  <c r="BH84" i="4"/>
  <c r="BF84" i="4"/>
  <c r="AZ84" i="4"/>
  <c r="AY84" i="4"/>
  <c r="AT84" i="4"/>
  <c r="AS84" i="4"/>
  <c r="BJ83" i="4"/>
  <c r="BI83" i="4"/>
  <c r="BF83" i="4"/>
  <c r="AZ83" i="4"/>
  <c r="AY83" i="4"/>
  <c r="AT83" i="4"/>
  <c r="AS83" i="4"/>
  <c r="BJ82" i="4"/>
  <c r="BI82" i="4"/>
  <c r="BH82" i="4"/>
  <c r="BF82" i="4"/>
  <c r="AZ82" i="4"/>
  <c r="AY82" i="4"/>
  <c r="AT82" i="4"/>
  <c r="AS82" i="4"/>
  <c r="BJ81" i="4"/>
  <c r="BI81" i="4"/>
  <c r="AZ81" i="4"/>
  <c r="AY81" i="4"/>
  <c r="AT81" i="4"/>
  <c r="AS81" i="4"/>
  <c r="BJ80" i="4"/>
  <c r="BI80" i="4"/>
  <c r="BF80" i="4"/>
  <c r="AZ80" i="4"/>
  <c r="AY80" i="4"/>
  <c r="AT80" i="4"/>
  <c r="AS80" i="4"/>
  <c r="BJ79" i="4"/>
  <c r="BI79" i="4"/>
  <c r="AZ79" i="4"/>
  <c r="AY79" i="4"/>
  <c r="AT79" i="4"/>
  <c r="AS79" i="4"/>
  <c r="BJ78" i="4"/>
  <c r="BI78" i="4"/>
  <c r="BH78" i="4"/>
  <c r="AZ78" i="4"/>
  <c r="AY78" i="4"/>
  <c r="AT78" i="4"/>
  <c r="AS78" i="4"/>
  <c r="BJ77" i="4"/>
  <c r="BI77" i="4"/>
  <c r="AZ77" i="4"/>
  <c r="AY77" i="4"/>
  <c r="AT77" i="4"/>
  <c r="AS77" i="4"/>
  <c r="BJ76" i="4"/>
  <c r="BI76" i="4"/>
  <c r="BH76" i="4"/>
  <c r="AZ76" i="4"/>
  <c r="AY76" i="4"/>
  <c r="AT76" i="4"/>
  <c r="AS76" i="4"/>
  <c r="BJ75" i="4"/>
  <c r="BI75" i="4"/>
  <c r="AZ75" i="4"/>
  <c r="AY75" i="4"/>
  <c r="AT75" i="4"/>
  <c r="AS75" i="4"/>
  <c r="BJ74" i="4"/>
  <c r="BI74" i="4"/>
  <c r="BH74" i="4"/>
  <c r="BF74" i="4"/>
  <c r="AZ74" i="4"/>
  <c r="AY74" i="4"/>
  <c r="AT74" i="4"/>
  <c r="AS74" i="4"/>
  <c r="BJ73" i="4"/>
  <c r="BI73" i="4"/>
  <c r="AZ73" i="4"/>
  <c r="AY73" i="4"/>
  <c r="AT73" i="4"/>
  <c r="AS73" i="4"/>
  <c r="BJ72" i="4"/>
  <c r="BI72" i="4"/>
  <c r="BF72" i="4"/>
  <c r="AZ72" i="4"/>
  <c r="AY72" i="4"/>
  <c r="AT72" i="4"/>
  <c r="AS72" i="4"/>
  <c r="BJ71" i="4"/>
  <c r="BI71" i="4"/>
  <c r="AZ71" i="4"/>
  <c r="AY71" i="4"/>
  <c r="AT71" i="4"/>
  <c r="AS71" i="4"/>
  <c r="BJ70" i="4"/>
  <c r="BI70" i="4"/>
  <c r="BH70" i="4"/>
  <c r="BF70" i="4"/>
  <c r="AZ70" i="4"/>
  <c r="AY70" i="4"/>
  <c r="AT70" i="4"/>
  <c r="AS70" i="4"/>
  <c r="BJ69" i="4"/>
  <c r="BI69" i="4"/>
  <c r="AZ69" i="4"/>
  <c r="AY69" i="4"/>
  <c r="AT69" i="4"/>
  <c r="AS69" i="4"/>
  <c r="BJ68" i="4"/>
  <c r="BI68" i="4"/>
  <c r="BH68" i="4"/>
  <c r="BF68" i="4"/>
  <c r="AZ68" i="4"/>
  <c r="AY68" i="4"/>
  <c r="AT68" i="4"/>
  <c r="AS68" i="4"/>
  <c r="BJ67" i="4"/>
  <c r="BI67" i="4"/>
  <c r="AZ67" i="4"/>
  <c r="AY67" i="4"/>
  <c r="AT67" i="4"/>
  <c r="AS67" i="4"/>
  <c r="BJ66" i="4"/>
  <c r="BI66" i="4"/>
  <c r="BH66" i="4"/>
  <c r="BF66" i="4"/>
  <c r="AZ66" i="4"/>
  <c r="AY66" i="4"/>
  <c r="AT66" i="4"/>
  <c r="AS66" i="4"/>
  <c r="BJ65" i="4"/>
  <c r="BI65" i="4"/>
  <c r="AZ65" i="4"/>
  <c r="AY65" i="4"/>
  <c r="AT65" i="4"/>
  <c r="AS65" i="4"/>
  <c r="BJ64" i="4"/>
  <c r="BI64" i="4"/>
  <c r="BF64" i="4"/>
  <c r="AZ64" i="4"/>
  <c r="AY64" i="4"/>
  <c r="AT64" i="4"/>
  <c r="AS64" i="4"/>
  <c r="BJ63" i="4"/>
  <c r="BI63" i="4"/>
  <c r="BF63" i="4"/>
  <c r="AZ63" i="4"/>
  <c r="AY63" i="4"/>
  <c r="AT63" i="4"/>
  <c r="AS63" i="4"/>
  <c r="BJ62" i="4"/>
  <c r="BI62" i="4"/>
  <c r="BF62" i="4"/>
  <c r="AZ62" i="4"/>
  <c r="AY62" i="4"/>
  <c r="AT62" i="4"/>
  <c r="AS62" i="4"/>
  <c r="BJ61" i="4"/>
  <c r="BI61" i="4"/>
  <c r="BH61" i="4"/>
  <c r="AZ61" i="4"/>
  <c r="AY61" i="4"/>
  <c r="AT61" i="4"/>
  <c r="AS61" i="4"/>
  <c r="BJ60" i="4"/>
  <c r="BI60" i="4"/>
  <c r="AZ60" i="4"/>
  <c r="AY60" i="4"/>
  <c r="AT60" i="4"/>
  <c r="AS60" i="4"/>
  <c r="BJ59" i="4"/>
  <c r="BI59" i="4"/>
  <c r="AZ59" i="4"/>
  <c r="AY59" i="4"/>
  <c r="AT59" i="4"/>
  <c r="AS59" i="4"/>
  <c r="BJ58" i="4"/>
  <c r="BI58" i="4"/>
  <c r="BH58" i="4"/>
  <c r="BF58" i="4"/>
  <c r="AZ58" i="4"/>
  <c r="AY58" i="4"/>
  <c r="AT58" i="4"/>
  <c r="AS58" i="4"/>
  <c r="BJ57" i="4"/>
  <c r="BI57" i="4"/>
  <c r="AZ57" i="4"/>
  <c r="AY57" i="4"/>
  <c r="AT57" i="4"/>
  <c r="AS57" i="4"/>
  <c r="BJ56" i="4"/>
  <c r="BI56" i="4"/>
  <c r="BF56" i="4"/>
  <c r="AZ56" i="4"/>
  <c r="AY56" i="4"/>
  <c r="AT56" i="4"/>
  <c r="AS56" i="4"/>
  <c r="BJ55" i="4"/>
  <c r="BI55" i="4"/>
  <c r="AZ55" i="4"/>
  <c r="AY55" i="4"/>
  <c r="AT55" i="4"/>
  <c r="AS55" i="4"/>
  <c r="BJ54" i="4"/>
  <c r="BI54" i="4"/>
  <c r="BH54" i="4"/>
  <c r="BF54" i="4"/>
  <c r="AZ54" i="4"/>
  <c r="AY54" i="4"/>
  <c r="AT54" i="4"/>
  <c r="AS54" i="4"/>
  <c r="BJ53" i="4"/>
  <c r="BI53" i="4"/>
  <c r="AZ53" i="4"/>
  <c r="AY53" i="4"/>
  <c r="AT53" i="4"/>
  <c r="AS53" i="4"/>
  <c r="BJ52" i="4"/>
  <c r="BI52" i="4"/>
  <c r="BH52" i="4"/>
  <c r="BF52" i="4"/>
  <c r="AZ52" i="4"/>
  <c r="AY52" i="4"/>
  <c r="AT52" i="4"/>
  <c r="AS52" i="4"/>
  <c r="BJ51" i="4"/>
  <c r="BI51" i="4"/>
  <c r="AZ51" i="4"/>
  <c r="AY51" i="4"/>
  <c r="AT51" i="4"/>
  <c r="AS51" i="4"/>
  <c r="BJ50" i="4"/>
  <c r="BI50" i="4"/>
  <c r="BF50" i="4"/>
  <c r="AZ50" i="4"/>
  <c r="AY50" i="4"/>
  <c r="AT50" i="4"/>
  <c r="AS50" i="4"/>
  <c r="BJ49" i="4"/>
  <c r="BI49" i="4"/>
  <c r="AZ49" i="4"/>
  <c r="AY49" i="4"/>
  <c r="AT49" i="4"/>
  <c r="AS49" i="4"/>
  <c r="BJ48" i="4"/>
  <c r="BI48" i="4"/>
  <c r="BH48" i="4"/>
  <c r="BF48" i="4"/>
  <c r="AZ48" i="4"/>
  <c r="AY48" i="4"/>
  <c r="AT48" i="4"/>
  <c r="AS48" i="4"/>
  <c r="BJ47" i="4"/>
  <c r="BI47" i="4"/>
  <c r="AZ47" i="4"/>
  <c r="AY47" i="4"/>
  <c r="AT47" i="4"/>
  <c r="AS47" i="4"/>
  <c r="BJ46" i="4"/>
  <c r="BI46" i="4"/>
  <c r="BH46" i="4"/>
  <c r="BF46" i="4"/>
  <c r="AZ46" i="4"/>
  <c r="AY46" i="4"/>
  <c r="AT46" i="4"/>
  <c r="AS46" i="4"/>
  <c r="BJ45" i="4"/>
  <c r="BI45" i="4"/>
  <c r="AZ45" i="4"/>
  <c r="AY45" i="4"/>
  <c r="AT45" i="4"/>
  <c r="AS45" i="4"/>
  <c r="BJ44" i="4"/>
  <c r="BI44" i="4"/>
  <c r="BF44" i="4"/>
  <c r="AZ44" i="4"/>
  <c r="AY44" i="4"/>
  <c r="AT44" i="4"/>
  <c r="AS44" i="4"/>
  <c r="BJ43" i="4"/>
  <c r="BI43" i="4"/>
  <c r="AZ43" i="4"/>
  <c r="AY43" i="4"/>
  <c r="AT43" i="4"/>
  <c r="AS43" i="4"/>
  <c r="BJ42" i="4"/>
  <c r="BI42" i="4"/>
  <c r="BH42" i="4"/>
  <c r="BF42" i="4"/>
  <c r="AZ42" i="4"/>
  <c r="AY42" i="4"/>
  <c r="AT42" i="4"/>
  <c r="AS42" i="4"/>
  <c r="BJ41" i="4"/>
  <c r="BI41" i="4"/>
  <c r="AZ41" i="4"/>
  <c r="AY41" i="4"/>
  <c r="AT41" i="4"/>
  <c r="AS41" i="4"/>
  <c r="BJ40" i="4"/>
  <c r="BI40" i="4"/>
  <c r="AZ40" i="4"/>
  <c r="AY40" i="4"/>
  <c r="AT40" i="4"/>
  <c r="AS40" i="4"/>
  <c r="BJ39" i="4"/>
  <c r="BI39" i="4"/>
  <c r="BF39" i="4"/>
  <c r="AZ39" i="4"/>
  <c r="AY39" i="4"/>
  <c r="AT39" i="4"/>
  <c r="AS39" i="4"/>
  <c r="BJ38" i="4"/>
  <c r="BI38" i="4"/>
  <c r="BH38" i="4"/>
  <c r="BF38" i="4"/>
  <c r="AZ38" i="4"/>
  <c r="AY38" i="4"/>
  <c r="AT38" i="4"/>
  <c r="AS38" i="4"/>
  <c r="BJ37" i="4"/>
  <c r="BI37" i="4"/>
  <c r="AZ37" i="4"/>
  <c r="AY37" i="4"/>
  <c r="AT37" i="4"/>
  <c r="AS37" i="4"/>
  <c r="BJ36" i="4"/>
  <c r="BI36" i="4"/>
  <c r="BH36" i="4"/>
  <c r="BF36" i="4"/>
  <c r="AZ36" i="4"/>
  <c r="AY36" i="4"/>
  <c r="AT36" i="4"/>
  <c r="AS36" i="4"/>
  <c r="BJ35" i="4"/>
  <c r="BI35" i="4"/>
  <c r="AZ35" i="4"/>
  <c r="AY35" i="4"/>
  <c r="AT35" i="4"/>
  <c r="AS35" i="4"/>
  <c r="BJ34" i="4"/>
  <c r="BI34" i="4"/>
  <c r="BH34" i="4"/>
  <c r="BF34" i="4"/>
  <c r="AZ34" i="4"/>
  <c r="AY34" i="4"/>
  <c r="AT34" i="4"/>
  <c r="AS34" i="4"/>
  <c r="BJ33" i="4"/>
  <c r="BI33" i="4"/>
  <c r="AZ33" i="4"/>
  <c r="AY33" i="4"/>
  <c r="AT33" i="4"/>
  <c r="AS33" i="4"/>
  <c r="BJ32" i="4"/>
  <c r="BI32" i="4"/>
  <c r="BH32" i="4"/>
  <c r="BF32" i="4"/>
  <c r="AZ32" i="4"/>
  <c r="AY32" i="4"/>
  <c r="AT32" i="4"/>
  <c r="AS32" i="4"/>
  <c r="BJ31" i="4"/>
  <c r="BI31" i="4"/>
  <c r="AZ31" i="4"/>
  <c r="AY31" i="4"/>
  <c r="AT31" i="4"/>
  <c r="AS31" i="4"/>
  <c r="BJ30" i="4"/>
  <c r="BI30" i="4"/>
  <c r="BF30" i="4"/>
  <c r="AZ30" i="4"/>
  <c r="AY30" i="4"/>
  <c r="AT30" i="4"/>
  <c r="AS30" i="4"/>
  <c r="BJ29" i="4"/>
  <c r="BI29" i="4"/>
  <c r="AZ29" i="4"/>
  <c r="AY29" i="4"/>
  <c r="AT29" i="4"/>
  <c r="AS29" i="4"/>
  <c r="BJ28" i="4"/>
  <c r="BI28" i="4"/>
  <c r="BH28" i="4"/>
  <c r="AZ28" i="4"/>
  <c r="AY28" i="4"/>
  <c r="AT28" i="4"/>
  <c r="AS28" i="4"/>
  <c r="BJ27" i="4"/>
  <c r="BI27" i="4"/>
  <c r="AZ27" i="4"/>
  <c r="AY27" i="4"/>
  <c r="AT27" i="4"/>
  <c r="AS27" i="4"/>
  <c r="BJ26" i="4"/>
  <c r="BI26" i="4"/>
  <c r="BF26" i="4"/>
  <c r="AZ26" i="4"/>
  <c r="AY26" i="4"/>
  <c r="AT26" i="4"/>
  <c r="AS26" i="4"/>
  <c r="BJ25" i="4"/>
  <c r="BI25" i="4"/>
  <c r="AZ25" i="4"/>
  <c r="AY25" i="4"/>
  <c r="AT25" i="4"/>
  <c r="AS25" i="4"/>
  <c r="BJ24" i="4"/>
  <c r="BI24" i="4"/>
  <c r="BH24" i="4"/>
  <c r="BF24" i="4"/>
  <c r="AZ24" i="4"/>
  <c r="AY24" i="4"/>
  <c r="AT24" i="4"/>
  <c r="AS24" i="4"/>
  <c r="BJ23" i="4"/>
  <c r="BI23" i="4"/>
  <c r="AZ23" i="4"/>
  <c r="AY23" i="4"/>
  <c r="AT23" i="4"/>
  <c r="AS23" i="4"/>
  <c r="BJ22" i="4"/>
  <c r="BI22" i="4"/>
  <c r="BH22" i="4"/>
  <c r="AZ22" i="4"/>
  <c r="AY22" i="4"/>
  <c r="AT22" i="4"/>
  <c r="AS22" i="4"/>
  <c r="BJ21" i="4"/>
  <c r="BI21" i="4"/>
  <c r="AZ21" i="4"/>
  <c r="AY21" i="4"/>
  <c r="AT21" i="4"/>
  <c r="AS21" i="4"/>
  <c r="BJ20" i="4"/>
  <c r="BI20" i="4"/>
  <c r="BH20" i="4"/>
  <c r="BF20" i="4"/>
  <c r="AZ20" i="4"/>
  <c r="AY20" i="4"/>
  <c r="AT20" i="4"/>
  <c r="AS20" i="4"/>
  <c r="BJ19" i="4"/>
  <c r="BI19" i="4"/>
  <c r="AZ19" i="4"/>
  <c r="AY19" i="4"/>
  <c r="AT19" i="4"/>
  <c r="AS19" i="4"/>
  <c r="BJ18" i="4"/>
  <c r="BI18" i="4"/>
  <c r="BF18" i="4"/>
  <c r="AZ18" i="4"/>
  <c r="AY18" i="4"/>
  <c r="AT18" i="4"/>
  <c r="AS18" i="4"/>
  <c r="BJ17" i="4"/>
  <c r="BI17" i="4"/>
  <c r="AZ17" i="4"/>
  <c r="AY17" i="4"/>
  <c r="AT17" i="4"/>
  <c r="AS17" i="4"/>
  <c r="BJ16" i="4"/>
  <c r="BI16" i="4"/>
  <c r="BH16" i="4"/>
  <c r="BF16" i="4"/>
  <c r="AZ16" i="4"/>
  <c r="AY16" i="4"/>
  <c r="AT16" i="4"/>
  <c r="AS16" i="4"/>
  <c r="BJ15" i="4"/>
  <c r="BI15" i="4"/>
  <c r="BF15" i="4"/>
  <c r="AZ15" i="4"/>
  <c r="AY15" i="4"/>
  <c r="AT15" i="4"/>
  <c r="AS15" i="4"/>
  <c r="BJ14" i="4"/>
  <c r="BI14" i="4"/>
  <c r="BH14" i="4"/>
  <c r="BF14" i="4"/>
  <c r="AZ14" i="4"/>
  <c r="AY14" i="4"/>
  <c r="AT14" i="4"/>
  <c r="AS14" i="4"/>
  <c r="BJ13" i="4"/>
  <c r="BI13" i="4"/>
  <c r="AZ13" i="4"/>
  <c r="AY13" i="4"/>
  <c r="AT13" i="4"/>
  <c r="AS13" i="4"/>
  <c r="BJ12" i="4"/>
  <c r="BI12" i="4"/>
  <c r="BH12" i="4"/>
  <c r="BF12" i="4"/>
  <c r="AZ12" i="4"/>
  <c r="AY12" i="4"/>
  <c r="AT12" i="4"/>
  <c r="AS12" i="4"/>
  <c r="BJ11" i="4"/>
  <c r="BI11" i="4"/>
  <c r="AZ11" i="4"/>
  <c r="AY11" i="4"/>
  <c r="AT11" i="4"/>
  <c r="AS11" i="4"/>
  <c r="BJ10" i="4"/>
  <c r="BI10" i="4"/>
  <c r="BH10" i="4"/>
  <c r="AZ10" i="4"/>
  <c r="AY10" i="4"/>
  <c r="AT10" i="4"/>
  <c r="AS10" i="4"/>
  <c r="BJ9" i="4"/>
  <c r="BI9" i="4"/>
  <c r="BF9" i="4"/>
  <c r="AZ9" i="4"/>
  <c r="AY9" i="4"/>
  <c r="AT9" i="4"/>
  <c r="AS9" i="4"/>
  <c r="BJ8" i="4"/>
  <c r="BI8" i="4"/>
  <c r="BH8" i="4"/>
  <c r="AZ8" i="4"/>
  <c r="AY8" i="4"/>
  <c r="AT8" i="4"/>
  <c r="AS8" i="4"/>
  <c r="BJ7" i="4"/>
  <c r="BI7" i="4"/>
  <c r="AZ7" i="4"/>
  <c r="AY7" i="4"/>
  <c r="AT7" i="4"/>
  <c r="AS7" i="4"/>
  <c r="BJ6" i="4"/>
  <c r="BI6" i="4"/>
  <c r="BH6" i="4"/>
  <c r="BF6" i="4"/>
  <c r="AZ6" i="4"/>
  <c r="AY6" i="4"/>
  <c r="AT6" i="4"/>
  <c r="AS6" i="4"/>
  <c r="BJ5" i="4"/>
  <c r="BI5" i="4"/>
  <c r="BH5" i="4"/>
  <c r="AZ5" i="4"/>
  <c r="AY5" i="4"/>
  <c r="AT5" i="4"/>
  <c r="AS5" i="4"/>
  <c r="AO454" i="4"/>
  <c r="AN454" i="4"/>
  <c r="AE454" i="4"/>
  <c r="AD454" i="4"/>
  <c r="Y454" i="4"/>
  <c r="X454" i="4"/>
  <c r="AO453" i="4"/>
  <c r="AN453" i="4"/>
  <c r="AE453" i="4"/>
  <c r="AD453" i="4"/>
  <c r="Y453" i="4"/>
  <c r="X453" i="4"/>
  <c r="AO452" i="4"/>
  <c r="AN452" i="4"/>
  <c r="AM452" i="4"/>
  <c r="AE452" i="4"/>
  <c r="AD452" i="4"/>
  <c r="Y452" i="4"/>
  <c r="X452" i="4"/>
  <c r="AO451" i="4"/>
  <c r="AN451" i="4"/>
  <c r="AE451" i="4"/>
  <c r="AD451" i="4"/>
  <c r="Y451" i="4"/>
  <c r="X451" i="4"/>
  <c r="AO450" i="4"/>
  <c r="AN450" i="4"/>
  <c r="AE450" i="4"/>
  <c r="AD450" i="4"/>
  <c r="Y450" i="4"/>
  <c r="X450" i="4"/>
  <c r="AO449" i="4"/>
  <c r="AN449" i="4"/>
  <c r="AE449" i="4"/>
  <c r="AD449" i="4"/>
  <c r="Y449" i="4"/>
  <c r="X449" i="4"/>
  <c r="AO448" i="4"/>
  <c r="AN448" i="4"/>
  <c r="AM448" i="4"/>
  <c r="AE448" i="4"/>
  <c r="AD448" i="4"/>
  <c r="Y448" i="4"/>
  <c r="X448" i="4"/>
  <c r="AO447" i="4"/>
  <c r="AN447" i="4"/>
  <c r="AE447" i="4"/>
  <c r="AD447" i="4"/>
  <c r="Y447" i="4"/>
  <c r="X447" i="4"/>
  <c r="AO446" i="4"/>
  <c r="AN446" i="4"/>
  <c r="AE446" i="4"/>
  <c r="AD446" i="4"/>
  <c r="Y446" i="4"/>
  <c r="X446" i="4"/>
  <c r="AO445" i="4"/>
  <c r="AN445" i="4"/>
  <c r="AM445" i="4"/>
  <c r="AE445" i="4"/>
  <c r="AD445" i="4"/>
  <c r="Y445" i="4"/>
  <c r="X445" i="4"/>
  <c r="AO444" i="4"/>
  <c r="AN444" i="4"/>
  <c r="AE444" i="4"/>
  <c r="AD444" i="4"/>
  <c r="Y444" i="4"/>
  <c r="X444" i="4"/>
  <c r="AO443" i="4"/>
  <c r="AN443" i="4"/>
  <c r="AE443" i="4"/>
  <c r="AD443" i="4"/>
  <c r="Y443" i="4"/>
  <c r="X443" i="4"/>
  <c r="AO442" i="4"/>
  <c r="AN442" i="4"/>
  <c r="AK442" i="4"/>
  <c r="AE442" i="4"/>
  <c r="AD442" i="4"/>
  <c r="Y442" i="4"/>
  <c r="X442" i="4"/>
  <c r="AO441" i="4"/>
  <c r="AN441" i="4"/>
  <c r="AE441" i="4"/>
  <c r="AD441" i="4"/>
  <c r="Y441" i="4"/>
  <c r="X441" i="4"/>
  <c r="AO440" i="4"/>
  <c r="AN440" i="4"/>
  <c r="AE440" i="4"/>
  <c r="AD440" i="4"/>
  <c r="Y440" i="4"/>
  <c r="X440" i="4"/>
  <c r="AO439" i="4"/>
  <c r="AN439" i="4"/>
  <c r="AE439" i="4"/>
  <c r="AD439" i="4"/>
  <c r="Y439" i="4"/>
  <c r="X439" i="4"/>
  <c r="AO438" i="4"/>
  <c r="AN438" i="4"/>
  <c r="AK438" i="4"/>
  <c r="AE438" i="4"/>
  <c r="AD438" i="4"/>
  <c r="Y438" i="4"/>
  <c r="X438" i="4"/>
  <c r="AO437" i="4"/>
  <c r="AN437" i="4"/>
  <c r="AE437" i="4"/>
  <c r="AD437" i="4"/>
  <c r="Y437" i="4"/>
  <c r="X437" i="4"/>
  <c r="AO436" i="4"/>
  <c r="AN436" i="4"/>
  <c r="AE436" i="4"/>
  <c r="AD436" i="4"/>
  <c r="Y436" i="4"/>
  <c r="X436" i="4"/>
  <c r="AO435" i="4"/>
  <c r="AN435" i="4"/>
  <c r="AE435" i="4"/>
  <c r="AD435" i="4"/>
  <c r="Y435" i="4"/>
  <c r="X435" i="4"/>
  <c r="AO434" i="4"/>
  <c r="AN434" i="4"/>
  <c r="AM434" i="4"/>
  <c r="AE434" i="4"/>
  <c r="AD434" i="4"/>
  <c r="Y434" i="4"/>
  <c r="X434" i="4"/>
  <c r="AO433" i="4"/>
  <c r="AN433" i="4"/>
  <c r="AE433" i="4"/>
  <c r="AD433" i="4"/>
  <c r="Y433" i="4"/>
  <c r="X433" i="4"/>
  <c r="AO432" i="4"/>
  <c r="AN432" i="4"/>
  <c r="AE432" i="4"/>
  <c r="AD432" i="4"/>
  <c r="Y432" i="4"/>
  <c r="X432" i="4"/>
  <c r="AO431" i="4"/>
  <c r="AN431" i="4"/>
  <c r="AE431" i="4"/>
  <c r="AD431" i="4"/>
  <c r="Y431" i="4"/>
  <c r="X431" i="4"/>
  <c r="AO430" i="4"/>
  <c r="AN430" i="4"/>
  <c r="AM430" i="4"/>
  <c r="AE430" i="4"/>
  <c r="AD430" i="4"/>
  <c r="Y430" i="4"/>
  <c r="X430" i="4"/>
  <c r="AO429" i="4"/>
  <c r="AN429" i="4"/>
  <c r="AE429" i="4"/>
  <c r="AD429" i="4"/>
  <c r="Y429" i="4"/>
  <c r="X429" i="4"/>
  <c r="AO428" i="4"/>
  <c r="AN428" i="4"/>
  <c r="AK428" i="4"/>
  <c r="AE428" i="4"/>
  <c r="AD428" i="4"/>
  <c r="Y428" i="4"/>
  <c r="X428" i="4"/>
  <c r="AO427" i="4"/>
  <c r="AN427" i="4"/>
  <c r="AE427" i="4"/>
  <c r="AD427" i="4"/>
  <c r="Y427" i="4"/>
  <c r="X427" i="4"/>
  <c r="AO426" i="4"/>
  <c r="AN426" i="4"/>
  <c r="AE426" i="4"/>
  <c r="AD426" i="4"/>
  <c r="Y426" i="4"/>
  <c r="X426" i="4"/>
  <c r="AO425" i="4"/>
  <c r="AN425" i="4"/>
  <c r="AE425" i="4"/>
  <c r="AD425" i="4"/>
  <c r="Y425" i="4"/>
  <c r="X425" i="4"/>
  <c r="AO424" i="4"/>
  <c r="AN424" i="4"/>
  <c r="AK424" i="4"/>
  <c r="AE424" i="4"/>
  <c r="AD424" i="4"/>
  <c r="Y424" i="4"/>
  <c r="X424" i="4"/>
  <c r="AO423" i="4"/>
  <c r="AN423" i="4"/>
  <c r="AE423" i="4"/>
  <c r="AD423" i="4"/>
  <c r="Y423" i="4"/>
  <c r="X423" i="4"/>
  <c r="AO422" i="4"/>
  <c r="AN422" i="4"/>
  <c r="AE422" i="4"/>
  <c r="AD422" i="4"/>
  <c r="Y422" i="4"/>
  <c r="X422" i="4"/>
  <c r="AO421" i="4"/>
  <c r="AN421" i="4"/>
  <c r="AE421" i="4"/>
  <c r="AD421" i="4"/>
  <c r="Y421" i="4"/>
  <c r="X421" i="4"/>
  <c r="AO420" i="4"/>
  <c r="AN420" i="4"/>
  <c r="AM420" i="4"/>
  <c r="AE420" i="4"/>
  <c r="AD420" i="4"/>
  <c r="Y420" i="4"/>
  <c r="X420" i="4"/>
  <c r="AO419" i="4"/>
  <c r="AN419" i="4"/>
  <c r="AE419" i="4"/>
  <c r="AD419" i="4"/>
  <c r="Y419" i="4"/>
  <c r="X419" i="4"/>
  <c r="AO418" i="4"/>
  <c r="AN418" i="4"/>
  <c r="AE418" i="4"/>
  <c r="AD418" i="4"/>
  <c r="Y418" i="4"/>
  <c r="X418" i="4"/>
  <c r="AO417" i="4"/>
  <c r="AN417" i="4"/>
  <c r="AE417" i="4"/>
  <c r="AD417" i="4"/>
  <c r="Y417" i="4"/>
  <c r="X417" i="4"/>
  <c r="AO416" i="4"/>
  <c r="AN416" i="4"/>
  <c r="AM416" i="4"/>
  <c r="AE416" i="4"/>
  <c r="AD416" i="4"/>
  <c r="Y416" i="4"/>
  <c r="X416" i="4"/>
  <c r="AO415" i="4"/>
  <c r="AN415" i="4"/>
  <c r="AE415" i="4"/>
  <c r="AD415" i="4"/>
  <c r="Y415" i="4"/>
  <c r="X415" i="4"/>
  <c r="AO414" i="4"/>
  <c r="AN414" i="4"/>
  <c r="AE414" i="4"/>
  <c r="AD414" i="4"/>
  <c r="Y414" i="4"/>
  <c r="X414" i="4"/>
  <c r="AO413" i="4"/>
  <c r="AN413" i="4"/>
  <c r="AM413" i="4"/>
  <c r="AE413" i="4"/>
  <c r="AD413" i="4"/>
  <c r="Y413" i="4"/>
  <c r="X413" i="4"/>
  <c r="AO412" i="4"/>
  <c r="AN412" i="4"/>
  <c r="AE412" i="4"/>
  <c r="AD412" i="4"/>
  <c r="Y412" i="4"/>
  <c r="X412" i="4"/>
  <c r="AO411" i="4"/>
  <c r="AN411" i="4"/>
  <c r="AE411" i="4"/>
  <c r="AD411" i="4"/>
  <c r="Y411" i="4"/>
  <c r="X411" i="4"/>
  <c r="AO410" i="4"/>
  <c r="AN410" i="4"/>
  <c r="AK410" i="4"/>
  <c r="AE410" i="4"/>
  <c r="AD410" i="4"/>
  <c r="Y410" i="4"/>
  <c r="X410" i="4"/>
  <c r="AO409" i="4"/>
  <c r="AN409" i="4"/>
  <c r="AE409" i="4"/>
  <c r="AD409" i="4"/>
  <c r="Y409" i="4"/>
  <c r="X409" i="4"/>
  <c r="AO408" i="4"/>
  <c r="AN408" i="4"/>
  <c r="AE408" i="4"/>
  <c r="AD408" i="4"/>
  <c r="Y408" i="4"/>
  <c r="X408" i="4"/>
  <c r="AO407" i="4"/>
  <c r="AN407" i="4"/>
  <c r="AE407" i="4"/>
  <c r="AD407" i="4"/>
  <c r="Y407" i="4"/>
  <c r="X407" i="4"/>
  <c r="AO406" i="4"/>
  <c r="AN406" i="4"/>
  <c r="AK406" i="4"/>
  <c r="AE406" i="4"/>
  <c r="AD406" i="4"/>
  <c r="Y406" i="4"/>
  <c r="X406" i="4"/>
  <c r="AO405" i="4"/>
  <c r="AN405" i="4"/>
  <c r="AE405" i="4"/>
  <c r="AD405" i="4"/>
  <c r="Y405" i="4"/>
  <c r="X405" i="4"/>
  <c r="AO404" i="4"/>
  <c r="AN404" i="4"/>
  <c r="AE404" i="4"/>
  <c r="AD404" i="4"/>
  <c r="Y404" i="4"/>
  <c r="X404" i="4"/>
  <c r="AO403" i="4"/>
  <c r="AN403" i="4"/>
  <c r="AE403" i="4"/>
  <c r="AD403" i="4"/>
  <c r="Y403" i="4"/>
  <c r="X403" i="4"/>
  <c r="AO402" i="4"/>
  <c r="AN402" i="4"/>
  <c r="AM402" i="4"/>
  <c r="AE402" i="4"/>
  <c r="AD402" i="4"/>
  <c r="Y402" i="4"/>
  <c r="X402" i="4"/>
  <c r="AO401" i="4"/>
  <c r="AN401" i="4"/>
  <c r="AE401" i="4"/>
  <c r="AD401" i="4"/>
  <c r="Y401" i="4"/>
  <c r="X401" i="4"/>
  <c r="AO400" i="4"/>
  <c r="AN400" i="4"/>
  <c r="AE400" i="4"/>
  <c r="AD400" i="4"/>
  <c r="Y400" i="4"/>
  <c r="X400" i="4"/>
  <c r="AO399" i="4"/>
  <c r="AN399" i="4"/>
  <c r="AE399" i="4"/>
  <c r="AD399" i="4"/>
  <c r="Y399" i="4"/>
  <c r="X399" i="4"/>
  <c r="AO398" i="4"/>
  <c r="AN398" i="4"/>
  <c r="AM398" i="4"/>
  <c r="AE398" i="4"/>
  <c r="AD398" i="4"/>
  <c r="Y398" i="4"/>
  <c r="X398" i="4"/>
  <c r="AO397" i="4"/>
  <c r="AN397" i="4"/>
  <c r="AE397" i="4"/>
  <c r="AD397" i="4"/>
  <c r="Y397" i="4"/>
  <c r="X397" i="4"/>
  <c r="AO396" i="4"/>
  <c r="AN396" i="4"/>
  <c r="AK396" i="4"/>
  <c r="AE396" i="4"/>
  <c r="AD396" i="4"/>
  <c r="Y396" i="4"/>
  <c r="X396" i="4"/>
  <c r="AO395" i="4"/>
  <c r="AN395" i="4"/>
  <c r="AE395" i="4"/>
  <c r="AD395" i="4"/>
  <c r="Y395" i="4"/>
  <c r="X395" i="4"/>
  <c r="AO394" i="4"/>
  <c r="AN394" i="4"/>
  <c r="AE394" i="4"/>
  <c r="AD394" i="4"/>
  <c r="Y394" i="4"/>
  <c r="X394" i="4"/>
  <c r="AO393" i="4"/>
  <c r="AN393" i="4"/>
  <c r="AE393" i="4"/>
  <c r="AD393" i="4"/>
  <c r="Y393" i="4"/>
  <c r="X393" i="4"/>
  <c r="AO392" i="4"/>
  <c r="AN392" i="4"/>
  <c r="AK392" i="4"/>
  <c r="AE392" i="4"/>
  <c r="AD392" i="4"/>
  <c r="Y392" i="4"/>
  <c r="X392" i="4"/>
  <c r="AO391" i="4"/>
  <c r="AN391" i="4"/>
  <c r="AE391" i="4"/>
  <c r="AD391" i="4"/>
  <c r="Y391" i="4"/>
  <c r="X391" i="4"/>
  <c r="AO390" i="4"/>
  <c r="AN390" i="4"/>
  <c r="AE390" i="4"/>
  <c r="AD390" i="4"/>
  <c r="Y390" i="4"/>
  <c r="X390" i="4"/>
  <c r="AO389" i="4"/>
  <c r="AN389" i="4"/>
  <c r="AE389" i="4"/>
  <c r="AD389" i="4"/>
  <c r="Y389" i="4"/>
  <c r="X389" i="4"/>
  <c r="AO388" i="4"/>
  <c r="AN388" i="4"/>
  <c r="AM388" i="4"/>
  <c r="AE388" i="4"/>
  <c r="AD388" i="4"/>
  <c r="Y388" i="4"/>
  <c r="X388" i="4"/>
  <c r="AO387" i="4"/>
  <c r="AN387" i="4"/>
  <c r="AE387" i="4"/>
  <c r="AD387" i="4"/>
  <c r="Y387" i="4"/>
  <c r="X387" i="4"/>
  <c r="AO386" i="4"/>
  <c r="AN386" i="4"/>
  <c r="AE386" i="4"/>
  <c r="AD386" i="4"/>
  <c r="Y386" i="4"/>
  <c r="X386" i="4"/>
  <c r="AO385" i="4"/>
  <c r="AN385" i="4"/>
  <c r="AE385" i="4"/>
  <c r="AD385" i="4"/>
  <c r="Y385" i="4"/>
  <c r="X385" i="4"/>
  <c r="AO384" i="4"/>
  <c r="AN384" i="4"/>
  <c r="AM384" i="4"/>
  <c r="AE384" i="4"/>
  <c r="AD384" i="4"/>
  <c r="Y384" i="4"/>
  <c r="X384" i="4"/>
  <c r="AO383" i="4"/>
  <c r="AN383" i="4"/>
  <c r="AE383" i="4"/>
  <c r="AD383" i="4"/>
  <c r="Y383" i="4"/>
  <c r="X383" i="4"/>
  <c r="AO382" i="4"/>
  <c r="AN382" i="4"/>
  <c r="AE382" i="4"/>
  <c r="AD382" i="4"/>
  <c r="Y382" i="4"/>
  <c r="X382" i="4"/>
  <c r="AO381" i="4"/>
  <c r="AN381" i="4"/>
  <c r="AM381" i="4"/>
  <c r="AE381" i="4"/>
  <c r="AD381" i="4"/>
  <c r="Y381" i="4"/>
  <c r="X381" i="4"/>
  <c r="AO380" i="4"/>
  <c r="AN380" i="4"/>
  <c r="AE380" i="4"/>
  <c r="AD380" i="4"/>
  <c r="Y380" i="4"/>
  <c r="X380" i="4"/>
  <c r="AO379" i="4"/>
  <c r="AN379" i="4"/>
  <c r="AE379" i="4"/>
  <c r="AD379" i="4"/>
  <c r="Y379" i="4"/>
  <c r="X379" i="4"/>
  <c r="AO378" i="4"/>
  <c r="AN378" i="4"/>
  <c r="AK378" i="4"/>
  <c r="AE378" i="4"/>
  <c r="AD378" i="4"/>
  <c r="Y378" i="4"/>
  <c r="X378" i="4"/>
  <c r="AO377" i="4"/>
  <c r="AN377" i="4"/>
  <c r="AE377" i="4"/>
  <c r="AD377" i="4"/>
  <c r="Y377" i="4"/>
  <c r="X377" i="4"/>
  <c r="AO376" i="4"/>
  <c r="AN376" i="4"/>
  <c r="AE376" i="4"/>
  <c r="AD376" i="4"/>
  <c r="Y376" i="4"/>
  <c r="X376" i="4"/>
  <c r="AO375" i="4"/>
  <c r="AN375" i="4"/>
  <c r="AE375" i="4"/>
  <c r="AD375" i="4"/>
  <c r="Y375" i="4"/>
  <c r="X375" i="4"/>
  <c r="AO374" i="4"/>
  <c r="AN374" i="4"/>
  <c r="AK374" i="4"/>
  <c r="AE374" i="4"/>
  <c r="AD374" i="4"/>
  <c r="Y374" i="4"/>
  <c r="X374" i="4"/>
  <c r="AO373" i="4"/>
  <c r="AN373" i="4"/>
  <c r="AE373" i="4"/>
  <c r="AD373" i="4"/>
  <c r="Y373" i="4"/>
  <c r="X373" i="4"/>
  <c r="AO372" i="4"/>
  <c r="AN372" i="4"/>
  <c r="AE372" i="4"/>
  <c r="AD372" i="4"/>
  <c r="Y372" i="4"/>
  <c r="X372" i="4"/>
  <c r="AO371" i="4"/>
  <c r="AN371" i="4"/>
  <c r="AE371" i="4"/>
  <c r="AD371" i="4"/>
  <c r="Y371" i="4"/>
  <c r="X371" i="4"/>
  <c r="AO370" i="4"/>
  <c r="AN370" i="4"/>
  <c r="AM370" i="4"/>
  <c r="AE370" i="4"/>
  <c r="AD370" i="4"/>
  <c r="Y370" i="4"/>
  <c r="X370" i="4"/>
  <c r="AO369" i="4"/>
  <c r="AN369" i="4"/>
  <c r="AE369" i="4"/>
  <c r="AD369" i="4"/>
  <c r="Y369" i="4"/>
  <c r="X369" i="4"/>
  <c r="AO368" i="4"/>
  <c r="AN368" i="4"/>
  <c r="AE368" i="4"/>
  <c r="AD368" i="4"/>
  <c r="Y368" i="4"/>
  <c r="X368" i="4"/>
  <c r="AO367" i="4"/>
  <c r="AN367" i="4"/>
  <c r="AE367" i="4"/>
  <c r="AD367" i="4"/>
  <c r="Y367" i="4"/>
  <c r="X367" i="4"/>
  <c r="AO366" i="4"/>
  <c r="AN366" i="4"/>
  <c r="AM366" i="4"/>
  <c r="AE366" i="4"/>
  <c r="AD366" i="4"/>
  <c r="Y366" i="4"/>
  <c r="X366" i="4"/>
  <c r="AO365" i="4"/>
  <c r="AN365" i="4"/>
  <c r="AE365" i="4"/>
  <c r="AD365" i="4"/>
  <c r="Y365" i="4"/>
  <c r="X365" i="4"/>
  <c r="AO364" i="4"/>
  <c r="AN364" i="4"/>
  <c r="AK364" i="4"/>
  <c r="AE364" i="4"/>
  <c r="AD364" i="4"/>
  <c r="Y364" i="4"/>
  <c r="X364" i="4"/>
  <c r="AO363" i="4"/>
  <c r="AN363" i="4"/>
  <c r="AE363" i="4"/>
  <c r="AD363" i="4"/>
  <c r="Y363" i="4"/>
  <c r="X363" i="4"/>
  <c r="AO362" i="4"/>
  <c r="AN362" i="4"/>
  <c r="AE362" i="4"/>
  <c r="AD362" i="4"/>
  <c r="Y362" i="4"/>
  <c r="X362" i="4"/>
  <c r="AO361" i="4"/>
  <c r="AN361" i="4"/>
  <c r="AE361" i="4"/>
  <c r="AD361" i="4"/>
  <c r="Y361" i="4"/>
  <c r="X361" i="4"/>
  <c r="AO360" i="4"/>
  <c r="AN360" i="4"/>
  <c r="AK360" i="4"/>
  <c r="AE360" i="4"/>
  <c r="AD360" i="4"/>
  <c r="Y360" i="4"/>
  <c r="X360" i="4"/>
  <c r="AO359" i="4"/>
  <c r="AN359" i="4"/>
  <c r="AE359" i="4"/>
  <c r="AD359" i="4"/>
  <c r="Y359" i="4"/>
  <c r="X359" i="4"/>
  <c r="AO358" i="4"/>
  <c r="AN358" i="4"/>
  <c r="AE358" i="4"/>
  <c r="AD358" i="4"/>
  <c r="Y358" i="4"/>
  <c r="X358" i="4"/>
  <c r="AO357" i="4"/>
  <c r="AN357" i="4"/>
  <c r="AE357" i="4"/>
  <c r="AD357" i="4"/>
  <c r="Y357" i="4"/>
  <c r="X357" i="4"/>
  <c r="AO356" i="4"/>
  <c r="AN356" i="4"/>
  <c r="AM356" i="4"/>
  <c r="AE356" i="4"/>
  <c r="AD356" i="4"/>
  <c r="Y356" i="4"/>
  <c r="X356" i="4"/>
  <c r="AO355" i="4"/>
  <c r="AN355" i="4"/>
  <c r="AE355" i="4"/>
  <c r="AD355" i="4"/>
  <c r="Y355" i="4"/>
  <c r="X355" i="4"/>
  <c r="AO354" i="4"/>
  <c r="AN354" i="4"/>
  <c r="AE354" i="4"/>
  <c r="AD354" i="4"/>
  <c r="Y354" i="4"/>
  <c r="X354" i="4"/>
  <c r="AO353" i="4"/>
  <c r="AN353" i="4"/>
  <c r="AE353" i="4"/>
  <c r="AD353" i="4"/>
  <c r="Y353" i="4"/>
  <c r="X353" i="4"/>
  <c r="AO352" i="4"/>
  <c r="AN352" i="4"/>
  <c r="AM352" i="4"/>
  <c r="AE352" i="4"/>
  <c r="AD352" i="4"/>
  <c r="Y352" i="4"/>
  <c r="X352" i="4"/>
  <c r="AO351" i="4"/>
  <c r="AN351" i="4"/>
  <c r="AE351" i="4"/>
  <c r="AD351" i="4"/>
  <c r="Y351" i="4"/>
  <c r="X351" i="4"/>
  <c r="AO350" i="4"/>
  <c r="AN350" i="4"/>
  <c r="AE350" i="4"/>
  <c r="AD350" i="4"/>
  <c r="Y350" i="4"/>
  <c r="X350" i="4"/>
  <c r="AO349" i="4"/>
  <c r="AN349" i="4"/>
  <c r="AM349" i="4"/>
  <c r="AE349" i="4"/>
  <c r="AD349" i="4"/>
  <c r="Y349" i="4"/>
  <c r="X349" i="4"/>
  <c r="AO348" i="4"/>
  <c r="AN348" i="4"/>
  <c r="AE348" i="4"/>
  <c r="AD348" i="4"/>
  <c r="Y348" i="4"/>
  <c r="X348" i="4"/>
  <c r="AO347" i="4"/>
  <c r="AN347" i="4"/>
  <c r="AE347" i="4"/>
  <c r="AD347" i="4"/>
  <c r="Y347" i="4"/>
  <c r="X347" i="4"/>
  <c r="AO346" i="4"/>
  <c r="AN346" i="4"/>
  <c r="AK346" i="4"/>
  <c r="AE346" i="4"/>
  <c r="AD346" i="4"/>
  <c r="Y346" i="4"/>
  <c r="X346" i="4"/>
  <c r="AO345" i="4"/>
  <c r="AN345" i="4"/>
  <c r="AE345" i="4"/>
  <c r="AD345" i="4"/>
  <c r="Y345" i="4"/>
  <c r="X345" i="4"/>
  <c r="AO344" i="4"/>
  <c r="AN344" i="4"/>
  <c r="AE344" i="4"/>
  <c r="AD344" i="4"/>
  <c r="Y344" i="4"/>
  <c r="X344" i="4"/>
  <c r="AO343" i="4"/>
  <c r="AN343" i="4"/>
  <c r="AE343" i="4"/>
  <c r="AD343" i="4"/>
  <c r="Y343" i="4"/>
  <c r="X343" i="4"/>
  <c r="AO342" i="4"/>
  <c r="AN342" i="4"/>
  <c r="AK342" i="4"/>
  <c r="AE342" i="4"/>
  <c r="AD342" i="4"/>
  <c r="Y342" i="4"/>
  <c r="X342" i="4"/>
  <c r="AO341" i="4"/>
  <c r="AN341" i="4"/>
  <c r="AE341" i="4"/>
  <c r="AD341" i="4"/>
  <c r="Y341" i="4"/>
  <c r="X341" i="4"/>
  <c r="AO340" i="4"/>
  <c r="AN340" i="4"/>
  <c r="AE340" i="4"/>
  <c r="AD340" i="4"/>
  <c r="Y340" i="4"/>
  <c r="X340" i="4"/>
  <c r="AO339" i="4"/>
  <c r="AN339" i="4"/>
  <c r="AE339" i="4"/>
  <c r="AD339" i="4"/>
  <c r="Y339" i="4"/>
  <c r="X339" i="4"/>
  <c r="AO338" i="4"/>
  <c r="AN338" i="4"/>
  <c r="AM338" i="4"/>
  <c r="AE338" i="4"/>
  <c r="AD338" i="4"/>
  <c r="Y338" i="4"/>
  <c r="X338" i="4"/>
  <c r="AO337" i="4"/>
  <c r="AN337" i="4"/>
  <c r="AE337" i="4"/>
  <c r="AD337" i="4"/>
  <c r="Y337" i="4"/>
  <c r="X337" i="4"/>
  <c r="AO336" i="4"/>
  <c r="AN336" i="4"/>
  <c r="AE336" i="4"/>
  <c r="AD336" i="4"/>
  <c r="Y336" i="4"/>
  <c r="X336" i="4"/>
  <c r="AO335" i="4"/>
  <c r="AN335" i="4"/>
  <c r="AE335" i="4"/>
  <c r="AD335" i="4"/>
  <c r="Y335" i="4"/>
  <c r="X335" i="4"/>
  <c r="AO334" i="4"/>
  <c r="AN334" i="4"/>
  <c r="AM334" i="4"/>
  <c r="AE334" i="4"/>
  <c r="AD334" i="4"/>
  <c r="Y334" i="4"/>
  <c r="X334" i="4"/>
  <c r="AO333" i="4"/>
  <c r="AN333" i="4"/>
  <c r="AE333" i="4"/>
  <c r="AD333" i="4"/>
  <c r="Y333" i="4"/>
  <c r="X333" i="4"/>
  <c r="AO332" i="4"/>
  <c r="AN332" i="4"/>
  <c r="AK332" i="4"/>
  <c r="AE332" i="4"/>
  <c r="AD332" i="4"/>
  <c r="Y332" i="4"/>
  <c r="X332" i="4"/>
  <c r="AO331" i="4"/>
  <c r="AN331" i="4"/>
  <c r="AE331" i="4"/>
  <c r="AD331" i="4"/>
  <c r="Y331" i="4"/>
  <c r="X331" i="4"/>
  <c r="AO330" i="4"/>
  <c r="AN330" i="4"/>
  <c r="AE330" i="4"/>
  <c r="AD330" i="4"/>
  <c r="Y330" i="4"/>
  <c r="X330" i="4"/>
  <c r="AO329" i="4"/>
  <c r="AN329" i="4"/>
  <c r="AE329" i="4"/>
  <c r="AD329" i="4"/>
  <c r="Y329" i="4"/>
  <c r="X329" i="4"/>
  <c r="AO328" i="4"/>
  <c r="AN328" i="4"/>
  <c r="AK328" i="4"/>
  <c r="AE328" i="4"/>
  <c r="AD328" i="4"/>
  <c r="Y328" i="4"/>
  <c r="X328" i="4"/>
  <c r="AO327" i="4"/>
  <c r="AN327" i="4"/>
  <c r="AE327" i="4"/>
  <c r="AD327" i="4"/>
  <c r="Y327" i="4"/>
  <c r="X327" i="4"/>
  <c r="AO326" i="4"/>
  <c r="AN326" i="4"/>
  <c r="AE326" i="4"/>
  <c r="AD326" i="4"/>
  <c r="Y326" i="4"/>
  <c r="X326" i="4"/>
  <c r="AO325" i="4"/>
  <c r="AN325" i="4"/>
  <c r="AE325" i="4"/>
  <c r="AD325" i="4"/>
  <c r="Y325" i="4"/>
  <c r="X325" i="4"/>
  <c r="AO324" i="4"/>
  <c r="AN324" i="4"/>
  <c r="AM324" i="4"/>
  <c r="AE324" i="4"/>
  <c r="AD324" i="4"/>
  <c r="Y324" i="4"/>
  <c r="X324" i="4"/>
  <c r="AO323" i="4"/>
  <c r="AN323" i="4"/>
  <c r="AE323" i="4"/>
  <c r="AD323" i="4"/>
  <c r="Y323" i="4"/>
  <c r="X323" i="4"/>
  <c r="AO322" i="4"/>
  <c r="AN322" i="4"/>
  <c r="AE322" i="4"/>
  <c r="AD322" i="4"/>
  <c r="Y322" i="4"/>
  <c r="X322" i="4"/>
  <c r="AO321" i="4"/>
  <c r="AN321" i="4"/>
  <c r="AE321" i="4"/>
  <c r="AD321" i="4"/>
  <c r="Y321" i="4"/>
  <c r="X321" i="4"/>
  <c r="AO320" i="4"/>
  <c r="AN320" i="4"/>
  <c r="AM320" i="4"/>
  <c r="AE320" i="4"/>
  <c r="AD320" i="4"/>
  <c r="Y320" i="4"/>
  <c r="X320" i="4"/>
  <c r="AO319" i="4"/>
  <c r="AN319" i="4"/>
  <c r="AE319" i="4"/>
  <c r="AD319" i="4"/>
  <c r="Y319" i="4"/>
  <c r="X319" i="4"/>
  <c r="AO318" i="4"/>
  <c r="AN318" i="4"/>
  <c r="AE318" i="4"/>
  <c r="AD318" i="4"/>
  <c r="Y318" i="4"/>
  <c r="X318" i="4"/>
  <c r="AO317" i="4"/>
  <c r="AN317" i="4"/>
  <c r="AM317" i="4"/>
  <c r="AE317" i="4"/>
  <c r="AD317" i="4"/>
  <c r="Y317" i="4"/>
  <c r="X317" i="4"/>
  <c r="AO316" i="4"/>
  <c r="AN316" i="4"/>
  <c r="AE316" i="4"/>
  <c r="AD316" i="4"/>
  <c r="Y316" i="4"/>
  <c r="X316" i="4"/>
  <c r="AO315" i="4"/>
  <c r="AN315" i="4"/>
  <c r="AE315" i="4"/>
  <c r="AD315" i="4"/>
  <c r="Y315" i="4"/>
  <c r="X315" i="4"/>
  <c r="AO314" i="4"/>
  <c r="AN314" i="4"/>
  <c r="AK314" i="4"/>
  <c r="AE314" i="4"/>
  <c r="AD314" i="4"/>
  <c r="Y314" i="4"/>
  <c r="X314" i="4"/>
  <c r="AO313" i="4"/>
  <c r="AN313" i="4"/>
  <c r="AE313" i="4"/>
  <c r="AD313" i="4"/>
  <c r="Y313" i="4"/>
  <c r="X313" i="4"/>
  <c r="AO312" i="4"/>
  <c r="AN312" i="4"/>
  <c r="AE312" i="4"/>
  <c r="AD312" i="4"/>
  <c r="Y312" i="4"/>
  <c r="X312" i="4"/>
  <c r="AO311" i="4"/>
  <c r="AN311" i="4"/>
  <c r="AE311" i="4"/>
  <c r="AD311" i="4"/>
  <c r="Y311" i="4"/>
  <c r="X311" i="4"/>
  <c r="AO310" i="4"/>
  <c r="AN310" i="4"/>
  <c r="AK310" i="4"/>
  <c r="AE310" i="4"/>
  <c r="AD310" i="4"/>
  <c r="Y310" i="4"/>
  <c r="X310" i="4"/>
  <c r="AO309" i="4"/>
  <c r="AN309" i="4"/>
  <c r="AE309" i="4"/>
  <c r="AD309" i="4"/>
  <c r="Y309" i="4"/>
  <c r="X309" i="4"/>
  <c r="AO308" i="4"/>
  <c r="AN308" i="4"/>
  <c r="AE308" i="4"/>
  <c r="AD308" i="4"/>
  <c r="Y308" i="4"/>
  <c r="X308" i="4"/>
  <c r="AO307" i="4"/>
  <c r="AN307" i="4"/>
  <c r="AE307" i="4"/>
  <c r="AD307" i="4"/>
  <c r="Y307" i="4"/>
  <c r="X307" i="4"/>
  <c r="AO306" i="4"/>
  <c r="AN306" i="4"/>
  <c r="AM306" i="4"/>
  <c r="AE306" i="4"/>
  <c r="AD306" i="4"/>
  <c r="Y306" i="4"/>
  <c r="X306" i="4"/>
  <c r="AO305" i="4"/>
  <c r="AN305" i="4"/>
  <c r="AE305" i="4"/>
  <c r="AD305" i="4"/>
  <c r="Y305" i="4"/>
  <c r="X305" i="4"/>
  <c r="AO304" i="4"/>
  <c r="AN304" i="4"/>
  <c r="AE304" i="4"/>
  <c r="AD304" i="4"/>
  <c r="Y304" i="4"/>
  <c r="X304" i="4"/>
  <c r="AO303" i="4"/>
  <c r="AN303" i="4"/>
  <c r="AE303" i="4"/>
  <c r="AD303" i="4"/>
  <c r="Y303" i="4"/>
  <c r="X303" i="4"/>
  <c r="AO302" i="4"/>
  <c r="AN302" i="4"/>
  <c r="AM302" i="4"/>
  <c r="AE302" i="4"/>
  <c r="AD302" i="4"/>
  <c r="Y302" i="4"/>
  <c r="X302" i="4"/>
  <c r="AO301" i="4"/>
  <c r="AN301" i="4"/>
  <c r="AE301" i="4"/>
  <c r="AD301" i="4"/>
  <c r="Y301" i="4"/>
  <c r="X301" i="4"/>
  <c r="AO300" i="4"/>
  <c r="AN300" i="4"/>
  <c r="AK300" i="4"/>
  <c r="AE300" i="4"/>
  <c r="AD300" i="4"/>
  <c r="Y300" i="4"/>
  <c r="X300" i="4"/>
  <c r="AO299" i="4"/>
  <c r="AN299" i="4"/>
  <c r="AE299" i="4"/>
  <c r="AD299" i="4"/>
  <c r="Y299" i="4"/>
  <c r="X299" i="4"/>
  <c r="AO298" i="4"/>
  <c r="AN298" i="4"/>
  <c r="AE298" i="4"/>
  <c r="AD298" i="4"/>
  <c r="Y298" i="4"/>
  <c r="X298" i="4"/>
  <c r="AO297" i="4"/>
  <c r="AN297" i="4"/>
  <c r="AE297" i="4"/>
  <c r="AD297" i="4"/>
  <c r="Y297" i="4"/>
  <c r="X297" i="4"/>
  <c r="AO296" i="4"/>
  <c r="AN296" i="4"/>
  <c r="AK296" i="4"/>
  <c r="AE296" i="4"/>
  <c r="AD296" i="4"/>
  <c r="Y296" i="4"/>
  <c r="X296" i="4"/>
  <c r="AO295" i="4"/>
  <c r="AN295" i="4"/>
  <c r="AE295" i="4"/>
  <c r="AD295" i="4"/>
  <c r="Y295" i="4"/>
  <c r="X295" i="4"/>
  <c r="AO294" i="4"/>
  <c r="AN294" i="4"/>
  <c r="AE294" i="4"/>
  <c r="AD294" i="4"/>
  <c r="Y294" i="4"/>
  <c r="X294" i="4"/>
  <c r="AO293" i="4"/>
  <c r="AN293" i="4"/>
  <c r="AE293" i="4"/>
  <c r="AD293" i="4"/>
  <c r="Y293" i="4"/>
  <c r="X293" i="4"/>
  <c r="AO292" i="4"/>
  <c r="AN292" i="4"/>
  <c r="AM292" i="4"/>
  <c r="AE292" i="4"/>
  <c r="AD292" i="4"/>
  <c r="Y292" i="4"/>
  <c r="X292" i="4"/>
  <c r="AO291" i="4"/>
  <c r="AN291" i="4"/>
  <c r="AE291" i="4"/>
  <c r="AD291" i="4"/>
  <c r="Y291" i="4"/>
  <c r="X291" i="4"/>
  <c r="AO290" i="4"/>
  <c r="AN290" i="4"/>
  <c r="AK290" i="4"/>
  <c r="AE290" i="4"/>
  <c r="AD290" i="4"/>
  <c r="Y290" i="4"/>
  <c r="X290" i="4"/>
  <c r="AO289" i="4"/>
  <c r="AN289" i="4"/>
  <c r="AE289" i="4"/>
  <c r="AD289" i="4"/>
  <c r="Y289" i="4"/>
  <c r="X289" i="4"/>
  <c r="AO288" i="4"/>
  <c r="AN288" i="4"/>
  <c r="AK288" i="4"/>
  <c r="AE288" i="4"/>
  <c r="AD288" i="4"/>
  <c r="Y288" i="4"/>
  <c r="X288" i="4"/>
  <c r="AO287" i="4"/>
  <c r="AN287" i="4"/>
  <c r="AE287" i="4"/>
  <c r="AD287" i="4"/>
  <c r="Y287" i="4"/>
  <c r="X287" i="4"/>
  <c r="AO286" i="4"/>
  <c r="AN286" i="4"/>
  <c r="AK286" i="4"/>
  <c r="AE286" i="4"/>
  <c r="AD286" i="4"/>
  <c r="Y286" i="4"/>
  <c r="X286" i="4"/>
  <c r="AO285" i="4"/>
  <c r="AN285" i="4"/>
  <c r="AE285" i="4"/>
  <c r="AD285" i="4"/>
  <c r="Y285" i="4"/>
  <c r="X285" i="4"/>
  <c r="AO284" i="4"/>
  <c r="AN284" i="4"/>
  <c r="AM284" i="4"/>
  <c r="AE284" i="4"/>
  <c r="AD284" i="4"/>
  <c r="Y284" i="4"/>
  <c r="X284" i="4"/>
  <c r="AO283" i="4"/>
  <c r="AN283" i="4"/>
  <c r="AE283" i="4"/>
  <c r="AD283" i="4"/>
  <c r="Y283" i="4"/>
  <c r="X283" i="4"/>
  <c r="AO282" i="4"/>
  <c r="AN282" i="4"/>
  <c r="AM282" i="4"/>
  <c r="AE282" i="4"/>
  <c r="AD282" i="4"/>
  <c r="Y282" i="4"/>
  <c r="X282" i="4"/>
  <c r="AO281" i="4"/>
  <c r="AN281" i="4"/>
  <c r="AK281" i="4"/>
  <c r="AE281" i="4"/>
  <c r="AD281" i="4"/>
  <c r="Y281" i="4"/>
  <c r="X281" i="4"/>
  <c r="AO280" i="4"/>
  <c r="AN280" i="4"/>
  <c r="AK280" i="4"/>
  <c r="AE280" i="4"/>
  <c r="AD280" i="4"/>
  <c r="Y280" i="4"/>
  <c r="X280" i="4"/>
  <c r="AO279" i="4"/>
  <c r="AN279" i="4"/>
  <c r="AE279" i="4"/>
  <c r="AD279" i="4"/>
  <c r="Y279" i="4"/>
  <c r="X279" i="4"/>
  <c r="AO278" i="4"/>
  <c r="AN278" i="4"/>
  <c r="AK278" i="4"/>
  <c r="AE278" i="4"/>
  <c r="AD278" i="4"/>
  <c r="Y278" i="4"/>
  <c r="X278" i="4"/>
  <c r="AO277" i="4"/>
  <c r="AN277" i="4"/>
  <c r="AE277" i="4"/>
  <c r="AD277" i="4"/>
  <c r="Y277" i="4"/>
  <c r="X277" i="4"/>
  <c r="AO276" i="4"/>
  <c r="AN276" i="4"/>
  <c r="AM276" i="4"/>
  <c r="AE276" i="4"/>
  <c r="AD276" i="4"/>
  <c r="Y276" i="4"/>
  <c r="X276" i="4"/>
  <c r="AO275" i="4"/>
  <c r="AN275" i="4"/>
  <c r="AE275" i="4"/>
  <c r="AD275" i="4"/>
  <c r="Y275" i="4"/>
  <c r="X275" i="4"/>
  <c r="AO274" i="4"/>
  <c r="AN274" i="4"/>
  <c r="AM274" i="4"/>
  <c r="AE274" i="4"/>
  <c r="AD274" i="4"/>
  <c r="Y274" i="4"/>
  <c r="X274" i="4"/>
  <c r="AO273" i="4"/>
  <c r="AN273" i="4"/>
  <c r="AK273" i="4"/>
  <c r="AE273" i="4"/>
  <c r="AD273" i="4"/>
  <c r="Y273" i="4"/>
  <c r="X273" i="4"/>
  <c r="AO272" i="4"/>
  <c r="AN272" i="4"/>
  <c r="AK272" i="4"/>
  <c r="AE272" i="4"/>
  <c r="AD272" i="4"/>
  <c r="Y272" i="4"/>
  <c r="X272" i="4"/>
  <c r="AO271" i="4"/>
  <c r="AN271" i="4"/>
  <c r="AE271" i="4"/>
  <c r="AD271" i="4"/>
  <c r="Y271" i="4"/>
  <c r="X271" i="4"/>
  <c r="AO270" i="4"/>
  <c r="AN270" i="4"/>
  <c r="AK270" i="4"/>
  <c r="AE270" i="4"/>
  <c r="AD270" i="4"/>
  <c r="Y270" i="4"/>
  <c r="X270" i="4"/>
  <c r="AO269" i="4"/>
  <c r="AN269" i="4"/>
  <c r="AE269" i="4"/>
  <c r="AD269" i="4"/>
  <c r="Y269" i="4"/>
  <c r="X269" i="4"/>
  <c r="AO268" i="4"/>
  <c r="AN268" i="4"/>
  <c r="AM268" i="4"/>
  <c r="AE268" i="4"/>
  <c r="AD268" i="4"/>
  <c r="Y268" i="4"/>
  <c r="X268" i="4"/>
  <c r="AO267" i="4"/>
  <c r="AN267" i="4"/>
  <c r="AE267" i="4"/>
  <c r="AD267" i="4"/>
  <c r="Y267" i="4"/>
  <c r="X267" i="4"/>
  <c r="AO266" i="4"/>
  <c r="AN266" i="4"/>
  <c r="AM266" i="4"/>
  <c r="AE266" i="4"/>
  <c r="AD266" i="4"/>
  <c r="Y266" i="4"/>
  <c r="X266" i="4"/>
  <c r="AO265" i="4"/>
  <c r="AN265" i="4"/>
  <c r="AK265" i="4"/>
  <c r="AE265" i="4"/>
  <c r="AD265" i="4"/>
  <c r="Y265" i="4"/>
  <c r="X265" i="4"/>
  <c r="AO264" i="4"/>
  <c r="AN264" i="4"/>
  <c r="AK264" i="4"/>
  <c r="AE264" i="4"/>
  <c r="AD264" i="4"/>
  <c r="Y264" i="4"/>
  <c r="X264" i="4"/>
  <c r="AO263" i="4"/>
  <c r="AN263" i="4"/>
  <c r="AE263" i="4"/>
  <c r="AD263" i="4"/>
  <c r="Y263" i="4"/>
  <c r="X263" i="4"/>
  <c r="AO262" i="4"/>
  <c r="AN262" i="4"/>
  <c r="AK262" i="4"/>
  <c r="AE262" i="4"/>
  <c r="AD262" i="4"/>
  <c r="Y262" i="4"/>
  <c r="X262" i="4"/>
  <c r="AO261" i="4"/>
  <c r="AN261" i="4"/>
  <c r="AE261" i="4"/>
  <c r="AD261" i="4"/>
  <c r="Y261" i="4"/>
  <c r="X261" i="4"/>
  <c r="AO260" i="4"/>
  <c r="AN260" i="4"/>
  <c r="AM260" i="4"/>
  <c r="AE260" i="4"/>
  <c r="AD260" i="4"/>
  <c r="Y260" i="4"/>
  <c r="X260" i="4"/>
  <c r="AO259" i="4"/>
  <c r="AN259" i="4"/>
  <c r="AE259" i="4"/>
  <c r="AD259" i="4"/>
  <c r="Y259" i="4"/>
  <c r="X259" i="4"/>
  <c r="AO258" i="4"/>
  <c r="AN258" i="4"/>
  <c r="AM258" i="4"/>
  <c r="AE258" i="4"/>
  <c r="AD258" i="4"/>
  <c r="Y258" i="4"/>
  <c r="X258" i="4"/>
  <c r="AO257" i="4"/>
  <c r="AN257" i="4"/>
  <c r="AK257" i="4"/>
  <c r="AE257" i="4"/>
  <c r="AD257" i="4"/>
  <c r="Y257" i="4"/>
  <c r="X257" i="4"/>
  <c r="AO256" i="4"/>
  <c r="AN256" i="4"/>
  <c r="AK256" i="4"/>
  <c r="AE256" i="4"/>
  <c r="AD256" i="4"/>
  <c r="Y256" i="4"/>
  <c r="X256" i="4"/>
  <c r="AO255" i="4"/>
  <c r="AN255" i="4"/>
  <c r="AE255" i="4"/>
  <c r="AD255" i="4"/>
  <c r="Y255" i="4"/>
  <c r="X255" i="4"/>
  <c r="AO254" i="4"/>
  <c r="AN254" i="4"/>
  <c r="AK254" i="4"/>
  <c r="AE254" i="4"/>
  <c r="AD254" i="4"/>
  <c r="Y254" i="4"/>
  <c r="X254" i="4"/>
  <c r="AO253" i="4"/>
  <c r="AN253" i="4"/>
  <c r="AE253" i="4"/>
  <c r="AD253" i="4"/>
  <c r="Y253" i="4"/>
  <c r="X253" i="4"/>
  <c r="AO252" i="4"/>
  <c r="AN252" i="4"/>
  <c r="AM252" i="4"/>
  <c r="AE252" i="4"/>
  <c r="AD252" i="4"/>
  <c r="Y252" i="4"/>
  <c r="X252" i="4"/>
  <c r="AO251" i="4"/>
  <c r="AN251" i="4"/>
  <c r="AE251" i="4"/>
  <c r="AD251" i="4"/>
  <c r="Y251" i="4"/>
  <c r="X251" i="4"/>
  <c r="AO250" i="4"/>
  <c r="AN250" i="4"/>
  <c r="AM250" i="4"/>
  <c r="AE250" i="4"/>
  <c r="AD250" i="4"/>
  <c r="Y250" i="4"/>
  <c r="X250" i="4"/>
  <c r="AO249" i="4"/>
  <c r="AN249" i="4"/>
  <c r="AK249" i="4"/>
  <c r="AE249" i="4"/>
  <c r="AD249" i="4"/>
  <c r="Y249" i="4"/>
  <c r="X249" i="4"/>
  <c r="AO248" i="4"/>
  <c r="AN248" i="4"/>
  <c r="AK248" i="4"/>
  <c r="AE248" i="4"/>
  <c r="AD248" i="4"/>
  <c r="Y248" i="4"/>
  <c r="X248" i="4"/>
  <c r="AO247" i="4"/>
  <c r="AN247" i="4"/>
  <c r="AE247" i="4"/>
  <c r="AD247" i="4"/>
  <c r="Y247" i="4"/>
  <c r="X247" i="4"/>
  <c r="AO246" i="4"/>
  <c r="AN246" i="4"/>
  <c r="AK246" i="4"/>
  <c r="AE246" i="4"/>
  <c r="AD246" i="4"/>
  <c r="Y246" i="4"/>
  <c r="X246" i="4"/>
  <c r="AO245" i="4"/>
  <c r="AN245" i="4"/>
  <c r="AE245" i="4"/>
  <c r="AD245" i="4"/>
  <c r="Y245" i="4"/>
  <c r="X245" i="4"/>
  <c r="AO244" i="4"/>
  <c r="AN244" i="4"/>
  <c r="AM244" i="4"/>
  <c r="AE244" i="4"/>
  <c r="AD244" i="4"/>
  <c r="Y244" i="4"/>
  <c r="X244" i="4"/>
  <c r="AO243" i="4"/>
  <c r="AN243" i="4"/>
  <c r="AE243" i="4"/>
  <c r="AD243" i="4"/>
  <c r="Y243" i="4"/>
  <c r="X243" i="4"/>
  <c r="AO242" i="4"/>
  <c r="AN242" i="4"/>
  <c r="AM242" i="4"/>
  <c r="AE242" i="4"/>
  <c r="AD242" i="4"/>
  <c r="Y242" i="4"/>
  <c r="X242" i="4"/>
  <c r="AO241" i="4"/>
  <c r="AN241" i="4"/>
  <c r="AK241" i="4"/>
  <c r="AE241" i="4"/>
  <c r="AD241" i="4"/>
  <c r="Y241" i="4"/>
  <c r="X241" i="4"/>
  <c r="AO240" i="4"/>
  <c r="AN240" i="4"/>
  <c r="AK240" i="4"/>
  <c r="AE240" i="4"/>
  <c r="AD240" i="4"/>
  <c r="Y240" i="4"/>
  <c r="X240" i="4"/>
  <c r="AO239" i="4"/>
  <c r="AN239" i="4"/>
  <c r="AE239" i="4"/>
  <c r="AD239" i="4"/>
  <c r="Y239" i="4"/>
  <c r="X239" i="4"/>
  <c r="AO238" i="4"/>
  <c r="AN238" i="4"/>
  <c r="AK238" i="4"/>
  <c r="AE238" i="4"/>
  <c r="AD238" i="4"/>
  <c r="Y238" i="4"/>
  <c r="X238" i="4"/>
  <c r="AO237" i="4"/>
  <c r="AN237" i="4"/>
  <c r="AE237" i="4"/>
  <c r="AD237" i="4"/>
  <c r="Y237" i="4"/>
  <c r="X237" i="4"/>
  <c r="AO236" i="4"/>
  <c r="AN236" i="4"/>
  <c r="AM236" i="4"/>
  <c r="AE236" i="4"/>
  <c r="AD236" i="4"/>
  <c r="Y236" i="4"/>
  <c r="X236" i="4"/>
  <c r="AO235" i="4"/>
  <c r="AN235" i="4"/>
  <c r="AE235" i="4"/>
  <c r="AD235" i="4"/>
  <c r="Y235" i="4"/>
  <c r="X235" i="4"/>
  <c r="AO234" i="4"/>
  <c r="AN234" i="4"/>
  <c r="AM234" i="4"/>
  <c r="AE234" i="4"/>
  <c r="AD234" i="4"/>
  <c r="Y234" i="4"/>
  <c r="X234" i="4"/>
  <c r="AO233" i="4"/>
  <c r="AN233" i="4"/>
  <c r="AK233" i="4"/>
  <c r="AE233" i="4"/>
  <c r="AD233" i="4"/>
  <c r="Y233" i="4"/>
  <c r="X233" i="4"/>
  <c r="AO232" i="4"/>
  <c r="AN232" i="4"/>
  <c r="AK232" i="4"/>
  <c r="AE232" i="4"/>
  <c r="AD232" i="4"/>
  <c r="Y232" i="4"/>
  <c r="X232" i="4"/>
  <c r="AO231" i="4"/>
  <c r="AN231" i="4"/>
  <c r="AE231" i="4"/>
  <c r="AD231" i="4"/>
  <c r="Y231" i="4"/>
  <c r="X231" i="4"/>
  <c r="AO230" i="4"/>
  <c r="AN230" i="4"/>
  <c r="AK230" i="4"/>
  <c r="AE230" i="4"/>
  <c r="AD230" i="4"/>
  <c r="Y230" i="4"/>
  <c r="X230" i="4"/>
  <c r="AO229" i="4"/>
  <c r="AN229" i="4"/>
  <c r="AE229" i="4"/>
  <c r="AD229" i="4"/>
  <c r="Y229" i="4"/>
  <c r="X229" i="4"/>
  <c r="AO228" i="4"/>
  <c r="AN228" i="4"/>
  <c r="AM228" i="4"/>
  <c r="AE228" i="4"/>
  <c r="AD228" i="4"/>
  <c r="Y228" i="4"/>
  <c r="X228" i="4"/>
  <c r="AO227" i="4"/>
  <c r="AN227" i="4"/>
  <c r="AE227" i="4"/>
  <c r="AD227" i="4"/>
  <c r="Y227" i="4"/>
  <c r="X227" i="4"/>
  <c r="AO226" i="4"/>
  <c r="AN226" i="4"/>
  <c r="AM226" i="4"/>
  <c r="AE226" i="4"/>
  <c r="AD226" i="4"/>
  <c r="Y226" i="4"/>
  <c r="X226" i="4"/>
  <c r="AO225" i="4"/>
  <c r="AN225" i="4"/>
  <c r="AK225" i="4"/>
  <c r="AE225" i="4"/>
  <c r="AD225" i="4"/>
  <c r="Y225" i="4"/>
  <c r="X225" i="4"/>
  <c r="AO224" i="4"/>
  <c r="AN224" i="4"/>
  <c r="AK224" i="4"/>
  <c r="AE224" i="4"/>
  <c r="AD224" i="4"/>
  <c r="Y224" i="4"/>
  <c r="X224" i="4"/>
  <c r="AO223" i="4"/>
  <c r="AN223" i="4"/>
  <c r="AE223" i="4"/>
  <c r="AD223" i="4"/>
  <c r="Y223" i="4"/>
  <c r="X223" i="4"/>
  <c r="AO222" i="4"/>
  <c r="AN222" i="4"/>
  <c r="AK222" i="4"/>
  <c r="AE222" i="4"/>
  <c r="AD222" i="4"/>
  <c r="Y222" i="4"/>
  <c r="X222" i="4"/>
  <c r="AO221" i="4"/>
  <c r="AN221" i="4"/>
  <c r="AE221" i="4"/>
  <c r="AD221" i="4"/>
  <c r="Y221" i="4"/>
  <c r="X221" i="4"/>
  <c r="AO220" i="4"/>
  <c r="AN220" i="4"/>
  <c r="AM220" i="4"/>
  <c r="AE220" i="4"/>
  <c r="AD220" i="4"/>
  <c r="Y220" i="4"/>
  <c r="X220" i="4"/>
  <c r="AO219" i="4"/>
  <c r="AN219" i="4"/>
  <c r="AE219" i="4"/>
  <c r="AD219" i="4"/>
  <c r="Y219" i="4"/>
  <c r="X219" i="4"/>
  <c r="AO218" i="4"/>
  <c r="AN218" i="4"/>
  <c r="AM218" i="4"/>
  <c r="AE218" i="4"/>
  <c r="AD218" i="4"/>
  <c r="Y218" i="4"/>
  <c r="X218" i="4"/>
  <c r="AO217" i="4"/>
  <c r="AN217" i="4"/>
  <c r="AK217" i="4"/>
  <c r="AE217" i="4"/>
  <c r="AD217" i="4"/>
  <c r="Y217" i="4"/>
  <c r="X217" i="4"/>
  <c r="AO216" i="4"/>
  <c r="AN216" i="4"/>
  <c r="AK216" i="4"/>
  <c r="AE216" i="4"/>
  <c r="AD216" i="4"/>
  <c r="Y216" i="4"/>
  <c r="X216" i="4"/>
  <c r="AO215" i="4"/>
  <c r="AN215" i="4"/>
  <c r="AE215" i="4"/>
  <c r="AD215" i="4"/>
  <c r="Y215" i="4"/>
  <c r="X215" i="4"/>
  <c r="AO214" i="4"/>
  <c r="AN214" i="4"/>
  <c r="AK214" i="4"/>
  <c r="AE214" i="4"/>
  <c r="AD214" i="4"/>
  <c r="Y214" i="4"/>
  <c r="X214" i="4"/>
  <c r="AO213" i="4"/>
  <c r="AN213" i="4"/>
  <c r="AE213" i="4"/>
  <c r="AD213" i="4"/>
  <c r="Y213" i="4"/>
  <c r="X213" i="4"/>
  <c r="AO212" i="4"/>
  <c r="AN212" i="4"/>
  <c r="AM212" i="4"/>
  <c r="AE212" i="4"/>
  <c r="AD212" i="4"/>
  <c r="Y212" i="4"/>
  <c r="X212" i="4"/>
  <c r="AO211" i="4"/>
  <c r="AN211" i="4"/>
  <c r="AE211" i="4"/>
  <c r="AD211" i="4"/>
  <c r="Y211" i="4"/>
  <c r="X211" i="4"/>
  <c r="AO210" i="4"/>
  <c r="AN210" i="4"/>
  <c r="AM210" i="4"/>
  <c r="AE210" i="4"/>
  <c r="AD210" i="4"/>
  <c r="Y210" i="4"/>
  <c r="X210" i="4"/>
  <c r="AO209" i="4"/>
  <c r="AN209" i="4"/>
  <c r="AK209" i="4"/>
  <c r="AE209" i="4"/>
  <c r="AD209" i="4"/>
  <c r="Y209" i="4"/>
  <c r="X209" i="4"/>
  <c r="AO208" i="4"/>
  <c r="AN208" i="4"/>
  <c r="AK208" i="4"/>
  <c r="AE208" i="4"/>
  <c r="AD208" i="4"/>
  <c r="Y208" i="4"/>
  <c r="X208" i="4"/>
  <c r="AO207" i="4"/>
  <c r="AN207" i="4"/>
  <c r="AE207" i="4"/>
  <c r="AD207" i="4"/>
  <c r="Y207" i="4"/>
  <c r="X207" i="4"/>
  <c r="AO206" i="4"/>
  <c r="AN206" i="4"/>
  <c r="AK206" i="4"/>
  <c r="AE206" i="4"/>
  <c r="AD206" i="4"/>
  <c r="Y206" i="4"/>
  <c r="X206" i="4"/>
  <c r="AO205" i="4"/>
  <c r="AN205" i="4"/>
  <c r="AE205" i="4"/>
  <c r="AD205" i="4"/>
  <c r="Y205" i="4"/>
  <c r="X205" i="4"/>
  <c r="AO204" i="4"/>
  <c r="AN204" i="4"/>
  <c r="AM204" i="4"/>
  <c r="AE204" i="4"/>
  <c r="AD204" i="4"/>
  <c r="Y204" i="4"/>
  <c r="X204" i="4"/>
  <c r="AO203" i="4"/>
  <c r="AN203" i="4"/>
  <c r="AE203" i="4"/>
  <c r="AD203" i="4"/>
  <c r="Y203" i="4"/>
  <c r="X203" i="4"/>
  <c r="AO202" i="4"/>
  <c r="AN202" i="4"/>
  <c r="AM202" i="4"/>
  <c r="AE202" i="4"/>
  <c r="AD202" i="4"/>
  <c r="Y202" i="4"/>
  <c r="X202" i="4"/>
  <c r="AO201" i="4"/>
  <c r="AN201" i="4"/>
  <c r="AK201" i="4"/>
  <c r="AE201" i="4"/>
  <c r="AD201" i="4"/>
  <c r="Y201" i="4"/>
  <c r="X201" i="4"/>
  <c r="AO200" i="4"/>
  <c r="AN200" i="4"/>
  <c r="AK200" i="4"/>
  <c r="AE200" i="4"/>
  <c r="AD200" i="4"/>
  <c r="Y200" i="4"/>
  <c r="X200" i="4"/>
  <c r="AO199" i="4"/>
  <c r="AN199" i="4"/>
  <c r="AE199" i="4"/>
  <c r="AD199" i="4"/>
  <c r="Y199" i="4"/>
  <c r="X199" i="4"/>
  <c r="AO198" i="4"/>
  <c r="AN198" i="4"/>
  <c r="AK198" i="4"/>
  <c r="AE198" i="4"/>
  <c r="AD198" i="4"/>
  <c r="Y198" i="4"/>
  <c r="X198" i="4"/>
  <c r="AO197" i="4"/>
  <c r="AN197" i="4"/>
  <c r="AE197" i="4"/>
  <c r="AD197" i="4"/>
  <c r="Y197" i="4"/>
  <c r="X197" i="4"/>
  <c r="AO196" i="4"/>
  <c r="AN196" i="4"/>
  <c r="AM196" i="4"/>
  <c r="AE196" i="4"/>
  <c r="AD196" i="4"/>
  <c r="Y196" i="4"/>
  <c r="X196" i="4"/>
  <c r="AO195" i="4"/>
  <c r="AN195" i="4"/>
  <c r="AE195" i="4"/>
  <c r="AD195" i="4"/>
  <c r="Y195" i="4"/>
  <c r="X195" i="4"/>
  <c r="AO194" i="4"/>
  <c r="AN194" i="4"/>
  <c r="AM194" i="4"/>
  <c r="AE194" i="4"/>
  <c r="AD194" i="4"/>
  <c r="Y194" i="4"/>
  <c r="X194" i="4"/>
  <c r="AO193" i="4"/>
  <c r="AN193" i="4"/>
  <c r="AK193" i="4"/>
  <c r="AE193" i="4"/>
  <c r="AD193" i="4"/>
  <c r="Y193" i="4"/>
  <c r="X193" i="4"/>
  <c r="AO192" i="4"/>
  <c r="AN192" i="4"/>
  <c r="AK192" i="4"/>
  <c r="AE192" i="4"/>
  <c r="AD192" i="4"/>
  <c r="Y192" i="4"/>
  <c r="X192" i="4"/>
  <c r="AO191" i="4"/>
  <c r="AN191" i="4"/>
  <c r="AE191" i="4"/>
  <c r="AD191" i="4"/>
  <c r="Y191" i="4"/>
  <c r="X191" i="4"/>
  <c r="AO190" i="4"/>
  <c r="AN190" i="4"/>
  <c r="AK190" i="4"/>
  <c r="AE190" i="4"/>
  <c r="AD190" i="4"/>
  <c r="Y190" i="4"/>
  <c r="X190" i="4"/>
  <c r="AO189" i="4"/>
  <c r="AN189" i="4"/>
  <c r="AE189" i="4"/>
  <c r="AD189" i="4"/>
  <c r="Y189" i="4"/>
  <c r="X189" i="4"/>
  <c r="AO188" i="4"/>
  <c r="AN188" i="4"/>
  <c r="AM188" i="4"/>
  <c r="AE188" i="4"/>
  <c r="AD188" i="4"/>
  <c r="Y188" i="4"/>
  <c r="X188" i="4"/>
  <c r="AO187" i="4"/>
  <c r="AN187" i="4"/>
  <c r="AE187" i="4"/>
  <c r="AD187" i="4"/>
  <c r="Y187" i="4"/>
  <c r="X187" i="4"/>
  <c r="AO186" i="4"/>
  <c r="AN186" i="4"/>
  <c r="AM186" i="4"/>
  <c r="AE186" i="4"/>
  <c r="AD186" i="4"/>
  <c r="Y186" i="4"/>
  <c r="X186" i="4"/>
  <c r="AO185" i="4"/>
  <c r="AN185" i="4"/>
  <c r="AK185" i="4"/>
  <c r="AE185" i="4"/>
  <c r="AD185" i="4"/>
  <c r="Y185" i="4"/>
  <c r="X185" i="4"/>
  <c r="AO184" i="4"/>
  <c r="AN184" i="4"/>
  <c r="AK184" i="4"/>
  <c r="AE184" i="4"/>
  <c r="AD184" i="4"/>
  <c r="Y184" i="4"/>
  <c r="X184" i="4"/>
  <c r="AO183" i="4"/>
  <c r="AN183" i="4"/>
  <c r="AE183" i="4"/>
  <c r="AD183" i="4"/>
  <c r="Y183" i="4"/>
  <c r="X183" i="4"/>
  <c r="AO182" i="4"/>
  <c r="AN182" i="4"/>
  <c r="AK182" i="4"/>
  <c r="AE182" i="4"/>
  <c r="AD182" i="4"/>
  <c r="Y182" i="4"/>
  <c r="X182" i="4"/>
  <c r="AO181" i="4"/>
  <c r="AN181" i="4"/>
  <c r="AE181" i="4"/>
  <c r="AD181" i="4"/>
  <c r="Y181" i="4"/>
  <c r="X181" i="4"/>
  <c r="AO180" i="4"/>
  <c r="AN180" i="4"/>
  <c r="AM180" i="4"/>
  <c r="AE180" i="4"/>
  <c r="AD180" i="4"/>
  <c r="Y180" i="4"/>
  <c r="X180" i="4"/>
  <c r="AO179" i="4"/>
  <c r="AN179" i="4"/>
  <c r="AE179" i="4"/>
  <c r="AD179" i="4"/>
  <c r="Y179" i="4"/>
  <c r="X179" i="4"/>
  <c r="AO178" i="4"/>
  <c r="AN178" i="4"/>
  <c r="AM178" i="4"/>
  <c r="AE178" i="4"/>
  <c r="AD178" i="4"/>
  <c r="Y178" i="4"/>
  <c r="X178" i="4"/>
  <c r="AO177" i="4"/>
  <c r="AN177" i="4"/>
  <c r="AK177" i="4"/>
  <c r="AE177" i="4"/>
  <c r="AD177" i="4"/>
  <c r="Y177" i="4"/>
  <c r="X177" i="4"/>
  <c r="AO176" i="4"/>
  <c r="AN176" i="4"/>
  <c r="AK176" i="4"/>
  <c r="AE176" i="4"/>
  <c r="AD176" i="4"/>
  <c r="Y176" i="4"/>
  <c r="X176" i="4"/>
  <c r="AO175" i="4"/>
  <c r="AN175" i="4"/>
  <c r="AE175" i="4"/>
  <c r="AD175" i="4"/>
  <c r="Y175" i="4"/>
  <c r="X175" i="4"/>
  <c r="AO174" i="4"/>
  <c r="AN174" i="4"/>
  <c r="AK174" i="4"/>
  <c r="AE174" i="4"/>
  <c r="AD174" i="4"/>
  <c r="Y174" i="4"/>
  <c r="X174" i="4"/>
  <c r="AO173" i="4"/>
  <c r="AN173" i="4"/>
  <c r="AE173" i="4"/>
  <c r="AD173" i="4"/>
  <c r="Y173" i="4"/>
  <c r="X173" i="4"/>
  <c r="AO172" i="4"/>
  <c r="AN172" i="4"/>
  <c r="AM172" i="4"/>
  <c r="AE172" i="4"/>
  <c r="AD172" i="4"/>
  <c r="Y172" i="4"/>
  <c r="X172" i="4"/>
  <c r="AO171" i="4"/>
  <c r="AN171" i="4"/>
  <c r="AE171" i="4"/>
  <c r="AD171" i="4"/>
  <c r="Y171" i="4"/>
  <c r="X171" i="4"/>
  <c r="AO170" i="4"/>
  <c r="AN170" i="4"/>
  <c r="AM170" i="4"/>
  <c r="AE170" i="4"/>
  <c r="AD170" i="4"/>
  <c r="Y170" i="4"/>
  <c r="X170" i="4"/>
  <c r="AO169" i="4"/>
  <c r="AN169" i="4"/>
  <c r="AK169" i="4"/>
  <c r="AE169" i="4"/>
  <c r="AD169" i="4"/>
  <c r="Y169" i="4"/>
  <c r="X169" i="4"/>
  <c r="AO168" i="4"/>
  <c r="AN168" i="4"/>
  <c r="AK168" i="4"/>
  <c r="AE168" i="4"/>
  <c r="AD168" i="4"/>
  <c r="Y168" i="4"/>
  <c r="X168" i="4"/>
  <c r="AO167" i="4"/>
  <c r="AN167" i="4"/>
  <c r="AE167" i="4"/>
  <c r="AD167" i="4"/>
  <c r="Y167" i="4"/>
  <c r="X167" i="4"/>
  <c r="AO166" i="4"/>
  <c r="AN166" i="4"/>
  <c r="AK166" i="4"/>
  <c r="AE166" i="4"/>
  <c r="AD166" i="4"/>
  <c r="Y166" i="4"/>
  <c r="X166" i="4"/>
  <c r="AO165" i="4"/>
  <c r="AN165" i="4"/>
  <c r="AE165" i="4"/>
  <c r="AD165" i="4"/>
  <c r="Y165" i="4"/>
  <c r="X165" i="4"/>
  <c r="AO164" i="4"/>
  <c r="AN164" i="4"/>
  <c r="AM164" i="4"/>
  <c r="AE164" i="4"/>
  <c r="AD164" i="4"/>
  <c r="Y164" i="4"/>
  <c r="X164" i="4"/>
  <c r="AO163" i="4"/>
  <c r="AN163" i="4"/>
  <c r="AE163" i="4"/>
  <c r="AD163" i="4"/>
  <c r="Y163" i="4"/>
  <c r="X163" i="4"/>
  <c r="AO162" i="4"/>
  <c r="AN162" i="4"/>
  <c r="AM162" i="4"/>
  <c r="AE162" i="4"/>
  <c r="AD162" i="4"/>
  <c r="Y162" i="4"/>
  <c r="X162" i="4"/>
  <c r="AO161" i="4"/>
  <c r="AN161" i="4"/>
  <c r="AK161" i="4"/>
  <c r="AE161" i="4"/>
  <c r="AD161" i="4"/>
  <c r="Y161" i="4"/>
  <c r="X161" i="4"/>
  <c r="AO160" i="4"/>
  <c r="AN160" i="4"/>
  <c r="AK160" i="4"/>
  <c r="AE160" i="4"/>
  <c r="AD160" i="4"/>
  <c r="Y160" i="4"/>
  <c r="X160" i="4"/>
  <c r="AO159" i="4"/>
  <c r="AN159" i="4"/>
  <c r="AE159" i="4"/>
  <c r="AD159" i="4"/>
  <c r="Y159" i="4"/>
  <c r="X159" i="4"/>
  <c r="AO158" i="4"/>
  <c r="AN158" i="4"/>
  <c r="AK158" i="4"/>
  <c r="AE158" i="4"/>
  <c r="AD158" i="4"/>
  <c r="Y158" i="4"/>
  <c r="X158" i="4"/>
  <c r="AO157" i="4"/>
  <c r="AN157" i="4"/>
  <c r="AE157" i="4"/>
  <c r="AD157" i="4"/>
  <c r="Y157" i="4"/>
  <c r="X157" i="4"/>
  <c r="AO156" i="4"/>
  <c r="AN156" i="4"/>
  <c r="AM156" i="4"/>
  <c r="AE156" i="4"/>
  <c r="AD156" i="4"/>
  <c r="Y156" i="4"/>
  <c r="X156" i="4"/>
  <c r="AO155" i="4"/>
  <c r="AN155" i="4"/>
  <c r="AE155" i="4"/>
  <c r="AD155" i="4"/>
  <c r="Y155" i="4"/>
  <c r="X155" i="4"/>
  <c r="AO154" i="4"/>
  <c r="AN154" i="4"/>
  <c r="AM154" i="4"/>
  <c r="AE154" i="4"/>
  <c r="AD154" i="4"/>
  <c r="Y154" i="4"/>
  <c r="X154" i="4"/>
  <c r="AO153" i="4"/>
  <c r="AN153" i="4"/>
  <c r="AK153" i="4"/>
  <c r="AE153" i="4"/>
  <c r="AD153" i="4"/>
  <c r="Y153" i="4"/>
  <c r="X153" i="4"/>
  <c r="AO152" i="4"/>
  <c r="AN152" i="4"/>
  <c r="AK152" i="4"/>
  <c r="AE152" i="4"/>
  <c r="AD152" i="4"/>
  <c r="Y152" i="4"/>
  <c r="X152" i="4"/>
  <c r="AO151" i="4"/>
  <c r="AN151" i="4"/>
  <c r="AE151" i="4"/>
  <c r="AD151" i="4"/>
  <c r="Y151" i="4"/>
  <c r="X151" i="4"/>
  <c r="AO150" i="4"/>
  <c r="AN150" i="4"/>
  <c r="AK150" i="4"/>
  <c r="AE150" i="4"/>
  <c r="AD150" i="4"/>
  <c r="Y150" i="4"/>
  <c r="X150" i="4"/>
  <c r="AO149" i="4"/>
  <c r="AN149" i="4"/>
  <c r="AE149" i="4"/>
  <c r="AD149" i="4"/>
  <c r="Y149" i="4"/>
  <c r="X149" i="4"/>
  <c r="AO148" i="4"/>
  <c r="AN148" i="4"/>
  <c r="AM148" i="4"/>
  <c r="AE148" i="4"/>
  <c r="AD148" i="4"/>
  <c r="Y148" i="4"/>
  <c r="X148" i="4"/>
  <c r="AO147" i="4"/>
  <c r="AN147" i="4"/>
  <c r="AE147" i="4"/>
  <c r="AD147" i="4"/>
  <c r="Y147" i="4"/>
  <c r="X147" i="4"/>
  <c r="AO146" i="4"/>
  <c r="AN146" i="4"/>
  <c r="AM146" i="4"/>
  <c r="AE146" i="4"/>
  <c r="AD146" i="4"/>
  <c r="Y146" i="4"/>
  <c r="X146" i="4"/>
  <c r="AO145" i="4"/>
  <c r="AN145" i="4"/>
  <c r="AK145" i="4"/>
  <c r="AE145" i="4"/>
  <c r="AD145" i="4"/>
  <c r="Y145" i="4"/>
  <c r="X145" i="4"/>
  <c r="AO144" i="4"/>
  <c r="AN144" i="4"/>
  <c r="AK144" i="4"/>
  <c r="AE144" i="4"/>
  <c r="AD144" i="4"/>
  <c r="Y144" i="4"/>
  <c r="X144" i="4"/>
  <c r="AO143" i="4"/>
  <c r="AN143" i="4"/>
  <c r="AE143" i="4"/>
  <c r="AD143" i="4"/>
  <c r="Y143" i="4"/>
  <c r="X143" i="4"/>
  <c r="AO142" i="4"/>
  <c r="AN142" i="4"/>
  <c r="AK142" i="4"/>
  <c r="AE142" i="4"/>
  <c r="AD142" i="4"/>
  <c r="Y142" i="4"/>
  <c r="X142" i="4"/>
  <c r="AO141" i="4"/>
  <c r="AN141" i="4"/>
  <c r="AE141" i="4"/>
  <c r="AD141" i="4"/>
  <c r="Y141" i="4"/>
  <c r="X141" i="4"/>
  <c r="AO140" i="4"/>
  <c r="AN140" i="4"/>
  <c r="AM140" i="4"/>
  <c r="AE140" i="4"/>
  <c r="AD140" i="4"/>
  <c r="Y140" i="4"/>
  <c r="X140" i="4"/>
  <c r="AO139" i="4"/>
  <c r="AN139" i="4"/>
  <c r="AE139" i="4"/>
  <c r="AD139" i="4"/>
  <c r="Y139" i="4"/>
  <c r="X139" i="4"/>
  <c r="AO138" i="4"/>
  <c r="AN138" i="4"/>
  <c r="AE138" i="4"/>
  <c r="AD138" i="4"/>
  <c r="Y138" i="4"/>
  <c r="X138" i="4"/>
  <c r="AO137" i="4"/>
  <c r="AN137" i="4"/>
  <c r="AK137" i="4"/>
  <c r="AE137" i="4"/>
  <c r="AD137" i="4"/>
  <c r="Y137" i="4"/>
  <c r="X137" i="4"/>
  <c r="AO136" i="4"/>
  <c r="AN136" i="4"/>
  <c r="AE136" i="4"/>
  <c r="AD136" i="4"/>
  <c r="Y136" i="4"/>
  <c r="X136" i="4"/>
  <c r="AO135" i="4"/>
  <c r="AN135" i="4"/>
  <c r="AE135" i="4"/>
  <c r="AD135" i="4"/>
  <c r="Y135" i="4"/>
  <c r="X135" i="4"/>
  <c r="AO134" i="4"/>
  <c r="AN134" i="4"/>
  <c r="AE134" i="4"/>
  <c r="AD134" i="4"/>
  <c r="Y134" i="4"/>
  <c r="X134" i="4"/>
  <c r="AO133" i="4"/>
  <c r="AN133" i="4"/>
  <c r="AE133" i="4"/>
  <c r="AD133" i="4"/>
  <c r="Y133" i="4"/>
  <c r="X133" i="4"/>
  <c r="AO132" i="4"/>
  <c r="AN132" i="4"/>
  <c r="AE132" i="4"/>
  <c r="AD132" i="4"/>
  <c r="Y132" i="4"/>
  <c r="X132" i="4"/>
  <c r="AO131" i="4"/>
  <c r="AN131" i="4"/>
  <c r="AE131" i="4"/>
  <c r="AD131" i="4"/>
  <c r="Y131" i="4"/>
  <c r="X131" i="4"/>
  <c r="AO130" i="4"/>
  <c r="AN130" i="4"/>
  <c r="AE130" i="4"/>
  <c r="AD130" i="4"/>
  <c r="Y130" i="4"/>
  <c r="X130" i="4"/>
  <c r="AO129" i="4"/>
  <c r="AN129" i="4"/>
  <c r="AE129" i="4"/>
  <c r="AD129" i="4"/>
  <c r="Y129" i="4"/>
  <c r="X129" i="4"/>
  <c r="AO128" i="4"/>
  <c r="AN128" i="4"/>
  <c r="AE128" i="4"/>
  <c r="AD128" i="4"/>
  <c r="Y128" i="4"/>
  <c r="X128" i="4"/>
  <c r="AO127" i="4"/>
  <c r="AN127" i="4"/>
  <c r="AE127" i="4"/>
  <c r="AD127" i="4"/>
  <c r="Y127" i="4"/>
  <c r="X127" i="4"/>
  <c r="AO126" i="4"/>
  <c r="AN126" i="4"/>
  <c r="AE126" i="4"/>
  <c r="AD126" i="4"/>
  <c r="Y126" i="4"/>
  <c r="X126" i="4"/>
  <c r="AO125" i="4"/>
  <c r="AN125" i="4"/>
  <c r="AE125" i="4"/>
  <c r="AD125" i="4"/>
  <c r="Y125" i="4"/>
  <c r="X125" i="4"/>
  <c r="AO124" i="4"/>
  <c r="AN124" i="4"/>
  <c r="AM124" i="4"/>
  <c r="AE124" i="4"/>
  <c r="AD124" i="4"/>
  <c r="Y124" i="4"/>
  <c r="X124" i="4"/>
  <c r="AO123" i="4"/>
  <c r="AN123" i="4"/>
  <c r="AE123" i="4"/>
  <c r="AD123" i="4"/>
  <c r="Y123" i="4"/>
  <c r="X123" i="4"/>
  <c r="AO122" i="4"/>
  <c r="AN122" i="4"/>
  <c r="AM122" i="4"/>
  <c r="AE122" i="4"/>
  <c r="AD122" i="4"/>
  <c r="Y122" i="4"/>
  <c r="X122" i="4"/>
  <c r="AO121" i="4"/>
  <c r="AN121" i="4"/>
  <c r="AK121" i="4"/>
  <c r="AE121" i="4"/>
  <c r="AD121" i="4"/>
  <c r="Y121" i="4"/>
  <c r="X121" i="4"/>
  <c r="AO120" i="4"/>
  <c r="AN120" i="4"/>
  <c r="AE120" i="4"/>
  <c r="AD120" i="4"/>
  <c r="Y120" i="4"/>
  <c r="X120" i="4"/>
  <c r="AO119" i="4"/>
  <c r="AN119" i="4"/>
  <c r="AE119" i="4"/>
  <c r="AD119" i="4"/>
  <c r="Y119" i="4"/>
  <c r="X119" i="4"/>
  <c r="AO118" i="4"/>
  <c r="AN118" i="4"/>
  <c r="AE118" i="4"/>
  <c r="AD118" i="4"/>
  <c r="Y118" i="4"/>
  <c r="X118" i="4"/>
  <c r="AO117" i="4"/>
  <c r="AN117" i="4"/>
  <c r="AE117" i="4"/>
  <c r="AD117" i="4"/>
  <c r="Y117" i="4"/>
  <c r="X117" i="4"/>
  <c r="AO116" i="4"/>
  <c r="AN116" i="4"/>
  <c r="AM116" i="4"/>
  <c r="AE116" i="4"/>
  <c r="AD116" i="4"/>
  <c r="Y116" i="4"/>
  <c r="X116" i="4"/>
  <c r="AO115" i="4"/>
  <c r="AN115" i="4"/>
  <c r="AE115" i="4"/>
  <c r="AD115" i="4"/>
  <c r="Y115" i="4"/>
  <c r="X115" i="4"/>
  <c r="AO114" i="4"/>
  <c r="AN114" i="4"/>
  <c r="AK114" i="4"/>
  <c r="AE114" i="4"/>
  <c r="AD114" i="4"/>
  <c r="Y114" i="4"/>
  <c r="X114" i="4"/>
  <c r="AO113" i="4"/>
  <c r="AN113" i="4"/>
  <c r="AE113" i="4"/>
  <c r="AD113" i="4"/>
  <c r="Y113" i="4"/>
  <c r="X113" i="4"/>
  <c r="AO112" i="4"/>
  <c r="AN112" i="4"/>
  <c r="AE112" i="4"/>
  <c r="AD112" i="4"/>
  <c r="Y112" i="4"/>
  <c r="X112" i="4"/>
  <c r="AO111" i="4"/>
  <c r="AN111" i="4"/>
  <c r="AE111" i="4"/>
  <c r="AD111" i="4"/>
  <c r="Y111" i="4"/>
  <c r="X111" i="4"/>
  <c r="AO110" i="4"/>
  <c r="AN110" i="4"/>
  <c r="AE110" i="4"/>
  <c r="AD110" i="4"/>
  <c r="Y110" i="4"/>
  <c r="X110" i="4"/>
  <c r="AO109" i="4"/>
  <c r="AN109" i="4"/>
  <c r="AK109" i="4"/>
  <c r="AE109" i="4"/>
  <c r="AD109" i="4"/>
  <c r="Y109" i="4"/>
  <c r="X109" i="4"/>
  <c r="AO108" i="4"/>
  <c r="AN108" i="4"/>
  <c r="AE108" i="4"/>
  <c r="AD108" i="4"/>
  <c r="Y108" i="4"/>
  <c r="X108" i="4"/>
  <c r="AO107" i="4"/>
  <c r="AN107" i="4"/>
  <c r="AE107" i="4"/>
  <c r="AD107" i="4"/>
  <c r="Y107" i="4"/>
  <c r="X107" i="4"/>
  <c r="AO106" i="4"/>
  <c r="AN106" i="4"/>
  <c r="AE106" i="4"/>
  <c r="AD106" i="4"/>
  <c r="Y106" i="4"/>
  <c r="X106" i="4"/>
  <c r="AO105" i="4"/>
  <c r="AN105" i="4"/>
  <c r="AE105" i="4"/>
  <c r="AD105" i="4"/>
  <c r="Y105" i="4"/>
  <c r="X105" i="4"/>
  <c r="AO104" i="4"/>
  <c r="AN104" i="4"/>
  <c r="AE104" i="4"/>
  <c r="AD104" i="4"/>
  <c r="Y104" i="4"/>
  <c r="X104" i="4"/>
  <c r="AO103" i="4"/>
  <c r="AN103" i="4"/>
  <c r="AE103" i="4"/>
  <c r="AD103" i="4"/>
  <c r="Y103" i="4"/>
  <c r="X103" i="4"/>
  <c r="AO102" i="4"/>
  <c r="AN102" i="4"/>
  <c r="AE102" i="4"/>
  <c r="AD102" i="4"/>
  <c r="Y102" i="4"/>
  <c r="X102" i="4"/>
  <c r="AO101" i="4"/>
  <c r="AN101" i="4"/>
  <c r="AE101" i="4"/>
  <c r="AD101" i="4"/>
  <c r="Y101" i="4"/>
  <c r="X101" i="4"/>
  <c r="AO100" i="4"/>
  <c r="AN100" i="4"/>
  <c r="AE100" i="4"/>
  <c r="AD100" i="4"/>
  <c r="Y100" i="4"/>
  <c r="X100" i="4"/>
  <c r="AO99" i="4"/>
  <c r="AN99" i="4"/>
  <c r="AE99" i="4"/>
  <c r="AD99" i="4"/>
  <c r="Y99" i="4"/>
  <c r="X99" i="4"/>
  <c r="AO98" i="4"/>
  <c r="AN98" i="4"/>
  <c r="AK98" i="4"/>
  <c r="AE98" i="4"/>
  <c r="AD98" i="4"/>
  <c r="Y98" i="4"/>
  <c r="X98" i="4"/>
  <c r="AO97" i="4"/>
  <c r="AN97" i="4"/>
  <c r="AE97" i="4"/>
  <c r="AD97" i="4"/>
  <c r="Y97" i="4"/>
  <c r="X97" i="4"/>
  <c r="AO96" i="4"/>
  <c r="AN96" i="4"/>
  <c r="AK96" i="4"/>
  <c r="AE96" i="4"/>
  <c r="AD96" i="4"/>
  <c r="Y96" i="4"/>
  <c r="X96" i="4"/>
  <c r="AO95" i="4"/>
  <c r="AN95" i="4"/>
  <c r="AE95" i="4"/>
  <c r="AD95" i="4"/>
  <c r="Y95" i="4"/>
  <c r="X95" i="4"/>
  <c r="AO94" i="4"/>
  <c r="AN94" i="4"/>
  <c r="AK94" i="4"/>
  <c r="AE94" i="4"/>
  <c r="AD94" i="4"/>
  <c r="Y94" i="4"/>
  <c r="X94" i="4"/>
  <c r="AO93" i="4"/>
  <c r="AN93" i="4"/>
  <c r="AE93" i="4"/>
  <c r="AD93" i="4"/>
  <c r="Y93" i="4"/>
  <c r="X93" i="4"/>
  <c r="AO92" i="4"/>
  <c r="AN92" i="4"/>
  <c r="AE92" i="4"/>
  <c r="AD92" i="4"/>
  <c r="Y92" i="4"/>
  <c r="X92" i="4"/>
  <c r="AO91" i="4"/>
  <c r="AN91" i="4"/>
  <c r="AE91" i="4"/>
  <c r="AD91" i="4"/>
  <c r="Y91" i="4"/>
  <c r="X91" i="4"/>
  <c r="AO90" i="4"/>
  <c r="AN90" i="4"/>
  <c r="AM90" i="4"/>
  <c r="AE90" i="4"/>
  <c r="AD90" i="4"/>
  <c r="Y90" i="4"/>
  <c r="X90" i="4"/>
  <c r="AO89" i="4"/>
  <c r="AN89" i="4"/>
  <c r="AE89" i="4"/>
  <c r="AD89" i="4"/>
  <c r="Y89" i="4"/>
  <c r="X89" i="4"/>
  <c r="AO88" i="4"/>
  <c r="AN88" i="4"/>
  <c r="AE88" i="4"/>
  <c r="AD88" i="4"/>
  <c r="Y88" i="4"/>
  <c r="X88" i="4"/>
  <c r="AO87" i="4"/>
  <c r="AN87" i="4"/>
  <c r="AE87" i="4"/>
  <c r="AD87" i="4"/>
  <c r="Y87" i="4"/>
  <c r="X87" i="4"/>
  <c r="AO86" i="4"/>
  <c r="AN86" i="4"/>
  <c r="AE86" i="4"/>
  <c r="AD86" i="4"/>
  <c r="Y86" i="4"/>
  <c r="X86" i="4"/>
  <c r="AO85" i="4"/>
  <c r="AN85" i="4"/>
  <c r="AK85" i="4"/>
  <c r="AE85" i="4"/>
  <c r="AD85" i="4"/>
  <c r="Y85" i="4"/>
  <c r="X85" i="4"/>
  <c r="AO84" i="4"/>
  <c r="AN84" i="4"/>
  <c r="AE84" i="4"/>
  <c r="AD84" i="4"/>
  <c r="Y84" i="4"/>
  <c r="X84" i="4"/>
  <c r="AO83" i="4"/>
  <c r="AN83" i="4"/>
  <c r="AE83" i="4"/>
  <c r="AD83" i="4"/>
  <c r="Y83" i="4"/>
  <c r="X83" i="4"/>
  <c r="AO82" i="4"/>
  <c r="AN82" i="4"/>
  <c r="AM82" i="4"/>
  <c r="AE82" i="4"/>
  <c r="AD82" i="4"/>
  <c r="Y82" i="4"/>
  <c r="X82" i="4"/>
  <c r="AO81" i="4"/>
  <c r="AN81" i="4"/>
  <c r="AK81" i="4"/>
  <c r="AE81" i="4"/>
  <c r="AD81" i="4"/>
  <c r="Y81" i="4"/>
  <c r="X81" i="4"/>
  <c r="AO80" i="4"/>
  <c r="AN80" i="4"/>
  <c r="AK80" i="4"/>
  <c r="AE80" i="4"/>
  <c r="AD80" i="4"/>
  <c r="Y80" i="4"/>
  <c r="X80" i="4"/>
  <c r="AO79" i="4"/>
  <c r="AN79" i="4"/>
  <c r="AE79" i="4"/>
  <c r="AD79" i="4"/>
  <c r="Y79" i="4"/>
  <c r="X79" i="4"/>
  <c r="AO78" i="4"/>
  <c r="AN78" i="4"/>
  <c r="AE78" i="4"/>
  <c r="AD78" i="4"/>
  <c r="Y78" i="4"/>
  <c r="X78" i="4"/>
  <c r="AO77" i="4"/>
  <c r="AN77" i="4"/>
  <c r="AE77" i="4"/>
  <c r="AD77" i="4"/>
  <c r="Y77" i="4"/>
  <c r="X77" i="4"/>
  <c r="AO76" i="4"/>
  <c r="AN76" i="4"/>
  <c r="AM76" i="4"/>
  <c r="AE76" i="4"/>
  <c r="AD76" i="4"/>
  <c r="Y76" i="4"/>
  <c r="X76" i="4"/>
  <c r="AO75" i="4"/>
  <c r="AN75" i="4"/>
  <c r="AE75" i="4"/>
  <c r="AD75" i="4"/>
  <c r="Y75" i="4"/>
  <c r="X75" i="4"/>
  <c r="AO74" i="4"/>
  <c r="AN74" i="4"/>
  <c r="AK74" i="4"/>
  <c r="AE74" i="4"/>
  <c r="AD74" i="4"/>
  <c r="Y74" i="4"/>
  <c r="X74" i="4"/>
  <c r="AO73" i="4"/>
  <c r="AN73" i="4"/>
  <c r="AE73" i="4"/>
  <c r="AD73" i="4"/>
  <c r="Y73" i="4"/>
  <c r="X73" i="4"/>
  <c r="AO72" i="4"/>
  <c r="AN72" i="4"/>
  <c r="AK72" i="4"/>
  <c r="AE72" i="4"/>
  <c r="AD72" i="4"/>
  <c r="Y72" i="4"/>
  <c r="X72" i="4"/>
  <c r="AO71" i="4"/>
  <c r="AN71" i="4"/>
  <c r="AE71" i="4"/>
  <c r="AD71" i="4"/>
  <c r="Y71" i="4"/>
  <c r="X71" i="4"/>
  <c r="AO70" i="4"/>
  <c r="AN70" i="4"/>
  <c r="AE70" i="4"/>
  <c r="AD70" i="4"/>
  <c r="Y70" i="4"/>
  <c r="X70" i="4"/>
  <c r="AO69" i="4"/>
  <c r="AN69" i="4"/>
  <c r="AK69" i="4"/>
  <c r="AE69" i="4"/>
  <c r="AD69" i="4"/>
  <c r="Y69" i="4"/>
  <c r="X69" i="4"/>
  <c r="AO68" i="4"/>
  <c r="AN68" i="4"/>
  <c r="AE68" i="4"/>
  <c r="AD68" i="4"/>
  <c r="Y68" i="4"/>
  <c r="X68" i="4"/>
  <c r="AO67" i="4"/>
  <c r="AN67" i="4"/>
  <c r="AE67" i="4"/>
  <c r="AD67" i="4"/>
  <c r="Y67" i="4"/>
  <c r="X67" i="4"/>
  <c r="AO66" i="4"/>
  <c r="AN66" i="4"/>
  <c r="AM66" i="4"/>
  <c r="AE66" i="4"/>
  <c r="AD66" i="4"/>
  <c r="Y66" i="4"/>
  <c r="X66" i="4"/>
  <c r="AO65" i="4"/>
  <c r="AN65" i="4"/>
  <c r="AK65" i="4"/>
  <c r="AE65" i="4"/>
  <c r="AD65" i="4"/>
  <c r="Y65" i="4"/>
  <c r="X65" i="4"/>
  <c r="AO64" i="4"/>
  <c r="AN64" i="4"/>
  <c r="AE64" i="4"/>
  <c r="AD64" i="4"/>
  <c r="Y64" i="4"/>
  <c r="X64" i="4"/>
  <c r="AO63" i="4"/>
  <c r="AN63" i="4"/>
  <c r="AE63" i="4"/>
  <c r="AD63" i="4"/>
  <c r="Y63" i="4"/>
  <c r="X63" i="4"/>
  <c r="AO62" i="4"/>
  <c r="AN62" i="4"/>
  <c r="AE62" i="4"/>
  <c r="AD62" i="4"/>
  <c r="Y62" i="4"/>
  <c r="X62" i="4"/>
  <c r="AO61" i="4"/>
  <c r="AN61" i="4"/>
  <c r="AK61" i="4"/>
  <c r="AE61" i="4"/>
  <c r="AD61" i="4"/>
  <c r="Y61" i="4"/>
  <c r="X61" i="4"/>
  <c r="AO60" i="4"/>
  <c r="AN60" i="4"/>
  <c r="AE60" i="4"/>
  <c r="AD60" i="4"/>
  <c r="Y60" i="4"/>
  <c r="X60" i="4"/>
  <c r="AO59" i="4"/>
  <c r="AN59" i="4"/>
  <c r="AE59" i="4"/>
  <c r="AD59" i="4"/>
  <c r="Y59" i="4"/>
  <c r="X59" i="4"/>
  <c r="AO58" i="4"/>
  <c r="AN58" i="4"/>
  <c r="AK58" i="4"/>
  <c r="AE58" i="4"/>
  <c r="AD58" i="4"/>
  <c r="Y58" i="4"/>
  <c r="X58" i="4"/>
  <c r="AO57" i="4"/>
  <c r="AN57" i="4"/>
  <c r="AE57" i="4"/>
  <c r="AD57" i="4"/>
  <c r="Y57" i="4"/>
  <c r="X57" i="4"/>
  <c r="AO56" i="4"/>
  <c r="AN56" i="4"/>
  <c r="AE56" i="4"/>
  <c r="AD56" i="4"/>
  <c r="Y56" i="4"/>
  <c r="X56" i="4"/>
  <c r="AO55" i="4"/>
  <c r="AN55" i="4"/>
  <c r="AE55" i="4"/>
  <c r="AD55" i="4"/>
  <c r="Y55" i="4"/>
  <c r="X55" i="4"/>
  <c r="AO54" i="4"/>
  <c r="AN54" i="4"/>
  <c r="AM54" i="4"/>
  <c r="AE54" i="4"/>
  <c r="AD54" i="4"/>
  <c r="Y54" i="4"/>
  <c r="X54" i="4"/>
  <c r="AO53" i="4"/>
  <c r="AN53" i="4"/>
  <c r="AE53" i="4"/>
  <c r="AD53" i="4"/>
  <c r="Y53" i="4"/>
  <c r="X53" i="4"/>
  <c r="AO52" i="4"/>
  <c r="AN52" i="4"/>
  <c r="AM52" i="4"/>
  <c r="AE52" i="4"/>
  <c r="AD52" i="4"/>
  <c r="Y52" i="4"/>
  <c r="X52" i="4"/>
  <c r="AO51" i="4"/>
  <c r="AN51" i="4"/>
  <c r="AE51" i="4"/>
  <c r="AD51" i="4"/>
  <c r="Y51" i="4"/>
  <c r="X51" i="4"/>
  <c r="AO50" i="4"/>
  <c r="AN50" i="4"/>
  <c r="AE50" i="4"/>
  <c r="AD50" i="4"/>
  <c r="Y50" i="4"/>
  <c r="X50" i="4"/>
  <c r="AO49" i="4"/>
  <c r="AN49" i="4"/>
  <c r="AE49" i="4"/>
  <c r="AD49" i="4"/>
  <c r="Y49" i="4"/>
  <c r="X49" i="4"/>
  <c r="AO48" i="4"/>
  <c r="AN48" i="4"/>
  <c r="AE48" i="4"/>
  <c r="AD48" i="4"/>
  <c r="Y48" i="4"/>
  <c r="X48" i="4"/>
  <c r="AO47" i="4"/>
  <c r="AN47" i="4"/>
  <c r="AE47" i="4"/>
  <c r="AD47" i="4"/>
  <c r="Y47" i="4"/>
  <c r="X47" i="4"/>
  <c r="AO46" i="4"/>
  <c r="AN46" i="4"/>
  <c r="AK46" i="4"/>
  <c r="AE46" i="4"/>
  <c r="AD46" i="4"/>
  <c r="Y46" i="4"/>
  <c r="X46" i="4"/>
  <c r="AO45" i="4"/>
  <c r="AN45" i="4"/>
  <c r="AE45" i="4"/>
  <c r="AD45" i="4"/>
  <c r="Y45" i="4"/>
  <c r="X45" i="4"/>
  <c r="AO44" i="4"/>
  <c r="AN44" i="4"/>
  <c r="AK44" i="4"/>
  <c r="AE44" i="4"/>
  <c r="AD44" i="4"/>
  <c r="Y44" i="4"/>
  <c r="X44" i="4"/>
  <c r="AO43" i="4"/>
  <c r="AN43" i="4"/>
  <c r="AE43" i="4"/>
  <c r="AD43" i="4"/>
  <c r="Y43" i="4"/>
  <c r="X43" i="4"/>
  <c r="AO42" i="4"/>
  <c r="AN42" i="4"/>
  <c r="AK42" i="4"/>
  <c r="AE42" i="4"/>
  <c r="AD42" i="4"/>
  <c r="Y42" i="4"/>
  <c r="X42" i="4"/>
  <c r="AO41" i="4"/>
  <c r="AN41" i="4"/>
  <c r="AE41" i="4"/>
  <c r="AD41" i="4"/>
  <c r="Y41" i="4"/>
  <c r="X41" i="4"/>
  <c r="AO40" i="4"/>
  <c r="AN40" i="4"/>
  <c r="AE40" i="4"/>
  <c r="AD40" i="4"/>
  <c r="Y40" i="4"/>
  <c r="X40" i="4"/>
  <c r="AO39" i="4"/>
  <c r="AN39" i="4"/>
  <c r="AE39" i="4"/>
  <c r="AD39" i="4"/>
  <c r="Y39" i="4"/>
  <c r="X39" i="4"/>
  <c r="AO38" i="4"/>
  <c r="AN38" i="4"/>
  <c r="AM38" i="4"/>
  <c r="AE38" i="4"/>
  <c r="AD38" i="4"/>
  <c r="Y38" i="4"/>
  <c r="X38" i="4"/>
  <c r="AO37" i="4"/>
  <c r="AN37" i="4"/>
  <c r="AK37" i="4"/>
  <c r="AE37" i="4"/>
  <c r="AD37" i="4"/>
  <c r="Y37" i="4"/>
  <c r="X37" i="4"/>
  <c r="AO36" i="4"/>
  <c r="AN36" i="4"/>
  <c r="AE36" i="4"/>
  <c r="AD36" i="4"/>
  <c r="Y36" i="4"/>
  <c r="X36" i="4"/>
  <c r="AO35" i="4"/>
  <c r="AN35" i="4"/>
  <c r="AE35" i="4"/>
  <c r="AD35" i="4"/>
  <c r="Y35" i="4"/>
  <c r="X35" i="4"/>
  <c r="AO34" i="4"/>
  <c r="AN34" i="4"/>
  <c r="AM34" i="4"/>
  <c r="AE34" i="4"/>
  <c r="AD34" i="4"/>
  <c r="Y34" i="4"/>
  <c r="X34" i="4"/>
  <c r="AO33" i="4"/>
  <c r="AN33" i="4"/>
  <c r="AE33" i="4"/>
  <c r="AD33" i="4"/>
  <c r="Y33" i="4"/>
  <c r="X33" i="4"/>
  <c r="AO32" i="4"/>
  <c r="AN32" i="4"/>
  <c r="AM32" i="4"/>
  <c r="AE32" i="4"/>
  <c r="AD32" i="4"/>
  <c r="Y32" i="4"/>
  <c r="X32" i="4"/>
  <c r="AO31" i="4"/>
  <c r="AN31" i="4"/>
  <c r="AE31" i="4"/>
  <c r="AD31" i="4"/>
  <c r="Y31" i="4"/>
  <c r="X31" i="4"/>
  <c r="AO30" i="4"/>
  <c r="AN30" i="4"/>
  <c r="AE30" i="4"/>
  <c r="AD30" i="4"/>
  <c r="Y30" i="4"/>
  <c r="X30" i="4"/>
  <c r="AO29" i="4"/>
  <c r="AN29" i="4"/>
  <c r="AE29" i="4"/>
  <c r="AD29" i="4"/>
  <c r="Y29" i="4"/>
  <c r="X29" i="4"/>
  <c r="AO28" i="4"/>
  <c r="AN28" i="4"/>
  <c r="AM28" i="4"/>
  <c r="AE28" i="4"/>
  <c r="AD28" i="4"/>
  <c r="Y28" i="4"/>
  <c r="X28" i="4"/>
  <c r="AO27" i="4"/>
  <c r="AN27" i="4"/>
  <c r="AE27" i="4"/>
  <c r="AD27" i="4"/>
  <c r="Y27" i="4"/>
  <c r="X27" i="4"/>
  <c r="AO26" i="4"/>
  <c r="AN26" i="4"/>
  <c r="AE26" i="4"/>
  <c r="AD26" i="4"/>
  <c r="Y26" i="4"/>
  <c r="X26" i="4"/>
  <c r="AO25" i="4"/>
  <c r="AN25" i="4"/>
  <c r="AE25" i="4"/>
  <c r="AD25" i="4"/>
  <c r="Y25" i="4"/>
  <c r="X25" i="4"/>
  <c r="AO24" i="4"/>
  <c r="AN24" i="4"/>
  <c r="AK24" i="4"/>
  <c r="AE24" i="4"/>
  <c r="AD24" i="4"/>
  <c r="Y24" i="4"/>
  <c r="X24" i="4"/>
  <c r="AO23" i="4"/>
  <c r="AN23" i="4"/>
  <c r="AE23" i="4"/>
  <c r="AD23" i="4"/>
  <c r="Y23" i="4"/>
  <c r="X23" i="4"/>
  <c r="AO22" i="4"/>
  <c r="AN22" i="4"/>
  <c r="AK22" i="4"/>
  <c r="AE22" i="4"/>
  <c r="AD22" i="4"/>
  <c r="Y22" i="4"/>
  <c r="X22" i="4"/>
  <c r="AO21" i="4"/>
  <c r="AN21" i="4"/>
  <c r="AE21" i="4"/>
  <c r="AD21" i="4"/>
  <c r="Y21" i="4"/>
  <c r="X21" i="4"/>
  <c r="AO20" i="4"/>
  <c r="AN20" i="4"/>
  <c r="AM20" i="4"/>
  <c r="AE20" i="4"/>
  <c r="AD20" i="4"/>
  <c r="Y20" i="4"/>
  <c r="X20" i="4"/>
  <c r="AO19" i="4"/>
  <c r="AN19" i="4"/>
  <c r="AE19" i="4"/>
  <c r="AD19" i="4"/>
  <c r="Y19" i="4"/>
  <c r="X19" i="4"/>
  <c r="AO18" i="4"/>
  <c r="AN18" i="4"/>
  <c r="AE18" i="4"/>
  <c r="AD18" i="4"/>
  <c r="Y18" i="4"/>
  <c r="X18" i="4"/>
  <c r="AO17" i="4"/>
  <c r="AN17" i="4"/>
  <c r="AK17" i="4"/>
  <c r="AE17" i="4"/>
  <c r="AD17" i="4"/>
  <c r="Y17" i="4"/>
  <c r="X17" i="4"/>
  <c r="AO16" i="4"/>
  <c r="AN16" i="4"/>
  <c r="AE16" i="4"/>
  <c r="AD16" i="4"/>
  <c r="Y16" i="4"/>
  <c r="X16" i="4"/>
  <c r="AO15" i="4"/>
  <c r="AN15" i="4"/>
  <c r="AE15" i="4"/>
  <c r="AD15" i="4"/>
  <c r="Y15" i="4"/>
  <c r="X15" i="4"/>
  <c r="AO14" i="4"/>
  <c r="AN14" i="4"/>
  <c r="AM14" i="4"/>
  <c r="AE14" i="4"/>
  <c r="AD14" i="4"/>
  <c r="Y14" i="4"/>
  <c r="X14" i="4"/>
  <c r="AO13" i="4"/>
  <c r="AN13" i="4"/>
  <c r="AE13" i="4"/>
  <c r="AD13" i="4"/>
  <c r="Y13" i="4"/>
  <c r="X13" i="4"/>
  <c r="AO12" i="4"/>
  <c r="AN12" i="4"/>
  <c r="AM12" i="4"/>
  <c r="AE12" i="4"/>
  <c r="AD12" i="4"/>
  <c r="Y12" i="4"/>
  <c r="X12" i="4"/>
  <c r="AO11" i="4"/>
  <c r="AN11" i="4"/>
  <c r="AE11" i="4"/>
  <c r="AD11" i="4"/>
  <c r="Y11" i="4"/>
  <c r="X11" i="4"/>
  <c r="AO10" i="4"/>
  <c r="AN10" i="4"/>
  <c r="AE10" i="4"/>
  <c r="AD10" i="4"/>
  <c r="Y10" i="4"/>
  <c r="X10" i="4"/>
  <c r="AO9" i="4"/>
  <c r="AN9" i="4"/>
  <c r="AE9" i="4"/>
  <c r="AD9" i="4"/>
  <c r="Y9" i="4"/>
  <c r="X9" i="4"/>
  <c r="AO8" i="4"/>
  <c r="AN8" i="4"/>
  <c r="AM8" i="4"/>
  <c r="AE8" i="4"/>
  <c r="AD8" i="4"/>
  <c r="Y8" i="4"/>
  <c r="X8" i="4"/>
  <c r="AO7" i="4"/>
  <c r="AN7" i="4"/>
  <c r="AE7" i="4"/>
  <c r="AD7" i="4"/>
  <c r="Y7" i="4"/>
  <c r="X7" i="4"/>
  <c r="AO6" i="4"/>
  <c r="AN6" i="4"/>
  <c r="AM6" i="4"/>
  <c r="AE6" i="4"/>
  <c r="AD6" i="4"/>
  <c r="Y6" i="4"/>
  <c r="X6" i="4"/>
  <c r="AO5" i="4"/>
  <c r="AN5" i="4"/>
  <c r="AE5" i="4"/>
  <c r="AD5" i="4"/>
  <c r="Y5" i="4"/>
  <c r="X5" i="4"/>
  <c r="BF65" i="4" l="1"/>
  <c r="AM130" i="4"/>
  <c r="AM112" i="4"/>
  <c r="AM64" i="4"/>
  <c r="AK34" i="4"/>
  <c r="AM341" i="4"/>
  <c r="AM357" i="4"/>
  <c r="AM365" i="4"/>
  <c r="AM373" i="4"/>
  <c r="AM389" i="4"/>
  <c r="AM397" i="4"/>
  <c r="AM405" i="4"/>
  <c r="AM421" i="4"/>
  <c r="AM429" i="4"/>
  <c r="AM437" i="4"/>
  <c r="AM453" i="4"/>
  <c r="AK113" i="4"/>
  <c r="BF97" i="4"/>
  <c r="AK93" i="4"/>
  <c r="AK57" i="4"/>
  <c r="AK45" i="4"/>
  <c r="AK33" i="4"/>
  <c r="AK29" i="4"/>
  <c r="AK23" i="4"/>
  <c r="AK21" i="4"/>
  <c r="AK15" i="4"/>
  <c r="AK13" i="4"/>
  <c r="AM126" i="4"/>
  <c r="AK124" i="4"/>
  <c r="CA97" i="4"/>
  <c r="AM96" i="4"/>
  <c r="AM86" i="4"/>
  <c r="AK82" i="4"/>
  <c r="AM80" i="4"/>
  <c r="AK78" i="4"/>
  <c r="AM74" i="4"/>
  <c r="AM68" i="4"/>
  <c r="CA57" i="4"/>
  <c r="AM50" i="4"/>
  <c r="AM42" i="4"/>
  <c r="AK20" i="4"/>
  <c r="AK8" i="4"/>
  <c r="BH35" i="4"/>
  <c r="BF55" i="4"/>
  <c r="BH75" i="4"/>
  <c r="BF77" i="4"/>
  <c r="BF79" i="4"/>
  <c r="BH85" i="4"/>
  <c r="CA9" i="4"/>
  <c r="CC9" i="4"/>
  <c r="CC17" i="4"/>
  <c r="CA17" i="4"/>
  <c r="CA37" i="4"/>
  <c r="CC37" i="4"/>
  <c r="CC39" i="4"/>
  <c r="CA39" i="4"/>
  <c r="CC55" i="4"/>
  <c r="CA55" i="4"/>
  <c r="CA63" i="4"/>
  <c r="CC63" i="4"/>
  <c r="CA65" i="4"/>
  <c r="CC65" i="4"/>
  <c r="CC69" i="4"/>
  <c r="CA69" i="4"/>
  <c r="CC73" i="4"/>
  <c r="CA73" i="4"/>
  <c r="CA83" i="4"/>
  <c r="CC83" i="4"/>
  <c r="CA91" i="4"/>
  <c r="CC91" i="4"/>
  <c r="CC93" i="4"/>
  <c r="CA93" i="4"/>
  <c r="CC101" i="4"/>
  <c r="CA101" i="4"/>
  <c r="CA113" i="4"/>
  <c r="CC113" i="4"/>
  <c r="CC117" i="4"/>
  <c r="CA117" i="4"/>
  <c r="CC123" i="4"/>
  <c r="CA123" i="4"/>
  <c r="CA125" i="4"/>
  <c r="CC125" i="4"/>
  <c r="CA129" i="4"/>
  <c r="CC129" i="4"/>
  <c r="CC135" i="4"/>
  <c r="CA135" i="4"/>
  <c r="CC143" i="4"/>
  <c r="CA143" i="4"/>
  <c r="CC147" i="4"/>
  <c r="CA147" i="4"/>
  <c r="CC151" i="4"/>
  <c r="CA151" i="4"/>
  <c r="CC155" i="4"/>
  <c r="CA155" i="4"/>
  <c r="CC159" i="4"/>
  <c r="CA159" i="4"/>
  <c r="CC163" i="4"/>
  <c r="CA163" i="4"/>
  <c r="CC167" i="4"/>
  <c r="CA167" i="4"/>
  <c r="CC171" i="4"/>
  <c r="CA171" i="4"/>
  <c r="CC175" i="4"/>
  <c r="CA175" i="4"/>
  <c r="CC179" i="4"/>
  <c r="CA179" i="4"/>
  <c r="CC183" i="4"/>
  <c r="CA183" i="4"/>
  <c r="CC187" i="4"/>
  <c r="CA187" i="4"/>
  <c r="CC191" i="4"/>
  <c r="CA191" i="4"/>
  <c r="CC195" i="4"/>
  <c r="CA195" i="4"/>
  <c r="CC199" i="4"/>
  <c r="CA199" i="4"/>
  <c r="CC203" i="4"/>
  <c r="CA203" i="4"/>
  <c r="CC207" i="4"/>
  <c r="CA207" i="4"/>
  <c r="CC211" i="4"/>
  <c r="CA211" i="4"/>
  <c r="CC215" i="4"/>
  <c r="CA215" i="4"/>
  <c r="CC219" i="4"/>
  <c r="CA219" i="4"/>
  <c r="CC223" i="4"/>
  <c r="CA223" i="4"/>
  <c r="CC227" i="4"/>
  <c r="CA227" i="4"/>
  <c r="CC231" i="4"/>
  <c r="CA231" i="4"/>
  <c r="CC235" i="4"/>
  <c r="CA235" i="4"/>
  <c r="CC239" i="4"/>
  <c r="CA239" i="4"/>
  <c r="CC243" i="4"/>
  <c r="CA243" i="4"/>
  <c r="CC247" i="4"/>
  <c r="CA247" i="4"/>
  <c r="CC251" i="4"/>
  <c r="CA251" i="4"/>
  <c r="CC255" i="4"/>
  <c r="CA255" i="4"/>
  <c r="CC259" i="4"/>
  <c r="CA259" i="4"/>
  <c r="CC263" i="4"/>
  <c r="CA263" i="4"/>
  <c r="CC267" i="4"/>
  <c r="CA267" i="4"/>
  <c r="CC271" i="4"/>
  <c r="CA271" i="4"/>
  <c r="CC275" i="4"/>
  <c r="CA275" i="4"/>
  <c r="CA279" i="4"/>
  <c r="CC279" i="4"/>
  <c r="CA281" i="4"/>
  <c r="CC281" i="4"/>
  <c r="CA283" i="4"/>
  <c r="CC283" i="4"/>
  <c r="CA287" i="4"/>
  <c r="CC287" i="4"/>
  <c r="CA289" i="4"/>
  <c r="CC289" i="4"/>
  <c r="CA291" i="4"/>
  <c r="CC291" i="4"/>
  <c r="CA295" i="4"/>
  <c r="CC295" i="4"/>
  <c r="CA297" i="4"/>
  <c r="CC297" i="4"/>
  <c r="CA299" i="4"/>
  <c r="CC299" i="4"/>
  <c r="CA303" i="4"/>
  <c r="CC303" i="4"/>
  <c r="CA305" i="4"/>
  <c r="CC305" i="4"/>
  <c r="CA307" i="4"/>
  <c r="CC307" i="4"/>
  <c r="CA311" i="4"/>
  <c r="CC311" i="4"/>
  <c r="CA313" i="4"/>
  <c r="CC313" i="4"/>
  <c r="CA315" i="4"/>
  <c r="CC315" i="4"/>
  <c r="CA319" i="4"/>
  <c r="CC319" i="4"/>
  <c r="CA321" i="4"/>
  <c r="CC321" i="4"/>
  <c r="CA323" i="4"/>
  <c r="CC323" i="4"/>
  <c r="CA327" i="4"/>
  <c r="CC327" i="4"/>
  <c r="CA329" i="4"/>
  <c r="CC329" i="4"/>
  <c r="CA331" i="4"/>
  <c r="CC331" i="4"/>
  <c r="CA335" i="4"/>
  <c r="CC335" i="4"/>
  <c r="CA337" i="4"/>
  <c r="CC337" i="4"/>
  <c r="CA339" i="4"/>
  <c r="CC339" i="4"/>
  <c r="CA343" i="4"/>
  <c r="CC343" i="4"/>
  <c r="CA345" i="4"/>
  <c r="CC345" i="4"/>
  <c r="CA347" i="4"/>
  <c r="CC347" i="4"/>
  <c r="CA351" i="4"/>
  <c r="CC351" i="4"/>
  <c r="CA353" i="4"/>
  <c r="CC353" i="4"/>
  <c r="CA355" i="4"/>
  <c r="CC355" i="4"/>
  <c r="CA359" i="4"/>
  <c r="CC359" i="4"/>
  <c r="CA361" i="4"/>
  <c r="CC361" i="4"/>
  <c r="CA363" i="4"/>
  <c r="CC363" i="4"/>
  <c r="CA367" i="4"/>
  <c r="CC367" i="4"/>
  <c r="CA369" i="4"/>
  <c r="CC369" i="4"/>
  <c r="CA371" i="4"/>
  <c r="CC371" i="4"/>
  <c r="CA375" i="4"/>
  <c r="CC375" i="4"/>
  <c r="CA377" i="4"/>
  <c r="CC377" i="4"/>
  <c r="CA379" i="4"/>
  <c r="CC379" i="4"/>
  <c r="CA383" i="4"/>
  <c r="CC383" i="4"/>
  <c r="CA385" i="4"/>
  <c r="CC385" i="4"/>
  <c r="CA387" i="4"/>
  <c r="CC387" i="4"/>
  <c r="CA391" i="4"/>
  <c r="CC391" i="4"/>
  <c r="CA393" i="4"/>
  <c r="CC393" i="4"/>
  <c r="CA395" i="4"/>
  <c r="CC395" i="4"/>
  <c r="CA399" i="4"/>
  <c r="CC399" i="4"/>
  <c r="CA401" i="4"/>
  <c r="CC401" i="4"/>
  <c r="CA403" i="4"/>
  <c r="CC403" i="4"/>
  <c r="CA407" i="4"/>
  <c r="CC407" i="4"/>
  <c r="CA409" i="4"/>
  <c r="CC409" i="4"/>
  <c r="CA411" i="4"/>
  <c r="CC411" i="4"/>
  <c r="CA415" i="4"/>
  <c r="CC415" i="4"/>
  <c r="CA417" i="4"/>
  <c r="CC417" i="4"/>
  <c r="CA419" i="4"/>
  <c r="CC419" i="4"/>
  <c r="CC421" i="4"/>
  <c r="CA421" i="4"/>
  <c r="CC425" i="4"/>
  <c r="CA425" i="4"/>
  <c r="CC429" i="4"/>
  <c r="CA429" i="4"/>
  <c r="CC433" i="4"/>
  <c r="CA433" i="4"/>
  <c r="CC437" i="4"/>
  <c r="CA437" i="4"/>
  <c r="CC441" i="4"/>
  <c r="CA441" i="4"/>
  <c r="CC445" i="4"/>
  <c r="CA445" i="4"/>
  <c r="CC449" i="4"/>
  <c r="CA449" i="4"/>
  <c r="CC453" i="4"/>
  <c r="CA453" i="4"/>
  <c r="BH9" i="4"/>
  <c r="BF13" i="4"/>
  <c r="BH17" i="4"/>
  <c r="BF21" i="4"/>
  <c r="BF23" i="4"/>
  <c r="BH29" i="4"/>
  <c r="BF31" i="4"/>
  <c r="BH37" i="4"/>
  <c r="BH39" i="4"/>
  <c r="BH43" i="4"/>
  <c r="BF47" i="4"/>
  <c r="BF49" i="4"/>
  <c r="BF51" i="4"/>
  <c r="BH57" i="4"/>
  <c r="BF67" i="4"/>
  <c r="BH69" i="4"/>
  <c r="BH73" i="4"/>
  <c r="BH81" i="4"/>
  <c r="BH83" i="4"/>
  <c r="BH89" i="4"/>
  <c r="BF91" i="4"/>
  <c r="BH93" i="4"/>
  <c r="BH97" i="4"/>
  <c r="BF99" i="4"/>
  <c r="BH105" i="4"/>
  <c r="BH113" i="4"/>
  <c r="BF117" i="4"/>
  <c r="BH119" i="4"/>
  <c r="BF121" i="4"/>
  <c r="BF123" i="4"/>
  <c r="BF129" i="4"/>
  <c r="BF131" i="4"/>
  <c r="BF135" i="4"/>
  <c r="BF137" i="4"/>
  <c r="BF141" i="4"/>
  <c r="BF143" i="4"/>
  <c r="BF145" i="4"/>
  <c r="BF147" i="4"/>
  <c r="BF149" i="4"/>
  <c r="BF151" i="4"/>
  <c r="BF153" i="4"/>
  <c r="BF155" i="4"/>
  <c r="BF157" i="4"/>
  <c r="BF159" i="4"/>
  <c r="BF161" i="4"/>
  <c r="BF163" i="4"/>
  <c r="BF165" i="4"/>
  <c r="BF167" i="4"/>
  <c r="BF169" i="4"/>
  <c r="BF171" i="4"/>
  <c r="BF173" i="4"/>
  <c r="BF175" i="4"/>
  <c r="BF177" i="4"/>
  <c r="BF179" i="4"/>
  <c r="BF181" i="4"/>
  <c r="BF183" i="4"/>
  <c r="BF185" i="4"/>
  <c r="BF187" i="4"/>
  <c r="BF189" i="4"/>
  <c r="BF191" i="4"/>
  <c r="BF193" i="4"/>
  <c r="BF195" i="4"/>
  <c r="BF197" i="4"/>
  <c r="BF199" i="4"/>
  <c r="BF201" i="4"/>
  <c r="BF203" i="4"/>
  <c r="BF205" i="4"/>
  <c r="BF207" i="4"/>
  <c r="BF209" i="4"/>
  <c r="BF211" i="4"/>
  <c r="BF213" i="4"/>
  <c r="BF215" i="4"/>
  <c r="BF217" i="4"/>
  <c r="BF219" i="4"/>
  <c r="BF221" i="4"/>
  <c r="BF223" i="4"/>
  <c r="BF225" i="4"/>
  <c r="BF227" i="4"/>
  <c r="BF229" i="4"/>
  <c r="BF231" i="4"/>
  <c r="BF233" i="4"/>
  <c r="BF235" i="4"/>
  <c r="BF237" i="4"/>
  <c r="BF239" i="4"/>
  <c r="BF241" i="4"/>
  <c r="BF243" i="4"/>
  <c r="BF245" i="4"/>
  <c r="BF247" i="4"/>
  <c r="BF249" i="4"/>
  <c r="BF251" i="4"/>
  <c r="BF253" i="4"/>
  <c r="BF255" i="4"/>
  <c r="BF257" i="4"/>
  <c r="BF259" i="4"/>
  <c r="BF261" i="4"/>
  <c r="BF263" i="4"/>
  <c r="BF265" i="4"/>
  <c r="BF267" i="4"/>
  <c r="BF269" i="4"/>
  <c r="BF271" i="4"/>
  <c r="BF273" i="4"/>
  <c r="BF275" i="4"/>
  <c r="BF277" i="4"/>
  <c r="BF279" i="4"/>
  <c r="BF281" i="4"/>
  <c r="BF283" i="4"/>
  <c r="BF285" i="4"/>
  <c r="BF287" i="4"/>
  <c r="BF289" i="4"/>
  <c r="BF291" i="4"/>
  <c r="BF293" i="4"/>
  <c r="BF295" i="4"/>
  <c r="BF297" i="4"/>
  <c r="BF299" i="4"/>
  <c r="BF301" i="4"/>
  <c r="BF303" i="4"/>
  <c r="BF305" i="4"/>
  <c r="BF307" i="4"/>
  <c r="BF309" i="4"/>
  <c r="BF311" i="4"/>
  <c r="BF313" i="4"/>
  <c r="BF315" i="4"/>
  <c r="BF317" i="4"/>
  <c r="BF319" i="4"/>
  <c r="BF321" i="4"/>
  <c r="BF323" i="4"/>
  <c r="BF325" i="4"/>
  <c r="BF327" i="4"/>
  <c r="BF329" i="4"/>
  <c r="BF331" i="4"/>
  <c r="BF333" i="4"/>
  <c r="BF335" i="4"/>
  <c r="BF337" i="4"/>
  <c r="BF339" i="4"/>
  <c r="BF341" i="4"/>
  <c r="BF343" i="4"/>
  <c r="BF345" i="4"/>
  <c r="BF347" i="4"/>
  <c r="BF349" i="4"/>
  <c r="BF351" i="4"/>
  <c r="BF353" i="4"/>
  <c r="BF355" i="4"/>
  <c r="BF357" i="4"/>
  <c r="BF359" i="4"/>
  <c r="BF361" i="4"/>
  <c r="BF363" i="4"/>
  <c r="BF365" i="4"/>
  <c r="BF367" i="4"/>
  <c r="BF369" i="4"/>
  <c r="BF371" i="4"/>
  <c r="BF373" i="4"/>
  <c r="BF375" i="4"/>
  <c r="BF377" i="4"/>
  <c r="BF379" i="4"/>
  <c r="BF381" i="4"/>
  <c r="BF383" i="4"/>
  <c r="BF385" i="4"/>
  <c r="BF387" i="4"/>
  <c r="BF389" i="4"/>
  <c r="BF391" i="4"/>
  <c r="BF393" i="4"/>
  <c r="BF395" i="4"/>
  <c r="BF397" i="4"/>
  <c r="BF399" i="4"/>
  <c r="BF401" i="4"/>
  <c r="BH401" i="4"/>
  <c r="BF403" i="4"/>
  <c r="BF405" i="4"/>
  <c r="BH405" i="4"/>
  <c r="BF407" i="4"/>
  <c r="BF409" i="4"/>
  <c r="BH409" i="4"/>
  <c r="BF411" i="4"/>
  <c r="BF413" i="4"/>
  <c r="BH413" i="4"/>
  <c r="BF415" i="4"/>
  <c r="BF417" i="4"/>
  <c r="BH417" i="4"/>
  <c r="BF419" i="4"/>
  <c r="BF421" i="4"/>
  <c r="BH421" i="4"/>
  <c r="BF423" i="4"/>
  <c r="BF425" i="4"/>
  <c r="BH425" i="4"/>
  <c r="BF427" i="4"/>
  <c r="BF429" i="4"/>
  <c r="BH429" i="4"/>
  <c r="BF431" i="4"/>
  <c r="BF433" i="4"/>
  <c r="BH433" i="4"/>
  <c r="BF435" i="4"/>
  <c r="BF437" i="4"/>
  <c r="BH437" i="4"/>
  <c r="BF439" i="4"/>
  <c r="BF441" i="4"/>
  <c r="BH441" i="4"/>
  <c r="BF443" i="4"/>
  <c r="BF445" i="4"/>
  <c r="BH445" i="4"/>
  <c r="BF447" i="4"/>
  <c r="BF449" i="4"/>
  <c r="BH449" i="4"/>
  <c r="BF451" i="4"/>
  <c r="BF453" i="4"/>
  <c r="BH453" i="4"/>
  <c r="AK68" i="4"/>
  <c r="AM70" i="4"/>
  <c r="AK86" i="4"/>
  <c r="AK294" i="4"/>
  <c r="AK298" i="4"/>
  <c r="AM304" i="4"/>
  <c r="AM308" i="4"/>
  <c r="AK312" i="4"/>
  <c r="AK316" i="4"/>
  <c r="AM318" i="4"/>
  <c r="AM322" i="4"/>
  <c r="AK326" i="4"/>
  <c r="AK330" i="4"/>
  <c r="AM336" i="4"/>
  <c r="AM340" i="4"/>
  <c r="AK344" i="4"/>
  <c r="AK348" i="4"/>
  <c r="AM350" i="4"/>
  <c r="AM354" i="4"/>
  <c r="AK358" i="4"/>
  <c r="AK362" i="4"/>
  <c r="AM368" i="4"/>
  <c r="AM372" i="4"/>
  <c r="AK376" i="4"/>
  <c r="AK380" i="4"/>
  <c r="AM382" i="4"/>
  <c r="AM386" i="4"/>
  <c r="AK390" i="4"/>
  <c r="AK394" i="4"/>
  <c r="AM400" i="4"/>
  <c r="AM404" i="4"/>
  <c r="AK408" i="4"/>
  <c r="AK412" i="4"/>
  <c r="AM414" i="4"/>
  <c r="AM418" i="4"/>
  <c r="AK422" i="4"/>
  <c r="AK426" i="4"/>
  <c r="AM432" i="4"/>
  <c r="AM436" i="4"/>
  <c r="AK440" i="4"/>
  <c r="AK444" i="4"/>
  <c r="AM446" i="4"/>
  <c r="AM450" i="4"/>
  <c r="AK454" i="4"/>
  <c r="BF29" i="4"/>
  <c r="BF43" i="4"/>
  <c r="BH47" i="4"/>
  <c r="BF57" i="4"/>
  <c r="BF69" i="4"/>
  <c r="BF81" i="4"/>
  <c r="BH91" i="4"/>
  <c r="BF93" i="4"/>
  <c r="BF113" i="4"/>
  <c r="BH117" i="4"/>
  <c r="BH121" i="4"/>
  <c r="BH135" i="4"/>
  <c r="BH141" i="4"/>
  <c r="BH145" i="4"/>
  <c r="BH149" i="4"/>
  <c r="BH153" i="4"/>
  <c r="BH157" i="4"/>
  <c r="BH161" i="4"/>
  <c r="BH165" i="4"/>
  <c r="BH169" i="4"/>
  <c r="BH173" i="4"/>
  <c r="BH177" i="4"/>
  <c r="BH181" i="4"/>
  <c r="BH185" i="4"/>
  <c r="BH189" i="4"/>
  <c r="BH193" i="4"/>
  <c r="BH197" i="4"/>
  <c r="BH201" i="4"/>
  <c r="BH205" i="4"/>
  <c r="BH209" i="4"/>
  <c r="BH213" i="4"/>
  <c r="BH217" i="4"/>
  <c r="BH221" i="4"/>
  <c r="BH225" i="4"/>
  <c r="BH229" i="4"/>
  <c r="BH233" i="4"/>
  <c r="BH237" i="4"/>
  <c r="BH241" i="4"/>
  <c r="BH245" i="4"/>
  <c r="BH249" i="4"/>
  <c r="BH253" i="4"/>
  <c r="BH257" i="4"/>
  <c r="BH261" i="4"/>
  <c r="BH265" i="4"/>
  <c r="BH269" i="4"/>
  <c r="BH273" i="4"/>
  <c r="BH277" i="4"/>
  <c r="BH281" i="4"/>
  <c r="BH285" i="4"/>
  <c r="BH289" i="4"/>
  <c r="BH293" i="4"/>
  <c r="BH297" i="4"/>
  <c r="BH301" i="4"/>
  <c r="BH305" i="4"/>
  <c r="BH309" i="4"/>
  <c r="BH313" i="4"/>
  <c r="BH317" i="4"/>
  <c r="BH321" i="4"/>
  <c r="BH325" i="4"/>
  <c r="BH329" i="4"/>
  <c r="BH333" i="4"/>
  <c r="BH337" i="4"/>
  <c r="BH341" i="4"/>
  <c r="BH345" i="4"/>
  <c r="BH349" i="4"/>
  <c r="BH353" i="4"/>
  <c r="BH357" i="4"/>
  <c r="BH361" i="4"/>
  <c r="BH365" i="4"/>
  <c r="BH369" i="4"/>
  <c r="BH373" i="4"/>
  <c r="BH377" i="4"/>
  <c r="BH381" i="4"/>
  <c r="BH385" i="4"/>
  <c r="BH389" i="4"/>
  <c r="BH393" i="4"/>
  <c r="BH397" i="4"/>
  <c r="BH403" i="4"/>
  <c r="BH411" i="4"/>
  <c r="BH419" i="4"/>
  <c r="BH427" i="4"/>
  <c r="BH435" i="4"/>
  <c r="BH443" i="4"/>
  <c r="BH451" i="4"/>
  <c r="CA47" i="4"/>
  <c r="CA121" i="4"/>
  <c r="CA145" i="4"/>
  <c r="CA153" i="4"/>
  <c r="CA161" i="4"/>
  <c r="CA169" i="4"/>
  <c r="CA177" i="4"/>
  <c r="CA185" i="4"/>
  <c r="CA193" i="4"/>
  <c r="CA201" i="4"/>
  <c r="CA209" i="4"/>
  <c r="CA217" i="4"/>
  <c r="CA225" i="4"/>
  <c r="CA233" i="4"/>
  <c r="CA241" i="4"/>
  <c r="CA249" i="4"/>
  <c r="CA257" i="4"/>
  <c r="CA265" i="4"/>
  <c r="CA273" i="4"/>
  <c r="CC285" i="4"/>
  <c r="CC301" i="4"/>
  <c r="CC317" i="4"/>
  <c r="CC333" i="4"/>
  <c r="CC349" i="4"/>
  <c r="CC365" i="4"/>
  <c r="CC381" i="4"/>
  <c r="CC397" i="4"/>
  <c r="CC413" i="4"/>
  <c r="AK89" i="4"/>
  <c r="AK97" i="4"/>
  <c r="AK117" i="4"/>
  <c r="AK133" i="4"/>
  <c r="CA51" i="4"/>
  <c r="CC85" i="4"/>
  <c r="CA127" i="4"/>
  <c r="CC133" i="4"/>
  <c r="BF133" i="4"/>
  <c r="BF103" i="4"/>
  <c r="BH101" i="4"/>
  <c r="BH63" i="4"/>
  <c r="BH55" i="4"/>
  <c r="BH31" i="4"/>
  <c r="BF27" i="4"/>
  <c r="AK25" i="4"/>
  <c r="BF25" i="4"/>
  <c r="AK5" i="4"/>
  <c r="AK101" i="4"/>
  <c r="AK41" i="4"/>
  <c r="CA5" i="4"/>
  <c r="AK10" i="4"/>
  <c r="AM16" i="4"/>
  <c r="AM48" i="4"/>
  <c r="AK50" i="4"/>
  <c r="AM78" i="4"/>
  <c r="AK106" i="4"/>
  <c r="AK108" i="4"/>
  <c r="AM110" i="4"/>
  <c r="AK138" i="4"/>
  <c r="CC18" i="4"/>
  <c r="AK125" i="4"/>
  <c r="BF125" i="4"/>
  <c r="BH65" i="4"/>
  <c r="AK30" i="4"/>
  <c r="BH30" i="4"/>
  <c r="AK130" i="4"/>
  <c r="BH130" i="4"/>
  <c r="BH88" i="4"/>
  <c r="BH40" i="4"/>
  <c r="AK40" i="4"/>
  <c r="CC109" i="4"/>
  <c r="CE1" i="4"/>
  <c r="CA109" i="4"/>
  <c r="BF109" i="4"/>
  <c r="AM100" i="4"/>
  <c r="BH100" i="4"/>
  <c r="AM92" i="4"/>
  <c r="BF92" i="4"/>
  <c r="AK48" i="4"/>
  <c r="AK16" i="4"/>
  <c r="AK100" i="4"/>
  <c r="BF100" i="4"/>
  <c r="CC88" i="4"/>
  <c r="AO1" i="4"/>
  <c r="CA7" i="4"/>
  <c r="CA11" i="4"/>
  <c r="CC27" i="4"/>
  <c r="CC423" i="4"/>
  <c r="CC427" i="4"/>
  <c r="CD1" i="4"/>
  <c r="BI1" i="4"/>
  <c r="AN1" i="4"/>
  <c r="BJ1" i="4"/>
  <c r="CC33" i="4"/>
  <c r="CC53" i="4"/>
  <c r="CC89" i="4"/>
  <c r="CC98" i="4"/>
  <c r="CC118" i="4"/>
  <c r="AK136" i="4"/>
  <c r="BF136" i="4"/>
  <c r="BF132" i="4"/>
  <c r="AK120" i="4"/>
  <c r="BH120" i="4"/>
  <c r="CA118" i="4"/>
  <c r="CA98" i="4"/>
  <c r="AM60" i="4"/>
  <c r="BH60" i="4"/>
  <c r="CA53" i="4"/>
  <c r="BF33" i="4"/>
  <c r="AK27" i="4"/>
  <c r="BH27" i="4"/>
  <c r="AM136" i="4"/>
  <c r="BH136" i="4"/>
  <c r="CC136" i="4"/>
  <c r="BH132" i="4"/>
  <c r="AM120" i="4"/>
  <c r="AK60" i="4"/>
  <c r="BF60" i="4"/>
  <c r="AM104" i="4"/>
  <c r="AK116" i="4"/>
  <c r="CC15" i="4"/>
  <c r="CA19" i="4"/>
  <c r="CA43" i="4"/>
  <c r="CC59" i="4"/>
  <c r="CA67" i="4"/>
  <c r="CC71" i="4"/>
  <c r="CA75" i="4"/>
  <c r="CC87" i="4"/>
  <c r="CC95" i="4"/>
  <c r="CC431" i="4"/>
  <c r="CC435" i="4"/>
  <c r="CC439" i="4"/>
  <c r="CC443" i="4"/>
  <c r="CC447" i="4"/>
  <c r="CC451" i="4"/>
  <c r="CA33" i="4"/>
  <c r="CC49" i="4"/>
  <c r="CA103" i="4"/>
  <c r="CC105" i="4"/>
  <c r="CC107" i="4"/>
  <c r="CA111" i="4"/>
  <c r="CA131" i="4"/>
  <c r="CA40" i="4"/>
  <c r="CC124" i="4"/>
  <c r="AM106" i="4"/>
  <c r="BF107" i="4"/>
  <c r="AM56" i="4"/>
  <c r="BH56" i="4"/>
  <c r="BF41" i="4"/>
  <c r="BH7" i="4"/>
  <c r="CC56" i="4"/>
  <c r="CA41" i="4"/>
  <c r="CA13" i="4"/>
  <c r="CC23" i="4"/>
  <c r="CC79" i="4"/>
  <c r="CA99" i="4"/>
  <c r="CA107" i="4"/>
  <c r="CC115" i="4"/>
  <c r="CC119" i="4"/>
  <c r="CA139" i="4"/>
  <c r="BF111" i="4"/>
  <c r="BH87" i="4"/>
  <c r="BH77" i="4"/>
  <c r="AK73" i="4"/>
  <c r="BF73" i="4"/>
  <c r="BH71" i="4"/>
  <c r="BH67" i="4"/>
  <c r="BF61" i="4"/>
  <c r="BF59" i="4"/>
  <c r="AK53" i="4"/>
  <c r="BH53" i="4"/>
  <c r="BH49" i="4"/>
  <c r="BH19" i="4"/>
  <c r="BH15" i="4"/>
  <c r="AK11" i="4"/>
  <c r="BF11" i="4"/>
  <c r="AM10" i="4"/>
  <c r="BF10" i="4"/>
  <c r="AK77" i="4"/>
  <c r="CA59" i="4"/>
  <c r="CC10" i="4"/>
  <c r="AM22" i="4"/>
  <c r="AK26" i="4"/>
  <c r="AK112" i="4"/>
  <c r="AK134" i="4"/>
  <c r="CC21" i="4"/>
  <c r="CC25" i="4"/>
  <c r="CC111" i="4"/>
  <c r="CA133" i="4"/>
  <c r="CA50" i="4"/>
  <c r="AK129" i="4"/>
  <c r="BH129" i="4"/>
  <c r="BH95" i="4"/>
  <c r="BF75" i="4"/>
  <c r="BF71" i="4"/>
  <c r="BH59" i="4"/>
  <c r="BF45" i="4"/>
  <c r="BF37" i="4"/>
  <c r="AK19" i="4"/>
  <c r="BF19" i="4"/>
  <c r="BF17" i="4"/>
  <c r="AK7" i="4"/>
  <c r="BF7" i="4"/>
  <c r="AM36" i="4"/>
  <c r="CA22" i="4"/>
  <c r="CC40" i="4"/>
  <c r="CA44" i="4"/>
  <c r="CC62" i="4"/>
  <c r="CC72" i="4"/>
  <c r="CA78" i="4"/>
  <c r="CC80" i="4"/>
  <c r="CA96" i="4"/>
  <c r="CC100" i="4"/>
  <c r="CC106" i="4"/>
  <c r="CA112" i="4"/>
  <c r="AM138" i="4"/>
  <c r="BF138" i="4"/>
  <c r="AM132" i="4"/>
  <c r="AK118" i="4"/>
  <c r="BF118" i="4"/>
  <c r="AM108" i="4"/>
  <c r="BF108" i="4"/>
  <c r="AM102" i="4"/>
  <c r="BF102" i="4"/>
  <c r="AM88" i="4"/>
  <c r="BF88" i="4"/>
  <c r="BF87" i="4"/>
  <c r="AK64" i="4"/>
  <c r="BH64" i="4"/>
  <c r="BH41" i="4"/>
  <c r="AK28" i="4"/>
  <c r="BF28" i="4"/>
  <c r="AK18" i="4"/>
  <c r="BH18" i="4"/>
  <c r="AM5" i="4"/>
  <c r="BF5" i="4"/>
  <c r="AK132" i="4"/>
  <c r="CC126" i="4"/>
  <c r="CC108" i="4"/>
  <c r="AK62" i="4"/>
  <c r="AM44" i="4"/>
  <c r="CC31" i="4"/>
  <c r="CC35" i="4"/>
  <c r="CC45" i="4"/>
  <c r="AM7" i="4"/>
  <c r="AM9" i="4"/>
  <c r="AM11" i="4"/>
  <c r="AM13" i="4"/>
  <c r="AM15" i="4"/>
  <c r="AM17" i="4"/>
  <c r="AM19" i="4"/>
  <c r="AM21" i="4"/>
  <c r="AM23" i="4"/>
  <c r="AM25" i="4"/>
  <c r="AM27" i="4"/>
  <c r="AM29" i="4"/>
  <c r="AM33" i="4"/>
  <c r="AM35" i="4"/>
  <c r="AM37" i="4"/>
  <c r="AM39" i="4"/>
  <c r="AM41" i="4"/>
  <c r="AM43" i="4"/>
  <c r="AM45" i="4"/>
  <c r="AM47" i="4"/>
  <c r="AM49" i="4"/>
  <c r="AM51" i="4"/>
  <c r="AM53" i="4"/>
  <c r="AM55" i="4"/>
  <c r="AM57" i="4"/>
  <c r="AM59" i="4"/>
  <c r="AM61" i="4"/>
  <c r="AM63" i="4"/>
  <c r="AM65" i="4"/>
  <c r="AM67" i="4"/>
  <c r="AM69" i="4"/>
  <c r="AM71" i="4"/>
  <c r="AM73" i="4"/>
  <c r="AM77" i="4"/>
  <c r="AM79" i="4"/>
  <c r="AM81" i="4"/>
  <c r="AM83" i="4"/>
  <c r="AM85" i="4"/>
  <c r="AM87" i="4"/>
  <c r="AM89" i="4"/>
  <c r="AM91" i="4"/>
  <c r="AM93" i="4"/>
  <c r="AM95" i="4"/>
  <c r="AM99" i="4"/>
  <c r="AM101" i="4"/>
  <c r="AM103" i="4"/>
  <c r="AM105" i="4"/>
  <c r="AM109" i="4"/>
  <c r="AM111" i="4"/>
  <c r="AM113" i="4"/>
  <c r="AM117" i="4"/>
  <c r="AM121" i="4"/>
  <c r="AM123" i="4"/>
  <c r="AM125" i="4"/>
  <c r="AM127" i="4"/>
  <c r="AM129" i="4"/>
  <c r="AM131" i="4"/>
  <c r="AM133" i="4"/>
  <c r="AM135" i="4"/>
  <c r="AM137" i="4"/>
  <c r="AM139" i="4"/>
  <c r="AM141" i="4"/>
  <c r="AM143" i="4"/>
  <c r="AM145" i="4"/>
  <c r="AM147" i="4"/>
  <c r="AM149" i="4"/>
  <c r="AM151" i="4"/>
  <c r="AM153" i="4"/>
  <c r="AM155" i="4"/>
  <c r="AM157" i="4"/>
  <c r="AM159" i="4"/>
  <c r="AM161" i="4"/>
  <c r="AM163" i="4"/>
  <c r="AM165" i="4"/>
  <c r="AM167" i="4"/>
  <c r="AM169" i="4"/>
  <c r="AM171" i="4"/>
  <c r="AM173" i="4"/>
  <c r="AM175" i="4"/>
  <c r="AM177" i="4"/>
  <c r="AM179" i="4"/>
  <c r="AM181" i="4"/>
  <c r="AM183" i="4"/>
  <c r="AM185" i="4"/>
  <c r="AM187" i="4"/>
  <c r="AM189" i="4"/>
  <c r="AM191" i="4"/>
  <c r="AM193" i="4"/>
  <c r="AM195" i="4"/>
  <c r="AM197" i="4"/>
  <c r="AM199" i="4"/>
  <c r="AM201" i="4"/>
  <c r="AM203" i="4"/>
  <c r="AM205" i="4"/>
  <c r="AM207" i="4"/>
  <c r="AM209" i="4"/>
  <c r="AM211" i="4"/>
  <c r="AM213" i="4"/>
  <c r="AM215" i="4"/>
  <c r="AM217" i="4"/>
  <c r="AM219" i="4"/>
  <c r="AM221" i="4"/>
  <c r="AM223" i="4"/>
  <c r="AM225" i="4"/>
  <c r="AM227" i="4"/>
  <c r="AM229" i="4"/>
  <c r="AM231" i="4"/>
  <c r="AM233" i="4"/>
  <c r="AM235" i="4"/>
  <c r="AM237" i="4"/>
  <c r="AM239" i="4"/>
  <c r="AM241" i="4"/>
  <c r="AM243" i="4"/>
  <c r="AM245" i="4"/>
  <c r="AM247" i="4"/>
  <c r="AM249" i="4"/>
  <c r="AM251" i="4"/>
  <c r="AM253" i="4"/>
  <c r="AM255" i="4"/>
  <c r="AM257" i="4"/>
  <c r="AM259" i="4"/>
  <c r="AM261" i="4"/>
  <c r="AM263" i="4"/>
  <c r="AM265" i="4"/>
  <c r="AM267" i="4"/>
  <c r="AM269" i="4"/>
  <c r="AM271" i="4"/>
  <c r="AM273" i="4"/>
  <c r="AM275" i="4"/>
  <c r="AM277" i="4"/>
  <c r="AM279" i="4"/>
  <c r="AM281" i="4"/>
  <c r="AM283" i="4"/>
  <c r="AK285" i="4"/>
  <c r="AK289" i="4"/>
  <c r="AK293" i="4"/>
  <c r="AK297" i="4"/>
  <c r="AK301" i="4"/>
  <c r="AK305" i="4"/>
  <c r="AK309" i="4"/>
  <c r="AK313" i="4"/>
  <c r="AK317" i="4"/>
  <c r="AK321" i="4"/>
  <c r="AK325" i="4"/>
  <c r="AK329" i="4"/>
  <c r="AK333" i="4"/>
  <c r="AK337" i="4"/>
  <c r="AK341" i="4"/>
  <c r="AK345" i="4"/>
  <c r="AK349" i="4"/>
  <c r="AK353" i="4"/>
  <c r="AK357" i="4"/>
  <c r="AK361" i="4"/>
  <c r="AK365" i="4"/>
  <c r="AK369" i="4"/>
  <c r="AK373" i="4"/>
  <c r="AK377" i="4"/>
  <c r="AK381" i="4"/>
  <c r="AK385" i="4"/>
  <c r="AK389" i="4"/>
  <c r="AK393" i="4"/>
  <c r="AK397" i="4"/>
  <c r="AK401" i="4"/>
  <c r="AK405" i="4"/>
  <c r="AK409" i="4"/>
  <c r="AK413" i="4"/>
  <c r="AK417" i="4"/>
  <c r="AK421" i="4"/>
  <c r="AK425" i="4"/>
  <c r="AK429" i="4"/>
  <c r="AK433" i="4"/>
  <c r="AK437" i="4"/>
  <c r="AK441" i="4"/>
  <c r="AK445" i="4"/>
  <c r="AK449" i="4"/>
  <c r="AK453" i="4"/>
  <c r="CA8" i="4"/>
  <c r="CA26" i="4"/>
  <c r="CC50" i="4"/>
  <c r="CA90" i="4"/>
  <c r="CA104" i="4"/>
  <c r="CC110" i="4"/>
  <c r="CC132" i="4"/>
  <c r="CA132" i="4"/>
  <c r="AM128" i="4"/>
  <c r="AK126" i="4"/>
  <c r="AK105" i="4"/>
  <c r="AM98" i="4"/>
  <c r="AK92" i="4"/>
  <c r="AM84" i="4"/>
  <c r="AK76" i="4"/>
  <c r="AM62" i="4"/>
  <c r="AK56" i="4"/>
  <c r="AK49" i="4"/>
  <c r="AM46" i="4"/>
  <c r="AM24" i="4"/>
  <c r="AM18" i="4"/>
  <c r="AK14" i="4"/>
  <c r="AK9" i="4"/>
  <c r="AM119" i="4"/>
  <c r="AM115" i="4"/>
  <c r="AM107" i="4"/>
  <c r="AM97" i="4"/>
  <c r="AM75" i="4"/>
  <c r="AM31" i="4"/>
  <c r="AK287" i="4"/>
  <c r="AM287" i="4"/>
  <c r="AK291" i="4"/>
  <c r="AM291" i="4"/>
  <c r="AK295" i="4"/>
  <c r="AM295" i="4"/>
  <c r="AK299" i="4"/>
  <c r="AM299" i="4"/>
  <c r="AK303" i="4"/>
  <c r="AM303" i="4"/>
  <c r="AK307" i="4"/>
  <c r="AM307" i="4"/>
  <c r="AK311" i="4"/>
  <c r="AM311" i="4"/>
  <c r="AK315" i="4"/>
  <c r="AM315" i="4"/>
  <c r="AK319" i="4"/>
  <c r="AM319" i="4"/>
  <c r="AK323" i="4"/>
  <c r="AM323" i="4"/>
  <c r="AK327" i="4"/>
  <c r="AM327" i="4"/>
  <c r="AK331" i="4"/>
  <c r="AM331" i="4"/>
  <c r="AK335" i="4"/>
  <c r="AM335" i="4"/>
  <c r="AK339" i="4"/>
  <c r="AM339" i="4"/>
  <c r="AK343" i="4"/>
  <c r="AM343" i="4"/>
  <c r="AK347" i="4"/>
  <c r="AM347" i="4"/>
  <c r="AK351" i="4"/>
  <c r="AM351" i="4"/>
  <c r="AK355" i="4"/>
  <c r="AM355" i="4"/>
  <c r="AK359" i="4"/>
  <c r="AM359" i="4"/>
  <c r="AK363" i="4"/>
  <c r="AM363" i="4"/>
  <c r="AK367" i="4"/>
  <c r="AM367" i="4"/>
  <c r="AK371" i="4"/>
  <c r="AM371" i="4"/>
  <c r="AK375" i="4"/>
  <c r="AM375" i="4"/>
  <c r="AK379" i="4"/>
  <c r="AM379" i="4"/>
  <c r="AK383" i="4"/>
  <c r="AM383" i="4"/>
  <c r="AK387" i="4"/>
  <c r="AM387" i="4"/>
  <c r="AK391" i="4"/>
  <c r="AM391" i="4"/>
  <c r="AK395" i="4"/>
  <c r="AM395" i="4"/>
  <c r="AK399" i="4"/>
  <c r="AM399" i="4"/>
  <c r="AK403" i="4"/>
  <c r="AM403" i="4"/>
  <c r="AK407" i="4"/>
  <c r="AM407" i="4"/>
  <c r="AK411" i="4"/>
  <c r="AM411" i="4"/>
  <c r="AK415" i="4"/>
  <c r="AM415" i="4"/>
  <c r="AK419" i="4"/>
  <c r="AM419" i="4"/>
  <c r="AK423" i="4"/>
  <c r="AM423" i="4"/>
  <c r="AK427" i="4"/>
  <c r="AM427" i="4"/>
  <c r="AK431" i="4"/>
  <c r="AM431" i="4"/>
  <c r="AK435" i="4"/>
  <c r="AM435" i="4"/>
  <c r="AK439" i="4"/>
  <c r="AM439" i="4"/>
  <c r="AK443" i="4"/>
  <c r="AM443" i="4"/>
  <c r="AK447" i="4"/>
  <c r="AM447" i="4"/>
  <c r="AK451" i="4"/>
  <c r="AM451" i="4"/>
  <c r="AK31" i="4"/>
  <c r="AK35" i="4"/>
  <c r="AK39" i="4"/>
  <c r="AK43" i="4"/>
  <c r="AK47" i="4"/>
  <c r="AK51" i="4"/>
  <c r="AK55" i="4"/>
  <c r="AK59" i="4"/>
  <c r="AK63" i="4"/>
  <c r="AK67" i="4"/>
  <c r="AK71" i="4"/>
  <c r="AK75" i="4"/>
  <c r="AK79" i="4"/>
  <c r="AK83" i="4"/>
  <c r="AK87" i="4"/>
  <c r="AK91" i="4"/>
  <c r="AK95" i="4"/>
  <c r="AK99" i="4"/>
  <c r="AK103" i="4"/>
  <c r="AK107" i="4"/>
  <c r="AK111" i="4"/>
  <c r="AK115" i="4"/>
  <c r="AK119" i="4"/>
  <c r="AK123" i="4"/>
  <c r="AK127" i="4"/>
  <c r="AK131" i="4"/>
  <c r="AK135" i="4"/>
  <c r="AK139" i="4"/>
  <c r="AK143" i="4"/>
  <c r="AK147" i="4"/>
  <c r="AK151" i="4"/>
  <c r="AK155" i="4"/>
  <c r="AK159" i="4"/>
  <c r="AK163" i="4"/>
  <c r="AK167" i="4"/>
  <c r="AK171" i="4"/>
  <c r="AK175" i="4"/>
  <c r="AK179" i="4"/>
  <c r="AK183" i="4"/>
  <c r="AK187" i="4"/>
  <c r="AK191" i="4"/>
  <c r="AK195" i="4"/>
  <c r="AK199" i="4"/>
  <c r="AK203" i="4"/>
  <c r="AK207" i="4"/>
  <c r="AK211" i="4"/>
  <c r="AK215" i="4"/>
  <c r="AK219" i="4"/>
  <c r="AK223" i="4"/>
  <c r="AK227" i="4"/>
  <c r="AK231" i="4"/>
  <c r="AK235" i="4"/>
  <c r="AK239" i="4"/>
  <c r="AK243" i="4"/>
  <c r="AK247" i="4"/>
  <c r="AK251" i="4"/>
  <c r="AK255" i="4"/>
  <c r="AK259" i="4"/>
  <c r="AK263" i="4"/>
  <c r="AK267" i="4"/>
  <c r="AK271" i="4"/>
  <c r="AK275" i="4"/>
  <c r="AK279" i="4"/>
  <c r="AK283" i="4"/>
  <c r="AM289" i="4"/>
  <c r="AM297" i="4"/>
  <c r="AM305" i="4"/>
  <c r="AM313" i="4"/>
  <c r="AM321" i="4"/>
  <c r="AM329" i="4"/>
  <c r="AM337" i="4"/>
  <c r="AM345" i="4"/>
  <c r="AM353" i="4"/>
  <c r="AM361" i="4"/>
  <c r="AM369" i="4"/>
  <c r="AM377" i="4"/>
  <c r="AM385" i="4"/>
  <c r="AM393" i="4"/>
  <c r="AM401" i="4"/>
  <c r="AM409" i="4"/>
  <c r="AM417" i="4"/>
  <c r="AM425" i="4"/>
  <c r="AM433" i="4"/>
  <c r="AM441" i="4"/>
  <c r="AM449" i="4"/>
  <c r="B272" i="48" l="1"/>
  <c r="C272" i="48"/>
  <c r="B273" i="48"/>
  <c r="C273" i="48"/>
  <c r="B274" i="48"/>
  <c r="C274" i="48"/>
  <c r="B275" i="48"/>
  <c r="C275" i="48"/>
  <c r="B276" i="48"/>
  <c r="C276" i="48"/>
  <c r="B277" i="48"/>
  <c r="C277" i="48"/>
  <c r="B278" i="48"/>
  <c r="C278" i="48"/>
  <c r="B279" i="48"/>
  <c r="C279" i="48"/>
  <c r="B280" i="48"/>
  <c r="C280" i="48"/>
  <c r="B281" i="48"/>
  <c r="C281" i="48"/>
  <c r="B282" i="48"/>
  <c r="C282" i="48"/>
  <c r="B283" i="48"/>
  <c r="C283" i="48"/>
  <c r="B284" i="48"/>
  <c r="C284" i="48"/>
  <c r="B285" i="48"/>
  <c r="C285" i="48"/>
  <c r="B286" i="48"/>
  <c r="C286" i="48"/>
  <c r="B287" i="48"/>
  <c r="C287" i="48"/>
  <c r="B288" i="48"/>
  <c r="C288" i="48"/>
  <c r="B289" i="48"/>
  <c r="C289" i="48"/>
  <c r="B290" i="48"/>
  <c r="C290" i="48"/>
  <c r="B291" i="48"/>
  <c r="C291" i="48"/>
  <c r="B292" i="48"/>
  <c r="C292" i="48"/>
  <c r="B293" i="48"/>
  <c r="C293" i="48"/>
  <c r="B294" i="48"/>
  <c r="C294" i="48"/>
  <c r="B295" i="48"/>
  <c r="C295" i="48"/>
  <c r="B296" i="48"/>
  <c r="C296" i="48"/>
  <c r="B297" i="48"/>
  <c r="C297" i="48"/>
  <c r="B298" i="48"/>
  <c r="C298" i="48"/>
  <c r="B299" i="48"/>
  <c r="C299" i="48"/>
  <c r="B300" i="48"/>
  <c r="C300" i="48"/>
  <c r="B301" i="48"/>
  <c r="C301" i="48"/>
  <c r="B302" i="48"/>
  <c r="C302" i="48"/>
  <c r="B303" i="48"/>
  <c r="C303" i="48"/>
  <c r="B304" i="48"/>
  <c r="C304" i="48"/>
  <c r="B305" i="48"/>
  <c r="C305" i="48"/>
  <c r="B306" i="48"/>
  <c r="C306" i="48"/>
  <c r="B307" i="48"/>
  <c r="C307" i="48"/>
  <c r="B308" i="48"/>
  <c r="C308" i="48"/>
  <c r="B309" i="48"/>
  <c r="C309" i="48"/>
  <c r="B310" i="48"/>
  <c r="C310" i="48"/>
  <c r="B311" i="48"/>
  <c r="C311" i="48"/>
  <c r="B312" i="48"/>
  <c r="C312" i="48"/>
  <c r="B313" i="48"/>
  <c r="C313" i="48"/>
  <c r="B314" i="48"/>
  <c r="C314" i="48"/>
  <c r="B315" i="48"/>
  <c r="C315" i="48"/>
  <c r="B316" i="48"/>
  <c r="C316" i="48"/>
  <c r="B317" i="48"/>
  <c r="C317" i="48"/>
  <c r="B318" i="48"/>
  <c r="C318" i="48"/>
  <c r="B319" i="48"/>
  <c r="C319" i="48"/>
  <c r="B320" i="48"/>
  <c r="C320" i="48"/>
  <c r="B321" i="48"/>
  <c r="C321" i="48"/>
  <c r="B322" i="48"/>
  <c r="C322" i="48"/>
  <c r="B323" i="48"/>
  <c r="C323" i="48"/>
  <c r="B324" i="48"/>
  <c r="C324" i="48"/>
  <c r="B325" i="48"/>
  <c r="C325" i="48"/>
  <c r="M17" i="49" l="1"/>
  <c r="Q17" i="49" s="1"/>
  <c r="M18" i="49"/>
  <c r="Q18" i="49" s="1"/>
  <c r="M19" i="49"/>
  <c r="M20" i="49"/>
  <c r="P20" i="49" s="1"/>
  <c r="M21" i="49"/>
  <c r="M22" i="49"/>
  <c r="Q22" i="49" s="1"/>
  <c r="M23" i="49"/>
  <c r="M24" i="49"/>
  <c r="P24" i="49" s="1"/>
  <c r="M25" i="49"/>
  <c r="M26" i="49"/>
  <c r="Q26" i="49" s="1"/>
  <c r="M27" i="49"/>
  <c r="M28" i="49"/>
  <c r="P28" i="49" s="1"/>
  <c r="M29" i="49"/>
  <c r="M30" i="49"/>
  <c r="Q30" i="49" s="1"/>
  <c r="M31" i="49"/>
  <c r="M32" i="49"/>
  <c r="P32" i="49" s="1"/>
  <c r="M33" i="49"/>
  <c r="M34" i="49"/>
  <c r="Q34" i="49" s="1"/>
  <c r="M35" i="49"/>
  <c r="M36" i="49"/>
  <c r="P36" i="49" s="1"/>
  <c r="M37" i="49"/>
  <c r="M38" i="49"/>
  <c r="U38" i="49" s="1"/>
  <c r="M39" i="49"/>
  <c r="M40" i="49"/>
  <c r="N40" i="49" s="1"/>
  <c r="M41" i="49"/>
  <c r="M42" i="49"/>
  <c r="N42" i="49" s="1"/>
  <c r="M43" i="49"/>
  <c r="N43" i="49" s="1"/>
  <c r="M44" i="49"/>
  <c r="N44" i="49" s="1"/>
  <c r="M45" i="49"/>
  <c r="M46" i="49"/>
  <c r="N46" i="49" s="1"/>
  <c r="M47" i="49"/>
  <c r="R47" i="49" s="1"/>
  <c r="M48" i="49"/>
  <c r="N48" i="49" s="1"/>
  <c r="M49" i="49"/>
  <c r="M50" i="49"/>
  <c r="N50" i="49" s="1"/>
  <c r="M51" i="49"/>
  <c r="V51" i="49" s="1"/>
  <c r="M52" i="49"/>
  <c r="N52" i="49" s="1"/>
  <c r="M2" i="49"/>
  <c r="P2" i="49" s="1"/>
  <c r="M3" i="49"/>
  <c r="P3" i="49" s="1"/>
  <c r="M4" i="49"/>
  <c r="P4" i="49" s="1"/>
  <c r="M5" i="49"/>
  <c r="P5" i="49" s="1"/>
  <c r="M6" i="49"/>
  <c r="P6" i="49" s="1"/>
  <c r="M7" i="49"/>
  <c r="P7" i="49" s="1"/>
  <c r="M8" i="49"/>
  <c r="P8" i="49" s="1"/>
  <c r="M9" i="49"/>
  <c r="P9" i="49" s="1"/>
  <c r="M10" i="49"/>
  <c r="P10" i="49" s="1"/>
  <c r="M11" i="49"/>
  <c r="P11" i="49" s="1"/>
  <c r="M12" i="49"/>
  <c r="P12" i="49" s="1"/>
  <c r="M13" i="49"/>
  <c r="P13" i="49" s="1"/>
  <c r="M14" i="49"/>
  <c r="P14" i="49" s="1"/>
  <c r="M15" i="49"/>
  <c r="P15" i="49" s="1"/>
  <c r="M16" i="49"/>
  <c r="P16" i="49" s="1"/>
  <c r="Q52" i="49" l="1"/>
  <c r="T51" i="49"/>
  <c r="S50" i="49"/>
  <c r="T48" i="49"/>
  <c r="O48" i="49"/>
  <c r="S46" i="49"/>
  <c r="T44" i="49"/>
  <c r="O44" i="49"/>
  <c r="U42" i="49"/>
  <c r="U40" i="49"/>
  <c r="P40" i="49"/>
  <c r="U36" i="49"/>
  <c r="U32" i="49"/>
  <c r="U28" i="49"/>
  <c r="U24" i="49"/>
  <c r="U20" i="49"/>
  <c r="U52" i="49"/>
  <c r="P52" i="49"/>
  <c r="R51" i="49"/>
  <c r="Q50" i="49"/>
  <c r="S48" i="49"/>
  <c r="V47" i="49"/>
  <c r="Q46" i="49"/>
  <c r="S44" i="49"/>
  <c r="V43" i="49"/>
  <c r="S42" i="49"/>
  <c r="T40" i="49"/>
  <c r="O40" i="49"/>
  <c r="S36" i="49"/>
  <c r="S32" i="49"/>
  <c r="S28" i="49"/>
  <c r="S24" i="49"/>
  <c r="S20" i="49"/>
  <c r="T52" i="49"/>
  <c r="O52" i="49"/>
  <c r="N51" i="49"/>
  <c r="O50" i="49"/>
  <c r="Q48" i="49"/>
  <c r="O46" i="49"/>
  <c r="Q44" i="49"/>
  <c r="R43" i="49"/>
  <c r="Q42" i="49"/>
  <c r="S40" i="49"/>
  <c r="S38" i="49"/>
  <c r="Q36" i="49"/>
  <c r="Q32" i="49"/>
  <c r="Q28" i="49"/>
  <c r="Q24" i="49"/>
  <c r="Q20" i="49"/>
  <c r="S52" i="49"/>
  <c r="U50" i="49"/>
  <c r="U48" i="49"/>
  <c r="P48" i="49"/>
  <c r="U46" i="49"/>
  <c r="U44" i="49"/>
  <c r="P44" i="49"/>
  <c r="O42" i="49"/>
  <c r="Q40" i="49"/>
  <c r="O38" i="49"/>
  <c r="O36" i="49"/>
  <c r="O32" i="49"/>
  <c r="O28" i="49"/>
  <c r="O24" i="49"/>
  <c r="O20" i="49"/>
  <c r="R49" i="49"/>
  <c r="O49" i="49"/>
  <c r="S49" i="49"/>
  <c r="Q49" i="49"/>
  <c r="U49" i="49"/>
  <c r="N49" i="49"/>
  <c r="V49" i="49"/>
  <c r="R45" i="49"/>
  <c r="O45" i="49"/>
  <c r="S45" i="49"/>
  <c r="Q45" i="49"/>
  <c r="U45" i="49"/>
  <c r="N45" i="49"/>
  <c r="V45" i="49"/>
  <c r="N37" i="49"/>
  <c r="R37" i="49"/>
  <c r="V37" i="49"/>
  <c r="O37" i="49"/>
  <c r="S37" i="49"/>
  <c r="P37" i="49"/>
  <c r="T37" i="49"/>
  <c r="Q37" i="49"/>
  <c r="U37" i="49"/>
  <c r="R33" i="49"/>
  <c r="V33" i="49"/>
  <c r="O33" i="49"/>
  <c r="S33" i="49"/>
  <c r="P33" i="49"/>
  <c r="T33" i="49"/>
  <c r="Q33" i="49"/>
  <c r="U33" i="49"/>
  <c r="N33" i="49"/>
  <c r="N29" i="49"/>
  <c r="R29" i="49"/>
  <c r="V29" i="49"/>
  <c r="O29" i="49"/>
  <c r="S29" i="49"/>
  <c r="P29" i="49"/>
  <c r="T29" i="49"/>
  <c r="Q29" i="49"/>
  <c r="U29" i="49"/>
  <c r="N25" i="49"/>
  <c r="R25" i="49"/>
  <c r="V25" i="49"/>
  <c r="O25" i="49"/>
  <c r="S25" i="49"/>
  <c r="P25" i="49"/>
  <c r="T25" i="49"/>
  <c r="Q25" i="49"/>
  <c r="U25" i="49"/>
  <c r="P49" i="49"/>
  <c r="Q51" i="49"/>
  <c r="U51" i="49"/>
  <c r="O51" i="49"/>
  <c r="S51" i="49"/>
  <c r="P47" i="49"/>
  <c r="Q47" i="49"/>
  <c r="U47" i="49"/>
  <c r="O47" i="49"/>
  <c r="S47" i="49"/>
  <c r="T47" i="49"/>
  <c r="T43" i="49"/>
  <c r="Q43" i="49"/>
  <c r="U43" i="49"/>
  <c r="O43" i="49"/>
  <c r="S43" i="49"/>
  <c r="P43" i="49"/>
  <c r="T39" i="49"/>
  <c r="Q39" i="49"/>
  <c r="U39" i="49"/>
  <c r="N39" i="49"/>
  <c r="R39" i="49"/>
  <c r="V39" i="49"/>
  <c r="O39" i="49"/>
  <c r="S39" i="49"/>
  <c r="P39" i="49"/>
  <c r="P35" i="49"/>
  <c r="T35" i="49"/>
  <c r="Q35" i="49"/>
  <c r="U35" i="49"/>
  <c r="N35" i="49"/>
  <c r="R35" i="49"/>
  <c r="V35" i="49"/>
  <c r="O35" i="49"/>
  <c r="S35" i="49"/>
  <c r="P31" i="49"/>
  <c r="T31" i="49"/>
  <c r="Q31" i="49"/>
  <c r="U31" i="49"/>
  <c r="N31" i="49"/>
  <c r="R31" i="49"/>
  <c r="V31" i="49"/>
  <c r="O31" i="49"/>
  <c r="S31" i="49"/>
  <c r="P27" i="49"/>
  <c r="T27" i="49"/>
  <c r="Q27" i="49"/>
  <c r="U27" i="49"/>
  <c r="N27" i="49"/>
  <c r="R27" i="49"/>
  <c r="V27" i="49"/>
  <c r="O27" i="49"/>
  <c r="S27" i="49"/>
  <c r="P23" i="49"/>
  <c r="T23" i="49"/>
  <c r="Q23" i="49"/>
  <c r="U23" i="49"/>
  <c r="N23" i="49"/>
  <c r="R23" i="49"/>
  <c r="V23" i="49"/>
  <c r="O23" i="49"/>
  <c r="S23" i="49"/>
  <c r="Q19" i="49"/>
  <c r="O19" i="49"/>
  <c r="P19" i="49"/>
  <c r="S19" i="49"/>
  <c r="P51" i="49"/>
  <c r="N47" i="49"/>
  <c r="T45" i="49"/>
  <c r="N41" i="49"/>
  <c r="V41" i="49"/>
  <c r="O41" i="49"/>
  <c r="S41" i="49"/>
  <c r="P41" i="49"/>
  <c r="T41" i="49"/>
  <c r="Q41" i="49"/>
  <c r="U41" i="49"/>
  <c r="R41" i="49"/>
  <c r="N21" i="49"/>
  <c r="R21" i="49"/>
  <c r="V21" i="49"/>
  <c r="O21" i="49"/>
  <c r="S21" i="49"/>
  <c r="P21" i="49"/>
  <c r="T21" i="49"/>
  <c r="Q21" i="49"/>
  <c r="U21" i="49"/>
  <c r="T49" i="49"/>
  <c r="P45" i="49"/>
  <c r="Q38" i="49"/>
  <c r="V52" i="49"/>
  <c r="R52" i="49"/>
  <c r="T50" i="49"/>
  <c r="P50" i="49"/>
  <c r="V48" i="49"/>
  <c r="R48" i="49"/>
  <c r="T46" i="49"/>
  <c r="P46" i="49"/>
  <c r="V44" i="49"/>
  <c r="R44" i="49"/>
  <c r="T42" i="49"/>
  <c r="P42" i="49"/>
  <c r="V40" i="49"/>
  <c r="R40" i="49"/>
  <c r="T38" i="49"/>
  <c r="P38" i="49"/>
  <c r="V36" i="49"/>
  <c r="R36" i="49"/>
  <c r="N36" i="49"/>
  <c r="T34" i="49"/>
  <c r="P34" i="49"/>
  <c r="V32" i="49"/>
  <c r="R32" i="49"/>
  <c r="N32" i="49"/>
  <c r="T30" i="49"/>
  <c r="P30" i="49"/>
  <c r="V28" i="49"/>
  <c r="R28" i="49"/>
  <c r="N28" i="49"/>
  <c r="T26" i="49"/>
  <c r="P26" i="49"/>
  <c r="V24" i="49"/>
  <c r="R24" i="49"/>
  <c r="N24" i="49"/>
  <c r="T22" i="49"/>
  <c r="P22" i="49"/>
  <c r="V20" i="49"/>
  <c r="R20" i="49"/>
  <c r="N20" i="49"/>
  <c r="S34" i="49"/>
  <c r="O34" i="49"/>
  <c r="S30" i="49"/>
  <c r="O30" i="49"/>
  <c r="S26" i="49"/>
  <c r="O26" i="49"/>
  <c r="S22" i="49"/>
  <c r="O22" i="49"/>
  <c r="V50" i="49"/>
  <c r="R50" i="49"/>
  <c r="V46" i="49"/>
  <c r="R46" i="49"/>
  <c r="V42" i="49"/>
  <c r="R42" i="49"/>
  <c r="V38" i="49"/>
  <c r="R38" i="49"/>
  <c r="N38" i="49"/>
  <c r="T36" i="49"/>
  <c r="V34" i="49"/>
  <c r="R34" i="49"/>
  <c r="N34" i="49"/>
  <c r="T32" i="49"/>
  <c r="V30" i="49"/>
  <c r="R30" i="49"/>
  <c r="N30" i="49"/>
  <c r="T28" i="49"/>
  <c r="V26" i="49"/>
  <c r="R26" i="49"/>
  <c r="N26" i="49"/>
  <c r="T24" i="49"/>
  <c r="V22" i="49"/>
  <c r="R22" i="49"/>
  <c r="N22" i="49"/>
  <c r="T20" i="49"/>
  <c r="U34" i="49"/>
  <c r="U30" i="49"/>
  <c r="U26" i="49"/>
  <c r="U22" i="49"/>
  <c r="T17" i="49"/>
  <c r="S17" i="49"/>
  <c r="P17" i="49"/>
  <c r="O17" i="49"/>
  <c r="T18" i="49"/>
  <c r="S18" i="49"/>
  <c r="P18" i="49"/>
  <c r="O18" i="49"/>
  <c r="T19" i="49"/>
  <c r="V19" i="49"/>
  <c r="R19" i="49"/>
  <c r="N19" i="49"/>
  <c r="U19" i="49"/>
  <c r="V18" i="49"/>
  <c r="R18" i="49"/>
  <c r="N18" i="49"/>
  <c r="U18" i="49"/>
  <c r="V17" i="49"/>
  <c r="R17" i="49"/>
  <c r="N17" i="49"/>
  <c r="U17" i="49"/>
  <c r="N15" i="49"/>
  <c r="N11" i="49"/>
  <c r="N7" i="49"/>
  <c r="N3" i="49"/>
  <c r="S16" i="49"/>
  <c r="O16" i="49"/>
  <c r="S15" i="49"/>
  <c r="O15" i="49"/>
  <c r="S14" i="49"/>
  <c r="O14" i="49"/>
  <c r="S13" i="49"/>
  <c r="O13" i="49"/>
  <c r="S12" i="49"/>
  <c r="O12" i="49"/>
  <c r="S11" i="49"/>
  <c r="O11" i="49"/>
  <c r="S10" i="49"/>
  <c r="O10" i="49"/>
  <c r="S9" i="49"/>
  <c r="O9" i="49"/>
  <c r="S8" i="49"/>
  <c r="O8" i="49"/>
  <c r="S7" i="49"/>
  <c r="O7" i="49"/>
  <c r="S6" i="49"/>
  <c r="O6" i="49"/>
  <c r="S5" i="49"/>
  <c r="O5" i="49"/>
  <c r="S4" i="49"/>
  <c r="O4" i="49"/>
  <c r="S3" i="49"/>
  <c r="O3" i="49"/>
  <c r="S2" i="49"/>
  <c r="O2" i="49"/>
  <c r="N14" i="49"/>
  <c r="N10" i="49"/>
  <c r="N6" i="49"/>
  <c r="V16" i="49"/>
  <c r="R16" i="49"/>
  <c r="V15" i="49"/>
  <c r="R15" i="49"/>
  <c r="V14" i="49"/>
  <c r="R14" i="49"/>
  <c r="V13" i="49"/>
  <c r="R13" i="49"/>
  <c r="V12" i="49"/>
  <c r="R12" i="49"/>
  <c r="V11" i="49"/>
  <c r="R11" i="49"/>
  <c r="V10" i="49"/>
  <c r="R10" i="49"/>
  <c r="V9" i="49"/>
  <c r="R9" i="49"/>
  <c r="V8" i="49"/>
  <c r="R8" i="49"/>
  <c r="V7" i="49"/>
  <c r="R7" i="49"/>
  <c r="V6" i="49"/>
  <c r="R6" i="49"/>
  <c r="V5" i="49"/>
  <c r="R5" i="49"/>
  <c r="V4" i="49"/>
  <c r="R4" i="49"/>
  <c r="V3" i="49"/>
  <c r="R3" i="49"/>
  <c r="V2" i="49"/>
  <c r="R2" i="49"/>
  <c r="N2" i="49"/>
  <c r="N13" i="49"/>
  <c r="N9" i="49"/>
  <c r="N5" i="49"/>
  <c r="U16" i="49"/>
  <c r="Q16" i="49"/>
  <c r="U15" i="49"/>
  <c r="Q15" i="49"/>
  <c r="U14" i="49"/>
  <c r="Q14" i="49"/>
  <c r="U13" i="49"/>
  <c r="Q13" i="49"/>
  <c r="U12" i="49"/>
  <c r="Q12" i="49"/>
  <c r="U11" i="49"/>
  <c r="Q11" i="49"/>
  <c r="U10" i="49"/>
  <c r="Q10" i="49"/>
  <c r="U9" i="49"/>
  <c r="Q9" i="49"/>
  <c r="U8" i="49"/>
  <c r="Q8" i="49"/>
  <c r="U7" i="49"/>
  <c r="Q7" i="49"/>
  <c r="U6" i="49"/>
  <c r="Q6" i="49"/>
  <c r="U5" i="49"/>
  <c r="Q5" i="49"/>
  <c r="U4" i="49"/>
  <c r="Q4" i="49"/>
  <c r="U3" i="49"/>
  <c r="Q3" i="49"/>
  <c r="U2" i="49"/>
  <c r="Q2" i="49"/>
  <c r="N16" i="49"/>
  <c r="N12" i="49"/>
  <c r="N8" i="49"/>
  <c r="N4" i="49"/>
  <c r="T16" i="49"/>
  <c r="T15" i="49"/>
  <c r="T14" i="49"/>
  <c r="T13" i="49"/>
  <c r="T12" i="49"/>
  <c r="T11" i="49"/>
  <c r="T10" i="49"/>
  <c r="T9" i="49"/>
  <c r="T8" i="49"/>
  <c r="T7" i="49"/>
  <c r="T6" i="49"/>
  <c r="T5" i="49"/>
  <c r="T4" i="49"/>
  <c r="T3" i="49"/>
  <c r="T2" i="49"/>
  <c r="G23" i="39" l="1"/>
  <c r="F23" i="39"/>
  <c r="G182" i="39" l="1"/>
  <c r="F207" i="39"/>
  <c r="G187" i="39"/>
  <c r="F187" i="39"/>
  <c r="G186" i="39"/>
  <c r="F186" i="39"/>
  <c r="G185" i="39"/>
  <c r="F185" i="39"/>
  <c r="G184" i="39"/>
  <c r="F184" i="39"/>
  <c r="G183" i="39"/>
  <c r="F183" i="39"/>
  <c r="F182" i="39"/>
  <c r="G181" i="39"/>
  <c r="F181" i="39"/>
  <c r="G180" i="39"/>
  <c r="F180" i="39"/>
  <c r="G179" i="39"/>
  <c r="F179" i="39"/>
  <c r="G176" i="39"/>
  <c r="F176" i="39"/>
  <c r="G175" i="39"/>
  <c r="F175" i="39"/>
  <c r="G174" i="39"/>
  <c r="F174" i="39"/>
  <c r="G173" i="39"/>
  <c r="F173" i="39"/>
  <c r="G172" i="39"/>
  <c r="F172" i="39"/>
  <c r="G171" i="39"/>
  <c r="F171" i="39"/>
  <c r="G170" i="39"/>
  <c r="F170" i="39"/>
  <c r="G169" i="39"/>
  <c r="F169" i="39"/>
  <c r="G168" i="39"/>
  <c r="F168" i="39"/>
  <c r="F5" i="41" l="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4" i="41"/>
  <c r="G550" i="39"/>
  <c r="F550" i="39"/>
  <c r="G549" i="39"/>
  <c r="F549" i="39"/>
  <c r="G548" i="39"/>
  <c r="F548" i="39"/>
  <c r="G547" i="39"/>
  <c r="F547" i="39"/>
  <c r="G546" i="39"/>
  <c r="F546" i="39"/>
  <c r="G545" i="39"/>
  <c r="F545" i="39"/>
  <c r="G544" i="39"/>
  <c r="F544" i="39"/>
  <c r="G543" i="39"/>
  <c r="F543" i="39"/>
  <c r="G542" i="39"/>
  <c r="F542" i="39"/>
  <c r="J543" i="39" l="1"/>
  <c r="J159" i="39"/>
  <c r="J147" i="39"/>
  <c r="J154" i="39"/>
  <c r="J150" i="39"/>
  <c r="J157" i="39"/>
  <c r="J162" i="39"/>
  <c r="J158" i="39"/>
  <c r="J550" i="39"/>
  <c r="J546" i="39"/>
  <c r="J153" i="39"/>
  <c r="J149" i="39"/>
  <c r="J165" i="39"/>
  <c r="J161" i="39"/>
  <c r="J549" i="39"/>
  <c r="J545" i="39"/>
  <c r="J152" i="39"/>
  <c r="J148" i="39"/>
  <c r="J164" i="39"/>
  <c r="J160" i="39"/>
  <c r="J548" i="39"/>
  <c r="J544" i="39"/>
  <c r="J146" i="39"/>
  <c r="J151" i="39"/>
  <c r="J163" i="39"/>
  <c r="J542" i="39"/>
  <c r="J547" i="39"/>
  <c r="G45" i="41" l="1"/>
  <c r="H45" i="41"/>
  <c r="I45" i="41"/>
  <c r="J45" i="41"/>
  <c r="K45" i="41"/>
  <c r="L45" i="41"/>
  <c r="M45" i="41"/>
  <c r="N45" i="41"/>
  <c r="O45" i="41"/>
  <c r="G46" i="41"/>
  <c r="H46" i="41"/>
  <c r="I46" i="41"/>
  <c r="J46" i="41"/>
  <c r="K46" i="41"/>
  <c r="L46" i="41"/>
  <c r="M46" i="41"/>
  <c r="N46" i="41"/>
  <c r="O46" i="41"/>
  <c r="G47" i="41"/>
  <c r="H47" i="41"/>
  <c r="I47" i="41"/>
  <c r="J47" i="41"/>
  <c r="K47" i="41"/>
  <c r="L47" i="41"/>
  <c r="M47" i="41"/>
  <c r="N47" i="41"/>
  <c r="O47" i="41"/>
  <c r="G48" i="41"/>
  <c r="H48" i="41"/>
  <c r="I48" i="41"/>
  <c r="J48" i="41"/>
  <c r="K48" i="41"/>
  <c r="L48" i="41"/>
  <c r="M48" i="41"/>
  <c r="N48" i="41"/>
  <c r="O48" i="41"/>
  <c r="G49" i="41"/>
  <c r="H49" i="41"/>
  <c r="I49" i="41"/>
  <c r="J49" i="41"/>
  <c r="K49" i="41"/>
  <c r="L49" i="41"/>
  <c r="M49" i="41"/>
  <c r="N49" i="41"/>
  <c r="O49" i="41"/>
  <c r="G50" i="41"/>
  <c r="H50" i="41"/>
  <c r="I50" i="41"/>
  <c r="J50" i="41"/>
  <c r="K50" i="41"/>
  <c r="L50" i="41"/>
  <c r="M50" i="41"/>
  <c r="N50" i="41"/>
  <c r="O50" i="41"/>
  <c r="G51" i="41"/>
  <c r="H51" i="41"/>
  <c r="I51" i="41"/>
  <c r="J51" i="41"/>
  <c r="K51" i="41"/>
  <c r="L51" i="41"/>
  <c r="M51" i="41"/>
  <c r="N51" i="41"/>
  <c r="O51" i="41"/>
  <c r="G52" i="41"/>
  <c r="H52" i="41"/>
  <c r="I52" i="41"/>
  <c r="J52" i="41"/>
  <c r="K52" i="41"/>
  <c r="L52" i="41"/>
  <c r="M52" i="41"/>
  <c r="N52" i="41"/>
  <c r="O52" i="41"/>
  <c r="G53" i="41"/>
  <c r="H53" i="41"/>
  <c r="I53" i="41"/>
  <c r="J53" i="41"/>
  <c r="K53" i="41"/>
  <c r="L53" i="41"/>
  <c r="M53" i="41"/>
  <c r="N53" i="41"/>
  <c r="O53" i="41"/>
  <c r="G258" i="39" l="1"/>
  <c r="J168" i="39"/>
  <c r="J170" i="39"/>
  <c r="J172" i="39"/>
  <c r="J174" i="39"/>
  <c r="J176" i="39"/>
  <c r="J179" i="39"/>
  <c r="J180" i="39"/>
  <c r="J181" i="39"/>
  <c r="J182" i="39"/>
  <c r="J183" i="39"/>
  <c r="J185" i="39"/>
  <c r="J186" i="39"/>
  <c r="J187" i="39"/>
  <c r="F190" i="39"/>
  <c r="G190" i="39"/>
  <c r="F191" i="39"/>
  <c r="G191" i="39"/>
  <c r="F192" i="39"/>
  <c r="G192" i="39"/>
  <c r="F193" i="39"/>
  <c r="G193" i="39"/>
  <c r="F194" i="39"/>
  <c r="G194" i="39"/>
  <c r="F195" i="39"/>
  <c r="G195" i="39"/>
  <c r="F196" i="39"/>
  <c r="G196" i="39"/>
  <c r="F197" i="39"/>
  <c r="G197" i="39"/>
  <c r="F198" i="39"/>
  <c r="G198" i="39"/>
  <c r="F201" i="39"/>
  <c r="G201" i="39"/>
  <c r="F202" i="39"/>
  <c r="G202" i="39"/>
  <c r="F203" i="39"/>
  <c r="G203" i="39"/>
  <c r="F204" i="39"/>
  <c r="G204" i="39"/>
  <c r="F205" i="39"/>
  <c r="G205" i="39"/>
  <c r="F206" i="39"/>
  <c r="G206" i="39"/>
  <c r="G207" i="39"/>
  <c r="F208" i="39"/>
  <c r="G208" i="39"/>
  <c r="F209" i="39"/>
  <c r="G209" i="39"/>
  <c r="F212" i="39"/>
  <c r="G212" i="39"/>
  <c r="F213" i="39"/>
  <c r="G213" i="39"/>
  <c r="F214" i="39"/>
  <c r="G214" i="39"/>
  <c r="F215" i="39"/>
  <c r="G215" i="39"/>
  <c r="F216" i="39"/>
  <c r="G216" i="39"/>
  <c r="F217" i="39"/>
  <c r="G217" i="39"/>
  <c r="F218" i="39"/>
  <c r="G218" i="39"/>
  <c r="F219" i="39"/>
  <c r="G219" i="39"/>
  <c r="F220" i="39"/>
  <c r="G220" i="39"/>
  <c r="F223" i="39"/>
  <c r="G223" i="39"/>
  <c r="F224" i="39"/>
  <c r="G224" i="39"/>
  <c r="F225" i="39"/>
  <c r="G225" i="39"/>
  <c r="F226" i="39"/>
  <c r="G226" i="39"/>
  <c r="F227" i="39"/>
  <c r="G227" i="39"/>
  <c r="F228" i="39"/>
  <c r="G228" i="39"/>
  <c r="F229" i="39"/>
  <c r="G229" i="39"/>
  <c r="F230" i="39"/>
  <c r="G230" i="39"/>
  <c r="F231" i="39"/>
  <c r="G231" i="39"/>
  <c r="F234" i="39"/>
  <c r="G234" i="39"/>
  <c r="F235" i="39"/>
  <c r="G235" i="39"/>
  <c r="F236" i="39"/>
  <c r="G236" i="39"/>
  <c r="F237" i="39"/>
  <c r="G237" i="39"/>
  <c r="F238" i="39"/>
  <c r="G238" i="39"/>
  <c r="F239" i="39"/>
  <c r="G239" i="39"/>
  <c r="F240" i="39"/>
  <c r="G240" i="39"/>
  <c r="F241" i="39"/>
  <c r="G241" i="39"/>
  <c r="F242" i="39"/>
  <c r="G242" i="39"/>
  <c r="F245" i="39"/>
  <c r="G245" i="39"/>
  <c r="F246" i="39"/>
  <c r="G246" i="39"/>
  <c r="F247" i="39"/>
  <c r="G247" i="39"/>
  <c r="F248" i="39"/>
  <c r="G248" i="39"/>
  <c r="F249" i="39"/>
  <c r="G249" i="39"/>
  <c r="F250" i="39"/>
  <c r="G250" i="39"/>
  <c r="F251" i="39"/>
  <c r="G251" i="39"/>
  <c r="F252" i="39"/>
  <c r="G252" i="39"/>
  <c r="F253" i="39"/>
  <c r="G253" i="39"/>
  <c r="F256" i="39"/>
  <c r="G256" i="39"/>
  <c r="F257" i="39"/>
  <c r="G257" i="39"/>
  <c r="F258" i="39"/>
  <c r="F259" i="39"/>
  <c r="G259" i="39"/>
  <c r="F260" i="39"/>
  <c r="G260" i="39"/>
  <c r="F261" i="39"/>
  <c r="G261" i="39"/>
  <c r="F262" i="39"/>
  <c r="G262" i="39"/>
  <c r="F263" i="39"/>
  <c r="G263" i="39"/>
  <c r="F264" i="39"/>
  <c r="G264" i="39"/>
  <c r="F267" i="39"/>
  <c r="G267" i="39"/>
  <c r="F268" i="39"/>
  <c r="G268" i="39"/>
  <c r="F269" i="39"/>
  <c r="G269" i="39"/>
  <c r="F270" i="39"/>
  <c r="G270" i="39"/>
  <c r="F271" i="39"/>
  <c r="G271" i="39"/>
  <c r="F272" i="39"/>
  <c r="G272" i="39"/>
  <c r="F273" i="39"/>
  <c r="G273" i="39"/>
  <c r="F274" i="39"/>
  <c r="G274" i="39"/>
  <c r="F275" i="39"/>
  <c r="G275" i="39"/>
  <c r="F278" i="39"/>
  <c r="G278" i="39"/>
  <c r="F279" i="39"/>
  <c r="G279" i="39"/>
  <c r="F280" i="39"/>
  <c r="G280" i="39"/>
  <c r="F281" i="39"/>
  <c r="G281" i="39"/>
  <c r="F282" i="39"/>
  <c r="G282" i="39"/>
  <c r="F283" i="39"/>
  <c r="G283" i="39"/>
  <c r="F284" i="39"/>
  <c r="G284" i="39"/>
  <c r="F285" i="39"/>
  <c r="G285" i="39"/>
  <c r="F286" i="39"/>
  <c r="G286" i="39"/>
  <c r="F289" i="39"/>
  <c r="G289" i="39"/>
  <c r="F290" i="39"/>
  <c r="G290" i="39"/>
  <c r="F291" i="39"/>
  <c r="G291" i="39"/>
  <c r="F292" i="39"/>
  <c r="G292" i="39"/>
  <c r="F293" i="39"/>
  <c r="G293" i="39"/>
  <c r="F294" i="39"/>
  <c r="G294" i="39"/>
  <c r="F295" i="39"/>
  <c r="G295" i="39"/>
  <c r="F296" i="39"/>
  <c r="G296" i="39"/>
  <c r="F297" i="39"/>
  <c r="G297" i="39"/>
  <c r="F300" i="39"/>
  <c r="G300" i="39"/>
  <c r="F301" i="39"/>
  <c r="G301" i="39"/>
  <c r="F302" i="39"/>
  <c r="G302" i="39"/>
  <c r="F303" i="39"/>
  <c r="G303" i="39"/>
  <c r="F304" i="39"/>
  <c r="G304" i="39"/>
  <c r="F305" i="39"/>
  <c r="G305" i="39"/>
  <c r="F306" i="39"/>
  <c r="G306" i="39"/>
  <c r="F307" i="39"/>
  <c r="G307" i="39"/>
  <c r="F308" i="39"/>
  <c r="G308" i="39"/>
  <c r="F311" i="39"/>
  <c r="G311" i="39"/>
  <c r="F312" i="39"/>
  <c r="G312" i="39"/>
  <c r="F313" i="39"/>
  <c r="G313" i="39"/>
  <c r="F314" i="39"/>
  <c r="G314" i="39"/>
  <c r="F315" i="39"/>
  <c r="G315" i="39"/>
  <c r="F316" i="39"/>
  <c r="G316" i="39"/>
  <c r="F317" i="39"/>
  <c r="G317" i="39"/>
  <c r="F318" i="39"/>
  <c r="G318" i="39"/>
  <c r="F319" i="39"/>
  <c r="G319" i="39"/>
  <c r="F322" i="39"/>
  <c r="G322" i="39"/>
  <c r="F323" i="39"/>
  <c r="G323" i="39"/>
  <c r="F324" i="39"/>
  <c r="G324" i="39"/>
  <c r="F325" i="39"/>
  <c r="G325" i="39"/>
  <c r="F326" i="39"/>
  <c r="G326" i="39"/>
  <c r="F327" i="39"/>
  <c r="G327" i="39"/>
  <c r="F328" i="39"/>
  <c r="G328" i="39"/>
  <c r="F329" i="39"/>
  <c r="G329" i="39"/>
  <c r="F330" i="39"/>
  <c r="G330" i="39"/>
  <c r="F333" i="39"/>
  <c r="G333" i="39"/>
  <c r="F334" i="39"/>
  <c r="G334" i="39"/>
  <c r="F335" i="39"/>
  <c r="G335" i="39"/>
  <c r="F336" i="39"/>
  <c r="G336" i="39"/>
  <c r="F337" i="39"/>
  <c r="G337" i="39"/>
  <c r="F338" i="39"/>
  <c r="G338" i="39"/>
  <c r="F339" i="39"/>
  <c r="G339" i="39"/>
  <c r="F340" i="39"/>
  <c r="G340" i="39"/>
  <c r="F341" i="39"/>
  <c r="G341" i="39"/>
  <c r="F344" i="39"/>
  <c r="G344" i="39"/>
  <c r="F345" i="39"/>
  <c r="G345" i="39"/>
  <c r="F346" i="39"/>
  <c r="G346" i="39"/>
  <c r="F347" i="39"/>
  <c r="G347" i="39"/>
  <c r="F348" i="39"/>
  <c r="G348" i="39"/>
  <c r="F349" i="39"/>
  <c r="G349" i="39"/>
  <c r="F350" i="39"/>
  <c r="G350" i="39"/>
  <c r="F351" i="39"/>
  <c r="G351" i="39"/>
  <c r="F352" i="39"/>
  <c r="G352" i="39"/>
  <c r="F355" i="39"/>
  <c r="G355" i="39"/>
  <c r="F356" i="39"/>
  <c r="G356" i="39"/>
  <c r="F357" i="39"/>
  <c r="G357" i="39"/>
  <c r="F358" i="39"/>
  <c r="G358" i="39"/>
  <c r="F359" i="39"/>
  <c r="G359" i="39"/>
  <c r="F360" i="39"/>
  <c r="G360" i="39"/>
  <c r="F361" i="39"/>
  <c r="G361" i="39"/>
  <c r="F362" i="39"/>
  <c r="G362" i="39"/>
  <c r="F363" i="39"/>
  <c r="G363" i="39"/>
  <c r="F366" i="39"/>
  <c r="G366" i="39"/>
  <c r="F367" i="39"/>
  <c r="G367" i="39"/>
  <c r="F368" i="39"/>
  <c r="G368" i="39"/>
  <c r="F369" i="39"/>
  <c r="G369" i="39"/>
  <c r="F370" i="39"/>
  <c r="G370" i="39"/>
  <c r="F371" i="39"/>
  <c r="G371" i="39"/>
  <c r="F372" i="39"/>
  <c r="G372" i="39"/>
  <c r="F373" i="39"/>
  <c r="G373" i="39"/>
  <c r="F374" i="39"/>
  <c r="G374" i="39"/>
  <c r="F377" i="39"/>
  <c r="G377" i="39"/>
  <c r="F378" i="39"/>
  <c r="G378" i="39"/>
  <c r="F379" i="39"/>
  <c r="G379" i="39"/>
  <c r="F380" i="39"/>
  <c r="G380" i="39"/>
  <c r="F381" i="39"/>
  <c r="G381" i="39"/>
  <c r="F382" i="39"/>
  <c r="G382" i="39"/>
  <c r="F383" i="39"/>
  <c r="G383" i="39"/>
  <c r="F384" i="39"/>
  <c r="G384" i="39"/>
  <c r="F385" i="39"/>
  <c r="G385" i="39"/>
  <c r="F388" i="39"/>
  <c r="G388" i="39"/>
  <c r="F389" i="39"/>
  <c r="G389" i="39"/>
  <c r="F390" i="39"/>
  <c r="G390" i="39"/>
  <c r="F391" i="39"/>
  <c r="G391" i="39"/>
  <c r="F392" i="39"/>
  <c r="G392" i="39"/>
  <c r="F393" i="39"/>
  <c r="G393" i="39"/>
  <c r="F394" i="39"/>
  <c r="G394" i="39"/>
  <c r="F395" i="39"/>
  <c r="G395" i="39"/>
  <c r="F396" i="39"/>
  <c r="G396" i="39"/>
  <c r="F399" i="39"/>
  <c r="G399" i="39"/>
  <c r="F400" i="39"/>
  <c r="G400" i="39"/>
  <c r="F401" i="39"/>
  <c r="G401" i="39"/>
  <c r="F402" i="39"/>
  <c r="G402" i="39"/>
  <c r="F403" i="39"/>
  <c r="G403" i="39"/>
  <c r="F404" i="39"/>
  <c r="G404" i="39"/>
  <c r="F405" i="39"/>
  <c r="G405" i="39"/>
  <c r="F406" i="39"/>
  <c r="G406" i="39"/>
  <c r="F407" i="39"/>
  <c r="G407" i="39"/>
  <c r="F410" i="39"/>
  <c r="G410" i="39"/>
  <c r="F411" i="39"/>
  <c r="G411" i="39"/>
  <c r="F412" i="39"/>
  <c r="G412" i="39"/>
  <c r="F413" i="39"/>
  <c r="G413" i="39"/>
  <c r="F414" i="39"/>
  <c r="G414" i="39"/>
  <c r="F415" i="39"/>
  <c r="G415" i="39"/>
  <c r="F416" i="39"/>
  <c r="G416" i="39"/>
  <c r="F417" i="39"/>
  <c r="G417" i="39"/>
  <c r="F418" i="39"/>
  <c r="G418" i="39"/>
  <c r="F421" i="39"/>
  <c r="G421" i="39"/>
  <c r="F422" i="39"/>
  <c r="G422" i="39"/>
  <c r="F423" i="39"/>
  <c r="G423" i="39"/>
  <c r="F424" i="39"/>
  <c r="G424" i="39"/>
  <c r="F425" i="39"/>
  <c r="G425" i="39"/>
  <c r="F426" i="39"/>
  <c r="G426" i="39"/>
  <c r="F427" i="39"/>
  <c r="G427" i="39"/>
  <c r="F428" i="39"/>
  <c r="G428" i="39"/>
  <c r="F429" i="39"/>
  <c r="G429" i="39"/>
  <c r="F432" i="39"/>
  <c r="G432" i="39"/>
  <c r="F433" i="39"/>
  <c r="G433" i="39"/>
  <c r="F434" i="39"/>
  <c r="G434" i="39"/>
  <c r="F435" i="39"/>
  <c r="G435" i="39"/>
  <c r="F436" i="39"/>
  <c r="G436" i="39"/>
  <c r="F437" i="39"/>
  <c r="G437" i="39"/>
  <c r="F438" i="39"/>
  <c r="G438" i="39"/>
  <c r="F439" i="39"/>
  <c r="G439" i="39"/>
  <c r="F440" i="39"/>
  <c r="G440" i="39"/>
  <c r="F443" i="39"/>
  <c r="G443" i="39"/>
  <c r="F444" i="39"/>
  <c r="G444" i="39"/>
  <c r="F445" i="39"/>
  <c r="G445" i="39"/>
  <c r="F446" i="39"/>
  <c r="G446" i="39"/>
  <c r="F447" i="39"/>
  <c r="G447" i="39"/>
  <c r="F448" i="39"/>
  <c r="G448" i="39"/>
  <c r="F449" i="39"/>
  <c r="G449" i="39"/>
  <c r="F450" i="39"/>
  <c r="G450" i="39"/>
  <c r="F451" i="39"/>
  <c r="G451" i="39"/>
  <c r="F454" i="39"/>
  <c r="G454" i="39"/>
  <c r="F455" i="39"/>
  <c r="G455" i="39"/>
  <c r="F456" i="39"/>
  <c r="G456" i="39"/>
  <c r="F457" i="39"/>
  <c r="G457" i="39"/>
  <c r="F458" i="39"/>
  <c r="G458" i="39"/>
  <c r="F459" i="39"/>
  <c r="G459" i="39"/>
  <c r="F460" i="39"/>
  <c r="G460" i="39"/>
  <c r="F461" i="39"/>
  <c r="G461" i="39"/>
  <c r="F462" i="39"/>
  <c r="G462" i="39"/>
  <c r="F465" i="39"/>
  <c r="G465" i="39"/>
  <c r="F466" i="39"/>
  <c r="G466" i="39"/>
  <c r="F467" i="39"/>
  <c r="G467" i="39"/>
  <c r="F468" i="39"/>
  <c r="G468" i="39"/>
  <c r="F469" i="39"/>
  <c r="G469" i="39"/>
  <c r="F470" i="39"/>
  <c r="G470" i="39"/>
  <c r="F471" i="39"/>
  <c r="G471" i="39"/>
  <c r="F472" i="39"/>
  <c r="G472" i="39"/>
  <c r="F473" i="39"/>
  <c r="G473" i="39"/>
  <c r="F476" i="39"/>
  <c r="G476" i="39"/>
  <c r="F477" i="39"/>
  <c r="G477" i="39"/>
  <c r="F478" i="39"/>
  <c r="G478" i="39"/>
  <c r="F479" i="39"/>
  <c r="G479" i="39"/>
  <c r="F480" i="39"/>
  <c r="G480" i="39"/>
  <c r="F481" i="39"/>
  <c r="G481" i="39"/>
  <c r="F482" i="39"/>
  <c r="G482" i="39"/>
  <c r="F483" i="39"/>
  <c r="G483" i="39"/>
  <c r="F484" i="39"/>
  <c r="G484" i="39"/>
  <c r="F487" i="39"/>
  <c r="G487" i="39"/>
  <c r="F488" i="39"/>
  <c r="G488" i="39"/>
  <c r="F489" i="39"/>
  <c r="G489" i="39"/>
  <c r="F490" i="39"/>
  <c r="G490" i="39"/>
  <c r="F491" i="39"/>
  <c r="G491" i="39"/>
  <c r="F492" i="39"/>
  <c r="G492" i="39"/>
  <c r="F493" i="39"/>
  <c r="G493" i="39"/>
  <c r="F494" i="39"/>
  <c r="G494" i="39"/>
  <c r="F495" i="39"/>
  <c r="G495" i="39"/>
  <c r="F498" i="39"/>
  <c r="G498" i="39"/>
  <c r="F499" i="39"/>
  <c r="G499" i="39"/>
  <c r="F500" i="39"/>
  <c r="G500" i="39"/>
  <c r="F501" i="39"/>
  <c r="G501" i="39"/>
  <c r="F502" i="39"/>
  <c r="G502" i="39"/>
  <c r="F503" i="39"/>
  <c r="G503" i="39"/>
  <c r="F504" i="39"/>
  <c r="G504" i="39"/>
  <c r="F505" i="39"/>
  <c r="G505" i="39"/>
  <c r="F506" i="39"/>
  <c r="G506" i="39"/>
  <c r="F509" i="39"/>
  <c r="G509" i="39"/>
  <c r="F510" i="39"/>
  <c r="G510" i="39"/>
  <c r="F511" i="39"/>
  <c r="G511" i="39"/>
  <c r="F512" i="39"/>
  <c r="G512" i="39"/>
  <c r="F513" i="39"/>
  <c r="G513" i="39"/>
  <c r="F514" i="39"/>
  <c r="G514" i="39"/>
  <c r="F515" i="39"/>
  <c r="G515" i="39"/>
  <c r="F516" i="39"/>
  <c r="G516" i="39"/>
  <c r="F517" i="39"/>
  <c r="G517" i="39"/>
  <c r="F520" i="39"/>
  <c r="G520" i="39"/>
  <c r="F521" i="39"/>
  <c r="G521" i="39"/>
  <c r="F522" i="39"/>
  <c r="G522" i="39"/>
  <c r="F523" i="39"/>
  <c r="G523" i="39"/>
  <c r="F524" i="39"/>
  <c r="G524" i="39"/>
  <c r="F525" i="39"/>
  <c r="G525" i="39"/>
  <c r="F526" i="39"/>
  <c r="G526" i="39"/>
  <c r="F527" i="39"/>
  <c r="G527" i="39"/>
  <c r="F528" i="39"/>
  <c r="G528" i="39"/>
  <c r="F531" i="39"/>
  <c r="G531" i="39"/>
  <c r="F532" i="39"/>
  <c r="G532" i="39"/>
  <c r="F533" i="39"/>
  <c r="G533" i="39"/>
  <c r="F534" i="39"/>
  <c r="G534" i="39"/>
  <c r="F535" i="39"/>
  <c r="G535" i="39"/>
  <c r="F536" i="39"/>
  <c r="G536" i="39"/>
  <c r="F537" i="39"/>
  <c r="G537" i="39"/>
  <c r="F538" i="39"/>
  <c r="G538" i="39"/>
  <c r="F539" i="39"/>
  <c r="G539" i="39"/>
  <c r="J538" i="39" l="1"/>
  <c r="N369" i="39" s="1"/>
  <c r="D369" i="41" s="1"/>
  <c r="N44" i="41" s="1"/>
  <c r="J536" i="39"/>
  <c r="N367" i="39" s="1"/>
  <c r="D367" i="41" s="1"/>
  <c r="L44" i="41" s="1"/>
  <c r="J534" i="39"/>
  <c r="N365" i="39" s="1"/>
  <c r="D365" i="41" s="1"/>
  <c r="J44" i="41" s="1"/>
  <c r="J532" i="39"/>
  <c r="N363" i="39" s="1"/>
  <c r="D363" i="41" s="1"/>
  <c r="H44" i="41" s="1"/>
  <c r="J256" i="39"/>
  <c r="N209" i="39" s="1"/>
  <c r="D209" i="41" s="1"/>
  <c r="G27" i="41" s="1"/>
  <c r="J252" i="39"/>
  <c r="N207" i="39" s="1"/>
  <c r="D207" i="41" s="1"/>
  <c r="N26" i="41" s="1"/>
  <c r="J250" i="39"/>
  <c r="N205" i="39" s="1"/>
  <c r="D205" i="41" s="1"/>
  <c r="L26" i="41" s="1"/>
  <c r="J248" i="39"/>
  <c r="N203" i="39" s="1"/>
  <c r="D203" i="41" s="1"/>
  <c r="J26" i="41" s="1"/>
  <c r="J246" i="39"/>
  <c r="N201" i="39" s="1"/>
  <c r="D201" i="41" s="1"/>
  <c r="H26" i="41" s="1"/>
  <c r="J242" i="39"/>
  <c r="N199" i="39" s="1"/>
  <c r="D199" i="41" s="1"/>
  <c r="O25" i="41" s="1"/>
  <c r="J240" i="39"/>
  <c r="N197" i="39" s="1"/>
  <c r="D197" i="41" s="1"/>
  <c r="M25" i="41" s="1"/>
  <c r="J238" i="39"/>
  <c r="N195" i="39" s="1"/>
  <c r="D195" i="41" s="1"/>
  <c r="K25" i="41" s="1"/>
  <c r="J236" i="39"/>
  <c r="N193" i="39" s="1"/>
  <c r="D193" i="41" s="1"/>
  <c r="I25" i="41" s="1"/>
  <c r="J234" i="39"/>
  <c r="N191" i="39" s="1"/>
  <c r="D191" i="41" s="1"/>
  <c r="G25" i="41" s="1"/>
  <c r="J230" i="39"/>
  <c r="N189" i="39" s="1"/>
  <c r="D189" i="41" s="1"/>
  <c r="N24" i="41" s="1"/>
  <c r="J228" i="39"/>
  <c r="N187" i="39" s="1"/>
  <c r="D187" i="41" s="1"/>
  <c r="L24" i="41" s="1"/>
  <c r="J226" i="39"/>
  <c r="N185" i="39" s="1"/>
  <c r="D185" i="41" s="1"/>
  <c r="J24" i="41" s="1"/>
  <c r="J224" i="39"/>
  <c r="N183" i="39" s="1"/>
  <c r="D183" i="41" s="1"/>
  <c r="H24" i="41" s="1"/>
  <c r="J220" i="39"/>
  <c r="N181" i="39" s="1"/>
  <c r="D181" i="41" s="1"/>
  <c r="O23" i="41" s="1"/>
  <c r="J218" i="39"/>
  <c r="N179" i="39" s="1"/>
  <c r="D179" i="41" s="1"/>
  <c r="M23" i="41" s="1"/>
  <c r="J216" i="39"/>
  <c r="N177" i="39" s="1"/>
  <c r="D177" i="41" s="1"/>
  <c r="K23" i="41" s="1"/>
  <c r="J214" i="39"/>
  <c r="N175" i="39" s="1"/>
  <c r="D175" i="41" s="1"/>
  <c r="I23" i="41" s="1"/>
  <c r="J212" i="39"/>
  <c r="N173" i="39" s="1"/>
  <c r="D173" i="41" s="1"/>
  <c r="G23" i="41" s="1"/>
  <c r="J208" i="39"/>
  <c r="N171" i="39" s="1"/>
  <c r="D171" i="41" s="1"/>
  <c r="N22" i="41" s="1"/>
  <c r="J206" i="39"/>
  <c r="N169" i="39" s="1"/>
  <c r="D169" i="41" s="1"/>
  <c r="L22" i="41" s="1"/>
  <c r="J204" i="39"/>
  <c r="N167" i="39" s="1"/>
  <c r="D167" i="41" s="1"/>
  <c r="J22" i="41" s="1"/>
  <c r="J202" i="39"/>
  <c r="N165" i="39" s="1"/>
  <c r="D165" i="41" s="1"/>
  <c r="H22" i="41" s="1"/>
  <c r="J198" i="39"/>
  <c r="N163" i="39" s="1"/>
  <c r="D163" i="41" s="1"/>
  <c r="O21" i="41" s="1"/>
  <c r="J196" i="39"/>
  <c r="N161" i="39" s="1"/>
  <c r="D161" i="41" s="1"/>
  <c r="M21" i="41" s="1"/>
  <c r="J194" i="39"/>
  <c r="N159" i="39" s="1"/>
  <c r="D159" i="41" s="1"/>
  <c r="K21" i="41" s="1"/>
  <c r="J192" i="39"/>
  <c r="N157" i="39" s="1"/>
  <c r="D157" i="41" s="1"/>
  <c r="I21" i="41" s="1"/>
  <c r="J190" i="39"/>
  <c r="N155" i="39" s="1"/>
  <c r="D155" i="41" s="1"/>
  <c r="G21" i="41" s="1"/>
  <c r="J257" i="39"/>
  <c r="N210" i="39" s="1"/>
  <c r="D210" i="41" s="1"/>
  <c r="H27" i="41" s="1"/>
  <c r="J253" i="39"/>
  <c r="N208" i="39" s="1"/>
  <c r="D208" i="41" s="1"/>
  <c r="O26" i="41" s="1"/>
  <c r="J251" i="39"/>
  <c r="N206" i="39" s="1"/>
  <c r="D206" i="41" s="1"/>
  <c r="M26" i="41" s="1"/>
  <c r="J249" i="39"/>
  <c r="N204" i="39" s="1"/>
  <c r="D204" i="41" s="1"/>
  <c r="K26" i="41" s="1"/>
  <c r="J247" i="39"/>
  <c r="N202" i="39" s="1"/>
  <c r="D202" i="41" s="1"/>
  <c r="I26" i="41" s="1"/>
  <c r="J245" i="39"/>
  <c r="N200" i="39" s="1"/>
  <c r="D200" i="41" s="1"/>
  <c r="G26" i="41" s="1"/>
  <c r="J241" i="39"/>
  <c r="N198" i="39" s="1"/>
  <c r="D198" i="41" s="1"/>
  <c r="N25" i="41" s="1"/>
  <c r="J239" i="39"/>
  <c r="N196" i="39" s="1"/>
  <c r="D196" i="41" s="1"/>
  <c r="L25" i="41" s="1"/>
  <c r="J237" i="39"/>
  <c r="N194" i="39" s="1"/>
  <c r="D194" i="41" s="1"/>
  <c r="J25" i="41" s="1"/>
  <c r="J235" i="39"/>
  <c r="N192" i="39" s="1"/>
  <c r="D192" i="41" s="1"/>
  <c r="H25" i="41" s="1"/>
  <c r="J231" i="39"/>
  <c r="N190" i="39" s="1"/>
  <c r="D190" i="41" s="1"/>
  <c r="O24" i="41" s="1"/>
  <c r="J229" i="39"/>
  <c r="N188" i="39" s="1"/>
  <c r="D188" i="41" s="1"/>
  <c r="M24" i="41" s="1"/>
  <c r="J227" i="39"/>
  <c r="N186" i="39" s="1"/>
  <c r="D186" i="41" s="1"/>
  <c r="K24" i="41" s="1"/>
  <c r="J225" i="39"/>
  <c r="N184" i="39" s="1"/>
  <c r="D184" i="41" s="1"/>
  <c r="I24" i="41" s="1"/>
  <c r="J223" i="39"/>
  <c r="N182" i="39" s="1"/>
  <c r="D182" i="41" s="1"/>
  <c r="G24" i="41" s="1"/>
  <c r="J219" i="39"/>
  <c r="N180" i="39" s="1"/>
  <c r="D180" i="41" s="1"/>
  <c r="N23" i="41" s="1"/>
  <c r="J217" i="39"/>
  <c r="N178" i="39" s="1"/>
  <c r="D178" i="41" s="1"/>
  <c r="L23" i="41" s="1"/>
  <c r="J215" i="39"/>
  <c r="N176" i="39" s="1"/>
  <c r="D176" i="41" s="1"/>
  <c r="J23" i="41" s="1"/>
  <c r="J213" i="39"/>
  <c r="N174" i="39" s="1"/>
  <c r="D174" i="41" s="1"/>
  <c r="H23" i="41" s="1"/>
  <c r="J209" i="39"/>
  <c r="N172" i="39" s="1"/>
  <c r="D172" i="41" s="1"/>
  <c r="O22" i="41" s="1"/>
  <c r="J207" i="39"/>
  <c r="N170" i="39" s="1"/>
  <c r="D170" i="41" s="1"/>
  <c r="M22" i="41" s="1"/>
  <c r="J205" i="39"/>
  <c r="N168" i="39" s="1"/>
  <c r="D168" i="41" s="1"/>
  <c r="K22" i="41" s="1"/>
  <c r="J203" i="39"/>
  <c r="N166" i="39" s="1"/>
  <c r="D166" i="41" s="1"/>
  <c r="I22" i="41" s="1"/>
  <c r="J201" i="39"/>
  <c r="N164" i="39" s="1"/>
  <c r="D164" i="41" s="1"/>
  <c r="G22" i="41" s="1"/>
  <c r="J197" i="39"/>
  <c r="N162" i="39" s="1"/>
  <c r="D162" i="41" s="1"/>
  <c r="N21" i="41" s="1"/>
  <c r="J195" i="39"/>
  <c r="N160" i="39" s="1"/>
  <c r="D160" i="41" s="1"/>
  <c r="L21" i="41" s="1"/>
  <c r="J193" i="39"/>
  <c r="N158" i="39" s="1"/>
  <c r="D158" i="41" s="1"/>
  <c r="J21" i="41" s="1"/>
  <c r="J191" i="39"/>
  <c r="N156" i="39" s="1"/>
  <c r="D156" i="41" s="1"/>
  <c r="H21" i="41" s="1"/>
  <c r="J528" i="39"/>
  <c r="N361" i="39" s="1"/>
  <c r="D361" i="41" s="1"/>
  <c r="O43" i="41" s="1"/>
  <c r="J526" i="39"/>
  <c r="N359" i="39" s="1"/>
  <c r="D359" i="41" s="1"/>
  <c r="M43" i="41" s="1"/>
  <c r="J524" i="39"/>
  <c r="N357" i="39" s="1"/>
  <c r="D357" i="41" s="1"/>
  <c r="K43" i="41" s="1"/>
  <c r="J522" i="39"/>
  <c r="N355" i="39" s="1"/>
  <c r="D355" i="41" s="1"/>
  <c r="I43" i="41" s="1"/>
  <c r="J520" i="39"/>
  <c r="N353" i="39" s="1"/>
  <c r="D353" i="41" s="1"/>
  <c r="J516" i="39"/>
  <c r="N351" i="39" s="1"/>
  <c r="D351" i="41" s="1"/>
  <c r="N42" i="41" s="1"/>
  <c r="J514" i="39"/>
  <c r="N349" i="39" s="1"/>
  <c r="D349" i="41" s="1"/>
  <c r="L42" i="41" s="1"/>
  <c r="J512" i="39"/>
  <c r="N347" i="39" s="1"/>
  <c r="D347" i="41" s="1"/>
  <c r="J42" i="41" s="1"/>
  <c r="J510" i="39"/>
  <c r="N345" i="39" s="1"/>
  <c r="D345" i="41" s="1"/>
  <c r="H42" i="41" s="1"/>
  <c r="J506" i="39"/>
  <c r="N343" i="39" s="1"/>
  <c r="D343" i="41" s="1"/>
  <c r="O41" i="41" s="1"/>
  <c r="J504" i="39"/>
  <c r="N341" i="39" s="1"/>
  <c r="D341" i="41" s="1"/>
  <c r="M41" i="41" s="1"/>
  <c r="J502" i="39"/>
  <c r="N339" i="39" s="1"/>
  <c r="D339" i="41" s="1"/>
  <c r="K41" i="41" s="1"/>
  <c r="J184" i="39"/>
  <c r="N151" i="39" s="1"/>
  <c r="D151" i="41" s="1"/>
  <c r="L20" i="41" s="1"/>
  <c r="J175" i="39"/>
  <c r="N144" i="39" s="1"/>
  <c r="D144" i="41" s="1"/>
  <c r="N19" i="41" s="1"/>
  <c r="J173" i="39"/>
  <c r="N142" i="39" s="1"/>
  <c r="D142" i="41" s="1"/>
  <c r="L19" i="41" s="1"/>
  <c r="J500" i="39"/>
  <c r="N337" i="39" s="1"/>
  <c r="D337" i="41" s="1"/>
  <c r="I41" i="41" s="1"/>
  <c r="J498" i="39"/>
  <c r="N335" i="39" s="1"/>
  <c r="D335" i="41" s="1"/>
  <c r="G41" i="41" s="1"/>
  <c r="J494" i="39"/>
  <c r="N333" i="39" s="1"/>
  <c r="D333" i="41" s="1"/>
  <c r="N40" i="41" s="1"/>
  <c r="J492" i="39"/>
  <c r="N331" i="39" s="1"/>
  <c r="D331" i="41" s="1"/>
  <c r="L40" i="41" s="1"/>
  <c r="J490" i="39"/>
  <c r="N329" i="39" s="1"/>
  <c r="D329" i="41" s="1"/>
  <c r="J40" i="41" s="1"/>
  <c r="J488" i="39"/>
  <c r="N327" i="39" s="1"/>
  <c r="D327" i="41" s="1"/>
  <c r="H40" i="41" s="1"/>
  <c r="J484" i="39"/>
  <c r="N325" i="39" s="1"/>
  <c r="D325" i="41" s="1"/>
  <c r="O39" i="41" s="1"/>
  <c r="J482" i="39"/>
  <c r="N323" i="39" s="1"/>
  <c r="D323" i="41" s="1"/>
  <c r="M39" i="41" s="1"/>
  <c r="J480" i="39"/>
  <c r="N321" i="39" s="1"/>
  <c r="D321" i="41" s="1"/>
  <c r="K39" i="41" s="1"/>
  <c r="J478" i="39"/>
  <c r="N319" i="39" s="1"/>
  <c r="D319" i="41" s="1"/>
  <c r="I39" i="41" s="1"/>
  <c r="J476" i="39"/>
  <c r="N317" i="39" s="1"/>
  <c r="D317" i="41" s="1"/>
  <c r="G39" i="41" s="1"/>
  <c r="J472" i="39"/>
  <c r="N315" i="39" s="1"/>
  <c r="D315" i="41" s="1"/>
  <c r="N38" i="41" s="1"/>
  <c r="J470" i="39"/>
  <c r="N313" i="39" s="1"/>
  <c r="D313" i="41" s="1"/>
  <c r="L38" i="41" s="1"/>
  <c r="J468" i="39"/>
  <c r="N311" i="39" s="1"/>
  <c r="D311" i="41" s="1"/>
  <c r="J38" i="41" s="1"/>
  <c r="J466" i="39"/>
  <c r="N309" i="39" s="1"/>
  <c r="D309" i="41" s="1"/>
  <c r="H38" i="41" s="1"/>
  <c r="J462" i="39"/>
  <c r="N307" i="39" s="1"/>
  <c r="D307" i="41" s="1"/>
  <c r="O37" i="41" s="1"/>
  <c r="J460" i="39"/>
  <c r="N305" i="39" s="1"/>
  <c r="D305" i="41" s="1"/>
  <c r="M37" i="41" s="1"/>
  <c r="J458" i="39"/>
  <c r="N303" i="39" s="1"/>
  <c r="D303" i="41" s="1"/>
  <c r="K37" i="41" s="1"/>
  <c r="J456" i="39"/>
  <c r="N301" i="39" s="1"/>
  <c r="D301" i="41" s="1"/>
  <c r="I37" i="41" s="1"/>
  <c r="J454" i="39"/>
  <c r="N299" i="39" s="1"/>
  <c r="D299" i="41" s="1"/>
  <c r="G37" i="41" s="1"/>
  <c r="J450" i="39"/>
  <c r="N297" i="39" s="1"/>
  <c r="D297" i="41" s="1"/>
  <c r="N36" i="41" s="1"/>
  <c r="J448" i="39"/>
  <c r="N295" i="39" s="1"/>
  <c r="D295" i="41" s="1"/>
  <c r="L36" i="41" s="1"/>
  <c r="J446" i="39"/>
  <c r="N293" i="39" s="1"/>
  <c r="D293" i="41" s="1"/>
  <c r="J36" i="41" s="1"/>
  <c r="J444" i="39"/>
  <c r="N291" i="39" s="1"/>
  <c r="D291" i="41" s="1"/>
  <c r="H36" i="41" s="1"/>
  <c r="J440" i="39"/>
  <c r="N289" i="39" s="1"/>
  <c r="D289" i="41" s="1"/>
  <c r="O35" i="41" s="1"/>
  <c r="J438" i="39"/>
  <c r="N287" i="39" s="1"/>
  <c r="D287" i="41" s="1"/>
  <c r="M35" i="41" s="1"/>
  <c r="J436" i="39"/>
  <c r="N285" i="39" s="1"/>
  <c r="D285" i="41" s="1"/>
  <c r="K35" i="41" s="1"/>
  <c r="J434" i="39"/>
  <c r="N283" i="39" s="1"/>
  <c r="D283" i="41" s="1"/>
  <c r="I35" i="41" s="1"/>
  <c r="J432" i="39"/>
  <c r="N281" i="39" s="1"/>
  <c r="D281" i="41" s="1"/>
  <c r="G35" i="41" s="1"/>
  <c r="J428" i="39"/>
  <c r="J426" i="39"/>
  <c r="J424" i="39"/>
  <c r="J422" i="39"/>
  <c r="J418" i="39"/>
  <c r="J416" i="39"/>
  <c r="J414" i="39"/>
  <c r="J539" i="39"/>
  <c r="N370" i="39" s="1"/>
  <c r="D370" i="41" s="1"/>
  <c r="O44" i="41" s="1"/>
  <c r="J537" i="39"/>
  <c r="N368" i="39" s="1"/>
  <c r="D368" i="41" s="1"/>
  <c r="M44" i="41" s="1"/>
  <c r="J535" i="39"/>
  <c r="N366" i="39" s="1"/>
  <c r="D366" i="41" s="1"/>
  <c r="K44" i="41" s="1"/>
  <c r="J533" i="39"/>
  <c r="N364" i="39" s="1"/>
  <c r="D364" i="41" s="1"/>
  <c r="I44" i="41" s="1"/>
  <c r="J531" i="39"/>
  <c r="N362" i="39" s="1"/>
  <c r="D362" i="41" s="1"/>
  <c r="G44" i="41" s="1"/>
  <c r="J527" i="39"/>
  <c r="N360" i="39" s="1"/>
  <c r="D360" i="41" s="1"/>
  <c r="N43" i="41" s="1"/>
  <c r="J525" i="39"/>
  <c r="N358" i="39" s="1"/>
  <c r="D358" i="41" s="1"/>
  <c r="L43" i="41" s="1"/>
  <c r="J523" i="39"/>
  <c r="N356" i="39" s="1"/>
  <c r="D356" i="41" s="1"/>
  <c r="J43" i="41" s="1"/>
  <c r="J521" i="39"/>
  <c r="N354" i="39" s="1"/>
  <c r="D354" i="41" s="1"/>
  <c r="H43" i="41" s="1"/>
  <c r="J517" i="39"/>
  <c r="N352" i="39" s="1"/>
  <c r="D352" i="41" s="1"/>
  <c r="J515" i="39"/>
  <c r="N350" i="39" s="1"/>
  <c r="D350" i="41" s="1"/>
  <c r="M42" i="41" s="1"/>
  <c r="J513" i="39"/>
  <c r="N348" i="39" s="1"/>
  <c r="D348" i="41" s="1"/>
  <c r="K42" i="41" s="1"/>
  <c r="J511" i="39"/>
  <c r="N346" i="39" s="1"/>
  <c r="D346" i="41" s="1"/>
  <c r="I42" i="41" s="1"/>
  <c r="J509" i="39"/>
  <c r="N344" i="39" s="1"/>
  <c r="D344" i="41" s="1"/>
  <c r="G42" i="41" s="1"/>
  <c r="J505" i="39"/>
  <c r="N342" i="39" s="1"/>
  <c r="D342" i="41" s="1"/>
  <c r="N41" i="41" s="1"/>
  <c r="J503" i="39"/>
  <c r="N340" i="39" s="1"/>
  <c r="D340" i="41" s="1"/>
  <c r="L41" i="41" s="1"/>
  <c r="J501" i="39"/>
  <c r="N338" i="39" s="1"/>
  <c r="D338" i="41" s="1"/>
  <c r="J41" i="41" s="1"/>
  <c r="J499" i="39"/>
  <c r="N336" i="39" s="1"/>
  <c r="D336" i="41" s="1"/>
  <c r="H41" i="41" s="1"/>
  <c r="J495" i="39"/>
  <c r="N334" i="39" s="1"/>
  <c r="D334" i="41" s="1"/>
  <c r="O40" i="41" s="1"/>
  <c r="J493" i="39"/>
  <c r="N332" i="39" s="1"/>
  <c r="D332" i="41" s="1"/>
  <c r="M40" i="41" s="1"/>
  <c r="J491" i="39"/>
  <c r="N330" i="39" s="1"/>
  <c r="D330" i="41" s="1"/>
  <c r="K40" i="41" s="1"/>
  <c r="J489" i="39"/>
  <c r="N328" i="39" s="1"/>
  <c r="D328" i="41" s="1"/>
  <c r="I40" i="41" s="1"/>
  <c r="J487" i="39"/>
  <c r="N326" i="39" s="1"/>
  <c r="D326" i="41" s="1"/>
  <c r="G40" i="41" s="1"/>
  <c r="J483" i="39"/>
  <c r="N324" i="39" s="1"/>
  <c r="D324" i="41" s="1"/>
  <c r="N39" i="41" s="1"/>
  <c r="J481" i="39"/>
  <c r="N322" i="39" s="1"/>
  <c r="D322" i="41" s="1"/>
  <c r="L39" i="41" s="1"/>
  <c r="J479" i="39"/>
  <c r="N320" i="39" s="1"/>
  <c r="D320" i="41" s="1"/>
  <c r="J39" i="41" s="1"/>
  <c r="J477" i="39"/>
  <c r="N318" i="39" s="1"/>
  <c r="D318" i="41" s="1"/>
  <c r="H39" i="41" s="1"/>
  <c r="J473" i="39"/>
  <c r="N316" i="39" s="1"/>
  <c r="D316" i="41" s="1"/>
  <c r="O38" i="41" s="1"/>
  <c r="J471" i="39"/>
  <c r="N314" i="39" s="1"/>
  <c r="D314" i="41" s="1"/>
  <c r="M38" i="41" s="1"/>
  <c r="J469" i="39"/>
  <c r="N312" i="39" s="1"/>
  <c r="D312" i="41" s="1"/>
  <c r="K38" i="41" s="1"/>
  <c r="J467" i="39"/>
  <c r="N310" i="39" s="1"/>
  <c r="D310" i="41" s="1"/>
  <c r="I38" i="41" s="1"/>
  <c r="J465" i="39"/>
  <c r="N308" i="39" s="1"/>
  <c r="D308" i="41" s="1"/>
  <c r="G38" i="41" s="1"/>
  <c r="J461" i="39"/>
  <c r="N306" i="39" s="1"/>
  <c r="D306" i="41" s="1"/>
  <c r="N37" i="41" s="1"/>
  <c r="J459" i="39"/>
  <c r="N304" i="39" s="1"/>
  <c r="D304" i="41" s="1"/>
  <c r="L37" i="41" s="1"/>
  <c r="J457" i="39"/>
  <c r="N302" i="39" s="1"/>
  <c r="D302" i="41" s="1"/>
  <c r="J37" i="41" s="1"/>
  <c r="J455" i="39"/>
  <c r="N300" i="39" s="1"/>
  <c r="D300" i="41" s="1"/>
  <c r="H37" i="41" s="1"/>
  <c r="J451" i="39"/>
  <c r="N298" i="39" s="1"/>
  <c r="D298" i="41" s="1"/>
  <c r="O36" i="41" s="1"/>
  <c r="J449" i="39"/>
  <c r="N296" i="39" s="1"/>
  <c r="D296" i="41" s="1"/>
  <c r="M36" i="41" s="1"/>
  <c r="J447" i="39"/>
  <c r="N294" i="39" s="1"/>
  <c r="D294" i="41" s="1"/>
  <c r="K36" i="41" s="1"/>
  <c r="J445" i="39"/>
  <c r="N292" i="39" s="1"/>
  <c r="D292" i="41" s="1"/>
  <c r="I36" i="41" s="1"/>
  <c r="J443" i="39"/>
  <c r="N290" i="39" s="1"/>
  <c r="D290" i="41" s="1"/>
  <c r="G36" i="41" s="1"/>
  <c r="J439" i="39"/>
  <c r="N288" i="39" s="1"/>
  <c r="D288" i="41" s="1"/>
  <c r="N35" i="41" s="1"/>
  <c r="J437" i="39"/>
  <c r="N286" i="39" s="1"/>
  <c r="D286" i="41" s="1"/>
  <c r="L35" i="41" s="1"/>
  <c r="J435" i="39"/>
  <c r="N284" i="39" s="1"/>
  <c r="D284" i="41" s="1"/>
  <c r="J35" i="41" s="1"/>
  <c r="J433" i="39"/>
  <c r="N282" i="39" s="1"/>
  <c r="D282" i="41" s="1"/>
  <c r="H35" i="41" s="1"/>
  <c r="J429" i="39"/>
  <c r="J427" i="39"/>
  <c r="J425" i="39"/>
  <c r="J423" i="39"/>
  <c r="J421" i="39"/>
  <c r="J417" i="39"/>
  <c r="J415" i="39"/>
  <c r="J413" i="39"/>
  <c r="J411" i="39"/>
  <c r="J407" i="39"/>
  <c r="J405" i="39"/>
  <c r="J403" i="39"/>
  <c r="J401" i="39"/>
  <c r="J399" i="39"/>
  <c r="J395" i="39"/>
  <c r="J393" i="39"/>
  <c r="J391" i="39"/>
  <c r="J389" i="39"/>
  <c r="J385" i="39"/>
  <c r="J383" i="39"/>
  <c r="J381" i="39"/>
  <c r="J379" i="39"/>
  <c r="J377" i="39"/>
  <c r="J373" i="39"/>
  <c r="J371" i="39"/>
  <c r="J369" i="39"/>
  <c r="J367" i="39"/>
  <c r="J363" i="39"/>
  <c r="J361" i="39"/>
  <c r="J359" i="39"/>
  <c r="J357" i="39"/>
  <c r="J355" i="39"/>
  <c r="J351" i="39"/>
  <c r="J349" i="39"/>
  <c r="J347" i="39"/>
  <c r="J345" i="39"/>
  <c r="J412" i="39"/>
  <c r="J410" i="39"/>
  <c r="J406" i="39"/>
  <c r="J404" i="39"/>
  <c r="J402" i="39"/>
  <c r="J400" i="39"/>
  <c r="J396" i="39"/>
  <c r="J394" i="39"/>
  <c r="J392" i="39"/>
  <c r="J390" i="39"/>
  <c r="J388" i="39"/>
  <c r="J384" i="39"/>
  <c r="J382" i="39"/>
  <c r="J380" i="39"/>
  <c r="J378" i="39"/>
  <c r="J374" i="39"/>
  <c r="J372" i="39"/>
  <c r="J370" i="39"/>
  <c r="J368" i="39"/>
  <c r="J366" i="39"/>
  <c r="J362" i="39"/>
  <c r="J360" i="39"/>
  <c r="J358" i="39"/>
  <c r="J356" i="39"/>
  <c r="J352" i="39"/>
  <c r="J350" i="39"/>
  <c r="J348" i="39"/>
  <c r="J346" i="39"/>
  <c r="J344" i="39"/>
  <c r="J340" i="39"/>
  <c r="J338" i="39"/>
  <c r="N279" i="39" s="1"/>
  <c r="D279" i="41" s="1"/>
  <c r="N34" i="41" s="1"/>
  <c r="J336" i="39"/>
  <c r="N277" i="39" s="1"/>
  <c r="D277" i="41" s="1"/>
  <c r="L34" i="41" s="1"/>
  <c r="J334" i="39"/>
  <c r="N275" i="39" s="1"/>
  <c r="D275" i="41" s="1"/>
  <c r="J34" i="41" s="1"/>
  <c r="J330" i="39"/>
  <c r="N271" i="39" s="1"/>
  <c r="D271" i="41" s="1"/>
  <c r="O33" i="41" s="1"/>
  <c r="J328" i="39"/>
  <c r="N269" i="39" s="1"/>
  <c r="D269" i="41" s="1"/>
  <c r="M33" i="41" s="1"/>
  <c r="J326" i="39"/>
  <c r="N267" i="39" s="1"/>
  <c r="D267" i="41" s="1"/>
  <c r="K33" i="41" s="1"/>
  <c r="J324" i="39"/>
  <c r="N265" i="39" s="1"/>
  <c r="D265" i="41" s="1"/>
  <c r="I33" i="41" s="1"/>
  <c r="J322" i="39"/>
  <c r="N263" i="39" s="1"/>
  <c r="D263" i="41" s="1"/>
  <c r="G33" i="41" s="1"/>
  <c r="J318" i="39"/>
  <c r="N261" i="39" s="1"/>
  <c r="D261" i="41" s="1"/>
  <c r="N32" i="41" s="1"/>
  <c r="J316" i="39"/>
  <c r="N259" i="39" s="1"/>
  <c r="D259" i="41" s="1"/>
  <c r="L32" i="41" s="1"/>
  <c r="J314" i="39"/>
  <c r="N257" i="39" s="1"/>
  <c r="D257" i="41" s="1"/>
  <c r="J32" i="41" s="1"/>
  <c r="J312" i="39"/>
  <c r="N255" i="39" s="1"/>
  <c r="D255" i="41" s="1"/>
  <c r="H32" i="41" s="1"/>
  <c r="J308" i="39"/>
  <c r="N253" i="39" s="1"/>
  <c r="D253" i="41" s="1"/>
  <c r="O31" i="41" s="1"/>
  <c r="J306" i="39"/>
  <c r="N251" i="39" s="1"/>
  <c r="D251" i="41" s="1"/>
  <c r="M31" i="41" s="1"/>
  <c r="J304" i="39"/>
  <c r="N249" i="39" s="1"/>
  <c r="D249" i="41" s="1"/>
  <c r="K31" i="41" s="1"/>
  <c r="J302" i="39"/>
  <c r="N247" i="39" s="1"/>
  <c r="D247" i="41" s="1"/>
  <c r="I31" i="41" s="1"/>
  <c r="J300" i="39"/>
  <c r="N245" i="39" s="1"/>
  <c r="D245" i="41" s="1"/>
  <c r="G31" i="41" s="1"/>
  <c r="J296" i="39"/>
  <c r="N243" i="39" s="1"/>
  <c r="D243" i="41" s="1"/>
  <c r="N30" i="41" s="1"/>
  <c r="J294" i="39"/>
  <c r="N241" i="39" s="1"/>
  <c r="D241" i="41" s="1"/>
  <c r="L30" i="41" s="1"/>
  <c r="J292" i="39"/>
  <c r="N239" i="39" s="1"/>
  <c r="D239" i="41" s="1"/>
  <c r="J30" i="41" s="1"/>
  <c r="J290" i="39"/>
  <c r="N237" i="39" s="1"/>
  <c r="D237" i="41" s="1"/>
  <c r="H30" i="41" s="1"/>
  <c r="J286" i="39"/>
  <c r="N235" i="39" s="1"/>
  <c r="D235" i="41" s="1"/>
  <c r="O29" i="41" s="1"/>
  <c r="J284" i="39"/>
  <c r="N233" i="39" s="1"/>
  <c r="D233" i="41" s="1"/>
  <c r="M29" i="41" s="1"/>
  <c r="J282" i="39"/>
  <c r="N231" i="39" s="1"/>
  <c r="D231" i="41" s="1"/>
  <c r="K29" i="41" s="1"/>
  <c r="J280" i="39"/>
  <c r="N229" i="39" s="1"/>
  <c r="D229" i="41" s="1"/>
  <c r="I29" i="41" s="1"/>
  <c r="J278" i="39"/>
  <c r="N227" i="39" s="1"/>
  <c r="D227" i="41" s="1"/>
  <c r="G29" i="41" s="1"/>
  <c r="J274" i="39"/>
  <c r="N225" i="39" s="1"/>
  <c r="D225" i="41" s="1"/>
  <c r="N28" i="41" s="1"/>
  <c r="J272" i="39"/>
  <c r="N223" i="39" s="1"/>
  <c r="D223" i="41" s="1"/>
  <c r="L28" i="41" s="1"/>
  <c r="J270" i="39"/>
  <c r="N221" i="39" s="1"/>
  <c r="D221" i="41" s="1"/>
  <c r="J28" i="41" s="1"/>
  <c r="J268" i="39"/>
  <c r="N219" i="39" s="1"/>
  <c r="D219" i="41" s="1"/>
  <c r="H28" i="41" s="1"/>
  <c r="J264" i="39"/>
  <c r="N217" i="39" s="1"/>
  <c r="D217" i="41" s="1"/>
  <c r="O27" i="41" s="1"/>
  <c r="J262" i="39"/>
  <c r="N215" i="39" s="1"/>
  <c r="D215" i="41" s="1"/>
  <c r="M27" i="41" s="1"/>
  <c r="J260" i="39"/>
  <c r="N213" i="39" s="1"/>
  <c r="D213" i="41" s="1"/>
  <c r="K27" i="41" s="1"/>
  <c r="J171" i="39"/>
  <c r="N140" i="39" s="1"/>
  <c r="D140" i="41" s="1"/>
  <c r="J19" i="41" s="1"/>
  <c r="J169" i="39"/>
  <c r="N138" i="39" s="1"/>
  <c r="D138" i="41" s="1"/>
  <c r="H19" i="41" s="1"/>
  <c r="J341" i="39"/>
  <c r="J339" i="39"/>
  <c r="N280" i="39" s="1"/>
  <c r="D280" i="41" s="1"/>
  <c r="O34" i="41" s="1"/>
  <c r="J337" i="39"/>
  <c r="N278" i="39" s="1"/>
  <c r="D278" i="41" s="1"/>
  <c r="M34" i="41" s="1"/>
  <c r="J335" i="39"/>
  <c r="N276" i="39" s="1"/>
  <c r="D276" i="41" s="1"/>
  <c r="K34" i="41" s="1"/>
  <c r="J333" i="39"/>
  <c r="N274" i="39" s="1"/>
  <c r="D274" i="41" s="1"/>
  <c r="I34" i="41" s="1"/>
  <c r="J329" i="39"/>
  <c r="N270" i="39" s="1"/>
  <c r="D270" i="41" s="1"/>
  <c r="N33" i="41" s="1"/>
  <c r="J327" i="39"/>
  <c r="N268" i="39" s="1"/>
  <c r="D268" i="41" s="1"/>
  <c r="L33" i="41" s="1"/>
  <c r="J325" i="39"/>
  <c r="N266" i="39" s="1"/>
  <c r="D266" i="41" s="1"/>
  <c r="J33" i="41" s="1"/>
  <c r="J323" i="39"/>
  <c r="N264" i="39" s="1"/>
  <c r="D264" i="41" s="1"/>
  <c r="H33" i="41" s="1"/>
  <c r="J319" i="39"/>
  <c r="N262" i="39" s="1"/>
  <c r="D262" i="41" s="1"/>
  <c r="O32" i="41" s="1"/>
  <c r="J317" i="39"/>
  <c r="N260" i="39" s="1"/>
  <c r="D260" i="41" s="1"/>
  <c r="M32" i="41" s="1"/>
  <c r="J315" i="39"/>
  <c r="N258" i="39" s="1"/>
  <c r="D258" i="41" s="1"/>
  <c r="K32" i="41" s="1"/>
  <c r="J313" i="39"/>
  <c r="N256" i="39" s="1"/>
  <c r="D256" i="41" s="1"/>
  <c r="I32" i="41" s="1"/>
  <c r="J311" i="39"/>
  <c r="N254" i="39" s="1"/>
  <c r="D254" i="41" s="1"/>
  <c r="G32" i="41" s="1"/>
  <c r="J307" i="39"/>
  <c r="N252" i="39" s="1"/>
  <c r="D252" i="41" s="1"/>
  <c r="N31" i="41" s="1"/>
  <c r="J305" i="39"/>
  <c r="N250" i="39" s="1"/>
  <c r="D250" i="41" s="1"/>
  <c r="L31" i="41" s="1"/>
  <c r="J303" i="39"/>
  <c r="N248" i="39" s="1"/>
  <c r="D248" i="41" s="1"/>
  <c r="J31" i="41" s="1"/>
  <c r="J301" i="39"/>
  <c r="N246" i="39" s="1"/>
  <c r="D246" i="41" s="1"/>
  <c r="H31" i="41" s="1"/>
  <c r="J297" i="39"/>
  <c r="N244" i="39" s="1"/>
  <c r="D244" i="41" s="1"/>
  <c r="O30" i="41" s="1"/>
  <c r="J295" i="39"/>
  <c r="N242" i="39" s="1"/>
  <c r="D242" i="41" s="1"/>
  <c r="M30" i="41" s="1"/>
  <c r="J293" i="39"/>
  <c r="N240" i="39" s="1"/>
  <c r="D240" i="41" s="1"/>
  <c r="K30" i="41" s="1"/>
  <c r="J291" i="39"/>
  <c r="N238" i="39" s="1"/>
  <c r="D238" i="41" s="1"/>
  <c r="I30" i="41" s="1"/>
  <c r="J289" i="39"/>
  <c r="N236" i="39" s="1"/>
  <c r="D236" i="41" s="1"/>
  <c r="G30" i="41" s="1"/>
  <c r="J285" i="39"/>
  <c r="N234" i="39" s="1"/>
  <c r="D234" i="41" s="1"/>
  <c r="N29" i="41" s="1"/>
  <c r="J283" i="39"/>
  <c r="N232" i="39" s="1"/>
  <c r="D232" i="41" s="1"/>
  <c r="L29" i="41" s="1"/>
  <c r="J281" i="39"/>
  <c r="N230" i="39" s="1"/>
  <c r="D230" i="41" s="1"/>
  <c r="J29" i="41" s="1"/>
  <c r="J279" i="39"/>
  <c r="N228" i="39" s="1"/>
  <c r="D228" i="41" s="1"/>
  <c r="H29" i="41" s="1"/>
  <c r="J275" i="39"/>
  <c r="N226" i="39" s="1"/>
  <c r="D226" i="41" s="1"/>
  <c r="O28" i="41" s="1"/>
  <c r="J273" i="39"/>
  <c r="N224" i="39" s="1"/>
  <c r="D224" i="41" s="1"/>
  <c r="M28" i="41" s="1"/>
  <c r="J271" i="39"/>
  <c r="N222" i="39" s="1"/>
  <c r="D222" i="41" s="1"/>
  <c r="K28" i="41" s="1"/>
  <c r="J269" i="39"/>
  <c r="N220" i="39" s="1"/>
  <c r="D220" i="41" s="1"/>
  <c r="I28" i="41" s="1"/>
  <c r="J267" i="39"/>
  <c r="N218" i="39" s="1"/>
  <c r="D218" i="41" s="1"/>
  <c r="G28" i="41" s="1"/>
  <c r="J263" i="39"/>
  <c r="N216" i="39" s="1"/>
  <c r="D216" i="41" s="1"/>
  <c r="N27" i="41" s="1"/>
  <c r="J261" i="39"/>
  <c r="N214" i="39" s="1"/>
  <c r="D214" i="41" s="1"/>
  <c r="L27" i="41" s="1"/>
  <c r="J259" i="39"/>
  <c r="N212" i="39" s="1"/>
  <c r="D212" i="41" s="1"/>
  <c r="J27" i="41" s="1"/>
  <c r="J258" i="39"/>
  <c r="N211" i="39" s="1"/>
  <c r="D211" i="41" s="1"/>
  <c r="I27" i="41" s="1"/>
  <c r="N273" i="39"/>
  <c r="D273" i="41" s="1"/>
  <c r="H34" i="41" s="1"/>
  <c r="N272" i="39"/>
  <c r="D272" i="41" s="1"/>
  <c r="G34" i="41" s="1"/>
  <c r="N147" i="39"/>
  <c r="D147" i="41" s="1"/>
  <c r="H20" i="41" s="1"/>
  <c r="N148" i="39"/>
  <c r="D148" i="41" s="1"/>
  <c r="I20" i="41" s="1"/>
  <c r="N149" i="39"/>
  <c r="D149" i="41" s="1"/>
  <c r="J20" i="41" s="1"/>
  <c r="N150" i="39"/>
  <c r="D150" i="41" s="1"/>
  <c r="K20" i="41" s="1"/>
  <c r="N152" i="39"/>
  <c r="D152" i="41" s="1"/>
  <c r="M20" i="41" s="1"/>
  <c r="N153" i="39"/>
  <c r="D153" i="41" s="1"/>
  <c r="N20" i="41" s="1"/>
  <c r="N154" i="39"/>
  <c r="D154" i="41" s="1"/>
  <c r="O20" i="41" s="1"/>
  <c r="N146" i="39"/>
  <c r="D146" i="41" s="1"/>
  <c r="G20" i="41" s="1"/>
  <c r="N139" i="39"/>
  <c r="D139" i="41" s="1"/>
  <c r="I19" i="41" s="1"/>
  <c r="N141" i="39"/>
  <c r="D141" i="41" s="1"/>
  <c r="K19" i="41" s="1"/>
  <c r="N143" i="39"/>
  <c r="D143" i="41" s="1"/>
  <c r="M19" i="41" s="1"/>
  <c r="N145" i="39"/>
  <c r="D145" i="41" s="1"/>
  <c r="O19" i="41" s="1"/>
  <c r="N137" i="39"/>
  <c r="D137" i="41" s="1"/>
  <c r="G19" i="41" s="1"/>
  <c r="N129" i="39"/>
  <c r="D129" i="41" s="1"/>
  <c r="H18" i="41" s="1"/>
  <c r="N130" i="39"/>
  <c r="D130" i="41" s="1"/>
  <c r="I18" i="41" s="1"/>
  <c r="N131" i="39"/>
  <c r="D131" i="41" s="1"/>
  <c r="J18" i="41" s="1"/>
  <c r="N132" i="39"/>
  <c r="D132" i="41" s="1"/>
  <c r="K18" i="41" s="1"/>
  <c r="N133" i="39"/>
  <c r="D133" i="41" s="1"/>
  <c r="L18" i="41" s="1"/>
  <c r="N134" i="39"/>
  <c r="D134" i="41" s="1"/>
  <c r="M18" i="41" s="1"/>
  <c r="N135" i="39"/>
  <c r="D135" i="41" s="1"/>
  <c r="N18" i="41" s="1"/>
  <c r="N136" i="39"/>
  <c r="D136" i="41" s="1"/>
  <c r="O18" i="41" s="1"/>
  <c r="N128" i="39"/>
  <c r="D128" i="41" s="1"/>
  <c r="G18" i="41" s="1"/>
  <c r="N120" i="39"/>
  <c r="D120" i="41" s="1"/>
  <c r="H17" i="41" s="1"/>
  <c r="N121" i="39"/>
  <c r="D121" i="41" s="1"/>
  <c r="I17" i="41" s="1"/>
  <c r="N122" i="39"/>
  <c r="D122" i="41" s="1"/>
  <c r="J17" i="41" s="1"/>
  <c r="N123" i="39"/>
  <c r="D123" i="41" s="1"/>
  <c r="K17" i="41" s="1"/>
  <c r="N124" i="39"/>
  <c r="D124" i="41" s="1"/>
  <c r="L17" i="41" s="1"/>
  <c r="N125" i="39"/>
  <c r="D125" i="41" s="1"/>
  <c r="M17" i="41" s="1"/>
  <c r="N126" i="39"/>
  <c r="D126" i="41" s="1"/>
  <c r="N17" i="41" s="1"/>
  <c r="N127" i="39"/>
  <c r="D127" i="41" s="1"/>
  <c r="O17" i="41" s="1"/>
  <c r="N119" i="39"/>
  <c r="D119" i="41" s="1"/>
  <c r="G17" i="41" s="1"/>
  <c r="O42" i="41" l="1"/>
  <c r="G43" i="41"/>
  <c r="BD52" i="40"/>
  <c r="AS52" i="40"/>
  <c r="AH52" i="40"/>
  <c r="W52" i="40"/>
  <c r="L52" i="40"/>
  <c r="BD51" i="40"/>
  <c r="AS51" i="40"/>
  <c r="AH51" i="40"/>
  <c r="W51" i="40"/>
  <c r="L51" i="40"/>
  <c r="BD50" i="40"/>
  <c r="AS50" i="40"/>
  <c r="AH50" i="40"/>
  <c r="W50" i="40"/>
  <c r="L50" i="40"/>
  <c r="BD49" i="40"/>
  <c r="AS49" i="40"/>
  <c r="AH49" i="40"/>
  <c r="W49" i="40"/>
  <c r="L49" i="40"/>
  <c r="BD48" i="40"/>
  <c r="AS48" i="40"/>
  <c r="AH48" i="40"/>
  <c r="W48" i="40"/>
  <c r="L48" i="40"/>
  <c r="BD47" i="40"/>
  <c r="AS47" i="40"/>
  <c r="AH47" i="40"/>
  <c r="W47" i="40"/>
  <c r="L47" i="40"/>
  <c r="BD46" i="40"/>
  <c r="AS46" i="40"/>
  <c r="AH46" i="40"/>
  <c r="W46" i="40"/>
  <c r="L46" i="40"/>
  <c r="BD45" i="40"/>
  <c r="AS45" i="40"/>
  <c r="AH45" i="40"/>
  <c r="W45" i="40"/>
  <c r="L45" i="40"/>
  <c r="BD44" i="40"/>
  <c r="AS44" i="40"/>
  <c r="AH44" i="40"/>
  <c r="W44" i="40"/>
  <c r="L44" i="40"/>
  <c r="BD43" i="40"/>
  <c r="AS43" i="40"/>
  <c r="AH43" i="40"/>
  <c r="W43" i="40"/>
  <c r="L43" i="40"/>
  <c r="BD42" i="40"/>
  <c r="AS42" i="40"/>
  <c r="AH42" i="40"/>
  <c r="W42" i="40"/>
  <c r="L42" i="40"/>
  <c r="BD41" i="40"/>
  <c r="AS41" i="40"/>
  <c r="AH41" i="40"/>
  <c r="W41" i="40"/>
  <c r="L41" i="40"/>
  <c r="BD40" i="40"/>
  <c r="AS40" i="40"/>
  <c r="AH40" i="40"/>
  <c r="W40" i="40"/>
  <c r="L40" i="40"/>
  <c r="BD39" i="40"/>
  <c r="AS39" i="40"/>
  <c r="AH39" i="40"/>
  <c r="W39" i="40"/>
  <c r="L39" i="40"/>
  <c r="BD38" i="40"/>
  <c r="AS38" i="40"/>
  <c r="AH38" i="40"/>
  <c r="W38" i="40"/>
  <c r="L38" i="40"/>
  <c r="BD37" i="40"/>
  <c r="AS37" i="40"/>
  <c r="AH37" i="40"/>
  <c r="W37" i="40"/>
  <c r="L37" i="40"/>
  <c r="BD36" i="40"/>
  <c r="AS36" i="40"/>
  <c r="AH36" i="40"/>
  <c r="W36" i="40"/>
  <c r="L36" i="40"/>
  <c r="BD35" i="40"/>
  <c r="AS35" i="40"/>
  <c r="AH35" i="40"/>
  <c r="W35" i="40"/>
  <c r="L35" i="40"/>
  <c r="BD34" i="40"/>
  <c r="AS34" i="40"/>
  <c r="AH34" i="40"/>
  <c r="W34" i="40"/>
  <c r="L34" i="40"/>
  <c r="BD33" i="40"/>
  <c r="AS33" i="40"/>
  <c r="AH33" i="40"/>
  <c r="W33" i="40"/>
  <c r="L33" i="40"/>
  <c r="BD32" i="40"/>
  <c r="AS32" i="40"/>
  <c r="AH32" i="40"/>
  <c r="W32" i="40"/>
  <c r="L32" i="40"/>
  <c r="BD31" i="40"/>
  <c r="AS31" i="40"/>
  <c r="AH31" i="40"/>
  <c r="W31" i="40"/>
  <c r="L31" i="40"/>
  <c r="BD30" i="40"/>
  <c r="AS30" i="40"/>
  <c r="AH30" i="40"/>
  <c r="W30" i="40"/>
  <c r="L30" i="40"/>
  <c r="BD29" i="40"/>
  <c r="AS29" i="40"/>
  <c r="AH29" i="40"/>
  <c r="W29" i="40"/>
  <c r="L29" i="40"/>
  <c r="BD28" i="40"/>
  <c r="AS28" i="40"/>
  <c r="AH28" i="40"/>
  <c r="W28" i="40"/>
  <c r="L28" i="40"/>
  <c r="BD27" i="40"/>
  <c r="AS27" i="40"/>
  <c r="AH27" i="40"/>
  <c r="W27" i="40"/>
  <c r="L27" i="40"/>
  <c r="BD26" i="40"/>
  <c r="AS26" i="40"/>
  <c r="AH26" i="40"/>
  <c r="W26" i="40"/>
  <c r="L26" i="40"/>
  <c r="BD25" i="40"/>
  <c r="AS25" i="40"/>
  <c r="AH25" i="40"/>
  <c r="W25" i="40"/>
  <c r="L25" i="40"/>
  <c r="BD24" i="40"/>
  <c r="AS24" i="40"/>
  <c r="AH24" i="40"/>
  <c r="W24" i="40"/>
  <c r="L24" i="40"/>
  <c r="BD23" i="40"/>
  <c r="AS23" i="40"/>
  <c r="AH23" i="40"/>
  <c r="W23" i="40"/>
  <c r="L23" i="40"/>
  <c r="BD22" i="40"/>
  <c r="AS22" i="40"/>
  <c r="AH22" i="40"/>
  <c r="W22" i="40"/>
  <c r="L22" i="40"/>
  <c r="BD21" i="40"/>
  <c r="AS21" i="40"/>
  <c r="AH21" i="40"/>
  <c r="W21" i="40"/>
  <c r="L21" i="40"/>
  <c r="BD20" i="40"/>
  <c r="AS20" i="40"/>
  <c r="AH20" i="40"/>
  <c r="W20" i="40"/>
  <c r="L20" i="40"/>
  <c r="BD19" i="40"/>
  <c r="AS19" i="40"/>
  <c r="AH19" i="40"/>
  <c r="W19" i="40"/>
  <c r="L19" i="40"/>
  <c r="BD18" i="40"/>
  <c r="AS18" i="40"/>
  <c r="AH18" i="40"/>
  <c r="W18" i="40"/>
  <c r="L18" i="40"/>
  <c r="BD17" i="40"/>
  <c r="AS17" i="40"/>
  <c r="AH17" i="40"/>
  <c r="W17" i="40"/>
  <c r="L17" i="40"/>
  <c r="BD16" i="40"/>
  <c r="AS16" i="40"/>
  <c r="AH16" i="40"/>
  <c r="W16" i="40"/>
  <c r="L16" i="40"/>
  <c r="BD15" i="40"/>
  <c r="AS15" i="40"/>
  <c r="AH15" i="40"/>
  <c r="W15" i="40"/>
  <c r="L15" i="40"/>
  <c r="BD14" i="40"/>
  <c r="AS14" i="40"/>
  <c r="AH14" i="40"/>
  <c r="W14" i="40"/>
  <c r="L14" i="40"/>
  <c r="BD13" i="40"/>
  <c r="AS13" i="40"/>
  <c r="AH13" i="40"/>
  <c r="W13" i="40"/>
  <c r="L13" i="40"/>
  <c r="BD12" i="40"/>
  <c r="AS12" i="40"/>
  <c r="AH12" i="40"/>
  <c r="W12" i="40"/>
  <c r="L12" i="40"/>
  <c r="BD11" i="40"/>
  <c r="AS11" i="40"/>
  <c r="AH11" i="40"/>
  <c r="W11" i="40"/>
  <c r="L11" i="40"/>
  <c r="BD10" i="40"/>
  <c r="AS10" i="40"/>
  <c r="AH10" i="40"/>
  <c r="W10" i="40"/>
  <c r="L10" i="40"/>
  <c r="BD9" i="40"/>
  <c r="AS9" i="40"/>
  <c r="AH9" i="40"/>
  <c r="W9" i="40"/>
  <c r="L9" i="40"/>
  <c r="BD8" i="40"/>
  <c r="AS8" i="40"/>
  <c r="AH8" i="40"/>
  <c r="W8" i="40"/>
  <c r="L8" i="40"/>
  <c r="BD7" i="40"/>
  <c r="AS7" i="40"/>
  <c r="AH7" i="40"/>
  <c r="W7" i="40"/>
  <c r="L7" i="40"/>
  <c r="BD6" i="40"/>
  <c r="AS6" i="40"/>
  <c r="AH6" i="40"/>
  <c r="W6" i="40"/>
  <c r="L6" i="40"/>
  <c r="BD5" i="40"/>
  <c r="AS5" i="40"/>
  <c r="AH5" i="40"/>
  <c r="W5" i="40"/>
  <c r="L5" i="40"/>
  <c r="BD4" i="40"/>
  <c r="AS4" i="40"/>
  <c r="AH4" i="40"/>
  <c r="W4" i="40"/>
  <c r="L4" i="40"/>
  <c r="BD3" i="40"/>
  <c r="AS3" i="40"/>
  <c r="AH3" i="40"/>
  <c r="W3" i="40"/>
  <c r="L3" i="40"/>
  <c r="BD2" i="40"/>
  <c r="AS2" i="40"/>
  <c r="AH2" i="40"/>
  <c r="W2" i="40"/>
  <c r="L2" i="40"/>
  <c r="BD3" i="38" l="1"/>
  <c r="BD4" i="38"/>
  <c r="BD5" i="38"/>
  <c r="BD6" i="38"/>
  <c r="BD7" i="38"/>
  <c r="BD8" i="38"/>
  <c r="BD9" i="38"/>
  <c r="BD10" i="38"/>
  <c r="BD11" i="38"/>
  <c r="BD12" i="38"/>
  <c r="BD13" i="38"/>
  <c r="BD14" i="38"/>
  <c r="BD15" i="38"/>
  <c r="BD16" i="38"/>
  <c r="BD17" i="38"/>
  <c r="BD18" i="38"/>
  <c r="BD19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33" i="38"/>
  <c r="BD34" i="38"/>
  <c r="BD35" i="38"/>
  <c r="BD36" i="38"/>
  <c r="BD37" i="38"/>
  <c r="BD38" i="38"/>
  <c r="BD39" i="38"/>
  <c r="BD40" i="38"/>
  <c r="BD41" i="38"/>
  <c r="BD42" i="38"/>
  <c r="BD43" i="38"/>
  <c r="BD44" i="38"/>
  <c r="BD45" i="38"/>
  <c r="BD46" i="38"/>
  <c r="BD47" i="38"/>
  <c r="BD48" i="38"/>
  <c r="BD49" i="38"/>
  <c r="BD50" i="38"/>
  <c r="BD51" i="38"/>
  <c r="AS3" i="38"/>
  <c r="AS4" i="38"/>
  <c r="AS5" i="38"/>
  <c r="AS6" i="38"/>
  <c r="AS7" i="38"/>
  <c r="AS8" i="38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36" i="38"/>
  <c r="AS37" i="38"/>
  <c r="AS38" i="38"/>
  <c r="AS39" i="38"/>
  <c r="AS40" i="38"/>
  <c r="AS41" i="38"/>
  <c r="AS42" i="38"/>
  <c r="AS43" i="38"/>
  <c r="AS44" i="38"/>
  <c r="AS45" i="38"/>
  <c r="AS46" i="38"/>
  <c r="AS47" i="38"/>
  <c r="AS48" i="38"/>
  <c r="AS49" i="38"/>
  <c r="AS50" i="38"/>
  <c r="AS51" i="38"/>
  <c r="AH3" i="38"/>
  <c r="AH4" i="38"/>
  <c r="AH5" i="38"/>
  <c r="AH6" i="38"/>
  <c r="AH7" i="38"/>
  <c r="AH8" i="38"/>
  <c r="AH9" i="38"/>
  <c r="AH10" i="38"/>
  <c r="AH11" i="38"/>
  <c r="AH12" i="38"/>
  <c r="AH13" i="38"/>
  <c r="AH14" i="38"/>
  <c r="AH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28" i="38"/>
  <c r="AH29" i="38"/>
  <c r="AH30" i="38"/>
  <c r="AH31" i="38"/>
  <c r="AH32" i="38"/>
  <c r="AH33" i="38"/>
  <c r="AH34" i="38"/>
  <c r="AH35" i="38"/>
  <c r="AH36" i="38"/>
  <c r="AH37" i="38"/>
  <c r="AH38" i="38"/>
  <c r="AH39" i="38"/>
  <c r="AH40" i="38"/>
  <c r="AH41" i="38"/>
  <c r="AH42" i="38"/>
  <c r="AH43" i="38"/>
  <c r="AH44" i="38"/>
  <c r="AH45" i="38"/>
  <c r="AH46" i="38"/>
  <c r="AH47" i="38"/>
  <c r="AH48" i="38"/>
  <c r="AH49" i="38"/>
  <c r="AH50" i="38"/>
  <c r="AH51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L3" i="38" l="1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A3" i="38"/>
  <c r="A4" i="38"/>
  <c r="A5" i="38"/>
  <c r="A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O27" i="4" l="1"/>
  <c r="DS6" i="4"/>
  <c r="DS7" i="4"/>
  <c r="DS8" i="4"/>
  <c r="DS9" i="4"/>
  <c r="DS10" i="4"/>
  <c r="DS11" i="4"/>
  <c r="DS12" i="4"/>
  <c r="DS13" i="4"/>
  <c r="DS14" i="4"/>
  <c r="DS15" i="4"/>
  <c r="DS16" i="4"/>
  <c r="DS17" i="4"/>
  <c r="DS18" i="4"/>
  <c r="DS19" i="4"/>
  <c r="DS20" i="4"/>
  <c r="DS21" i="4"/>
  <c r="DS22" i="4"/>
  <c r="DS23" i="4"/>
  <c r="DS24" i="4"/>
  <c r="DS25" i="4"/>
  <c r="DS26" i="4"/>
  <c r="DS27" i="4"/>
  <c r="DS28" i="4"/>
  <c r="DS29" i="4"/>
  <c r="DS30" i="4"/>
  <c r="DS31" i="4"/>
  <c r="DS32" i="4"/>
  <c r="DS33" i="4"/>
  <c r="DS34" i="4"/>
  <c r="DS35" i="4"/>
  <c r="DS36" i="4"/>
  <c r="DS37" i="4"/>
  <c r="DS38" i="4"/>
  <c r="DS39" i="4"/>
  <c r="DS40" i="4"/>
  <c r="DS41" i="4"/>
  <c r="DS42" i="4"/>
  <c r="DS43" i="4"/>
  <c r="DS44" i="4"/>
  <c r="DS45" i="4"/>
  <c r="DS46" i="4"/>
  <c r="DS47" i="4"/>
  <c r="DS48" i="4"/>
  <c r="DS49" i="4"/>
  <c r="DS50" i="4"/>
  <c r="DS51" i="4"/>
  <c r="DS52" i="4"/>
  <c r="DS53" i="4"/>
  <c r="DS54" i="4"/>
  <c r="DT6" i="4"/>
  <c r="DT7" i="4"/>
  <c r="DT8" i="4"/>
  <c r="DT9" i="4"/>
  <c r="DT10" i="4"/>
  <c r="DT11" i="4"/>
  <c r="DT12" i="4"/>
  <c r="DT13" i="4"/>
  <c r="DT14" i="4"/>
  <c r="DT15" i="4"/>
  <c r="DT16" i="4"/>
  <c r="DT17" i="4"/>
  <c r="DT18" i="4"/>
  <c r="DT19" i="4"/>
  <c r="DT20" i="4"/>
  <c r="DT21" i="4"/>
  <c r="DT22" i="4"/>
  <c r="DT23" i="4"/>
  <c r="DT24" i="4"/>
  <c r="DT25" i="4"/>
  <c r="DT26" i="4"/>
  <c r="DT27" i="4"/>
  <c r="DT28" i="4"/>
  <c r="DT29" i="4"/>
  <c r="DT30" i="4"/>
  <c r="DT31" i="4"/>
  <c r="DT32" i="4"/>
  <c r="DT33" i="4"/>
  <c r="DT34" i="4"/>
  <c r="DT35" i="4"/>
  <c r="DT36" i="4"/>
  <c r="DT37" i="4"/>
  <c r="DT38" i="4"/>
  <c r="DT39" i="4"/>
  <c r="DT40" i="4"/>
  <c r="DT41" i="4"/>
  <c r="DT42" i="4"/>
  <c r="DT43" i="4"/>
  <c r="DT44" i="4"/>
  <c r="DT45" i="4"/>
  <c r="DT46" i="4"/>
  <c r="DT47" i="4"/>
  <c r="DT48" i="4"/>
  <c r="DT49" i="4"/>
  <c r="DT50" i="4"/>
  <c r="DT51" i="4"/>
  <c r="DT52" i="4"/>
  <c r="DT53" i="4"/>
  <c r="DT54" i="4"/>
  <c r="CL6" i="4"/>
  <c r="CL7" i="4"/>
  <c r="CL8" i="4"/>
  <c r="CL9" i="4"/>
  <c r="CL10" i="4"/>
  <c r="CL11" i="4"/>
  <c r="CL12" i="4"/>
  <c r="CL13" i="4"/>
  <c r="CL5" i="4"/>
  <c r="CK6" i="4"/>
  <c r="CK7" i="4"/>
  <c r="CK8" i="4"/>
  <c r="CK9" i="4"/>
  <c r="CK10" i="4"/>
  <c r="CK11" i="4"/>
  <c r="CK12" i="4"/>
  <c r="CK13" i="4"/>
  <c r="CK5" i="4"/>
  <c r="CQ6" i="4"/>
  <c r="CQ7" i="4"/>
  <c r="CQ8" i="4"/>
  <c r="CQ9" i="4"/>
  <c r="CQ10" i="4"/>
  <c r="CQ11" i="4"/>
  <c r="CQ12" i="4"/>
  <c r="CQ13" i="4"/>
  <c r="CQ14" i="4"/>
  <c r="CQ15" i="4"/>
  <c r="CQ16" i="4"/>
  <c r="CQ17" i="4"/>
  <c r="CQ18" i="4"/>
  <c r="CQ19" i="4"/>
  <c r="CQ20" i="4"/>
  <c r="CQ21" i="4"/>
  <c r="CQ22" i="4"/>
  <c r="CQ23" i="4"/>
  <c r="CQ24" i="4"/>
  <c r="CQ25" i="4"/>
  <c r="CQ26" i="4"/>
  <c r="CQ27" i="4"/>
  <c r="CQ28" i="4"/>
  <c r="CQ29" i="4"/>
  <c r="CQ30" i="4"/>
  <c r="CQ31" i="4"/>
  <c r="CQ32" i="4"/>
  <c r="CQ33" i="4"/>
  <c r="CQ34" i="4"/>
  <c r="CQ35" i="4"/>
  <c r="CQ36" i="4"/>
  <c r="CQ37" i="4"/>
  <c r="CQ38" i="4"/>
  <c r="CQ39" i="4"/>
  <c r="CQ40" i="4"/>
  <c r="CQ41" i="4"/>
  <c r="CQ42" i="4"/>
  <c r="CQ43" i="4"/>
  <c r="CQ44" i="4"/>
  <c r="CQ45" i="4"/>
  <c r="CQ46" i="4"/>
  <c r="CQ47" i="4"/>
  <c r="CQ48" i="4"/>
  <c r="CQ49" i="4"/>
  <c r="CQ50" i="4"/>
  <c r="CQ51" i="4"/>
  <c r="CQ52" i="4"/>
  <c r="CQ53" i="4"/>
  <c r="CO20" i="4"/>
  <c r="CO21" i="4"/>
  <c r="CO22" i="4"/>
  <c r="CO23" i="4"/>
  <c r="CO24" i="4"/>
  <c r="CO25" i="4"/>
  <c r="CO6" i="4"/>
  <c r="CO7" i="4"/>
  <c r="CO8" i="4"/>
  <c r="CO9" i="4"/>
  <c r="CO10" i="4"/>
  <c r="CO11" i="4"/>
  <c r="CO12" i="4"/>
  <c r="CO13" i="4"/>
  <c r="CO14" i="4"/>
  <c r="CO15" i="4"/>
  <c r="CO16" i="4"/>
  <c r="CO17" i="4"/>
  <c r="CO18" i="4"/>
  <c r="CO19" i="4"/>
  <c r="CN23" i="4"/>
  <c r="CN22" i="4"/>
  <c r="CN21" i="4"/>
  <c r="CN20" i="4"/>
  <c r="CN19" i="4"/>
  <c r="CN18" i="4"/>
  <c r="CN17" i="4"/>
  <c r="CN16" i="4"/>
  <c r="CN15" i="4"/>
  <c r="R453" i="4" l="1"/>
  <c r="R444" i="4"/>
  <c r="R435" i="4"/>
  <c r="R426" i="4"/>
  <c r="R417" i="4"/>
  <c r="R408" i="4"/>
  <c r="R399" i="4"/>
  <c r="R390" i="4"/>
  <c r="R381" i="4"/>
  <c r="R372" i="4"/>
  <c r="R363" i="4"/>
  <c r="R354" i="4"/>
  <c r="R345" i="4"/>
  <c r="R336" i="4"/>
  <c r="R327" i="4"/>
  <c r="R318" i="4"/>
  <c r="R309" i="4"/>
  <c r="R300" i="4"/>
  <c r="R291" i="4"/>
  <c r="R282" i="4"/>
  <c r="R273" i="4"/>
  <c r="R264" i="4"/>
  <c r="R255" i="4"/>
  <c r="R246" i="4"/>
  <c r="R237" i="4"/>
  <c r="R228" i="4"/>
  <c r="R219" i="4"/>
  <c r="R210" i="4"/>
  <c r="S168" i="4"/>
  <c r="S169" i="4"/>
  <c r="S170" i="4"/>
  <c r="S171" i="4"/>
  <c r="S172" i="4"/>
  <c r="S173" i="4"/>
  <c r="S174" i="4"/>
  <c r="S175" i="4"/>
  <c r="S167" i="4"/>
  <c r="R175" i="4"/>
  <c r="R168" i="4"/>
  <c r="R169" i="4"/>
  <c r="R170" i="4"/>
  <c r="R171" i="4"/>
  <c r="R172" i="4"/>
  <c r="R173" i="4"/>
  <c r="R174" i="4"/>
  <c r="R167" i="4"/>
  <c r="R156" i="4"/>
  <c r="S141" i="4"/>
  <c r="S142" i="4"/>
  <c r="S143" i="4"/>
  <c r="S144" i="4"/>
  <c r="S145" i="4"/>
  <c r="S146" i="4"/>
  <c r="S147" i="4"/>
  <c r="S148" i="4"/>
  <c r="S140" i="4"/>
  <c r="R148" i="4"/>
  <c r="R141" i="4"/>
  <c r="R142" i="4"/>
  <c r="R143" i="4"/>
  <c r="R144" i="4"/>
  <c r="R145" i="4"/>
  <c r="R146" i="4"/>
  <c r="R147" i="4"/>
  <c r="R140" i="4"/>
  <c r="S132" i="4"/>
  <c r="S133" i="4"/>
  <c r="S134" i="4"/>
  <c r="S135" i="4"/>
  <c r="S136" i="4"/>
  <c r="S137" i="4"/>
  <c r="S138" i="4"/>
  <c r="S139" i="4"/>
  <c r="S131" i="4"/>
  <c r="R139" i="4"/>
  <c r="R132" i="4"/>
  <c r="R133" i="4"/>
  <c r="R134" i="4"/>
  <c r="R135" i="4"/>
  <c r="R136" i="4"/>
  <c r="R137" i="4"/>
  <c r="R138" i="4"/>
  <c r="R131" i="4"/>
  <c r="R130" i="4"/>
  <c r="S123" i="4"/>
  <c r="S124" i="4"/>
  <c r="S125" i="4"/>
  <c r="S126" i="4"/>
  <c r="S127" i="4"/>
  <c r="S128" i="4"/>
  <c r="S129" i="4"/>
  <c r="S130" i="4"/>
  <c r="S122" i="4"/>
  <c r="R123" i="4"/>
  <c r="R124" i="4"/>
  <c r="R125" i="4"/>
  <c r="R126" i="4"/>
  <c r="R127" i="4"/>
  <c r="R128" i="4"/>
  <c r="R129" i="4"/>
  <c r="R122" i="4"/>
  <c r="R93" i="4"/>
  <c r="R84" i="4"/>
  <c r="R75" i="4"/>
  <c r="R66" i="4"/>
  <c r="R57" i="4"/>
  <c r="R48" i="4"/>
  <c r="R39" i="4"/>
  <c r="R30" i="4"/>
  <c r="R31" i="4"/>
  <c r="R21" i="4"/>
  <c r="R22" i="4"/>
  <c r="R12" i="4"/>
  <c r="R121" i="4"/>
  <c r="S114" i="4"/>
  <c r="S115" i="4"/>
  <c r="S116" i="4"/>
  <c r="S117" i="4"/>
  <c r="S118" i="4"/>
  <c r="S119" i="4"/>
  <c r="S120" i="4"/>
  <c r="S121" i="4"/>
  <c r="R114" i="4"/>
  <c r="R115" i="4"/>
  <c r="R116" i="4"/>
  <c r="R117" i="4"/>
  <c r="R118" i="4"/>
  <c r="R119" i="4"/>
  <c r="R120" i="4"/>
  <c r="S113" i="4"/>
  <c r="R113" i="4"/>
  <c r="R112" i="4"/>
  <c r="R105" i="4"/>
  <c r="R106" i="4"/>
  <c r="R107" i="4"/>
  <c r="R108" i="4"/>
  <c r="R109" i="4"/>
  <c r="R110" i="4"/>
  <c r="R111" i="4"/>
  <c r="S105" i="4"/>
  <c r="S106" i="4"/>
  <c r="S107" i="4"/>
  <c r="S108" i="4"/>
  <c r="S109" i="4"/>
  <c r="S110" i="4"/>
  <c r="S111" i="4"/>
  <c r="S112" i="4"/>
  <c r="S104" i="4"/>
  <c r="R104" i="4"/>
  <c r="R103" i="4"/>
  <c r="S96" i="4"/>
  <c r="S97" i="4"/>
  <c r="S98" i="4"/>
  <c r="S99" i="4"/>
  <c r="S100" i="4"/>
  <c r="S101" i="4"/>
  <c r="S102" i="4"/>
  <c r="S103" i="4"/>
  <c r="S95" i="4"/>
  <c r="R96" i="4"/>
  <c r="R97" i="4"/>
  <c r="R98" i="4"/>
  <c r="R99" i="4"/>
  <c r="R100" i="4"/>
  <c r="R101" i="4"/>
  <c r="R102" i="4"/>
  <c r="R95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I167" i="4"/>
  <c r="H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C167" i="4"/>
  <c r="B167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I140" i="4"/>
  <c r="H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C140" i="4"/>
  <c r="B140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I131" i="4"/>
  <c r="H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C131" i="4"/>
  <c r="B131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I122" i="4"/>
  <c r="H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C122" i="4"/>
  <c r="B122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I113" i="4"/>
  <c r="H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C113" i="4"/>
  <c r="B113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I104" i="4"/>
  <c r="H104" i="4"/>
  <c r="C104" i="4"/>
  <c r="B104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I95" i="4"/>
  <c r="H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C95" i="4"/>
  <c r="B95" i="4"/>
  <c r="O202" i="4"/>
  <c r="O95" i="4"/>
  <c r="DK13" i="4"/>
  <c r="DJ13" i="4"/>
  <c r="DI13" i="4"/>
  <c r="DH13" i="4"/>
  <c r="Q103" i="4"/>
  <c r="O103" i="4"/>
  <c r="S94" i="4"/>
  <c r="R94" i="4"/>
  <c r="Q94" i="4"/>
  <c r="O94" i="4"/>
  <c r="I94" i="4"/>
  <c r="H94" i="4"/>
  <c r="C94" i="4"/>
  <c r="B94" i="4"/>
  <c r="B14" i="4"/>
  <c r="B15" i="4"/>
  <c r="B16" i="4"/>
  <c r="B17" i="4"/>
  <c r="B18" i="4"/>
  <c r="B19" i="4"/>
  <c r="B20" i="4"/>
  <c r="B21" i="4"/>
  <c r="B22" i="4"/>
  <c r="S454" i="4"/>
  <c r="R454" i="4"/>
  <c r="Q454" i="4"/>
  <c r="O454" i="4"/>
  <c r="I454" i="4"/>
  <c r="H454" i="4"/>
  <c r="C454" i="4"/>
  <c r="B454" i="4"/>
  <c r="S445" i="4"/>
  <c r="R445" i="4"/>
  <c r="Q445" i="4"/>
  <c r="O445" i="4"/>
  <c r="I445" i="4"/>
  <c r="H445" i="4"/>
  <c r="C445" i="4"/>
  <c r="B445" i="4"/>
  <c r="S436" i="4"/>
  <c r="R436" i="4"/>
  <c r="Q436" i="4"/>
  <c r="O436" i="4"/>
  <c r="I436" i="4"/>
  <c r="H436" i="4"/>
  <c r="C436" i="4"/>
  <c r="B436" i="4"/>
  <c r="S427" i="4"/>
  <c r="R427" i="4"/>
  <c r="Q427" i="4"/>
  <c r="O427" i="4"/>
  <c r="I427" i="4"/>
  <c r="H427" i="4"/>
  <c r="C427" i="4"/>
  <c r="B427" i="4"/>
  <c r="S418" i="4"/>
  <c r="R418" i="4"/>
  <c r="Q418" i="4"/>
  <c r="O418" i="4"/>
  <c r="I418" i="4"/>
  <c r="H418" i="4"/>
  <c r="C418" i="4"/>
  <c r="B418" i="4"/>
  <c r="S409" i="4"/>
  <c r="R409" i="4"/>
  <c r="Q409" i="4"/>
  <c r="O409" i="4"/>
  <c r="I409" i="4"/>
  <c r="H409" i="4"/>
  <c r="C409" i="4"/>
  <c r="B409" i="4"/>
  <c r="S400" i="4"/>
  <c r="R400" i="4"/>
  <c r="Q400" i="4"/>
  <c r="O400" i="4"/>
  <c r="I400" i="4"/>
  <c r="H400" i="4"/>
  <c r="C400" i="4"/>
  <c r="B400" i="4"/>
  <c r="S391" i="4"/>
  <c r="R391" i="4"/>
  <c r="Q391" i="4"/>
  <c r="O391" i="4"/>
  <c r="I391" i="4"/>
  <c r="H391" i="4"/>
  <c r="C391" i="4"/>
  <c r="B391" i="4"/>
  <c r="S382" i="4"/>
  <c r="R382" i="4"/>
  <c r="Q382" i="4"/>
  <c r="O382" i="4"/>
  <c r="I382" i="4"/>
  <c r="H382" i="4"/>
  <c r="C382" i="4"/>
  <c r="B382" i="4"/>
  <c r="S373" i="4"/>
  <c r="R373" i="4"/>
  <c r="Q373" i="4"/>
  <c r="O373" i="4"/>
  <c r="I373" i="4"/>
  <c r="H373" i="4"/>
  <c r="C373" i="4"/>
  <c r="B373" i="4"/>
  <c r="S364" i="4"/>
  <c r="R364" i="4"/>
  <c r="Q364" i="4"/>
  <c r="O364" i="4"/>
  <c r="I364" i="4"/>
  <c r="H364" i="4"/>
  <c r="C364" i="4"/>
  <c r="B364" i="4"/>
  <c r="S355" i="4"/>
  <c r="R355" i="4"/>
  <c r="Q355" i="4"/>
  <c r="O355" i="4"/>
  <c r="I355" i="4"/>
  <c r="H355" i="4"/>
  <c r="C355" i="4"/>
  <c r="B355" i="4"/>
  <c r="S346" i="4"/>
  <c r="R346" i="4"/>
  <c r="Q346" i="4"/>
  <c r="O346" i="4"/>
  <c r="I346" i="4"/>
  <c r="H346" i="4"/>
  <c r="C346" i="4"/>
  <c r="B346" i="4"/>
  <c r="S337" i="4"/>
  <c r="R337" i="4"/>
  <c r="Q337" i="4"/>
  <c r="O337" i="4"/>
  <c r="I337" i="4"/>
  <c r="H337" i="4"/>
  <c r="C337" i="4"/>
  <c r="B337" i="4"/>
  <c r="S328" i="4"/>
  <c r="R328" i="4"/>
  <c r="Q328" i="4"/>
  <c r="O328" i="4"/>
  <c r="I328" i="4"/>
  <c r="H328" i="4"/>
  <c r="C328" i="4"/>
  <c r="B328" i="4"/>
  <c r="S319" i="4"/>
  <c r="R319" i="4"/>
  <c r="Q319" i="4"/>
  <c r="O319" i="4"/>
  <c r="I319" i="4"/>
  <c r="H319" i="4"/>
  <c r="C319" i="4"/>
  <c r="B319" i="4"/>
  <c r="S310" i="4"/>
  <c r="R310" i="4"/>
  <c r="Q310" i="4"/>
  <c r="O310" i="4"/>
  <c r="I310" i="4"/>
  <c r="H310" i="4"/>
  <c r="C310" i="4"/>
  <c r="B310" i="4"/>
  <c r="S301" i="4"/>
  <c r="R301" i="4"/>
  <c r="Q301" i="4"/>
  <c r="O301" i="4"/>
  <c r="I301" i="4"/>
  <c r="H301" i="4"/>
  <c r="C301" i="4"/>
  <c r="B301" i="4"/>
  <c r="S292" i="4"/>
  <c r="R292" i="4"/>
  <c r="Q292" i="4"/>
  <c r="O292" i="4"/>
  <c r="I292" i="4"/>
  <c r="H292" i="4"/>
  <c r="C292" i="4"/>
  <c r="B292" i="4"/>
  <c r="S283" i="4"/>
  <c r="R283" i="4"/>
  <c r="Q283" i="4"/>
  <c r="O283" i="4"/>
  <c r="I283" i="4"/>
  <c r="H283" i="4"/>
  <c r="C283" i="4"/>
  <c r="B283" i="4"/>
  <c r="S274" i="4"/>
  <c r="R274" i="4"/>
  <c r="Q274" i="4"/>
  <c r="O274" i="4"/>
  <c r="I274" i="4"/>
  <c r="H274" i="4"/>
  <c r="C274" i="4"/>
  <c r="B274" i="4"/>
  <c r="S265" i="4"/>
  <c r="R265" i="4"/>
  <c r="Q265" i="4"/>
  <c r="O265" i="4"/>
  <c r="I265" i="4"/>
  <c r="H265" i="4"/>
  <c r="C265" i="4"/>
  <c r="B265" i="4"/>
  <c r="S256" i="4"/>
  <c r="R256" i="4"/>
  <c r="Q256" i="4"/>
  <c r="O256" i="4"/>
  <c r="I256" i="4"/>
  <c r="H256" i="4"/>
  <c r="C256" i="4"/>
  <c r="B256" i="4"/>
  <c r="S247" i="4"/>
  <c r="R247" i="4"/>
  <c r="Q247" i="4"/>
  <c r="O247" i="4"/>
  <c r="I247" i="4"/>
  <c r="H247" i="4"/>
  <c r="C247" i="4"/>
  <c r="B247" i="4"/>
  <c r="S238" i="4"/>
  <c r="R238" i="4"/>
  <c r="Q238" i="4"/>
  <c r="O238" i="4"/>
  <c r="I238" i="4"/>
  <c r="H238" i="4"/>
  <c r="C238" i="4"/>
  <c r="B238" i="4"/>
  <c r="S229" i="4"/>
  <c r="R229" i="4"/>
  <c r="Q229" i="4"/>
  <c r="O229" i="4"/>
  <c r="I229" i="4"/>
  <c r="H229" i="4"/>
  <c r="C229" i="4"/>
  <c r="B229" i="4"/>
  <c r="S220" i="4"/>
  <c r="R220" i="4"/>
  <c r="Q220" i="4"/>
  <c r="O220" i="4"/>
  <c r="I220" i="4"/>
  <c r="H220" i="4"/>
  <c r="C220" i="4"/>
  <c r="B220" i="4"/>
  <c r="S211" i="4"/>
  <c r="R211" i="4"/>
  <c r="Q211" i="4"/>
  <c r="O211" i="4"/>
  <c r="I211" i="4"/>
  <c r="H211" i="4"/>
  <c r="C211" i="4"/>
  <c r="B211" i="4"/>
  <c r="S202" i="4"/>
  <c r="R202" i="4"/>
  <c r="Q202" i="4"/>
  <c r="I202" i="4"/>
  <c r="H202" i="4"/>
  <c r="C202" i="4"/>
  <c r="B202" i="4"/>
  <c r="S193" i="4"/>
  <c r="R193" i="4"/>
  <c r="Q193" i="4"/>
  <c r="O193" i="4"/>
  <c r="I193" i="4"/>
  <c r="H193" i="4"/>
  <c r="C193" i="4"/>
  <c r="B193" i="4"/>
  <c r="S184" i="4"/>
  <c r="R184" i="4"/>
  <c r="Q184" i="4"/>
  <c r="O184" i="4"/>
  <c r="I184" i="4"/>
  <c r="H184" i="4"/>
  <c r="C184" i="4"/>
  <c r="B184" i="4"/>
  <c r="Q175" i="4"/>
  <c r="O175" i="4"/>
  <c r="S166" i="4"/>
  <c r="R166" i="4"/>
  <c r="Q166" i="4"/>
  <c r="O166" i="4"/>
  <c r="I166" i="4"/>
  <c r="H166" i="4"/>
  <c r="C166" i="4"/>
  <c r="B166" i="4"/>
  <c r="S157" i="4"/>
  <c r="R157" i="4"/>
  <c r="Q157" i="4"/>
  <c r="O157" i="4"/>
  <c r="I157" i="4"/>
  <c r="H157" i="4"/>
  <c r="C157" i="4"/>
  <c r="B157" i="4"/>
  <c r="Q148" i="4"/>
  <c r="O148" i="4"/>
  <c r="Q139" i="4"/>
  <c r="O139" i="4"/>
  <c r="Q130" i="4"/>
  <c r="O130" i="4"/>
  <c r="Q121" i="4"/>
  <c r="O121" i="4"/>
  <c r="Q112" i="4"/>
  <c r="O112" i="4"/>
  <c r="S85" i="4"/>
  <c r="R85" i="4"/>
  <c r="Q85" i="4"/>
  <c r="O85" i="4"/>
  <c r="I85" i="4"/>
  <c r="H85" i="4"/>
  <c r="C85" i="4"/>
  <c r="B85" i="4"/>
  <c r="S76" i="4"/>
  <c r="R76" i="4"/>
  <c r="Q76" i="4"/>
  <c r="O76" i="4"/>
  <c r="I76" i="4"/>
  <c r="H76" i="4"/>
  <c r="C76" i="4"/>
  <c r="B76" i="4"/>
  <c r="S67" i="4"/>
  <c r="R67" i="4"/>
  <c r="Q67" i="4"/>
  <c r="O67" i="4"/>
  <c r="I67" i="4"/>
  <c r="H67" i="4"/>
  <c r="C67" i="4"/>
  <c r="B67" i="4"/>
  <c r="S58" i="4"/>
  <c r="R58" i="4"/>
  <c r="Q58" i="4"/>
  <c r="O58" i="4"/>
  <c r="I58" i="4"/>
  <c r="H58" i="4"/>
  <c r="C58" i="4"/>
  <c r="B58" i="4"/>
  <c r="S49" i="4"/>
  <c r="R49" i="4"/>
  <c r="Q49" i="4"/>
  <c r="O49" i="4"/>
  <c r="I49" i="4"/>
  <c r="H49" i="4"/>
  <c r="C49" i="4"/>
  <c r="B49" i="4"/>
  <c r="Q40" i="4"/>
  <c r="S40" i="4"/>
  <c r="R40" i="4"/>
  <c r="O40" i="4"/>
  <c r="I40" i="4"/>
  <c r="H40" i="4"/>
  <c r="C40" i="4"/>
  <c r="B40" i="4"/>
  <c r="S31" i="4"/>
  <c r="Q31" i="4"/>
  <c r="O31" i="4"/>
  <c r="I31" i="4"/>
  <c r="H31" i="4"/>
  <c r="C31" i="4"/>
  <c r="B31" i="4"/>
  <c r="S22" i="4"/>
  <c r="Q22" i="4"/>
  <c r="S13" i="4"/>
  <c r="R13" i="4"/>
  <c r="Q13" i="4"/>
  <c r="O22" i="4"/>
  <c r="I22" i="4"/>
  <c r="H22" i="4"/>
  <c r="C22" i="4"/>
  <c r="O13" i="4"/>
  <c r="I13" i="4"/>
  <c r="H13" i="4"/>
  <c r="C13" i="4"/>
  <c r="B13" i="4"/>
  <c r="J26" i="39" l="1"/>
  <c r="N21" i="39" s="1"/>
  <c r="J48" i="39"/>
  <c r="N39" i="39" s="1"/>
  <c r="J70" i="39"/>
  <c r="N57" i="39" s="1"/>
  <c r="J92" i="39"/>
  <c r="N75" i="39" s="1"/>
  <c r="J114" i="39"/>
  <c r="N93" i="39" s="1"/>
  <c r="J136" i="39"/>
  <c r="N111" i="39" s="1"/>
  <c r="J16" i="39"/>
  <c r="N13" i="39" s="1"/>
  <c r="J38" i="39"/>
  <c r="N31" i="39" s="1"/>
  <c r="J60" i="39"/>
  <c r="N49" i="39" s="1"/>
  <c r="J82" i="39"/>
  <c r="N67" i="39" s="1"/>
  <c r="J104" i="39"/>
  <c r="N85" i="39" s="1"/>
  <c r="J126" i="39"/>
  <c r="N103" i="39" s="1"/>
  <c r="J14" i="39"/>
  <c r="N11" i="39" s="1"/>
  <c r="J21" i="39"/>
  <c r="N18" i="39" s="1"/>
  <c r="J19" i="39"/>
  <c r="N16" i="39" s="1"/>
  <c r="J17" i="39"/>
  <c r="N14" i="39" s="1"/>
  <c r="J15" i="39"/>
  <c r="N12" i="39" s="1"/>
  <c r="J33" i="39"/>
  <c r="N28" i="39" s="1"/>
  <c r="J31" i="39"/>
  <c r="N26" i="39" s="1"/>
  <c r="J29" i="39"/>
  <c r="N24" i="39" s="1"/>
  <c r="J27" i="39"/>
  <c r="N22" i="39" s="1"/>
  <c r="J36" i="39"/>
  <c r="N29" i="39" s="1"/>
  <c r="J43" i="39"/>
  <c r="N36" i="39" s="1"/>
  <c r="J41" i="39"/>
  <c r="N34" i="39" s="1"/>
  <c r="J39" i="39"/>
  <c r="N32" i="39" s="1"/>
  <c r="J37" i="39"/>
  <c r="N30" i="39" s="1"/>
  <c r="J55" i="39"/>
  <c r="N46" i="39" s="1"/>
  <c r="J53" i="39"/>
  <c r="N44" i="39" s="1"/>
  <c r="J51" i="39"/>
  <c r="N42" i="39" s="1"/>
  <c r="J49" i="39"/>
  <c r="N40" i="39" s="1"/>
  <c r="J58" i="39"/>
  <c r="N47" i="39" s="1"/>
  <c r="J65" i="39"/>
  <c r="N54" i="39" s="1"/>
  <c r="J63" i="39"/>
  <c r="N52" i="39" s="1"/>
  <c r="J61" i="39"/>
  <c r="N50" i="39" s="1"/>
  <c r="J59" i="39"/>
  <c r="N48" i="39" s="1"/>
  <c r="J77" i="39"/>
  <c r="N64" i="39" s="1"/>
  <c r="J75" i="39"/>
  <c r="N62" i="39" s="1"/>
  <c r="J73" i="39"/>
  <c r="N60" i="39" s="1"/>
  <c r="J71" i="39"/>
  <c r="N58" i="39" s="1"/>
  <c r="J80" i="39"/>
  <c r="N65" i="39" s="1"/>
  <c r="J87" i="39"/>
  <c r="N72" i="39" s="1"/>
  <c r="J85" i="39"/>
  <c r="N70" i="39" s="1"/>
  <c r="J83" i="39"/>
  <c r="N68" i="39" s="1"/>
  <c r="J81" i="39"/>
  <c r="N66" i="39" s="1"/>
  <c r="J99" i="39"/>
  <c r="N82" i="39" s="1"/>
  <c r="J97" i="39"/>
  <c r="N80" i="39" s="1"/>
  <c r="J95" i="39"/>
  <c r="N78" i="39" s="1"/>
  <c r="J93" i="39"/>
  <c r="N76" i="39" s="1"/>
  <c r="J102" i="39"/>
  <c r="N83" i="39" s="1"/>
  <c r="J109" i="39"/>
  <c r="N90" i="39" s="1"/>
  <c r="J107" i="39"/>
  <c r="N88" i="39" s="1"/>
  <c r="J105" i="39"/>
  <c r="N86" i="39" s="1"/>
  <c r="J103" i="39"/>
  <c r="N84" i="39" s="1"/>
  <c r="J121" i="39"/>
  <c r="N100" i="39" s="1"/>
  <c r="J119" i="39"/>
  <c r="N98" i="39" s="1"/>
  <c r="J117" i="39"/>
  <c r="N96" i="39" s="1"/>
  <c r="J115" i="39"/>
  <c r="N94" i="39" s="1"/>
  <c r="J124" i="39"/>
  <c r="N101" i="39" s="1"/>
  <c r="J131" i="39"/>
  <c r="N108" i="39" s="1"/>
  <c r="J129" i="39"/>
  <c r="N106" i="39" s="1"/>
  <c r="J127" i="39"/>
  <c r="N104" i="39" s="1"/>
  <c r="J125" i="39"/>
  <c r="N102" i="39" s="1"/>
  <c r="J143" i="39"/>
  <c r="N118" i="39" s="1"/>
  <c r="J141" i="39"/>
  <c r="N116" i="39" s="1"/>
  <c r="J139" i="39"/>
  <c r="N114" i="39" s="1"/>
  <c r="J137" i="39"/>
  <c r="N112" i="39" s="1"/>
  <c r="J22" i="39"/>
  <c r="N19" i="39" s="1"/>
  <c r="J20" i="39"/>
  <c r="J18" i="39"/>
  <c r="N15" i="39" s="1"/>
  <c r="J25" i="39"/>
  <c r="N20" i="39" s="1"/>
  <c r="J32" i="39"/>
  <c r="N27" i="39" s="1"/>
  <c r="J30" i="39"/>
  <c r="N25" i="39" s="1"/>
  <c r="J28" i="39"/>
  <c r="N23" i="39" s="1"/>
  <c r="J44" i="39"/>
  <c r="N37" i="39" s="1"/>
  <c r="J42" i="39"/>
  <c r="N35" i="39" s="1"/>
  <c r="J40" i="39"/>
  <c r="N33" i="39" s="1"/>
  <c r="J47" i="39"/>
  <c r="N38" i="39" s="1"/>
  <c r="J54" i="39"/>
  <c r="N45" i="39" s="1"/>
  <c r="J52" i="39"/>
  <c r="N43" i="39" s="1"/>
  <c r="J50" i="39"/>
  <c r="N41" i="39" s="1"/>
  <c r="J66" i="39"/>
  <c r="N55" i="39" s="1"/>
  <c r="J64" i="39"/>
  <c r="N53" i="39" s="1"/>
  <c r="J62" i="39"/>
  <c r="N51" i="39" s="1"/>
  <c r="J69" i="39"/>
  <c r="N56" i="39" s="1"/>
  <c r="J76" i="39"/>
  <c r="N63" i="39" s="1"/>
  <c r="J74" i="39"/>
  <c r="N61" i="39" s="1"/>
  <c r="J72" i="39"/>
  <c r="N59" i="39" s="1"/>
  <c r="J88" i="39"/>
  <c r="N73" i="39" s="1"/>
  <c r="J86" i="39"/>
  <c r="N71" i="39" s="1"/>
  <c r="J84" i="39"/>
  <c r="N69" i="39" s="1"/>
  <c r="J91" i="39"/>
  <c r="N74" i="39" s="1"/>
  <c r="J98" i="39"/>
  <c r="N81" i="39" s="1"/>
  <c r="J96" i="39"/>
  <c r="N79" i="39" s="1"/>
  <c r="J94" i="39"/>
  <c r="N77" i="39" s="1"/>
  <c r="J110" i="39"/>
  <c r="N91" i="39" s="1"/>
  <c r="J108" i="39"/>
  <c r="N89" i="39" s="1"/>
  <c r="J106" i="39"/>
  <c r="N87" i="39" s="1"/>
  <c r="J113" i="39"/>
  <c r="N92" i="39" s="1"/>
  <c r="J120" i="39"/>
  <c r="N99" i="39" s="1"/>
  <c r="J118" i="39"/>
  <c r="N97" i="39" s="1"/>
  <c r="J116" i="39"/>
  <c r="N95" i="39" s="1"/>
  <c r="J132" i="39"/>
  <c r="N109" i="39" s="1"/>
  <c r="J130" i="39"/>
  <c r="N107" i="39" s="1"/>
  <c r="J128" i="39"/>
  <c r="N105" i="39" s="1"/>
  <c r="J135" i="39"/>
  <c r="N110" i="39" s="1"/>
  <c r="J142" i="39"/>
  <c r="N117" i="39" s="1"/>
  <c r="J140" i="39"/>
  <c r="N115" i="39" s="1"/>
  <c r="J138" i="39"/>
  <c r="N113" i="39" s="1"/>
  <c r="J3" i="39"/>
  <c r="N2" i="39" s="1"/>
  <c r="D2" i="41" s="1"/>
  <c r="J10" i="39"/>
  <c r="N9" i="39" s="1"/>
  <c r="J8" i="39"/>
  <c r="N7" i="39" s="1"/>
  <c r="J6" i="39"/>
  <c r="N5" i="39" s="1"/>
  <c r="J4" i="39"/>
  <c r="N3" i="39" s="1"/>
  <c r="J11" i="39"/>
  <c r="N10" i="39" s="1"/>
  <c r="J9" i="39"/>
  <c r="N8" i="39" s="1"/>
  <c r="J7" i="39"/>
  <c r="N6" i="39" s="1"/>
  <c r="J5" i="39"/>
  <c r="N4" i="39" s="1"/>
  <c r="D4" i="41" l="1"/>
  <c r="I4" i="41" s="1"/>
  <c r="D8" i="41"/>
  <c r="M4" i="41" s="1"/>
  <c r="D3" i="41"/>
  <c r="H4" i="41" s="1"/>
  <c r="D7" i="41"/>
  <c r="L4" i="41" s="1"/>
  <c r="D6" i="41"/>
  <c r="K4" i="41" s="1"/>
  <c r="D10" i="41"/>
  <c r="O4" i="41" s="1"/>
  <c r="D5" i="41"/>
  <c r="J4" i="41" s="1"/>
  <c r="D9" i="41"/>
  <c r="N4" i="41" s="1"/>
  <c r="D113" i="41"/>
  <c r="J16" i="41" s="1"/>
  <c r="D117" i="41"/>
  <c r="N16" i="41" s="1"/>
  <c r="D105" i="41"/>
  <c r="K15" i="41" s="1"/>
  <c r="D109" i="41"/>
  <c r="O15" i="41" s="1"/>
  <c r="D97" i="41"/>
  <c r="L14" i="41" s="1"/>
  <c r="D92" i="41"/>
  <c r="G14" i="41" s="1"/>
  <c r="D89" i="41"/>
  <c r="M13" i="41" s="1"/>
  <c r="D77" i="41"/>
  <c r="J12" i="41" s="1"/>
  <c r="D81" i="41"/>
  <c r="N12" i="41" s="1"/>
  <c r="D69" i="41"/>
  <c r="K11" i="41" s="1"/>
  <c r="D73" i="41"/>
  <c r="O11" i="41" s="1"/>
  <c r="D61" i="41"/>
  <c r="L10" i="41" s="1"/>
  <c r="D56" i="41"/>
  <c r="G10" i="41" s="1"/>
  <c r="D53" i="41"/>
  <c r="M9" i="41" s="1"/>
  <c r="D41" i="41"/>
  <c r="J8" i="41" s="1"/>
  <c r="D45" i="41"/>
  <c r="N8" i="41" s="1"/>
  <c r="D33" i="41"/>
  <c r="K7" i="41" s="1"/>
  <c r="D37" i="41"/>
  <c r="O7" i="41" s="1"/>
  <c r="D25" i="41"/>
  <c r="L6" i="41" s="1"/>
  <c r="D20" i="41"/>
  <c r="G6" i="41" s="1"/>
  <c r="D112" i="41"/>
  <c r="I16" i="41" s="1"/>
  <c r="D116" i="41"/>
  <c r="M16" i="41" s="1"/>
  <c r="D102" i="41"/>
  <c r="H15" i="41" s="1"/>
  <c r="D106" i="41"/>
  <c r="L15" i="41" s="1"/>
  <c r="D101" i="41"/>
  <c r="G15" i="41" s="1"/>
  <c r="D96" i="41"/>
  <c r="K14" i="41" s="1"/>
  <c r="D100" i="41"/>
  <c r="O14" i="41" s="1"/>
  <c r="D86" i="41"/>
  <c r="J13" i="41" s="1"/>
  <c r="D90" i="41"/>
  <c r="N13" i="41" s="1"/>
  <c r="D76" i="41"/>
  <c r="I12" i="41" s="1"/>
  <c r="D80" i="41"/>
  <c r="M12" i="41" s="1"/>
  <c r="D66" i="41"/>
  <c r="H11" i="41" s="1"/>
  <c r="D70" i="41"/>
  <c r="L11" i="41" s="1"/>
  <c r="D65" i="41"/>
  <c r="G11" i="41" s="1"/>
  <c r="D60" i="41"/>
  <c r="K10" i="41" s="1"/>
  <c r="D64" i="41"/>
  <c r="O10" i="41" s="1"/>
  <c r="D50" i="41"/>
  <c r="J9" i="41" s="1"/>
  <c r="D54" i="41"/>
  <c r="N9" i="41" s="1"/>
  <c r="D40" i="41"/>
  <c r="I8" i="41" s="1"/>
  <c r="D44" i="41"/>
  <c r="M8" i="41" s="1"/>
  <c r="D30" i="41"/>
  <c r="H7" i="41" s="1"/>
  <c r="D34" i="41"/>
  <c r="L7" i="41" s="1"/>
  <c r="D29" i="41"/>
  <c r="G7" i="41" s="1"/>
  <c r="D24" i="41"/>
  <c r="D28" i="41"/>
  <c r="O6" i="41" s="1"/>
  <c r="D14" i="41"/>
  <c r="J5" i="41" s="1"/>
  <c r="D18" i="41"/>
  <c r="N5" i="41" s="1"/>
  <c r="D103" i="41"/>
  <c r="I15" i="41" s="1"/>
  <c r="D67" i="41"/>
  <c r="I11" i="41" s="1"/>
  <c r="D31" i="41"/>
  <c r="I7" i="41" s="1"/>
  <c r="D111" i="41"/>
  <c r="H16" i="41" s="1"/>
  <c r="D75" i="41"/>
  <c r="H12" i="41" s="1"/>
  <c r="D39" i="41"/>
  <c r="H8" i="41" s="1"/>
  <c r="D115" i="41"/>
  <c r="L16" i="41" s="1"/>
  <c r="D110" i="41"/>
  <c r="G16" i="41" s="1"/>
  <c r="D107" i="41"/>
  <c r="M15" i="41" s="1"/>
  <c r="D95" i="41"/>
  <c r="J14" i="41" s="1"/>
  <c r="D99" i="41"/>
  <c r="N14" i="41" s="1"/>
  <c r="D87" i="41"/>
  <c r="K13" i="41" s="1"/>
  <c r="D91" i="41"/>
  <c r="O13" i="41" s="1"/>
  <c r="D79" i="41"/>
  <c r="L12" i="41" s="1"/>
  <c r="D74" i="41"/>
  <c r="G12" i="41" s="1"/>
  <c r="D71" i="41"/>
  <c r="M11" i="41" s="1"/>
  <c r="D59" i="41"/>
  <c r="J10" i="41" s="1"/>
  <c r="D63" i="41"/>
  <c r="N10" i="41" s="1"/>
  <c r="D51" i="41"/>
  <c r="K9" i="41" s="1"/>
  <c r="D55" i="41"/>
  <c r="O9" i="41" s="1"/>
  <c r="D43" i="41"/>
  <c r="L8" i="41" s="1"/>
  <c r="D38" i="41"/>
  <c r="G8" i="41" s="1"/>
  <c r="D35" i="41"/>
  <c r="M7" i="41" s="1"/>
  <c r="D23" i="41"/>
  <c r="J6" i="41" s="1"/>
  <c r="D27" i="41"/>
  <c r="N6" i="41" s="1"/>
  <c r="D15" i="41"/>
  <c r="K5" i="41" s="1"/>
  <c r="D19" i="41"/>
  <c r="O5" i="41" s="1"/>
  <c r="D114" i="41"/>
  <c r="K16" i="41" s="1"/>
  <c r="D118" i="41"/>
  <c r="O16" i="41" s="1"/>
  <c r="D104" i="41"/>
  <c r="J15" i="41" s="1"/>
  <c r="D108" i="41"/>
  <c r="N15" i="41" s="1"/>
  <c r="D94" i="41"/>
  <c r="I14" i="41" s="1"/>
  <c r="D98" i="41"/>
  <c r="M14" i="41" s="1"/>
  <c r="D84" i="41"/>
  <c r="H13" i="41" s="1"/>
  <c r="D88" i="41"/>
  <c r="L13" i="41" s="1"/>
  <c r="D83" i="41"/>
  <c r="G13" i="41" s="1"/>
  <c r="D78" i="41"/>
  <c r="K12" i="41" s="1"/>
  <c r="D82" i="41"/>
  <c r="O12" i="41" s="1"/>
  <c r="D68" i="41"/>
  <c r="J11" i="41" s="1"/>
  <c r="D72" i="41"/>
  <c r="N11" i="41" s="1"/>
  <c r="D58" i="41"/>
  <c r="I10" i="41" s="1"/>
  <c r="D62" i="41"/>
  <c r="M10" i="41" s="1"/>
  <c r="D48" i="41"/>
  <c r="H9" i="41" s="1"/>
  <c r="D52" i="41"/>
  <c r="L9" i="41" s="1"/>
  <c r="D47" i="41"/>
  <c r="G9" i="41" s="1"/>
  <c r="D42" i="41"/>
  <c r="K8" i="41" s="1"/>
  <c r="D46" i="41"/>
  <c r="O8" i="41" s="1"/>
  <c r="D32" i="41"/>
  <c r="J7" i="41" s="1"/>
  <c r="D36" i="41"/>
  <c r="N7" i="41" s="1"/>
  <c r="D22" i="41"/>
  <c r="I6" i="41" s="1"/>
  <c r="D26" i="41"/>
  <c r="M6" i="41" s="1"/>
  <c r="D12" i="41"/>
  <c r="H5" i="41" s="1"/>
  <c r="D16" i="41"/>
  <c r="L5" i="41" s="1"/>
  <c r="D11" i="41"/>
  <c r="G5" i="41" s="1"/>
  <c r="D85" i="41"/>
  <c r="I13" i="41" s="1"/>
  <c r="D49" i="41"/>
  <c r="I9" i="41" s="1"/>
  <c r="D13" i="41"/>
  <c r="I5" i="41" s="1"/>
  <c r="D93" i="41"/>
  <c r="H14" i="41" s="1"/>
  <c r="D57" i="41"/>
  <c r="H10" i="41" s="1"/>
  <c r="D21" i="41"/>
  <c r="H6" i="41" s="1"/>
  <c r="G4" i="41"/>
  <c r="N17" i="39"/>
  <c r="CQ5" i="4"/>
  <c r="CO26" i="4"/>
  <c r="CO27" i="4"/>
  <c r="CO28" i="4"/>
  <c r="CO29" i="4"/>
  <c r="CO30" i="4"/>
  <c r="CO31" i="4"/>
  <c r="CO32" i="4"/>
  <c r="CO33" i="4"/>
  <c r="CO34" i="4"/>
  <c r="CO35" i="4"/>
  <c r="CO36" i="4"/>
  <c r="CO37" i="4"/>
  <c r="CO38" i="4"/>
  <c r="CO39" i="4"/>
  <c r="CO40" i="4"/>
  <c r="CO41" i="4"/>
  <c r="CO42" i="4"/>
  <c r="CO43" i="4"/>
  <c r="CO44" i="4"/>
  <c r="CO45" i="4"/>
  <c r="CO46" i="4"/>
  <c r="CO47" i="4"/>
  <c r="CO48" i="4"/>
  <c r="CO49" i="4"/>
  <c r="CO50" i="4"/>
  <c r="CO51" i="4"/>
  <c r="CO52" i="4"/>
  <c r="CO53" i="4"/>
  <c r="CO5" i="4"/>
  <c r="CN52" i="4"/>
  <c r="CN53" i="4"/>
  <c r="CN41" i="4"/>
  <c r="CN42" i="4"/>
  <c r="CN43" i="4"/>
  <c r="CN44" i="4"/>
  <c r="CN45" i="4"/>
  <c r="CN46" i="4"/>
  <c r="CN47" i="4"/>
  <c r="CN48" i="4"/>
  <c r="CN49" i="4"/>
  <c r="CN50" i="4"/>
  <c r="CN51" i="4"/>
  <c r="CN6" i="4"/>
  <c r="CN7" i="4"/>
  <c r="CN8" i="4"/>
  <c r="CN9" i="4"/>
  <c r="CN10" i="4"/>
  <c r="CN11" i="4"/>
  <c r="CN12" i="4"/>
  <c r="CN13" i="4"/>
  <c r="CN14" i="4"/>
  <c r="CN24" i="4"/>
  <c r="CN25" i="4"/>
  <c r="CN26" i="4"/>
  <c r="CN27" i="4"/>
  <c r="CN28" i="4"/>
  <c r="CN29" i="4"/>
  <c r="CN30" i="4"/>
  <c r="CN31" i="4"/>
  <c r="CN32" i="4"/>
  <c r="CN33" i="4"/>
  <c r="CN34" i="4"/>
  <c r="CN35" i="4"/>
  <c r="CN36" i="4"/>
  <c r="CN37" i="4"/>
  <c r="CN38" i="4"/>
  <c r="CN39" i="4"/>
  <c r="CN40" i="4"/>
  <c r="CN5" i="4"/>
  <c r="K6" i="41" l="1"/>
  <c r="D17" i="41"/>
  <c r="M5" i="41" s="1"/>
  <c r="O41" i="4"/>
  <c r="Q100" i="4"/>
  <c r="BD2" i="38" l="1"/>
  <c r="O57" i="4"/>
  <c r="O56" i="4"/>
  <c r="O55" i="4"/>
  <c r="O54" i="4"/>
  <c r="O53" i="4"/>
  <c r="O52" i="4"/>
  <c r="O51" i="4"/>
  <c r="O50" i="4"/>
  <c r="O48" i="4"/>
  <c r="O47" i="4"/>
  <c r="O46" i="4"/>
  <c r="O45" i="4"/>
  <c r="O44" i="4"/>
  <c r="O43" i="4"/>
  <c r="O42" i="4"/>
  <c r="O39" i="4"/>
  <c r="O38" i="4"/>
  <c r="O37" i="4"/>
  <c r="O36" i="4"/>
  <c r="O35" i="4"/>
  <c r="O34" i="4"/>
  <c r="O33" i="4"/>
  <c r="O32" i="4"/>
  <c r="O30" i="4"/>
  <c r="O29" i="4"/>
  <c r="O28" i="4"/>
  <c r="O26" i="4"/>
  <c r="O25" i="4"/>
  <c r="O24" i="4"/>
  <c r="O23" i="4"/>
  <c r="O21" i="4"/>
  <c r="O20" i="4"/>
  <c r="O19" i="4"/>
  <c r="O18" i="4"/>
  <c r="O17" i="4"/>
  <c r="O16" i="4"/>
  <c r="O15" i="4"/>
  <c r="Q29" i="4"/>
  <c r="AS2" i="38"/>
  <c r="AH2" i="38"/>
  <c r="W2" i="38"/>
  <c r="L2" i="38"/>
  <c r="A2" i="38"/>
  <c r="S453" i="4" l="1"/>
  <c r="S452" i="4"/>
  <c r="S451" i="4"/>
  <c r="S450" i="4"/>
  <c r="S449" i="4"/>
  <c r="S448" i="4"/>
  <c r="S447" i="4"/>
  <c r="S446" i="4"/>
  <c r="S444" i="4"/>
  <c r="S443" i="4"/>
  <c r="S442" i="4"/>
  <c r="S441" i="4"/>
  <c r="S440" i="4"/>
  <c r="S438" i="4"/>
  <c r="S439" i="4"/>
  <c r="S437" i="4"/>
  <c r="S435" i="4"/>
  <c r="S434" i="4"/>
  <c r="S433" i="4"/>
  <c r="S432" i="4"/>
  <c r="S431" i="4"/>
  <c r="S430" i="4"/>
  <c r="S429" i="4"/>
  <c r="S428" i="4"/>
  <c r="S426" i="4"/>
  <c r="S425" i="4"/>
  <c r="S424" i="4"/>
  <c r="S423" i="4"/>
  <c r="S422" i="4"/>
  <c r="S421" i="4"/>
  <c r="S420" i="4"/>
  <c r="S419" i="4"/>
  <c r="S417" i="4"/>
  <c r="S416" i="4"/>
  <c r="S415" i="4"/>
  <c r="S414" i="4"/>
  <c r="S413" i="4"/>
  <c r="S412" i="4"/>
  <c r="S411" i="4"/>
  <c r="S410" i="4"/>
  <c r="S408" i="4"/>
  <c r="S407" i="4"/>
  <c r="S406" i="4"/>
  <c r="S405" i="4"/>
  <c r="S404" i="4"/>
  <c r="S403" i="4"/>
  <c r="S402" i="4"/>
  <c r="S401" i="4"/>
  <c r="S399" i="4"/>
  <c r="S398" i="4"/>
  <c r="S397" i="4"/>
  <c r="S396" i="4"/>
  <c r="S395" i="4"/>
  <c r="S394" i="4"/>
  <c r="S393" i="4"/>
  <c r="S392" i="4"/>
  <c r="S390" i="4"/>
  <c r="S389" i="4"/>
  <c r="S388" i="4"/>
  <c r="S387" i="4"/>
  <c r="S386" i="4"/>
  <c r="S385" i="4"/>
  <c r="S384" i="4"/>
  <c r="S383" i="4"/>
  <c r="S381" i="4"/>
  <c r="S380" i="4"/>
  <c r="S379" i="4"/>
  <c r="S378" i="4"/>
  <c r="S377" i="4"/>
  <c r="S376" i="4"/>
  <c r="S375" i="4"/>
  <c r="S374" i="4"/>
  <c r="S372" i="4"/>
  <c r="S371" i="4"/>
  <c r="S370" i="4"/>
  <c r="S369" i="4"/>
  <c r="S368" i="4"/>
  <c r="S367" i="4"/>
  <c r="S366" i="4"/>
  <c r="S365" i="4"/>
  <c r="S361" i="4"/>
  <c r="S362" i="4"/>
  <c r="S363" i="4"/>
  <c r="S360" i="4"/>
  <c r="S359" i="4"/>
  <c r="S358" i="4"/>
  <c r="S357" i="4"/>
  <c r="S356" i="4"/>
  <c r="S354" i="4"/>
  <c r="S353" i="4"/>
  <c r="S352" i="4"/>
  <c r="S351" i="4"/>
  <c r="S350" i="4"/>
  <c r="S349" i="4"/>
  <c r="S348" i="4"/>
  <c r="S347" i="4"/>
  <c r="S345" i="4"/>
  <c r="S344" i="4"/>
  <c r="S343" i="4"/>
  <c r="S342" i="4"/>
  <c r="S341" i="4"/>
  <c r="S340" i="4"/>
  <c r="S339" i="4"/>
  <c r="S338" i="4"/>
  <c r="S336" i="4"/>
  <c r="S335" i="4"/>
  <c r="S334" i="4"/>
  <c r="S333" i="4"/>
  <c r="S332" i="4"/>
  <c r="S331" i="4"/>
  <c r="S330" i="4"/>
  <c r="S329" i="4"/>
  <c r="S327" i="4"/>
  <c r="S326" i="4"/>
  <c r="S325" i="4"/>
  <c r="S324" i="4"/>
  <c r="S323" i="4"/>
  <c r="S322" i="4"/>
  <c r="S321" i="4"/>
  <c r="S320" i="4"/>
  <c r="S318" i="4"/>
  <c r="S317" i="4"/>
  <c r="S316" i="4"/>
  <c r="S315" i="4"/>
  <c r="S314" i="4"/>
  <c r="S313" i="4"/>
  <c r="S312" i="4"/>
  <c r="S311" i="4"/>
  <c r="S309" i="4"/>
  <c r="S308" i="4"/>
  <c r="S307" i="4"/>
  <c r="S303" i="4"/>
  <c r="S306" i="4"/>
  <c r="S305" i="4"/>
  <c r="S304" i="4"/>
  <c r="S302" i="4"/>
  <c r="S300" i="4"/>
  <c r="S299" i="4"/>
  <c r="S298" i="4"/>
  <c r="S297" i="4"/>
  <c r="S296" i="4"/>
  <c r="S295" i="4"/>
  <c r="S294" i="4"/>
  <c r="S293" i="4"/>
  <c r="S291" i="4"/>
  <c r="S290" i="4"/>
  <c r="S289" i="4"/>
  <c r="S288" i="4"/>
  <c r="S287" i="4"/>
  <c r="S286" i="4"/>
  <c r="S285" i="4"/>
  <c r="S284" i="4"/>
  <c r="S281" i="4"/>
  <c r="S282" i="4"/>
  <c r="S280" i="4"/>
  <c r="S279" i="4"/>
  <c r="S278" i="4"/>
  <c r="S277" i="4"/>
  <c r="S276" i="4"/>
  <c r="S275" i="4"/>
  <c r="S273" i="4"/>
  <c r="S272" i="4"/>
  <c r="S271" i="4"/>
  <c r="S270" i="4"/>
  <c r="S269" i="4"/>
  <c r="S268" i="4"/>
  <c r="S267" i="4"/>
  <c r="S266" i="4"/>
  <c r="S264" i="4"/>
  <c r="S263" i="4"/>
  <c r="S262" i="4"/>
  <c r="S261" i="4"/>
  <c r="S260" i="4"/>
  <c r="S259" i="4"/>
  <c r="S258" i="4"/>
  <c r="S257" i="4"/>
  <c r="S255" i="4"/>
  <c r="S254" i="4"/>
  <c r="S253" i="4"/>
  <c r="S252" i="4"/>
  <c r="S251" i="4"/>
  <c r="S250" i="4"/>
  <c r="S249" i="4"/>
  <c r="S248" i="4"/>
  <c r="S246" i="4"/>
  <c r="S245" i="4"/>
  <c r="S244" i="4"/>
  <c r="S243" i="4"/>
  <c r="S242" i="4"/>
  <c r="S241" i="4"/>
  <c r="S240" i="4"/>
  <c r="S239" i="4"/>
  <c r="S237" i="4"/>
  <c r="S236" i="4"/>
  <c r="S235" i="4"/>
  <c r="S234" i="4"/>
  <c r="S233" i="4"/>
  <c r="S232" i="4"/>
  <c r="S231" i="4"/>
  <c r="S230" i="4"/>
  <c r="S228" i="4"/>
  <c r="S227" i="4"/>
  <c r="S226" i="4"/>
  <c r="S225" i="4"/>
  <c r="S224" i="4"/>
  <c r="S223" i="4"/>
  <c r="S222" i="4"/>
  <c r="S221" i="4"/>
  <c r="S219" i="4"/>
  <c r="S218" i="4"/>
  <c r="S217" i="4"/>
  <c r="S216" i="4"/>
  <c r="S215" i="4"/>
  <c r="S214" i="4"/>
  <c r="S213" i="4"/>
  <c r="S212" i="4"/>
  <c r="S210" i="4"/>
  <c r="S209" i="4"/>
  <c r="S208" i="4"/>
  <c r="S207" i="4"/>
  <c r="S206" i="4"/>
  <c r="S205" i="4"/>
  <c r="S204" i="4"/>
  <c r="S203" i="4"/>
  <c r="S201" i="4"/>
  <c r="S200" i="4"/>
  <c r="S199" i="4"/>
  <c r="S198" i="4"/>
  <c r="S197" i="4"/>
  <c r="S196" i="4"/>
  <c r="S195" i="4"/>
  <c r="S194" i="4"/>
  <c r="S192" i="4"/>
  <c r="S191" i="4"/>
  <c r="S190" i="4"/>
  <c r="S189" i="4"/>
  <c r="S188" i="4"/>
  <c r="S187" i="4"/>
  <c r="S186" i="4"/>
  <c r="S185" i="4"/>
  <c r="S183" i="4"/>
  <c r="S182" i="4"/>
  <c r="S181" i="4"/>
  <c r="S180" i="4"/>
  <c r="S179" i="4"/>
  <c r="S178" i="4"/>
  <c r="S177" i="4"/>
  <c r="S176" i="4"/>
  <c r="S165" i="4"/>
  <c r="S164" i="4"/>
  <c r="S163" i="4"/>
  <c r="S162" i="4"/>
  <c r="S161" i="4"/>
  <c r="S160" i="4"/>
  <c r="S159" i="4"/>
  <c r="S158" i="4"/>
  <c r="S156" i="4"/>
  <c r="S155" i="4"/>
  <c r="S154" i="4"/>
  <c r="S153" i="4"/>
  <c r="S152" i="4"/>
  <c r="S151" i="4"/>
  <c r="S150" i="4"/>
  <c r="S149" i="4"/>
  <c r="S93" i="4"/>
  <c r="S92" i="4"/>
  <c r="S91" i="4"/>
  <c r="S90" i="4"/>
  <c r="S89" i="4"/>
  <c r="S88" i="4"/>
  <c r="S87" i="4"/>
  <c r="S86" i="4"/>
  <c r="S84" i="4"/>
  <c r="S83" i="4"/>
  <c r="S82" i="4"/>
  <c r="S81" i="4"/>
  <c r="S80" i="4"/>
  <c r="S79" i="4"/>
  <c r="S78" i="4"/>
  <c r="S77" i="4"/>
  <c r="S75" i="4"/>
  <c r="S74" i="4"/>
  <c r="S73" i="4"/>
  <c r="S72" i="4"/>
  <c r="S71" i="4"/>
  <c r="S70" i="4"/>
  <c r="S69" i="4"/>
  <c r="S68" i="4"/>
  <c r="S66" i="4"/>
  <c r="S65" i="4"/>
  <c r="S64" i="4"/>
  <c r="S63" i="4"/>
  <c r="S62" i="4"/>
  <c r="S61" i="4"/>
  <c r="S60" i="4"/>
  <c r="S59" i="4"/>
  <c r="S57" i="4"/>
  <c r="S56" i="4"/>
  <c r="S55" i="4"/>
  <c r="S54" i="4"/>
  <c r="S53" i="4"/>
  <c r="S52" i="4"/>
  <c r="S51" i="4"/>
  <c r="S50" i="4"/>
  <c r="S48" i="4"/>
  <c r="S47" i="4"/>
  <c r="S46" i="4"/>
  <c r="S45" i="4"/>
  <c r="S44" i="4"/>
  <c r="S43" i="4"/>
  <c r="S42" i="4"/>
  <c r="S41" i="4"/>
  <c r="S39" i="4"/>
  <c r="S38" i="4"/>
  <c r="S37" i="4"/>
  <c r="S36" i="4"/>
  <c r="S35" i="4"/>
  <c r="S34" i="4"/>
  <c r="S33" i="4"/>
  <c r="S32" i="4"/>
  <c r="S30" i="4"/>
  <c r="S29" i="4"/>
  <c r="S28" i="4"/>
  <c r="S27" i="4"/>
  <c r="S26" i="4"/>
  <c r="S25" i="4"/>
  <c r="S24" i="4"/>
  <c r="S23" i="4"/>
  <c r="S21" i="4"/>
  <c r="S20" i="4"/>
  <c r="S19" i="4"/>
  <c r="S18" i="4"/>
  <c r="S17" i="4"/>
  <c r="S16" i="4"/>
  <c r="S15" i="4"/>
  <c r="S14" i="4"/>
  <c r="S12" i="4"/>
  <c r="S11" i="4"/>
  <c r="S10" i="4"/>
  <c r="S9" i="4"/>
  <c r="S8" i="4"/>
  <c r="S7" i="4"/>
  <c r="S6" i="4"/>
  <c r="S5" i="4"/>
  <c r="R452" i="4"/>
  <c r="R451" i="4"/>
  <c r="R450" i="4"/>
  <c r="R449" i="4"/>
  <c r="R448" i="4"/>
  <c r="R447" i="4"/>
  <c r="R446" i="4"/>
  <c r="R443" i="4"/>
  <c r="R442" i="4"/>
  <c r="R441" i="4"/>
  <c r="R440" i="4"/>
  <c r="R439" i="4"/>
  <c r="R438" i="4"/>
  <c r="R437" i="4"/>
  <c r="R434" i="4"/>
  <c r="R433" i="4"/>
  <c r="R432" i="4"/>
  <c r="R431" i="4"/>
  <c r="R430" i="4"/>
  <c r="R429" i="4"/>
  <c r="R428" i="4"/>
  <c r="R423" i="4"/>
  <c r="R425" i="4"/>
  <c r="R424" i="4"/>
  <c r="R422" i="4"/>
  <c r="R421" i="4"/>
  <c r="R420" i="4"/>
  <c r="R419" i="4"/>
  <c r="R416" i="4"/>
  <c r="R415" i="4"/>
  <c r="R414" i="4"/>
  <c r="R413" i="4"/>
  <c r="R412" i="4"/>
  <c r="R411" i="4"/>
  <c r="R410" i="4"/>
  <c r="R407" i="4"/>
  <c r="R406" i="4"/>
  <c r="R405" i="4"/>
  <c r="R404" i="4"/>
  <c r="R403" i="4"/>
  <c r="R402" i="4"/>
  <c r="R401" i="4"/>
  <c r="R398" i="4"/>
  <c r="R397" i="4"/>
  <c r="R396" i="4"/>
  <c r="R395" i="4"/>
  <c r="R394" i="4"/>
  <c r="R393" i="4"/>
  <c r="R392" i="4"/>
  <c r="R389" i="4"/>
  <c r="R388" i="4"/>
  <c r="R387" i="4"/>
  <c r="R386" i="4"/>
  <c r="R385" i="4"/>
  <c r="R384" i="4"/>
  <c r="R383" i="4"/>
  <c r="R380" i="4"/>
  <c r="R379" i="4"/>
  <c r="R378" i="4"/>
  <c r="R377" i="4"/>
  <c r="R376" i="4"/>
  <c r="R375" i="4"/>
  <c r="R374" i="4"/>
  <c r="R371" i="4"/>
  <c r="R370" i="4"/>
  <c r="R369" i="4"/>
  <c r="R368" i="4"/>
  <c r="R367" i="4"/>
  <c r="R366" i="4"/>
  <c r="R365" i="4"/>
  <c r="R362" i="4"/>
  <c r="R361" i="4"/>
  <c r="R360" i="4"/>
  <c r="R359" i="4"/>
  <c r="R358" i="4"/>
  <c r="R357" i="4"/>
  <c r="R356" i="4"/>
  <c r="R353" i="4"/>
  <c r="R352" i="4"/>
  <c r="R351" i="4"/>
  <c r="R350" i="4"/>
  <c r="R349" i="4"/>
  <c r="R348" i="4"/>
  <c r="R347" i="4"/>
  <c r="R344" i="4"/>
  <c r="R343" i="4"/>
  <c r="R342" i="4"/>
  <c r="R341" i="4"/>
  <c r="R340" i="4"/>
  <c r="R339" i="4"/>
  <c r="R338" i="4"/>
  <c r="R335" i="4"/>
  <c r="R334" i="4"/>
  <c r="R333" i="4"/>
  <c r="R332" i="4"/>
  <c r="R331" i="4"/>
  <c r="R330" i="4"/>
  <c r="R329" i="4"/>
  <c r="R326" i="4"/>
  <c r="R325" i="4"/>
  <c r="R324" i="4"/>
  <c r="R323" i="4"/>
  <c r="R322" i="4"/>
  <c r="R321" i="4"/>
  <c r="R320" i="4"/>
  <c r="R317" i="4"/>
  <c r="R316" i="4"/>
  <c r="R315" i="4"/>
  <c r="R314" i="4"/>
  <c r="R313" i="4"/>
  <c r="R312" i="4"/>
  <c r="R311" i="4"/>
  <c r="R308" i="4"/>
  <c r="R307" i="4"/>
  <c r="R306" i="4"/>
  <c r="R305" i="4"/>
  <c r="R304" i="4"/>
  <c r="R303" i="4"/>
  <c r="R302" i="4"/>
  <c r="R299" i="4"/>
  <c r="R298" i="4"/>
  <c r="R297" i="4"/>
  <c r="R296" i="4"/>
  <c r="R295" i="4"/>
  <c r="R294" i="4"/>
  <c r="R293" i="4"/>
  <c r="R290" i="4"/>
  <c r="R289" i="4"/>
  <c r="R288" i="4"/>
  <c r="R287" i="4"/>
  <c r="R286" i="4"/>
  <c r="R285" i="4"/>
  <c r="R284" i="4"/>
  <c r="R281" i="4"/>
  <c r="R280" i="4"/>
  <c r="R279" i="4"/>
  <c r="R278" i="4"/>
  <c r="R277" i="4"/>
  <c r="R276" i="4"/>
  <c r="R275" i="4"/>
  <c r="R272" i="4"/>
  <c r="R271" i="4"/>
  <c r="R270" i="4"/>
  <c r="R269" i="4"/>
  <c r="R268" i="4"/>
  <c r="R267" i="4"/>
  <c r="R266" i="4"/>
  <c r="R263" i="4"/>
  <c r="R262" i="4"/>
  <c r="R261" i="4"/>
  <c r="R260" i="4"/>
  <c r="R259" i="4"/>
  <c r="R258" i="4"/>
  <c r="R257" i="4"/>
  <c r="R254" i="4"/>
  <c r="R253" i="4"/>
  <c r="R252" i="4"/>
  <c r="R251" i="4"/>
  <c r="R250" i="4"/>
  <c r="R249" i="4"/>
  <c r="R248" i="4"/>
  <c r="R245" i="4"/>
  <c r="R244" i="4"/>
  <c r="R243" i="4"/>
  <c r="R242" i="4"/>
  <c r="R241" i="4"/>
  <c r="R240" i="4"/>
  <c r="R239" i="4"/>
  <c r="R236" i="4"/>
  <c r="R235" i="4"/>
  <c r="R234" i="4"/>
  <c r="R233" i="4"/>
  <c r="R232" i="4"/>
  <c r="R231" i="4"/>
  <c r="R230" i="4"/>
  <c r="R227" i="4"/>
  <c r="R226" i="4"/>
  <c r="R225" i="4"/>
  <c r="R224" i="4"/>
  <c r="R223" i="4"/>
  <c r="R222" i="4"/>
  <c r="R221" i="4"/>
  <c r="R218" i="4"/>
  <c r="R217" i="4"/>
  <c r="R216" i="4"/>
  <c r="R215" i="4"/>
  <c r="R214" i="4"/>
  <c r="R213" i="4"/>
  <c r="R212" i="4"/>
  <c r="R209" i="4"/>
  <c r="R208" i="4"/>
  <c r="R207" i="4"/>
  <c r="R206" i="4"/>
  <c r="R205" i="4"/>
  <c r="R204" i="4"/>
  <c r="R203" i="4"/>
  <c r="R201" i="4"/>
  <c r="R200" i="4"/>
  <c r="R199" i="4"/>
  <c r="R198" i="4"/>
  <c r="R197" i="4"/>
  <c r="R196" i="4"/>
  <c r="R195" i="4"/>
  <c r="R194" i="4"/>
  <c r="R192" i="4"/>
  <c r="R191" i="4"/>
  <c r="R190" i="4"/>
  <c r="R189" i="4"/>
  <c r="R188" i="4"/>
  <c r="R187" i="4"/>
  <c r="R186" i="4"/>
  <c r="R185" i="4"/>
  <c r="R183" i="4"/>
  <c r="R182" i="4"/>
  <c r="R181" i="4"/>
  <c r="R180" i="4"/>
  <c r="R179" i="4"/>
  <c r="R178" i="4"/>
  <c r="R177" i="4"/>
  <c r="R176" i="4"/>
  <c r="R165" i="4"/>
  <c r="R164" i="4"/>
  <c r="R163" i="4"/>
  <c r="R162" i="4"/>
  <c r="R161" i="4"/>
  <c r="R160" i="4"/>
  <c r="R159" i="4"/>
  <c r="R158" i="4"/>
  <c r="R155" i="4"/>
  <c r="R154" i="4"/>
  <c r="R153" i="4"/>
  <c r="R152" i="4"/>
  <c r="R151" i="4"/>
  <c r="R150" i="4"/>
  <c r="R149" i="4"/>
  <c r="R92" i="4"/>
  <c r="R91" i="4"/>
  <c r="R90" i="4"/>
  <c r="R89" i="4"/>
  <c r="R88" i="4"/>
  <c r="R87" i="4"/>
  <c r="R86" i="4"/>
  <c r="R83" i="4"/>
  <c r="R82" i="4"/>
  <c r="R81" i="4"/>
  <c r="R80" i="4"/>
  <c r="R79" i="4"/>
  <c r="R78" i="4"/>
  <c r="R77" i="4"/>
  <c r="R74" i="4"/>
  <c r="R73" i="4"/>
  <c r="R72" i="4"/>
  <c r="R71" i="4"/>
  <c r="R70" i="4"/>
  <c r="R69" i="4"/>
  <c r="R68" i="4"/>
  <c r="R65" i="4"/>
  <c r="R64" i="4"/>
  <c r="R63" i="4"/>
  <c r="R62" i="4"/>
  <c r="R61" i="4"/>
  <c r="R60" i="4"/>
  <c r="R59" i="4"/>
  <c r="R56" i="4"/>
  <c r="R55" i="4"/>
  <c r="R54" i="4"/>
  <c r="R53" i="4"/>
  <c r="R52" i="4"/>
  <c r="R51" i="4"/>
  <c r="R50" i="4"/>
  <c r="R47" i="4"/>
  <c r="R46" i="4"/>
  <c r="R45" i="4"/>
  <c r="R44" i="4"/>
  <c r="R43" i="4"/>
  <c r="R42" i="4"/>
  <c r="R41" i="4"/>
  <c r="R38" i="4"/>
  <c r="R37" i="4"/>
  <c r="R36" i="4"/>
  <c r="R35" i="4"/>
  <c r="R34" i="4"/>
  <c r="R33" i="4"/>
  <c r="R32" i="4"/>
  <c r="R29" i="4"/>
  <c r="R28" i="4"/>
  <c r="R27" i="4"/>
  <c r="R26" i="4"/>
  <c r="R25" i="4"/>
  <c r="R24" i="4"/>
  <c r="R23" i="4"/>
  <c r="R20" i="4"/>
  <c r="R19" i="4"/>
  <c r="R18" i="4"/>
  <c r="R17" i="4"/>
  <c r="R16" i="4"/>
  <c r="R15" i="4"/>
  <c r="R14" i="4"/>
  <c r="R11" i="4"/>
  <c r="R10" i="4"/>
  <c r="R9" i="4"/>
  <c r="R8" i="4"/>
  <c r="R7" i="4"/>
  <c r="R6" i="4"/>
  <c r="R5" i="4"/>
  <c r="I60" i="4"/>
  <c r="I61" i="4"/>
  <c r="I62" i="4"/>
  <c r="I63" i="4"/>
  <c r="I64" i="4"/>
  <c r="I65" i="4"/>
  <c r="I66" i="4"/>
  <c r="I59" i="4"/>
  <c r="H60" i="4"/>
  <c r="H61" i="4"/>
  <c r="H62" i="4"/>
  <c r="H63" i="4"/>
  <c r="H64" i="4"/>
  <c r="H65" i="4"/>
  <c r="H66" i="4"/>
  <c r="H59" i="4"/>
  <c r="C60" i="4"/>
  <c r="C61" i="4"/>
  <c r="C62" i="4"/>
  <c r="C63" i="4"/>
  <c r="C64" i="4"/>
  <c r="C65" i="4"/>
  <c r="C66" i="4"/>
  <c r="C59" i="4"/>
  <c r="B60" i="4"/>
  <c r="B61" i="4"/>
  <c r="B62" i="4"/>
  <c r="B63" i="4"/>
  <c r="B64" i="4"/>
  <c r="B65" i="4"/>
  <c r="B66" i="4"/>
  <c r="B59" i="4"/>
  <c r="O72" i="4"/>
  <c r="DK6" i="4"/>
  <c r="DK7" i="4"/>
  <c r="DK8" i="4"/>
  <c r="DK9" i="4"/>
  <c r="DK10" i="4"/>
  <c r="DK11" i="4"/>
  <c r="DK12" i="4"/>
  <c r="B1" i="4" l="1"/>
  <c r="R1" i="4"/>
  <c r="D1" i="4" s="1"/>
  <c r="S1" i="4"/>
  <c r="D2" i="4" s="1"/>
  <c r="DK5" i="4"/>
  <c r="DJ6" i="4"/>
  <c r="DJ7" i="4"/>
  <c r="DJ8" i="4"/>
  <c r="DJ9" i="4"/>
  <c r="DJ10" i="4"/>
  <c r="DJ11" i="4"/>
  <c r="DJ12" i="4"/>
  <c r="DJ5" i="4"/>
  <c r="DI6" i="4"/>
  <c r="DI7" i="4"/>
  <c r="DI8" i="4"/>
  <c r="DI9" i="4"/>
  <c r="DI10" i="4"/>
  <c r="DI11" i="4"/>
  <c r="DI12" i="4"/>
  <c r="DI5" i="4"/>
  <c r="DH6" i="4"/>
  <c r="DH7" i="4"/>
  <c r="DH8" i="4"/>
  <c r="DH9" i="4"/>
  <c r="DH10" i="4"/>
  <c r="DH11" i="4"/>
  <c r="DH12" i="4"/>
  <c r="DH5" i="4"/>
  <c r="Q16" i="4" l="1"/>
  <c r="Q15" i="4"/>
  <c r="Q14" i="4"/>
  <c r="Q12" i="4"/>
  <c r="Q11" i="4"/>
  <c r="Q10" i="4"/>
  <c r="Q9" i="4"/>
  <c r="Q8" i="4"/>
  <c r="Q7" i="4"/>
  <c r="Q6" i="4"/>
  <c r="Q5" i="4"/>
  <c r="I8" i="4" l="1"/>
  <c r="Q448" i="4"/>
  <c r="Q449" i="4"/>
  <c r="Q450" i="4"/>
  <c r="Q451" i="4"/>
  <c r="Q452" i="4"/>
  <c r="Q453" i="4"/>
  <c r="Q447" i="4"/>
  <c r="Q446" i="4"/>
  <c r="O446" i="4"/>
  <c r="O448" i="4"/>
  <c r="O449" i="4"/>
  <c r="O450" i="4"/>
  <c r="O451" i="4"/>
  <c r="O452" i="4"/>
  <c r="O453" i="4"/>
  <c r="O447" i="4"/>
  <c r="I453" i="4"/>
  <c r="I452" i="4"/>
  <c r="I451" i="4"/>
  <c r="I450" i="4"/>
  <c r="I449" i="4"/>
  <c r="I448" i="4"/>
  <c r="I447" i="4"/>
  <c r="I446" i="4"/>
  <c r="I444" i="4"/>
  <c r="I443" i="4"/>
  <c r="I442" i="4"/>
  <c r="I441" i="4"/>
  <c r="I440" i="4"/>
  <c r="I439" i="4"/>
  <c r="I438" i="4"/>
  <c r="I437" i="4"/>
  <c r="I435" i="4"/>
  <c r="I434" i="4"/>
  <c r="I433" i="4"/>
  <c r="I432" i="4"/>
  <c r="I431" i="4"/>
  <c r="I430" i="4"/>
  <c r="I429" i="4"/>
  <c r="I428" i="4"/>
  <c r="I426" i="4"/>
  <c r="I425" i="4"/>
  <c r="I424" i="4"/>
  <c r="I423" i="4"/>
  <c r="I422" i="4"/>
  <c r="I421" i="4"/>
  <c r="I420" i="4"/>
  <c r="I419" i="4"/>
  <c r="I417" i="4"/>
  <c r="I416" i="4"/>
  <c r="I415" i="4"/>
  <c r="I414" i="4"/>
  <c r="I413" i="4"/>
  <c r="I412" i="4"/>
  <c r="I411" i="4"/>
  <c r="I410" i="4"/>
  <c r="I408" i="4"/>
  <c r="I407" i="4"/>
  <c r="I406" i="4"/>
  <c r="I405" i="4"/>
  <c r="I404" i="4"/>
  <c r="I403" i="4"/>
  <c r="I402" i="4"/>
  <c r="I401" i="4"/>
  <c r="I399" i="4"/>
  <c r="I398" i="4"/>
  <c r="I397" i="4"/>
  <c r="I396" i="4"/>
  <c r="I395" i="4"/>
  <c r="I394" i="4"/>
  <c r="I393" i="4"/>
  <c r="I392" i="4"/>
  <c r="I390" i="4"/>
  <c r="I389" i="4"/>
  <c r="I388" i="4"/>
  <c r="I387" i="4"/>
  <c r="I386" i="4"/>
  <c r="I385" i="4"/>
  <c r="I384" i="4"/>
  <c r="I383" i="4"/>
  <c r="I381" i="4"/>
  <c r="I380" i="4"/>
  <c r="I379" i="4"/>
  <c r="I378" i="4"/>
  <c r="I377" i="4"/>
  <c r="I376" i="4"/>
  <c r="I375" i="4"/>
  <c r="I374" i="4"/>
  <c r="I372" i="4"/>
  <c r="I371" i="4"/>
  <c r="I370" i="4"/>
  <c r="I369" i="4"/>
  <c r="I368" i="4"/>
  <c r="I367" i="4"/>
  <c r="I366" i="4"/>
  <c r="I365" i="4"/>
  <c r="I363" i="4"/>
  <c r="I362" i="4"/>
  <c r="I361" i="4"/>
  <c r="I360" i="4"/>
  <c r="I359" i="4"/>
  <c r="I358" i="4"/>
  <c r="I357" i="4"/>
  <c r="I356" i="4"/>
  <c r="I354" i="4"/>
  <c r="I353" i="4"/>
  <c r="I352" i="4"/>
  <c r="I351" i="4"/>
  <c r="I350" i="4"/>
  <c r="I349" i="4"/>
  <c r="I348" i="4"/>
  <c r="I347" i="4"/>
  <c r="I345" i="4"/>
  <c r="I344" i="4"/>
  <c r="I343" i="4"/>
  <c r="I342" i="4"/>
  <c r="I341" i="4"/>
  <c r="I340" i="4"/>
  <c r="I339" i="4"/>
  <c r="I338" i="4"/>
  <c r="I336" i="4"/>
  <c r="I335" i="4"/>
  <c r="I334" i="4"/>
  <c r="I333" i="4"/>
  <c r="I332" i="4"/>
  <c r="I331" i="4"/>
  <c r="I330" i="4"/>
  <c r="I329" i="4"/>
  <c r="I327" i="4"/>
  <c r="I326" i="4"/>
  <c r="I325" i="4"/>
  <c r="I324" i="4"/>
  <c r="I323" i="4"/>
  <c r="I322" i="4"/>
  <c r="I321" i="4"/>
  <c r="I320" i="4"/>
  <c r="I318" i="4"/>
  <c r="I317" i="4"/>
  <c r="I316" i="4"/>
  <c r="I315" i="4"/>
  <c r="I314" i="4"/>
  <c r="I313" i="4"/>
  <c r="I312" i="4"/>
  <c r="I311" i="4"/>
  <c r="I309" i="4"/>
  <c r="I308" i="4"/>
  <c r="I307" i="4"/>
  <c r="I306" i="4"/>
  <c r="I305" i="4"/>
  <c r="I304" i="4"/>
  <c r="I303" i="4"/>
  <c r="I302" i="4"/>
  <c r="I300" i="4"/>
  <c r="I299" i="4"/>
  <c r="I298" i="4"/>
  <c r="I297" i="4"/>
  <c r="I296" i="4"/>
  <c r="I295" i="4"/>
  <c r="I294" i="4"/>
  <c r="I293" i="4"/>
  <c r="I291" i="4"/>
  <c r="I290" i="4"/>
  <c r="I289" i="4"/>
  <c r="I288" i="4"/>
  <c r="I287" i="4"/>
  <c r="I286" i="4"/>
  <c r="I285" i="4"/>
  <c r="I284" i="4"/>
  <c r="I282" i="4"/>
  <c r="I281" i="4"/>
  <c r="I280" i="4"/>
  <c r="I279" i="4"/>
  <c r="I278" i="4"/>
  <c r="I277" i="4"/>
  <c r="I276" i="4"/>
  <c r="I275" i="4"/>
  <c r="I273" i="4"/>
  <c r="I272" i="4"/>
  <c r="I271" i="4"/>
  <c r="I270" i="4"/>
  <c r="I269" i="4"/>
  <c r="I268" i="4"/>
  <c r="I267" i="4"/>
  <c r="I266" i="4"/>
  <c r="I264" i="4"/>
  <c r="I263" i="4"/>
  <c r="I262" i="4"/>
  <c r="I261" i="4"/>
  <c r="I260" i="4"/>
  <c r="I259" i="4"/>
  <c r="I258" i="4"/>
  <c r="I257" i="4"/>
  <c r="I255" i="4"/>
  <c r="I254" i="4"/>
  <c r="I253" i="4"/>
  <c r="I252" i="4"/>
  <c r="I251" i="4"/>
  <c r="I250" i="4"/>
  <c r="I249" i="4"/>
  <c r="I248" i="4"/>
  <c r="I246" i="4"/>
  <c r="I245" i="4"/>
  <c r="I244" i="4"/>
  <c r="I243" i="4"/>
  <c r="I242" i="4"/>
  <c r="I241" i="4"/>
  <c r="I240" i="4"/>
  <c r="I239" i="4"/>
  <c r="I237" i="4"/>
  <c r="I236" i="4"/>
  <c r="I235" i="4"/>
  <c r="I234" i="4"/>
  <c r="I233" i="4"/>
  <c r="I232" i="4"/>
  <c r="I231" i="4"/>
  <c r="I230" i="4"/>
  <c r="I228" i="4"/>
  <c r="I227" i="4"/>
  <c r="I226" i="4"/>
  <c r="I225" i="4"/>
  <c r="I224" i="4"/>
  <c r="I223" i="4"/>
  <c r="I222" i="4"/>
  <c r="I221" i="4"/>
  <c r="I219" i="4"/>
  <c r="I218" i="4"/>
  <c r="I217" i="4"/>
  <c r="I216" i="4"/>
  <c r="I215" i="4"/>
  <c r="I214" i="4"/>
  <c r="I213" i="4"/>
  <c r="I212" i="4"/>
  <c r="I210" i="4"/>
  <c r="I209" i="4"/>
  <c r="I208" i="4"/>
  <c r="I207" i="4"/>
  <c r="I206" i="4"/>
  <c r="I205" i="4"/>
  <c r="I204" i="4"/>
  <c r="I203" i="4"/>
  <c r="I201" i="4"/>
  <c r="I200" i="4"/>
  <c r="I199" i="4"/>
  <c r="I198" i="4"/>
  <c r="I197" i="4"/>
  <c r="I196" i="4"/>
  <c r="I195" i="4"/>
  <c r="I194" i="4"/>
  <c r="I192" i="4"/>
  <c r="I191" i="4"/>
  <c r="I190" i="4"/>
  <c r="I189" i="4"/>
  <c r="I188" i="4"/>
  <c r="I187" i="4"/>
  <c r="I186" i="4"/>
  <c r="I185" i="4"/>
  <c r="I183" i="4"/>
  <c r="I182" i="4"/>
  <c r="I181" i="4"/>
  <c r="I180" i="4"/>
  <c r="I179" i="4"/>
  <c r="I178" i="4"/>
  <c r="I177" i="4"/>
  <c r="I176" i="4"/>
  <c r="I165" i="4"/>
  <c r="I164" i="4"/>
  <c r="I163" i="4"/>
  <c r="I162" i="4"/>
  <c r="I161" i="4"/>
  <c r="I160" i="4"/>
  <c r="I159" i="4"/>
  <c r="I158" i="4"/>
  <c r="I156" i="4"/>
  <c r="I155" i="4"/>
  <c r="I154" i="4"/>
  <c r="I153" i="4"/>
  <c r="I152" i="4"/>
  <c r="I151" i="4"/>
  <c r="I150" i="4"/>
  <c r="I149" i="4"/>
  <c r="I93" i="4"/>
  <c r="I92" i="4"/>
  <c r="I91" i="4"/>
  <c r="I90" i="4"/>
  <c r="I89" i="4"/>
  <c r="I88" i="4"/>
  <c r="I87" i="4"/>
  <c r="I86" i="4"/>
  <c r="I84" i="4"/>
  <c r="I83" i="4"/>
  <c r="I82" i="4"/>
  <c r="I81" i="4"/>
  <c r="I80" i="4"/>
  <c r="I79" i="4"/>
  <c r="I78" i="4"/>
  <c r="I77" i="4"/>
  <c r="I75" i="4"/>
  <c r="I74" i="4"/>
  <c r="I73" i="4"/>
  <c r="I72" i="4"/>
  <c r="I71" i="4"/>
  <c r="I70" i="4"/>
  <c r="I69" i="4"/>
  <c r="I68" i="4"/>
  <c r="I57" i="4"/>
  <c r="I56" i="4"/>
  <c r="I55" i="4"/>
  <c r="I54" i="4"/>
  <c r="I53" i="4"/>
  <c r="I52" i="4"/>
  <c r="I51" i="4"/>
  <c r="I50" i="4"/>
  <c r="I48" i="4"/>
  <c r="I47" i="4"/>
  <c r="I46" i="4"/>
  <c r="I45" i="4"/>
  <c r="I44" i="4"/>
  <c r="I43" i="4"/>
  <c r="I42" i="4"/>
  <c r="I41" i="4"/>
  <c r="I39" i="4"/>
  <c r="I38" i="4"/>
  <c r="I37" i="4"/>
  <c r="I36" i="4"/>
  <c r="I35" i="4"/>
  <c r="I34" i="4"/>
  <c r="I33" i="4"/>
  <c r="I32" i="4"/>
  <c r="I30" i="4"/>
  <c r="I29" i="4"/>
  <c r="I28" i="4"/>
  <c r="I27" i="4"/>
  <c r="I26" i="4"/>
  <c r="I25" i="4"/>
  <c r="I24" i="4"/>
  <c r="I23" i="4"/>
  <c r="I21" i="4"/>
  <c r="I20" i="4"/>
  <c r="I19" i="4"/>
  <c r="I18" i="4"/>
  <c r="I17" i="4"/>
  <c r="I16" i="4"/>
  <c r="I15" i="4"/>
  <c r="I14" i="4"/>
  <c r="I12" i="4"/>
  <c r="I11" i="4"/>
  <c r="I10" i="4"/>
  <c r="I9" i="4"/>
  <c r="I7" i="4"/>
  <c r="I6" i="4"/>
  <c r="I5" i="4"/>
  <c r="C6" i="4"/>
  <c r="C7" i="4"/>
  <c r="C8" i="4"/>
  <c r="C9" i="4"/>
  <c r="C10" i="4"/>
  <c r="C11" i="4"/>
  <c r="C12" i="4"/>
  <c r="C5" i="4"/>
  <c r="H447" i="4"/>
  <c r="H448" i="4"/>
  <c r="H449" i="4"/>
  <c r="H450" i="4"/>
  <c r="H451" i="4"/>
  <c r="H452" i="4"/>
  <c r="H453" i="4"/>
  <c r="H446" i="4"/>
  <c r="H444" i="4"/>
  <c r="C447" i="4"/>
  <c r="C448" i="4"/>
  <c r="C449" i="4"/>
  <c r="C450" i="4"/>
  <c r="C451" i="4"/>
  <c r="C452" i="4"/>
  <c r="C453" i="4"/>
  <c r="C446" i="4"/>
  <c r="B447" i="4"/>
  <c r="B448" i="4"/>
  <c r="B449" i="4"/>
  <c r="B450" i="4"/>
  <c r="B451" i="4"/>
  <c r="B452" i="4"/>
  <c r="B453" i="4"/>
  <c r="B446" i="4"/>
  <c r="B444" i="4"/>
  <c r="C438" i="4"/>
  <c r="C439" i="4"/>
  <c r="C440" i="4"/>
  <c r="C441" i="4"/>
  <c r="C442" i="4"/>
  <c r="C443" i="4"/>
  <c r="C444" i="4"/>
  <c r="C437" i="4"/>
  <c r="C429" i="4"/>
  <c r="C430" i="4"/>
  <c r="C431" i="4"/>
  <c r="C432" i="4"/>
  <c r="C433" i="4"/>
  <c r="C434" i="4"/>
  <c r="C435" i="4"/>
  <c r="C428" i="4"/>
  <c r="C420" i="4"/>
  <c r="C421" i="4"/>
  <c r="C422" i="4"/>
  <c r="C423" i="4"/>
  <c r="C424" i="4"/>
  <c r="C425" i="4"/>
  <c r="C426" i="4"/>
  <c r="C419" i="4"/>
  <c r="C411" i="4"/>
  <c r="C412" i="4"/>
  <c r="C413" i="4"/>
  <c r="C414" i="4"/>
  <c r="C415" i="4"/>
  <c r="C416" i="4"/>
  <c r="C417" i="4"/>
  <c r="C410" i="4"/>
  <c r="C402" i="4"/>
  <c r="C403" i="4"/>
  <c r="C404" i="4"/>
  <c r="C405" i="4"/>
  <c r="C406" i="4"/>
  <c r="C407" i="4"/>
  <c r="C408" i="4"/>
  <c r="C401" i="4"/>
  <c r="C393" i="4"/>
  <c r="C394" i="4"/>
  <c r="C395" i="4"/>
  <c r="C396" i="4"/>
  <c r="C397" i="4"/>
  <c r="C398" i="4"/>
  <c r="C399" i="4"/>
  <c r="C392" i="4"/>
  <c r="C384" i="4"/>
  <c r="C385" i="4"/>
  <c r="C386" i="4"/>
  <c r="C387" i="4"/>
  <c r="C388" i="4"/>
  <c r="C389" i="4"/>
  <c r="C390" i="4"/>
  <c r="C383" i="4"/>
  <c r="C375" i="4"/>
  <c r="C376" i="4"/>
  <c r="C377" i="4"/>
  <c r="C378" i="4"/>
  <c r="C379" i="4"/>
  <c r="C380" i="4"/>
  <c r="C381" i="4"/>
  <c r="C374" i="4"/>
  <c r="C366" i="4"/>
  <c r="C367" i="4"/>
  <c r="C368" i="4"/>
  <c r="C369" i="4"/>
  <c r="C370" i="4"/>
  <c r="C371" i="4"/>
  <c r="C372" i="4"/>
  <c r="C365" i="4"/>
  <c r="C357" i="4"/>
  <c r="C358" i="4"/>
  <c r="C359" i="4"/>
  <c r="C360" i="4"/>
  <c r="C361" i="4"/>
  <c r="C362" i="4"/>
  <c r="C363" i="4"/>
  <c r="C356" i="4"/>
  <c r="C348" i="4"/>
  <c r="C349" i="4"/>
  <c r="C350" i="4"/>
  <c r="C351" i="4"/>
  <c r="C352" i="4"/>
  <c r="C353" i="4"/>
  <c r="C354" i="4"/>
  <c r="C347" i="4"/>
  <c r="C339" i="4"/>
  <c r="C340" i="4"/>
  <c r="C341" i="4"/>
  <c r="C342" i="4"/>
  <c r="C343" i="4"/>
  <c r="C344" i="4"/>
  <c r="C345" i="4"/>
  <c r="C338" i="4"/>
  <c r="C330" i="4"/>
  <c r="C331" i="4"/>
  <c r="C332" i="4"/>
  <c r="C333" i="4"/>
  <c r="C334" i="4"/>
  <c r="C335" i="4"/>
  <c r="C336" i="4"/>
  <c r="C329" i="4"/>
  <c r="C321" i="4"/>
  <c r="C322" i="4"/>
  <c r="C323" i="4"/>
  <c r="C324" i="4"/>
  <c r="C325" i="4"/>
  <c r="C326" i="4"/>
  <c r="C327" i="4"/>
  <c r="C320" i="4"/>
  <c r="C312" i="4"/>
  <c r="C313" i="4"/>
  <c r="C314" i="4"/>
  <c r="C315" i="4"/>
  <c r="C316" i="4"/>
  <c r="C317" i="4"/>
  <c r="C318" i="4"/>
  <c r="C311" i="4"/>
  <c r="C303" i="4"/>
  <c r="C304" i="4"/>
  <c r="C305" i="4"/>
  <c r="C306" i="4"/>
  <c r="C307" i="4"/>
  <c r="C308" i="4"/>
  <c r="C309" i="4"/>
  <c r="C302" i="4"/>
  <c r="C294" i="4"/>
  <c r="C295" i="4"/>
  <c r="C296" i="4"/>
  <c r="C297" i="4"/>
  <c r="C298" i="4"/>
  <c r="C299" i="4"/>
  <c r="C300" i="4"/>
  <c r="C293" i="4"/>
  <c r="C285" i="4"/>
  <c r="C286" i="4"/>
  <c r="C287" i="4"/>
  <c r="C288" i="4"/>
  <c r="C289" i="4"/>
  <c r="C290" i="4"/>
  <c r="C291" i="4"/>
  <c r="C284" i="4"/>
  <c r="C276" i="4"/>
  <c r="C277" i="4"/>
  <c r="C278" i="4"/>
  <c r="C279" i="4"/>
  <c r="C280" i="4"/>
  <c r="C281" i="4"/>
  <c r="C282" i="4"/>
  <c r="C275" i="4"/>
  <c r="C267" i="4"/>
  <c r="C268" i="4"/>
  <c r="C269" i="4"/>
  <c r="C270" i="4"/>
  <c r="C271" i="4"/>
  <c r="C272" i="4"/>
  <c r="C273" i="4"/>
  <c r="C266" i="4"/>
  <c r="C258" i="4"/>
  <c r="C259" i="4"/>
  <c r="C260" i="4"/>
  <c r="C261" i="4"/>
  <c r="C262" i="4"/>
  <c r="C263" i="4"/>
  <c r="C264" i="4"/>
  <c r="C257" i="4"/>
  <c r="C249" i="4"/>
  <c r="C250" i="4"/>
  <c r="C251" i="4"/>
  <c r="C252" i="4"/>
  <c r="C253" i="4"/>
  <c r="C254" i="4"/>
  <c r="C255" i="4"/>
  <c r="C248" i="4"/>
  <c r="C240" i="4"/>
  <c r="C241" i="4"/>
  <c r="C242" i="4"/>
  <c r="C243" i="4"/>
  <c r="C244" i="4"/>
  <c r="C245" i="4"/>
  <c r="C246" i="4"/>
  <c r="C239" i="4"/>
  <c r="C231" i="4"/>
  <c r="C232" i="4"/>
  <c r="C233" i="4"/>
  <c r="C234" i="4"/>
  <c r="C235" i="4"/>
  <c r="C236" i="4"/>
  <c r="C237" i="4"/>
  <c r="C230" i="4"/>
  <c r="C222" i="4"/>
  <c r="C223" i="4"/>
  <c r="C224" i="4"/>
  <c r="C225" i="4"/>
  <c r="C226" i="4"/>
  <c r="C227" i="4"/>
  <c r="C228" i="4"/>
  <c r="C221" i="4"/>
  <c r="C213" i="4"/>
  <c r="C214" i="4"/>
  <c r="C215" i="4"/>
  <c r="C216" i="4"/>
  <c r="C217" i="4"/>
  <c r="C218" i="4"/>
  <c r="C219" i="4"/>
  <c r="C212" i="4"/>
  <c r="C204" i="4"/>
  <c r="C205" i="4"/>
  <c r="C206" i="4"/>
  <c r="C207" i="4"/>
  <c r="C208" i="4"/>
  <c r="C209" i="4"/>
  <c r="C210" i="4"/>
  <c r="C203" i="4"/>
  <c r="C195" i="4"/>
  <c r="C196" i="4"/>
  <c r="C197" i="4"/>
  <c r="C198" i="4"/>
  <c r="C199" i="4"/>
  <c r="C200" i="4"/>
  <c r="C201" i="4"/>
  <c r="C194" i="4"/>
  <c r="C186" i="4"/>
  <c r="C187" i="4"/>
  <c r="C188" i="4"/>
  <c r="C189" i="4"/>
  <c r="C190" i="4"/>
  <c r="C191" i="4"/>
  <c r="C192" i="4"/>
  <c r="C185" i="4"/>
  <c r="C177" i="4"/>
  <c r="C178" i="4"/>
  <c r="C179" i="4"/>
  <c r="C180" i="4"/>
  <c r="C181" i="4"/>
  <c r="C182" i="4"/>
  <c r="C183" i="4"/>
  <c r="C176" i="4"/>
  <c r="C159" i="4"/>
  <c r="C160" i="4"/>
  <c r="C161" i="4"/>
  <c r="C162" i="4"/>
  <c r="C163" i="4"/>
  <c r="C164" i="4"/>
  <c r="C165" i="4"/>
  <c r="C158" i="4"/>
  <c r="C150" i="4"/>
  <c r="C151" i="4"/>
  <c r="C152" i="4"/>
  <c r="C153" i="4"/>
  <c r="C154" i="4"/>
  <c r="C155" i="4"/>
  <c r="C156" i="4"/>
  <c r="C149" i="4"/>
  <c r="C87" i="4"/>
  <c r="C88" i="4"/>
  <c r="C89" i="4"/>
  <c r="C90" i="4"/>
  <c r="C91" i="4"/>
  <c r="C92" i="4"/>
  <c r="C93" i="4"/>
  <c r="C86" i="4"/>
  <c r="C78" i="4"/>
  <c r="C79" i="4"/>
  <c r="C80" i="4"/>
  <c r="C81" i="4"/>
  <c r="C82" i="4"/>
  <c r="C83" i="4"/>
  <c r="C84" i="4"/>
  <c r="C77" i="4"/>
  <c r="C69" i="4"/>
  <c r="C70" i="4"/>
  <c r="C71" i="4"/>
  <c r="C72" i="4"/>
  <c r="C73" i="4"/>
  <c r="C74" i="4"/>
  <c r="C75" i="4"/>
  <c r="C68" i="4"/>
  <c r="C51" i="4"/>
  <c r="C52" i="4"/>
  <c r="C53" i="4"/>
  <c r="C54" i="4"/>
  <c r="C55" i="4"/>
  <c r="C56" i="4"/>
  <c r="C57" i="4"/>
  <c r="C50" i="4"/>
  <c r="C42" i="4"/>
  <c r="C43" i="4"/>
  <c r="C44" i="4"/>
  <c r="C45" i="4"/>
  <c r="C46" i="4"/>
  <c r="C47" i="4"/>
  <c r="C48" i="4"/>
  <c r="C41" i="4"/>
  <c r="C39" i="4"/>
  <c r="C33" i="4"/>
  <c r="C34" i="4"/>
  <c r="C35" i="4"/>
  <c r="C36" i="4"/>
  <c r="C37" i="4"/>
  <c r="C38" i="4"/>
  <c r="C32" i="4"/>
  <c r="B32" i="4"/>
  <c r="C24" i="4"/>
  <c r="C25" i="4"/>
  <c r="C26" i="4"/>
  <c r="C27" i="4"/>
  <c r="C28" i="4"/>
  <c r="C29" i="4"/>
  <c r="C30" i="4"/>
  <c r="B23" i="4"/>
  <c r="C23" i="4"/>
  <c r="C15" i="4"/>
  <c r="C16" i="4"/>
  <c r="C17" i="4"/>
  <c r="C18" i="4"/>
  <c r="C19" i="4"/>
  <c r="C20" i="4"/>
  <c r="C21" i="4"/>
  <c r="C14" i="4"/>
  <c r="B5" i="4"/>
  <c r="O61" i="4"/>
  <c r="O62" i="4"/>
  <c r="O63" i="4"/>
  <c r="O64" i="4"/>
  <c r="O65" i="4"/>
  <c r="O66" i="4"/>
  <c r="O60" i="4"/>
  <c r="O59" i="4"/>
  <c r="O14" i="4"/>
  <c r="O7" i="4"/>
  <c r="O8" i="4"/>
  <c r="O9" i="4"/>
  <c r="O10" i="4"/>
  <c r="O11" i="4"/>
  <c r="O12" i="4"/>
  <c r="O6" i="4"/>
  <c r="O5" i="4"/>
  <c r="Q61" i="4"/>
  <c r="Q62" i="4"/>
  <c r="Q63" i="4"/>
  <c r="Q64" i="4"/>
  <c r="Q65" i="4"/>
  <c r="Q66" i="4"/>
  <c r="Q60" i="4"/>
  <c r="Q59" i="4"/>
  <c r="Q57" i="4"/>
  <c r="Q53" i="4"/>
  <c r="Q54" i="4"/>
  <c r="Q55" i="4"/>
  <c r="Q56" i="4"/>
  <c r="Q52" i="4"/>
  <c r="Q51" i="4"/>
  <c r="Q50" i="4"/>
  <c r="Q43" i="4"/>
  <c r="Q44" i="4"/>
  <c r="Q45" i="4"/>
  <c r="Q46" i="4"/>
  <c r="Q47" i="4"/>
  <c r="Q48" i="4"/>
  <c r="Q42" i="4"/>
  <c r="Q41" i="4"/>
  <c r="Q34" i="4"/>
  <c r="Q35" i="4"/>
  <c r="Q36" i="4"/>
  <c r="Q37" i="4"/>
  <c r="Q38" i="4"/>
  <c r="Q39" i="4"/>
  <c r="Q33" i="4"/>
  <c r="Q32" i="4"/>
  <c r="Q25" i="4"/>
  <c r="Q26" i="4"/>
  <c r="Q27" i="4"/>
  <c r="Q28" i="4"/>
  <c r="Q30" i="4"/>
  <c r="Q24" i="4"/>
  <c r="Q23" i="4"/>
  <c r="Q17" i="4"/>
  <c r="Q18" i="4"/>
  <c r="Q19" i="4"/>
  <c r="Q20" i="4"/>
  <c r="Q21" i="4"/>
  <c r="Q444" i="4"/>
  <c r="H443" i="4"/>
  <c r="H442" i="4"/>
  <c r="H441" i="4"/>
  <c r="H440" i="4"/>
  <c r="H439" i="4"/>
  <c r="H438" i="4"/>
  <c r="H437" i="4"/>
  <c r="H435" i="4"/>
  <c r="H434" i="4"/>
  <c r="H433" i="4"/>
  <c r="H432" i="4"/>
  <c r="H431" i="4"/>
  <c r="H430" i="4"/>
  <c r="H429" i="4"/>
  <c r="H428" i="4"/>
  <c r="H426" i="4"/>
  <c r="H425" i="4"/>
  <c r="H424" i="4"/>
  <c r="H423" i="4"/>
  <c r="H422" i="4"/>
  <c r="H421" i="4"/>
  <c r="H420" i="4"/>
  <c r="H419" i="4"/>
  <c r="H417" i="4"/>
  <c r="H416" i="4"/>
  <c r="H415" i="4"/>
  <c r="H414" i="4"/>
  <c r="H413" i="4"/>
  <c r="H412" i="4"/>
  <c r="H411" i="4"/>
  <c r="H410" i="4"/>
  <c r="H408" i="4"/>
  <c r="H407" i="4"/>
  <c r="H406" i="4"/>
  <c r="H405" i="4"/>
  <c r="H404" i="4"/>
  <c r="H403" i="4"/>
  <c r="H402" i="4"/>
  <c r="H401" i="4"/>
  <c r="H399" i="4"/>
  <c r="H398" i="4"/>
  <c r="H397" i="4"/>
  <c r="H396" i="4"/>
  <c r="H395" i="4"/>
  <c r="H394" i="4"/>
  <c r="H393" i="4"/>
  <c r="H392" i="4"/>
  <c r="H390" i="4"/>
  <c r="H389" i="4"/>
  <c r="H388" i="4"/>
  <c r="H387" i="4"/>
  <c r="H386" i="4"/>
  <c r="H385" i="4"/>
  <c r="H384" i="4"/>
  <c r="H383" i="4"/>
  <c r="H381" i="4"/>
  <c r="H380" i="4"/>
  <c r="H379" i="4"/>
  <c r="H378" i="4"/>
  <c r="H377" i="4"/>
  <c r="H376" i="4"/>
  <c r="H375" i="4"/>
  <c r="H374" i="4"/>
  <c r="H372" i="4"/>
  <c r="H371" i="4"/>
  <c r="H370" i="4"/>
  <c r="H369" i="4"/>
  <c r="H368" i="4"/>
  <c r="H367" i="4"/>
  <c r="H366" i="4"/>
  <c r="H365" i="4"/>
  <c r="H363" i="4"/>
  <c r="H362" i="4"/>
  <c r="H361" i="4"/>
  <c r="H360" i="4"/>
  <c r="H359" i="4"/>
  <c r="H358" i="4"/>
  <c r="H357" i="4"/>
  <c r="H356" i="4"/>
  <c r="H354" i="4"/>
  <c r="H353" i="4"/>
  <c r="H352" i="4"/>
  <c r="H351" i="4"/>
  <c r="H350" i="4"/>
  <c r="H349" i="4"/>
  <c r="H348" i="4"/>
  <c r="H347" i="4"/>
  <c r="H345" i="4"/>
  <c r="H344" i="4"/>
  <c r="H343" i="4"/>
  <c r="H342" i="4"/>
  <c r="H341" i="4"/>
  <c r="H340" i="4"/>
  <c r="H339" i="4"/>
  <c r="H338" i="4"/>
  <c r="H336" i="4"/>
  <c r="H335" i="4"/>
  <c r="H334" i="4"/>
  <c r="H333" i="4"/>
  <c r="H332" i="4"/>
  <c r="H331" i="4"/>
  <c r="H330" i="4"/>
  <c r="H329" i="4"/>
  <c r="H327" i="4"/>
  <c r="H326" i="4"/>
  <c r="H325" i="4"/>
  <c r="H324" i="4"/>
  <c r="H323" i="4"/>
  <c r="H322" i="4"/>
  <c r="H321" i="4"/>
  <c r="H320" i="4"/>
  <c r="H318" i="4"/>
  <c r="H317" i="4"/>
  <c r="H316" i="4"/>
  <c r="H315" i="4"/>
  <c r="H314" i="4"/>
  <c r="H313" i="4"/>
  <c r="H312" i="4"/>
  <c r="H311" i="4"/>
  <c r="H309" i="4"/>
  <c r="H308" i="4"/>
  <c r="H307" i="4"/>
  <c r="H306" i="4"/>
  <c r="H305" i="4"/>
  <c r="H304" i="4"/>
  <c r="H303" i="4"/>
  <c r="H302" i="4"/>
  <c r="H300" i="4"/>
  <c r="H299" i="4"/>
  <c r="H298" i="4"/>
  <c r="H297" i="4"/>
  <c r="H296" i="4"/>
  <c r="H295" i="4"/>
  <c r="H294" i="4"/>
  <c r="H293" i="4"/>
  <c r="H291" i="4"/>
  <c r="H290" i="4"/>
  <c r="H289" i="4"/>
  <c r="H288" i="4"/>
  <c r="H287" i="4"/>
  <c r="H286" i="4"/>
  <c r="H285" i="4"/>
  <c r="H284" i="4"/>
  <c r="H282" i="4"/>
  <c r="H281" i="4"/>
  <c r="H280" i="4"/>
  <c r="H279" i="4"/>
  <c r="H278" i="4"/>
  <c r="H277" i="4"/>
  <c r="H276" i="4"/>
  <c r="H275" i="4"/>
  <c r="H273" i="4"/>
  <c r="H272" i="4"/>
  <c r="H271" i="4"/>
  <c r="H270" i="4"/>
  <c r="H269" i="4"/>
  <c r="H268" i="4"/>
  <c r="H267" i="4"/>
  <c r="H266" i="4"/>
  <c r="H264" i="4"/>
  <c r="H263" i="4"/>
  <c r="H262" i="4"/>
  <c r="H261" i="4"/>
  <c r="H260" i="4"/>
  <c r="H259" i="4"/>
  <c r="H258" i="4"/>
  <c r="H257" i="4"/>
  <c r="H255" i="4"/>
  <c r="H254" i="4"/>
  <c r="H253" i="4"/>
  <c r="H252" i="4"/>
  <c r="H251" i="4"/>
  <c r="H250" i="4"/>
  <c r="H249" i="4"/>
  <c r="H248" i="4"/>
  <c r="H246" i="4"/>
  <c r="H245" i="4"/>
  <c r="H244" i="4"/>
  <c r="H243" i="4"/>
  <c r="H242" i="4"/>
  <c r="H241" i="4"/>
  <c r="H240" i="4"/>
  <c r="H239" i="4"/>
  <c r="H237" i="4"/>
  <c r="H236" i="4"/>
  <c r="H235" i="4"/>
  <c r="H234" i="4"/>
  <c r="H233" i="4"/>
  <c r="H232" i="4"/>
  <c r="H231" i="4"/>
  <c r="H230" i="4"/>
  <c r="H228" i="4"/>
  <c r="H227" i="4"/>
  <c r="H226" i="4"/>
  <c r="H225" i="4"/>
  <c r="H224" i="4"/>
  <c r="H223" i="4"/>
  <c r="H222" i="4"/>
  <c r="H221" i="4"/>
  <c r="H219" i="4"/>
  <c r="H218" i="4"/>
  <c r="H217" i="4"/>
  <c r="H216" i="4"/>
  <c r="H215" i="4"/>
  <c r="H214" i="4"/>
  <c r="H213" i="4"/>
  <c r="H212" i="4"/>
  <c r="H210" i="4"/>
  <c r="H209" i="4"/>
  <c r="H208" i="4"/>
  <c r="H207" i="4"/>
  <c r="H206" i="4"/>
  <c r="H205" i="4"/>
  <c r="H204" i="4"/>
  <c r="H203" i="4"/>
  <c r="H201" i="4"/>
  <c r="H200" i="4"/>
  <c r="H199" i="4"/>
  <c r="H198" i="4"/>
  <c r="H197" i="4"/>
  <c r="H196" i="4"/>
  <c r="H195" i="4"/>
  <c r="H194" i="4"/>
  <c r="H192" i="4"/>
  <c r="H191" i="4"/>
  <c r="H190" i="4"/>
  <c r="H189" i="4"/>
  <c r="H188" i="4"/>
  <c r="H187" i="4"/>
  <c r="H186" i="4"/>
  <c r="H185" i="4"/>
  <c r="H183" i="4"/>
  <c r="H182" i="4"/>
  <c r="H181" i="4"/>
  <c r="H180" i="4"/>
  <c r="H179" i="4"/>
  <c r="H178" i="4"/>
  <c r="H177" i="4"/>
  <c r="H176" i="4"/>
  <c r="H165" i="4"/>
  <c r="H164" i="4"/>
  <c r="H163" i="4"/>
  <c r="H162" i="4"/>
  <c r="H161" i="4"/>
  <c r="H160" i="4"/>
  <c r="H159" i="4"/>
  <c r="H158" i="4"/>
  <c r="H156" i="4"/>
  <c r="H155" i="4"/>
  <c r="H154" i="4"/>
  <c r="H153" i="4"/>
  <c r="H152" i="4"/>
  <c r="H151" i="4"/>
  <c r="H150" i="4"/>
  <c r="H149" i="4"/>
  <c r="H93" i="4"/>
  <c r="H92" i="4"/>
  <c r="H91" i="4"/>
  <c r="H90" i="4"/>
  <c r="H89" i="4"/>
  <c r="H88" i="4"/>
  <c r="H87" i="4"/>
  <c r="H86" i="4"/>
  <c r="H84" i="4"/>
  <c r="H83" i="4"/>
  <c r="H82" i="4"/>
  <c r="H81" i="4"/>
  <c r="H80" i="4"/>
  <c r="H79" i="4"/>
  <c r="H78" i="4"/>
  <c r="H77" i="4"/>
  <c r="H75" i="4"/>
  <c r="H74" i="4"/>
  <c r="H73" i="4"/>
  <c r="H72" i="4"/>
  <c r="H71" i="4"/>
  <c r="H70" i="4"/>
  <c r="H69" i="4"/>
  <c r="H68" i="4"/>
  <c r="H57" i="4"/>
  <c r="H56" i="4"/>
  <c r="H55" i="4"/>
  <c r="H54" i="4"/>
  <c r="H53" i="4"/>
  <c r="H52" i="4"/>
  <c r="H51" i="4"/>
  <c r="H50" i="4"/>
  <c r="H48" i="4"/>
  <c r="H47" i="4"/>
  <c r="H46" i="4"/>
  <c r="H45" i="4"/>
  <c r="H44" i="4"/>
  <c r="H43" i="4"/>
  <c r="H42" i="4"/>
  <c r="H41" i="4"/>
  <c r="H39" i="4"/>
  <c r="H38" i="4"/>
  <c r="H37" i="4"/>
  <c r="H36" i="4"/>
  <c r="H35" i="4"/>
  <c r="H34" i="4"/>
  <c r="H33" i="4"/>
  <c r="H32" i="4"/>
  <c r="H30" i="4"/>
  <c r="H29" i="4"/>
  <c r="H28" i="4"/>
  <c r="H27" i="4"/>
  <c r="H26" i="4"/>
  <c r="H25" i="4"/>
  <c r="H24" i="4"/>
  <c r="H23" i="4"/>
  <c r="H21" i="4"/>
  <c r="H20" i="4"/>
  <c r="H19" i="4"/>
  <c r="H18" i="4"/>
  <c r="H17" i="4"/>
  <c r="H16" i="4"/>
  <c r="H15" i="4"/>
  <c r="H14" i="4"/>
  <c r="H12" i="4"/>
  <c r="H11" i="4"/>
  <c r="H10" i="4"/>
  <c r="H9" i="4"/>
  <c r="H8" i="4"/>
  <c r="H7" i="4"/>
  <c r="H6" i="4"/>
  <c r="H5" i="4"/>
  <c r="DF7" i="4" l="1"/>
  <c r="DF11" i="4"/>
  <c r="DE6" i="4"/>
  <c r="DE10" i="4"/>
  <c r="DE5" i="4"/>
  <c r="DD9" i="4"/>
  <c r="DD13" i="4"/>
  <c r="DC8" i="4"/>
  <c r="DC12" i="4"/>
  <c r="DF6" i="4"/>
  <c r="DF10" i="4"/>
  <c r="DF5" i="4"/>
  <c r="DE9" i="4"/>
  <c r="DE13" i="4"/>
  <c r="DD8" i="4"/>
  <c r="DD12" i="4"/>
  <c r="DC7" i="4"/>
  <c r="DC11" i="4"/>
  <c r="DF9" i="4"/>
  <c r="DF13" i="4"/>
  <c r="DE8" i="4"/>
  <c r="DE12" i="4"/>
  <c r="DD7" i="4"/>
  <c r="DD11" i="4"/>
  <c r="DC6" i="4"/>
  <c r="DC10" i="4"/>
  <c r="DC5" i="4"/>
  <c r="DF8" i="4"/>
  <c r="DF12" i="4"/>
  <c r="DE7" i="4"/>
  <c r="DE11" i="4"/>
  <c r="DD6" i="4"/>
  <c r="DD10" i="4"/>
  <c r="DD5" i="4"/>
  <c r="DC9" i="4"/>
  <c r="DC13" i="4"/>
  <c r="CP8" i="4"/>
  <c r="CP12" i="4"/>
  <c r="CP16" i="4"/>
  <c r="CP22" i="4"/>
  <c r="CP5" i="4"/>
  <c r="CP9" i="4"/>
  <c r="CP13" i="4"/>
  <c r="CP17" i="4"/>
  <c r="CP21" i="4"/>
  <c r="CP6" i="4"/>
  <c r="CP10" i="4"/>
  <c r="CP14" i="4"/>
  <c r="CP18" i="4"/>
  <c r="CP7" i="4"/>
  <c r="CP11" i="4"/>
  <c r="CP15" i="4"/>
  <c r="CP19" i="4"/>
  <c r="CP23" i="4"/>
  <c r="CP20" i="4"/>
  <c r="CP38" i="4"/>
  <c r="CP37" i="4"/>
  <c r="CP33" i="4"/>
  <c r="CP29" i="4"/>
  <c r="CP25" i="4"/>
  <c r="CP48" i="4"/>
  <c r="CP44" i="4"/>
  <c r="CP53" i="4"/>
  <c r="CP36" i="4"/>
  <c r="CP32" i="4"/>
  <c r="CP28" i="4"/>
  <c r="CP24" i="4"/>
  <c r="CP49" i="4"/>
  <c r="CP45" i="4"/>
  <c r="CP41" i="4"/>
  <c r="CP39" i="4"/>
  <c r="CP35" i="4"/>
  <c r="CP31" i="4"/>
  <c r="CP27" i="4"/>
  <c r="CP50" i="4"/>
  <c r="CP46" i="4"/>
  <c r="CP42" i="4"/>
  <c r="CP40" i="4"/>
  <c r="CP34" i="4"/>
  <c r="CP30" i="4"/>
  <c r="CP26" i="4"/>
  <c r="CP51" i="4"/>
  <c r="CP47" i="4"/>
  <c r="CP43" i="4"/>
  <c r="CP52" i="4"/>
  <c r="O437" i="4"/>
  <c r="O428" i="4"/>
  <c r="O419" i="4"/>
  <c r="O410" i="4"/>
  <c r="O401" i="4"/>
  <c r="O392" i="4"/>
  <c r="O383" i="4"/>
  <c r="O374" i="4"/>
  <c r="O365" i="4"/>
  <c r="O356" i="4"/>
  <c r="O347" i="4"/>
  <c r="O338" i="4"/>
  <c r="O329" i="4"/>
  <c r="O320" i="4"/>
  <c r="O311" i="4"/>
  <c r="O302" i="4"/>
  <c r="O293" i="4"/>
  <c r="O284" i="4"/>
  <c r="O275" i="4"/>
  <c r="O266" i="4"/>
  <c r="O257" i="4"/>
  <c r="O248" i="4"/>
  <c r="O239" i="4"/>
  <c r="O230" i="4"/>
  <c r="O221" i="4"/>
  <c r="O212" i="4"/>
  <c r="O203" i="4"/>
  <c r="O194" i="4"/>
  <c r="O185" i="4"/>
  <c r="O176" i="4"/>
  <c r="O167" i="4"/>
  <c r="O158" i="4"/>
  <c r="O149" i="4"/>
  <c r="O140" i="4"/>
  <c r="O131" i="4"/>
  <c r="O122" i="4"/>
  <c r="O113" i="4"/>
  <c r="O104" i="4"/>
  <c r="O86" i="4"/>
  <c r="O77" i="4"/>
  <c r="O68" i="4"/>
  <c r="O444" i="4"/>
  <c r="O443" i="4"/>
  <c r="O442" i="4"/>
  <c r="O441" i="4"/>
  <c r="O440" i="4"/>
  <c r="O439" i="4"/>
  <c r="O438" i="4"/>
  <c r="O435" i="4"/>
  <c r="O434" i="4"/>
  <c r="O433" i="4"/>
  <c r="O432" i="4"/>
  <c r="O431" i="4"/>
  <c r="O430" i="4"/>
  <c r="O429" i="4"/>
  <c r="O426" i="4"/>
  <c r="O425" i="4"/>
  <c r="O424" i="4"/>
  <c r="O423" i="4"/>
  <c r="O422" i="4"/>
  <c r="O421" i="4"/>
  <c r="O420" i="4"/>
  <c r="O417" i="4"/>
  <c r="O416" i="4"/>
  <c r="O415" i="4"/>
  <c r="O414" i="4"/>
  <c r="O413" i="4"/>
  <c r="O412" i="4"/>
  <c r="O411" i="4"/>
  <c r="O408" i="4"/>
  <c r="O407" i="4"/>
  <c r="O406" i="4"/>
  <c r="O405" i="4"/>
  <c r="O404" i="4"/>
  <c r="O403" i="4"/>
  <c r="O402" i="4"/>
  <c r="O399" i="4"/>
  <c r="O398" i="4"/>
  <c r="O397" i="4"/>
  <c r="O396" i="4"/>
  <c r="O395" i="4"/>
  <c r="O394" i="4"/>
  <c r="O393" i="4"/>
  <c r="O390" i="4"/>
  <c r="O389" i="4"/>
  <c r="O388" i="4"/>
  <c r="O387" i="4"/>
  <c r="O386" i="4"/>
  <c r="O385" i="4"/>
  <c r="O384" i="4"/>
  <c r="O381" i="4"/>
  <c r="O380" i="4"/>
  <c r="O379" i="4"/>
  <c r="O378" i="4"/>
  <c r="O377" i="4"/>
  <c r="O376" i="4"/>
  <c r="O375" i="4"/>
  <c r="O372" i="4"/>
  <c r="O371" i="4"/>
  <c r="O370" i="4"/>
  <c r="O369" i="4"/>
  <c r="O368" i="4"/>
  <c r="O367" i="4"/>
  <c r="O366" i="4"/>
  <c r="O363" i="4"/>
  <c r="O362" i="4"/>
  <c r="O361" i="4"/>
  <c r="O360" i="4"/>
  <c r="O359" i="4"/>
  <c r="O358" i="4"/>
  <c r="O357" i="4"/>
  <c r="O354" i="4"/>
  <c r="O353" i="4"/>
  <c r="O352" i="4"/>
  <c r="O351" i="4"/>
  <c r="O350" i="4"/>
  <c r="O349" i="4"/>
  <c r="O348" i="4"/>
  <c r="O345" i="4"/>
  <c r="O344" i="4"/>
  <c r="O343" i="4"/>
  <c r="O342" i="4"/>
  <c r="O341" i="4"/>
  <c r="O340" i="4"/>
  <c r="O339" i="4"/>
  <c r="O336" i="4"/>
  <c r="O335" i="4"/>
  <c r="O334" i="4"/>
  <c r="O333" i="4"/>
  <c r="O332" i="4"/>
  <c r="O331" i="4"/>
  <c r="O330" i="4"/>
  <c r="O327" i="4"/>
  <c r="O326" i="4"/>
  <c r="O325" i="4"/>
  <c r="O324" i="4"/>
  <c r="O323" i="4"/>
  <c r="O322" i="4"/>
  <c r="O321" i="4"/>
  <c r="O318" i="4"/>
  <c r="O317" i="4"/>
  <c r="O316" i="4"/>
  <c r="O315" i="4"/>
  <c r="O314" i="4"/>
  <c r="O313" i="4"/>
  <c r="O312" i="4"/>
  <c r="O309" i="4"/>
  <c r="O308" i="4"/>
  <c r="O307" i="4"/>
  <c r="O306" i="4"/>
  <c r="O305" i="4"/>
  <c r="O304" i="4"/>
  <c r="O303" i="4"/>
  <c r="O300" i="4"/>
  <c r="O299" i="4"/>
  <c r="O298" i="4"/>
  <c r="O297" i="4"/>
  <c r="O296" i="4"/>
  <c r="O295" i="4"/>
  <c r="O294" i="4"/>
  <c r="O291" i="4"/>
  <c r="O290" i="4"/>
  <c r="O289" i="4"/>
  <c r="O288" i="4"/>
  <c r="O287" i="4"/>
  <c r="O286" i="4"/>
  <c r="O285" i="4"/>
  <c r="O282" i="4"/>
  <c r="O281" i="4"/>
  <c r="O280" i="4"/>
  <c r="O279" i="4"/>
  <c r="O278" i="4"/>
  <c r="O277" i="4"/>
  <c r="O276" i="4"/>
  <c r="O273" i="4"/>
  <c r="O272" i="4"/>
  <c r="O271" i="4"/>
  <c r="O270" i="4"/>
  <c r="O269" i="4"/>
  <c r="O268" i="4"/>
  <c r="O267" i="4"/>
  <c r="O264" i="4"/>
  <c r="O263" i="4"/>
  <c r="O262" i="4"/>
  <c r="O261" i="4"/>
  <c r="O260" i="4"/>
  <c r="O259" i="4"/>
  <c r="O258" i="4"/>
  <c r="O255" i="4"/>
  <c r="O254" i="4"/>
  <c r="O253" i="4"/>
  <c r="O252" i="4"/>
  <c r="O251" i="4"/>
  <c r="O250" i="4"/>
  <c r="O249" i="4"/>
  <c r="O246" i="4"/>
  <c r="O245" i="4"/>
  <c r="O244" i="4"/>
  <c r="O243" i="4"/>
  <c r="O242" i="4"/>
  <c r="O241" i="4"/>
  <c r="O240" i="4"/>
  <c r="O237" i="4"/>
  <c r="O236" i="4"/>
  <c r="O235" i="4"/>
  <c r="O234" i="4"/>
  <c r="O233" i="4"/>
  <c r="O232" i="4"/>
  <c r="O231" i="4"/>
  <c r="O228" i="4"/>
  <c r="O227" i="4"/>
  <c r="O226" i="4"/>
  <c r="O225" i="4"/>
  <c r="O224" i="4"/>
  <c r="O223" i="4"/>
  <c r="O222" i="4"/>
  <c r="O219" i="4"/>
  <c r="O218" i="4"/>
  <c r="O217" i="4"/>
  <c r="O216" i="4"/>
  <c r="O215" i="4"/>
  <c r="O214" i="4"/>
  <c r="O213" i="4"/>
  <c r="O210" i="4"/>
  <c r="O209" i="4"/>
  <c r="O208" i="4"/>
  <c r="O207" i="4"/>
  <c r="O206" i="4"/>
  <c r="O205" i="4"/>
  <c r="O204" i="4"/>
  <c r="O201" i="4"/>
  <c r="O200" i="4"/>
  <c r="O199" i="4"/>
  <c r="O198" i="4"/>
  <c r="O197" i="4"/>
  <c r="O196" i="4"/>
  <c r="O195" i="4"/>
  <c r="O192" i="4"/>
  <c r="O191" i="4"/>
  <c r="O190" i="4"/>
  <c r="O189" i="4"/>
  <c r="O188" i="4"/>
  <c r="O187" i="4"/>
  <c r="O186" i="4"/>
  <c r="O183" i="4"/>
  <c r="O182" i="4"/>
  <c r="O181" i="4"/>
  <c r="O180" i="4"/>
  <c r="O179" i="4"/>
  <c r="O178" i="4"/>
  <c r="O177" i="4"/>
  <c r="O174" i="4"/>
  <c r="O173" i="4"/>
  <c r="O172" i="4"/>
  <c r="O171" i="4"/>
  <c r="O170" i="4"/>
  <c r="O169" i="4"/>
  <c r="O168" i="4"/>
  <c r="O165" i="4"/>
  <c r="O164" i="4"/>
  <c r="O163" i="4"/>
  <c r="O162" i="4"/>
  <c r="O161" i="4"/>
  <c r="O160" i="4"/>
  <c r="O159" i="4"/>
  <c r="O156" i="4"/>
  <c r="O155" i="4"/>
  <c r="O154" i="4"/>
  <c r="O153" i="4"/>
  <c r="O152" i="4"/>
  <c r="O151" i="4"/>
  <c r="O150" i="4"/>
  <c r="O147" i="4"/>
  <c r="O146" i="4"/>
  <c r="O145" i="4"/>
  <c r="O144" i="4"/>
  <c r="O143" i="4"/>
  <c r="O142" i="4"/>
  <c r="O141" i="4"/>
  <c r="O138" i="4"/>
  <c r="O137" i="4"/>
  <c r="O136" i="4"/>
  <c r="O135" i="4"/>
  <c r="O134" i="4"/>
  <c r="O133" i="4"/>
  <c r="O132" i="4"/>
  <c r="O129" i="4"/>
  <c r="O128" i="4"/>
  <c r="O127" i="4"/>
  <c r="O126" i="4"/>
  <c r="O125" i="4"/>
  <c r="O124" i="4"/>
  <c r="O123" i="4"/>
  <c r="O120" i="4"/>
  <c r="O119" i="4"/>
  <c r="O118" i="4"/>
  <c r="O117" i="4"/>
  <c r="O116" i="4"/>
  <c r="O115" i="4"/>
  <c r="O114" i="4"/>
  <c r="O111" i="4"/>
  <c r="O110" i="4"/>
  <c r="O109" i="4"/>
  <c r="O108" i="4"/>
  <c r="O107" i="4"/>
  <c r="O106" i="4"/>
  <c r="O105" i="4"/>
  <c r="O102" i="4"/>
  <c r="O101" i="4"/>
  <c r="O100" i="4"/>
  <c r="O99" i="4"/>
  <c r="O98" i="4"/>
  <c r="O97" i="4"/>
  <c r="O96" i="4"/>
  <c r="O93" i="4"/>
  <c r="O92" i="4"/>
  <c r="O91" i="4"/>
  <c r="O90" i="4"/>
  <c r="O89" i="4"/>
  <c r="O88" i="4"/>
  <c r="O87" i="4"/>
  <c r="O84" i="4"/>
  <c r="O83" i="4"/>
  <c r="O82" i="4"/>
  <c r="O81" i="4"/>
  <c r="O80" i="4"/>
  <c r="O79" i="4"/>
  <c r="O78" i="4"/>
  <c r="O75" i="4"/>
  <c r="O74" i="4"/>
  <c r="O73" i="4"/>
  <c r="O71" i="4"/>
  <c r="O70" i="4"/>
  <c r="O69" i="4"/>
  <c r="Q439" i="4"/>
  <c r="Q440" i="4"/>
  <c r="Q441" i="4"/>
  <c r="Q442" i="4"/>
  <c r="Q443" i="4"/>
  <c r="Q438" i="4"/>
  <c r="Q437" i="4"/>
  <c r="Q428" i="4"/>
  <c r="Q419" i="4"/>
  <c r="Q410" i="4"/>
  <c r="Q401" i="4"/>
  <c r="Q392" i="4"/>
  <c r="Q383" i="4"/>
  <c r="Q374" i="4"/>
  <c r="Q365" i="4"/>
  <c r="Q356" i="4"/>
  <c r="Q347" i="4"/>
  <c r="Q338" i="4"/>
  <c r="Q329" i="4"/>
  <c r="Q320" i="4"/>
  <c r="Q311" i="4"/>
  <c r="Q302" i="4"/>
  <c r="Q293" i="4"/>
  <c r="Q284" i="4"/>
  <c r="Q275" i="4"/>
  <c r="Q266" i="4"/>
  <c r="Q257" i="4"/>
  <c r="Q248" i="4"/>
  <c r="Q239" i="4"/>
  <c r="Q230" i="4"/>
  <c r="Q221" i="4"/>
  <c r="Q212" i="4"/>
  <c r="Q203" i="4"/>
  <c r="Q194" i="4"/>
  <c r="Q185" i="4"/>
  <c r="Q176" i="4"/>
  <c r="Q167" i="4"/>
  <c r="Q158" i="4"/>
  <c r="Q149" i="4"/>
  <c r="Q140" i="4"/>
  <c r="Q131" i="4"/>
  <c r="Q122" i="4"/>
  <c r="Q113" i="4"/>
  <c r="Q104" i="4"/>
  <c r="Q95" i="4"/>
  <c r="Q86" i="4"/>
  <c r="Q77" i="4"/>
  <c r="Q68" i="4"/>
  <c r="Q435" i="4"/>
  <c r="Q434" i="4"/>
  <c r="Q433" i="4"/>
  <c r="Q432" i="4"/>
  <c r="Q431" i="4"/>
  <c r="Q430" i="4"/>
  <c r="Q429" i="4"/>
  <c r="Q426" i="4"/>
  <c r="Q425" i="4"/>
  <c r="Q424" i="4"/>
  <c r="Q423" i="4"/>
  <c r="Q422" i="4"/>
  <c r="Q421" i="4"/>
  <c r="Q420" i="4"/>
  <c r="Q417" i="4"/>
  <c r="Q416" i="4"/>
  <c r="Q415" i="4"/>
  <c r="Q414" i="4"/>
  <c r="Q413" i="4"/>
  <c r="Q412" i="4"/>
  <c r="Q411" i="4"/>
  <c r="Q408" i="4"/>
  <c r="Q407" i="4"/>
  <c r="Q406" i="4"/>
  <c r="Q405" i="4"/>
  <c r="Q404" i="4"/>
  <c r="Q403" i="4"/>
  <c r="Q402" i="4"/>
  <c r="Q399" i="4"/>
  <c r="Q398" i="4"/>
  <c r="Q397" i="4"/>
  <c r="Q396" i="4"/>
  <c r="Q395" i="4"/>
  <c r="Q394" i="4"/>
  <c r="Q393" i="4"/>
  <c r="Q390" i="4"/>
  <c r="Q389" i="4"/>
  <c r="Q388" i="4"/>
  <c r="Q387" i="4"/>
  <c r="Q386" i="4"/>
  <c r="Q385" i="4"/>
  <c r="Q384" i="4"/>
  <c r="Q381" i="4"/>
  <c r="Q380" i="4"/>
  <c r="Q379" i="4"/>
  <c r="Q378" i="4"/>
  <c r="Q377" i="4"/>
  <c r="Q376" i="4"/>
  <c r="Q375" i="4"/>
  <c r="Q372" i="4"/>
  <c r="Q371" i="4"/>
  <c r="Q370" i="4"/>
  <c r="Q369" i="4"/>
  <c r="Q368" i="4"/>
  <c r="Q367" i="4"/>
  <c r="Q366" i="4"/>
  <c r="Q363" i="4"/>
  <c r="Q362" i="4"/>
  <c r="Q361" i="4"/>
  <c r="Q360" i="4"/>
  <c r="Q359" i="4"/>
  <c r="Q358" i="4"/>
  <c r="Q357" i="4"/>
  <c r="Q354" i="4"/>
  <c r="Q353" i="4"/>
  <c r="Q352" i="4"/>
  <c r="Q351" i="4"/>
  <c r="Q350" i="4"/>
  <c r="Q349" i="4"/>
  <c r="Q348" i="4"/>
  <c r="Q345" i="4"/>
  <c r="Q344" i="4"/>
  <c r="Q343" i="4"/>
  <c r="Q342" i="4"/>
  <c r="Q341" i="4"/>
  <c r="Q340" i="4"/>
  <c r="Q339" i="4"/>
  <c r="Q336" i="4"/>
  <c r="Q335" i="4"/>
  <c r="Q334" i="4"/>
  <c r="Q333" i="4"/>
  <c r="Q332" i="4"/>
  <c r="Q331" i="4"/>
  <c r="Q330" i="4"/>
  <c r="Q327" i="4"/>
  <c r="Q326" i="4"/>
  <c r="Q325" i="4"/>
  <c r="Q324" i="4"/>
  <c r="Q323" i="4"/>
  <c r="Q322" i="4"/>
  <c r="Q321" i="4"/>
  <c r="Q318" i="4"/>
  <c r="Q317" i="4"/>
  <c r="Q316" i="4"/>
  <c r="Q315" i="4"/>
  <c r="Q314" i="4"/>
  <c r="Q313" i="4"/>
  <c r="Q312" i="4"/>
  <c r="Q309" i="4"/>
  <c r="Q308" i="4"/>
  <c r="Q307" i="4"/>
  <c r="Q306" i="4"/>
  <c r="Q305" i="4"/>
  <c r="Q304" i="4"/>
  <c r="Q303" i="4"/>
  <c r="Q300" i="4"/>
  <c r="Q299" i="4"/>
  <c r="Q298" i="4"/>
  <c r="Q297" i="4"/>
  <c r="Q296" i="4"/>
  <c r="Q295" i="4"/>
  <c r="Q294" i="4"/>
  <c r="Q291" i="4"/>
  <c r="Q290" i="4"/>
  <c r="Q289" i="4"/>
  <c r="Q288" i="4"/>
  <c r="Q287" i="4"/>
  <c r="Q286" i="4"/>
  <c r="Q285" i="4"/>
  <c r="Q282" i="4"/>
  <c r="Q281" i="4"/>
  <c r="Q280" i="4"/>
  <c r="Q279" i="4"/>
  <c r="Q278" i="4"/>
  <c r="Q277" i="4"/>
  <c r="Q276" i="4"/>
  <c r="Q273" i="4"/>
  <c r="Q272" i="4"/>
  <c r="Q271" i="4"/>
  <c r="Q270" i="4"/>
  <c r="Q269" i="4"/>
  <c r="Q268" i="4"/>
  <c r="Q267" i="4"/>
  <c r="Q264" i="4"/>
  <c r="Q263" i="4"/>
  <c r="Q262" i="4"/>
  <c r="Q261" i="4"/>
  <c r="Q260" i="4"/>
  <c r="Q259" i="4"/>
  <c r="Q258" i="4"/>
  <c r="Q255" i="4"/>
  <c r="Q254" i="4"/>
  <c r="Q253" i="4"/>
  <c r="Q252" i="4"/>
  <c r="Q251" i="4"/>
  <c r="Q250" i="4"/>
  <c r="Q249" i="4"/>
  <c r="Q246" i="4"/>
  <c r="Q245" i="4"/>
  <c r="Q244" i="4"/>
  <c r="Q243" i="4"/>
  <c r="Q242" i="4"/>
  <c r="Q241" i="4"/>
  <c r="Q240" i="4"/>
  <c r="Q237" i="4"/>
  <c r="Q236" i="4"/>
  <c r="Q235" i="4"/>
  <c r="Q234" i="4"/>
  <c r="Q233" i="4"/>
  <c r="Q232" i="4"/>
  <c r="Q231" i="4"/>
  <c r="Q228" i="4"/>
  <c r="Q227" i="4"/>
  <c r="Q226" i="4"/>
  <c r="Q225" i="4"/>
  <c r="Q224" i="4"/>
  <c r="Q223" i="4"/>
  <c r="Q222" i="4"/>
  <c r="Q219" i="4"/>
  <c r="Q218" i="4"/>
  <c r="Q217" i="4"/>
  <c r="Q216" i="4"/>
  <c r="Q215" i="4"/>
  <c r="Q214" i="4"/>
  <c r="Q213" i="4"/>
  <c r="Q210" i="4"/>
  <c r="Q209" i="4"/>
  <c r="Q208" i="4"/>
  <c r="Q207" i="4"/>
  <c r="Q206" i="4"/>
  <c r="Q205" i="4"/>
  <c r="Q204" i="4"/>
  <c r="Q201" i="4"/>
  <c r="Q200" i="4"/>
  <c r="Q199" i="4"/>
  <c r="Q198" i="4"/>
  <c r="Q197" i="4"/>
  <c r="Q196" i="4"/>
  <c r="Q195" i="4"/>
  <c r="Q192" i="4"/>
  <c r="Q191" i="4"/>
  <c r="Q190" i="4"/>
  <c r="Q189" i="4"/>
  <c r="Q188" i="4"/>
  <c r="Q187" i="4"/>
  <c r="Q186" i="4"/>
  <c r="Q183" i="4"/>
  <c r="Q182" i="4"/>
  <c r="Q181" i="4"/>
  <c r="Q180" i="4"/>
  <c r="Q179" i="4"/>
  <c r="Q178" i="4"/>
  <c r="Q177" i="4"/>
  <c r="Q174" i="4"/>
  <c r="Q173" i="4"/>
  <c r="Q172" i="4"/>
  <c r="Q171" i="4"/>
  <c r="Q170" i="4"/>
  <c r="Q169" i="4"/>
  <c r="Q168" i="4"/>
  <c r="Q165" i="4"/>
  <c r="Q164" i="4"/>
  <c r="Q163" i="4"/>
  <c r="Q162" i="4"/>
  <c r="Q161" i="4"/>
  <c r="Q160" i="4"/>
  <c r="Q159" i="4"/>
  <c r="Q156" i="4"/>
  <c r="Q155" i="4"/>
  <c r="Q154" i="4"/>
  <c r="Q153" i="4"/>
  <c r="Q152" i="4"/>
  <c r="Q151" i="4"/>
  <c r="Q150" i="4"/>
  <c r="Q147" i="4"/>
  <c r="Q146" i="4"/>
  <c r="Q145" i="4"/>
  <c r="Q144" i="4"/>
  <c r="Q143" i="4"/>
  <c r="Q142" i="4"/>
  <c r="Q141" i="4"/>
  <c r="Q138" i="4"/>
  <c r="Q137" i="4"/>
  <c r="Q136" i="4"/>
  <c r="Q135" i="4"/>
  <c r="Q134" i="4"/>
  <c r="Q133" i="4"/>
  <c r="Q132" i="4"/>
  <c r="Q129" i="4"/>
  <c r="Q128" i="4"/>
  <c r="Q127" i="4"/>
  <c r="Q126" i="4"/>
  <c r="Q125" i="4"/>
  <c r="Q124" i="4"/>
  <c r="Q123" i="4"/>
  <c r="Q120" i="4"/>
  <c r="Q119" i="4"/>
  <c r="Q118" i="4"/>
  <c r="Q117" i="4"/>
  <c r="Q116" i="4"/>
  <c r="Q115" i="4"/>
  <c r="Q114" i="4"/>
  <c r="Q111" i="4"/>
  <c r="Q110" i="4"/>
  <c r="Q109" i="4"/>
  <c r="Q108" i="4"/>
  <c r="Q107" i="4"/>
  <c r="Q106" i="4"/>
  <c r="Q105" i="4"/>
  <c r="Q102" i="4"/>
  <c r="Q101" i="4"/>
  <c r="Q99" i="4"/>
  <c r="Q98" i="4"/>
  <c r="Q97" i="4"/>
  <c r="Q96" i="4"/>
  <c r="Q93" i="4"/>
  <c r="Q92" i="4"/>
  <c r="Q91" i="4"/>
  <c r="Q90" i="4"/>
  <c r="Q89" i="4"/>
  <c r="Q88" i="4"/>
  <c r="Q87" i="4"/>
  <c r="Q84" i="4"/>
  <c r="Q83" i="4"/>
  <c r="Q82" i="4"/>
  <c r="Q81" i="4"/>
  <c r="Q80" i="4"/>
  <c r="Q79" i="4"/>
  <c r="Q78" i="4"/>
  <c r="Q75" i="4"/>
  <c r="Q74" i="4"/>
  <c r="Q73" i="4"/>
  <c r="Q72" i="4"/>
  <c r="Q71" i="4"/>
  <c r="Q70" i="4"/>
  <c r="Q69" i="4"/>
  <c r="B438" i="4"/>
  <c r="B439" i="4"/>
  <c r="B440" i="4"/>
  <c r="B441" i="4"/>
  <c r="B442" i="4"/>
  <c r="B443" i="4"/>
  <c r="B437" i="4"/>
  <c r="B429" i="4"/>
  <c r="B430" i="4"/>
  <c r="B431" i="4"/>
  <c r="B432" i="4"/>
  <c r="B433" i="4"/>
  <c r="B434" i="4"/>
  <c r="B435" i="4"/>
  <c r="B428" i="4"/>
  <c r="B420" i="4"/>
  <c r="B421" i="4"/>
  <c r="B422" i="4"/>
  <c r="B423" i="4"/>
  <c r="B424" i="4"/>
  <c r="B425" i="4"/>
  <c r="B426" i="4"/>
  <c r="B419" i="4"/>
  <c r="B411" i="4"/>
  <c r="B412" i="4"/>
  <c r="B413" i="4"/>
  <c r="B414" i="4"/>
  <c r="B415" i="4"/>
  <c r="B416" i="4"/>
  <c r="B417" i="4"/>
  <c r="B410" i="4"/>
  <c r="B402" i="4"/>
  <c r="B403" i="4"/>
  <c r="B404" i="4"/>
  <c r="B405" i="4"/>
  <c r="B406" i="4"/>
  <c r="B407" i="4"/>
  <c r="B408" i="4"/>
  <c r="B401" i="4"/>
  <c r="B393" i="4"/>
  <c r="B394" i="4"/>
  <c r="B395" i="4"/>
  <c r="B396" i="4"/>
  <c r="B397" i="4"/>
  <c r="B398" i="4"/>
  <c r="B399" i="4"/>
  <c r="B392" i="4"/>
  <c r="B384" i="4"/>
  <c r="B385" i="4"/>
  <c r="B386" i="4"/>
  <c r="B387" i="4"/>
  <c r="B388" i="4"/>
  <c r="B389" i="4"/>
  <c r="B390" i="4"/>
  <c r="B383" i="4"/>
  <c r="B375" i="4"/>
  <c r="B376" i="4"/>
  <c r="B377" i="4"/>
  <c r="B378" i="4"/>
  <c r="B379" i="4"/>
  <c r="B380" i="4"/>
  <c r="B381" i="4"/>
  <c r="B374" i="4"/>
  <c r="B366" i="4"/>
  <c r="B367" i="4"/>
  <c r="B368" i="4"/>
  <c r="B369" i="4"/>
  <c r="B370" i="4"/>
  <c r="B371" i="4"/>
  <c r="B372" i="4"/>
  <c r="B365" i="4"/>
  <c r="B357" i="4"/>
  <c r="B358" i="4"/>
  <c r="B359" i="4"/>
  <c r="B360" i="4"/>
  <c r="B361" i="4"/>
  <c r="B362" i="4"/>
  <c r="B363" i="4"/>
  <c r="B356" i="4"/>
  <c r="B348" i="4"/>
  <c r="B349" i="4"/>
  <c r="B350" i="4"/>
  <c r="B351" i="4"/>
  <c r="B352" i="4"/>
  <c r="B353" i="4"/>
  <c r="B354" i="4"/>
  <c r="B347" i="4"/>
  <c r="B339" i="4"/>
  <c r="B340" i="4"/>
  <c r="B341" i="4"/>
  <c r="B342" i="4"/>
  <c r="B343" i="4"/>
  <c r="B344" i="4"/>
  <c r="B345" i="4"/>
  <c r="B338" i="4"/>
  <c r="B330" i="4"/>
  <c r="B331" i="4"/>
  <c r="B332" i="4"/>
  <c r="B333" i="4"/>
  <c r="B334" i="4"/>
  <c r="B335" i="4"/>
  <c r="B336" i="4"/>
  <c r="B329" i="4"/>
  <c r="B321" i="4"/>
  <c r="B322" i="4"/>
  <c r="B323" i="4"/>
  <c r="B324" i="4"/>
  <c r="B325" i="4"/>
  <c r="B326" i="4"/>
  <c r="B327" i="4"/>
  <c r="B320" i="4"/>
  <c r="B312" i="4"/>
  <c r="B313" i="4"/>
  <c r="B314" i="4"/>
  <c r="B315" i="4"/>
  <c r="B316" i="4"/>
  <c r="B317" i="4"/>
  <c r="B318" i="4"/>
  <c r="B311" i="4"/>
  <c r="B303" i="4"/>
  <c r="B304" i="4"/>
  <c r="B305" i="4"/>
  <c r="B306" i="4"/>
  <c r="B307" i="4"/>
  <c r="B308" i="4"/>
  <c r="B309" i="4"/>
  <c r="B302" i="4"/>
  <c r="B294" i="4"/>
  <c r="B295" i="4"/>
  <c r="B296" i="4"/>
  <c r="B297" i="4"/>
  <c r="B298" i="4"/>
  <c r="B299" i="4"/>
  <c r="B300" i="4"/>
  <c r="B293" i="4"/>
  <c r="B285" i="4"/>
  <c r="B286" i="4"/>
  <c r="B287" i="4"/>
  <c r="B288" i="4"/>
  <c r="B289" i="4"/>
  <c r="B290" i="4"/>
  <c r="B291" i="4"/>
  <c r="B284" i="4"/>
  <c r="B276" i="4"/>
  <c r="B277" i="4"/>
  <c r="B278" i="4"/>
  <c r="B279" i="4"/>
  <c r="B280" i="4"/>
  <c r="B281" i="4"/>
  <c r="B282" i="4"/>
  <c r="B275" i="4"/>
  <c r="B267" i="4"/>
  <c r="B268" i="4"/>
  <c r="B269" i="4"/>
  <c r="B270" i="4"/>
  <c r="B271" i="4"/>
  <c r="B272" i="4"/>
  <c r="B273" i="4"/>
  <c r="B266" i="4"/>
  <c r="B258" i="4"/>
  <c r="B259" i="4"/>
  <c r="B260" i="4"/>
  <c r="B261" i="4"/>
  <c r="B262" i="4"/>
  <c r="B263" i="4"/>
  <c r="B264" i="4"/>
  <c r="B257" i="4"/>
  <c r="B249" i="4"/>
  <c r="B250" i="4"/>
  <c r="B251" i="4"/>
  <c r="B252" i="4"/>
  <c r="B253" i="4"/>
  <c r="B254" i="4"/>
  <c r="B255" i="4"/>
  <c r="B248" i="4"/>
  <c r="B240" i="4"/>
  <c r="B241" i="4"/>
  <c r="B242" i="4"/>
  <c r="B243" i="4"/>
  <c r="B244" i="4"/>
  <c r="B245" i="4"/>
  <c r="B246" i="4"/>
  <c r="B239" i="4"/>
  <c r="B231" i="4"/>
  <c r="B232" i="4"/>
  <c r="B233" i="4"/>
  <c r="B234" i="4"/>
  <c r="B235" i="4"/>
  <c r="B236" i="4"/>
  <c r="B237" i="4"/>
  <c r="B230" i="4"/>
  <c r="B222" i="4"/>
  <c r="B223" i="4"/>
  <c r="B224" i="4"/>
  <c r="B225" i="4"/>
  <c r="B226" i="4"/>
  <c r="B227" i="4"/>
  <c r="B228" i="4"/>
  <c r="B221" i="4"/>
  <c r="B213" i="4"/>
  <c r="B214" i="4"/>
  <c r="B215" i="4"/>
  <c r="B216" i="4"/>
  <c r="B217" i="4"/>
  <c r="B218" i="4"/>
  <c r="B219" i="4"/>
  <c r="B212" i="4"/>
  <c r="B204" i="4"/>
  <c r="B205" i="4"/>
  <c r="B206" i="4"/>
  <c r="B207" i="4"/>
  <c r="B208" i="4"/>
  <c r="B209" i="4"/>
  <c r="B210" i="4"/>
  <c r="B203" i="4"/>
  <c r="B195" i="4"/>
  <c r="B196" i="4"/>
  <c r="B197" i="4"/>
  <c r="B198" i="4"/>
  <c r="B199" i="4"/>
  <c r="B200" i="4"/>
  <c r="B201" i="4"/>
  <c r="B194" i="4"/>
  <c r="B186" i="4"/>
  <c r="B187" i="4"/>
  <c r="B188" i="4"/>
  <c r="B189" i="4"/>
  <c r="B190" i="4"/>
  <c r="B191" i="4"/>
  <c r="B192" i="4"/>
  <c r="B185" i="4"/>
  <c r="B177" i="4"/>
  <c r="B178" i="4"/>
  <c r="B179" i="4"/>
  <c r="B180" i="4"/>
  <c r="B181" i="4"/>
  <c r="B182" i="4"/>
  <c r="B183" i="4"/>
  <c r="B176" i="4"/>
  <c r="B159" i="4"/>
  <c r="B160" i="4"/>
  <c r="B161" i="4"/>
  <c r="B162" i="4"/>
  <c r="B163" i="4"/>
  <c r="B164" i="4"/>
  <c r="B165" i="4"/>
  <c r="B158" i="4"/>
  <c r="B150" i="4"/>
  <c r="B151" i="4"/>
  <c r="B152" i="4"/>
  <c r="B153" i="4"/>
  <c r="B154" i="4"/>
  <c r="B155" i="4"/>
  <c r="B156" i="4"/>
  <c r="B149" i="4"/>
  <c r="B87" i="4"/>
  <c r="B88" i="4"/>
  <c r="B89" i="4"/>
  <c r="B90" i="4"/>
  <c r="B91" i="4"/>
  <c r="B92" i="4"/>
  <c r="B93" i="4"/>
  <c r="B86" i="4"/>
  <c r="B78" i="4"/>
  <c r="B79" i="4"/>
  <c r="B80" i="4"/>
  <c r="B81" i="4"/>
  <c r="B82" i="4"/>
  <c r="B83" i="4"/>
  <c r="B84" i="4"/>
  <c r="B77" i="4"/>
  <c r="B69" i="4"/>
  <c r="B70" i="4"/>
  <c r="B71" i="4"/>
  <c r="B72" i="4"/>
  <c r="B73" i="4"/>
  <c r="B74" i="4"/>
  <c r="B75" i="4"/>
  <c r="B68" i="4"/>
  <c r="B51" i="4"/>
  <c r="B52" i="4"/>
  <c r="B53" i="4"/>
  <c r="B54" i="4"/>
  <c r="B55" i="4"/>
  <c r="B56" i="4"/>
  <c r="B57" i="4"/>
  <c r="B42" i="4"/>
  <c r="B43" i="4"/>
  <c r="B44" i="4"/>
  <c r="B45" i="4"/>
  <c r="B46" i="4"/>
  <c r="B47" i="4"/>
  <c r="B48" i="4"/>
  <c r="B33" i="4"/>
  <c r="B34" i="4"/>
  <c r="B35" i="4"/>
  <c r="B36" i="4"/>
  <c r="B37" i="4"/>
  <c r="B38" i="4"/>
  <c r="B39" i="4"/>
  <c r="B24" i="4"/>
  <c r="B25" i="4"/>
  <c r="B26" i="4"/>
  <c r="B27" i="4"/>
  <c r="B28" i="4"/>
  <c r="B29" i="4"/>
  <c r="B30" i="4"/>
  <c r="B50" i="4"/>
  <c r="B41" i="4"/>
  <c r="B6" i="4"/>
  <c r="B7" i="4"/>
  <c r="B8" i="4"/>
  <c r="B9" i="4"/>
  <c r="B10" i="4"/>
  <c r="B11" i="4"/>
  <c r="B12" i="4"/>
  <c r="DO52" i="4"/>
  <c r="DQ52" i="4"/>
  <c r="DO53" i="4"/>
  <c r="DQ53" i="4"/>
  <c r="DO54" i="4"/>
  <c r="DQ54" i="4"/>
  <c r="DO12" i="4"/>
  <c r="DQ12" i="4"/>
  <c r="DO13" i="4"/>
  <c r="DQ13" i="4"/>
  <c r="DO14" i="4"/>
  <c r="DQ14" i="4"/>
  <c r="DO15" i="4"/>
  <c r="DQ15" i="4"/>
  <c r="DO16" i="4"/>
  <c r="DQ16" i="4"/>
  <c r="DO17" i="4"/>
  <c r="DQ17" i="4"/>
  <c r="DO18" i="4"/>
  <c r="DQ18" i="4"/>
  <c r="DO19" i="4"/>
  <c r="DQ19" i="4"/>
  <c r="DO20" i="4"/>
  <c r="DQ20" i="4"/>
  <c r="DO21" i="4"/>
  <c r="DQ21" i="4"/>
  <c r="DO22" i="4"/>
  <c r="DQ22" i="4"/>
  <c r="DO23" i="4"/>
  <c r="DQ23" i="4"/>
  <c r="DO24" i="4"/>
  <c r="DQ24" i="4"/>
  <c r="DO25" i="4"/>
  <c r="DQ25" i="4"/>
  <c r="DO26" i="4"/>
  <c r="DQ26" i="4"/>
  <c r="DO27" i="4"/>
  <c r="DQ27" i="4"/>
  <c r="DO28" i="4"/>
  <c r="DQ28" i="4"/>
  <c r="DO29" i="4"/>
  <c r="DQ29" i="4"/>
  <c r="DO30" i="4"/>
  <c r="DQ30" i="4"/>
  <c r="DO31" i="4"/>
  <c r="DQ31" i="4"/>
  <c r="DO32" i="4"/>
  <c r="DQ32" i="4"/>
  <c r="DO33" i="4"/>
  <c r="DQ33" i="4"/>
  <c r="DO34" i="4"/>
  <c r="DQ34" i="4"/>
  <c r="DO35" i="4"/>
  <c r="DQ35" i="4"/>
  <c r="DO36" i="4"/>
  <c r="DQ36" i="4"/>
  <c r="DO37" i="4"/>
  <c r="DQ37" i="4"/>
  <c r="DO38" i="4"/>
  <c r="DQ38" i="4"/>
  <c r="DO39" i="4"/>
  <c r="DQ39" i="4"/>
  <c r="DO40" i="4"/>
  <c r="DQ40" i="4"/>
  <c r="DO41" i="4"/>
  <c r="DQ41" i="4"/>
  <c r="DO42" i="4"/>
  <c r="DQ42" i="4"/>
  <c r="DO43" i="4"/>
  <c r="DQ43" i="4"/>
  <c r="DO44" i="4"/>
  <c r="DQ44" i="4"/>
  <c r="DO45" i="4"/>
  <c r="DQ45" i="4"/>
  <c r="DO46" i="4"/>
  <c r="DQ46" i="4"/>
  <c r="DO47" i="4"/>
  <c r="DQ47" i="4"/>
  <c r="DO48" i="4"/>
  <c r="DQ48" i="4"/>
  <c r="DO49" i="4"/>
  <c r="DQ49" i="4"/>
  <c r="DO50" i="4"/>
  <c r="DQ50" i="4"/>
  <c r="DO51" i="4"/>
  <c r="DQ51" i="4"/>
  <c r="DO6" i="4"/>
  <c r="DQ6" i="4"/>
  <c r="DO7" i="4"/>
  <c r="DQ7" i="4"/>
  <c r="DO8" i="4"/>
  <c r="DQ8" i="4"/>
  <c r="DO9" i="4"/>
  <c r="DQ9" i="4"/>
  <c r="DO10" i="4"/>
  <c r="DQ10" i="4"/>
  <c r="DO11" i="4"/>
  <c r="DQ11" i="4"/>
  <c r="DS5" i="4"/>
  <c r="DO5" i="4" s="1"/>
  <c r="DT5" i="4"/>
  <c r="DQ5" i="4" s="1"/>
  <c r="J47" i="38" l="1"/>
  <c r="H2" i="38"/>
  <c r="C2" i="38"/>
  <c r="H5" i="38"/>
  <c r="H13" i="38"/>
  <c r="H21" i="38"/>
  <c r="H29" i="38"/>
  <c r="F41" i="38"/>
  <c r="D6" i="38"/>
  <c r="D9" i="38"/>
  <c r="D17" i="38"/>
  <c r="D25" i="38"/>
  <c r="B33" i="38"/>
  <c r="I45" i="38"/>
  <c r="C5" i="38"/>
  <c r="E13" i="38"/>
  <c r="C21" i="38"/>
  <c r="C29" i="38"/>
  <c r="F37" i="38"/>
  <c r="E49" i="38"/>
  <c r="B5" i="38"/>
  <c r="B13" i="38"/>
  <c r="B21" i="38"/>
  <c r="B29" i="38"/>
  <c r="I41" i="38"/>
  <c r="I6" i="38"/>
  <c r="D14" i="38"/>
  <c r="H22" i="38"/>
  <c r="H30" i="38"/>
  <c r="D38" i="38"/>
  <c r="D46" i="38"/>
  <c r="C3" i="38"/>
  <c r="C11" i="38"/>
  <c r="C19" i="38"/>
  <c r="C27" i="38"/>
  <c r="C35" i="38"/>
  <c r="C43" i="38"/>
  <c r="C51" i="38"/>
  <c r="F8" i="38"/>
  <c r="F16" i="38"/>
  <c r="F24" i="38"/>
  <c r="F32" i="38"/>
  <c r="F40" i="38"/>
  <c r="F48" i="38"/>
  <c r="J13" i="38"/>
  <c r="J10" i="38"/>
  <c r="J15" i="38"/>
  <c r="G10" i="38"/>
  <c r="G18" i="38"/>
  <c r="G26" i="38"/>
  <c r="G34" i="38"/>
  <c r="G42" i="38"/>
  <c r="G50" i="38"/>
  <c r="F7" i="38"/>
  <c r="F15" i="38"/>
  <c r="F23" i="38"/>
  <c r="F31" i="38"/>
  <c r="F39" i="38"/>
  <c r="F47" i="38"/>
  <c r="I4" i="38"/>
  <c r="I12" i="38"/>
  <c r="G24" i="38"/>
  <c r="I32" i="38"/>
  <c r="I44" i="38"/>
  <c r="J17" i="38"/>
  <c r="J30" i="38"/>
  <c r="J44" i="38"/>
  <c r="C22" i="38"/>
  <c r="D3" i="38"/>
  <c r="B35" i="38"/>
  <c r="B16" i="38"/>
  <c r="X16" i="38" s="1"/>
  <c r="B48" i="38"/>
  <c r="F2" i="38"/>
  <c r="I2" i="38"/>
  <c r="F9" i="38"/>
  <c r="F17" i="38"/>
  <c r="F25" i="38"/>
  <c r="D33" i="38"/>
  <c r="E45" i="38"/>
  <c r="I5" i="38"/>
  <c r="I13" i="38"/>
  <c r="I21" i="38"/>
  <c r="I29" i="38"/>
  <c r="I37" i="38"/>
  <c r="C49" i="38"/>
  <c r="G5" i="38"/>
  <c r="G13" i="38"/>
  <c r="G21" i="38"/>
  <c r="G29" i="38"/>
  <c r="E41" i="38"/>
  <c r="H49" i="38"/>
  <c r="C9" i="38"/>
  <c r="I17" i="38"/>
  <c r="C25" i="38"/>
  <c r="F33" i="38"/>
  <c r="B45" i="38"/>
  <c r="B10" i="38"/>
  <c r="F14" i="38"/>
  <c r="F22" i="38"/>
  <c r="F30" i="38"/>
  <c r="F38" i="38"/>
  <c r="F46" i="38"/>
  <c r="I3" i="38"/>
  <c r="I11" i="38"/>
  <c r="I19" i="38"/>
  <c r="I27" i="38"/>
  <c r="I35" i="38"/>
  <c r="I43" i="38"/>
  <c r="I51" i="38"/>
  <c r="E8" i="38"/>
  <c r="E16" i="38"/>
  <c r="E24" i="38"/>
  <c r="E32" i="38"/>
  <c r="E40" i="38"/>
  <c r="E48" i="38"/>
  <c r="J29" i="38"/>
  <c r="J26" i="38"/>
  <c r="J8" i="38"/>
  <c r="H14" i="38"/>
  <c r="D22" i="38"/>
  <c r="B30" i="38"/>
  <c r="H38" i="38"/>
  <c r="H46" i="38"/>
  <c r="H3" i="38"/>
  <c r="G11" i="38"/>
  <c r="G19" i="38"/>
  <c r="G27" i="38"/>
  <c r="G35" i="38"/>
  <c r="G43" i="38"/>
  <c r="G51" i="38"/>
  <c r="G8" i="38"/>
  <c r="G16" i="38"/>
  <c r="I24" i="38"/>
  <c r="I36" i="38"/>
  <c r="G48" i="38"/>
  <c r="J33" i="38"/>
  <c r="J3" i="38"/>
  <c r="C6" i="38"/>
  <c r="C30" i="38"/>
  <c r="B11" i="38"/>
  <c r="B43" i="38"/>
  <c r="C24" i="38"/>
  <c r="J5" i="38"/>
  <c r="B2" i="38"/>
  <c r="E2" i="38"/>
  <c r="J2" i="38"/>
  <c r="H9" i="38"/>
  <c r="H17" i="38"/>
  <c r="H25" i="38"/>
  <c r="E37" i="38"/>
  <c r="H45" i="38"/>
  <c r="D5" i="38"/>
  <c r="D13" i="38"/>
  <c r="D21" i="38"/>
  <c r="D29" i="38"/>
  <c r="B41" i="38"/>
  <c r="G49" i="38"/>
  <c r="I9" i="38"/>
  <c r="C17" i="38"/>
  <c r="I25" i="38"/>
  <c r="I33" i="38"/>
  <c r="H41" i="38"/>
  <c r="G6" i="38"/>
  <c r="B9" i="38"/>
  <c r="B17" i="38"/>
  <c r="B25" i="38"/>
  <c r="C37" i="38"/>
  <c r="G45" i="38"/>
  <c r="D10" i="38"/>
  <c r="B18" i="38"/>
  <c r="D26" i="38"/>
  <c r="B34" i="38"/>
  <c r="D42" i="38"/>
  <c r="D50" i="38"/>
  <c r="C7" i="38"/>
  <c r="C15" i="38"/>
  <c r="C23" i="38"/>
  <c r="C31" i="38"/>
  <c r="C39" i="38"/>
  <c r="C47" i="38"/>
  <c r="C4" i="38"/>
  <c r="B12" i="38"/>
  <c r="B20" i="38"/>
  <c r="B28" i="38"/>
  <c r="F36" i="38"/>
  <c r="F44" i="38"/>
  <c r="J45" i="38"/>
  <c r="J42" i="38"/>
  <c r="J24" i="38"/>
  <c r="G14" i="38"/>
  <c r="G22" i="38"/>
  <c r="G30" i="38"/>
  <c r="G38" i="38"/>
  <c r="G46" i="38"/>
  <c r="F3" i="38"/>
  <c r="F11" i="38"/>
  <c r="F19" i="38"/>
  <c r="F27" i="38"/>
  <c r="F35" i="38"/>
  <c r="F43" i="38"/>
  <c r="F51" i="38"/>
  <c r="I8" i="38"/>
  <c r="I16" i="38"/>
  <c r="I28" i="38"/>
  <c r="G40" i="38"/>
  <c r="I48" i="38"/>
  <c r="J39" i="38"/>
  <c r="J23" i="38"/>
  <c r="E10" i="38"/>
  <c r="C38" i="38"/>
  <c r="B19" i="38"/>
  <c r="B51" i="38"/>
  <c r="B32" i="38"/>
  <c r="J36" i="38"/>
  <c r="J43" i="38"/>
  <c r="J19" i="38"/>
  <c r="D44" i="38"/>
  <c r="D36" i="38"/>
  <c r="D28" i="38"/>
  <c r="D20" i="38"/>
  <c r="D12" i="38"/>
  <c r="D4" i="38"/>
  <c r="E47" i="38"/>
  <c r="E39" i="38"/>
  <c r="E31" i="38"/>
  <c r="E23" i="38"/>
  <c r="E15" i="38"/>
  <c r="E7" i="38"/>
  <c r="I50" i="38"/>
  <c r="I42" i="38"/>
  <c r="I34" i="38"/>
  <c r="I26" i="38"/>
  <c r="I18" i="38"/>
  <c r="I10" i="38"/>
  <c r="D49" i="38"/>
  <c r="D41" i="38"/>
  <c r="G33" i="38"/>
  <c r="J16" i="38"/>
  <c r="J34" i="38"/>
  <c r="J37" i="38"/>
  <c r="B44" i="38"/>
  <c r="C36" i="38"/>
  <c r="C28" i="38"/>
  <c r="F20" i="38"/>
  <c r="C12" i="38"/>
  <c r="B4" i="38"/>
  <c r="D47" i="38"/>
  <c r="D39" i="38"/>
  <c r="D31" i="38"/>
  <c r="D23" i="38"/>
  <c r="D15" i="38"/>
  <c r="D7" i="38"/>
  <c r="C50" i="38"/>
  <c r="C42" i="38"/>
  <c r="C34" i="38"/>
  <c r="C26" i="38"/>
  <c r="C18" i="38"/>
  <c r="C10" i="38"/>
  <c r="J28" i="38"/>
  <c r="J50" i="38"/>
  <c r="J49" i="38"/>
  <c r="G44" i="38"/>
  <c r="G36" i="38"/>
  <c r="G28" i="38"/>
  <c r="G20" i="38"/>
  <c r="J20" i="38"/>
  <c r="J38" i="38"/>
  <c r="J41" i="38"/>
  <c r="C44" i="38"/>
  <c r="B36" i="38"/>
  <c r="F28" i="38"/>
  <c r="C20" i="38"/>
  <c r="F12" i="38"/>
  <c r="F4" i="38"/>
  <c r="B47" i="38"/>
  <c r="B39" i="38"/>
  <c r="G31" i="38"/>
  <c r="G23" i="38"/>
  <c r="G15" i="38"/>
  <c r="G7" i="38"/>
  <c r="B50" i="38"/>
  <c r="B42" i="38"/>
  <c r="H34" i="38"/>
  <c r="H26" i="38"/>
  <c r="H18" i="38"/>
  <c r="H10" i="38"/>
  <c r="B49" i="38"/>
  <c r="C41" i="38"/>
  <c r="C33" i="38"/>
  <c r="J35" i="38"/>
  <c r="J18" i="38"/>
  <c r="J21" i="38"/>
  <c r="H48" i="38"/>
  <c r="H40" i="38"/>
  <c r="H32" i="38"/>
  <c r="H24" i="38"/>
  <c r="H16" i="38"/>
  <c r="H8" i="38"/>
  <c r="H51" i="38"/>
  <c r="H43" i="38"/>
  <c r="H35" i="38"/>
  <c r="H27" i="38"/>
  <c r="H19" i="38"/>
  <c r="H11" i="38"/>
  <c r="B3" i="38"/>
  <c r="E46" i="38"/>
  <c r="E38" i="38"/>
  <c r="E30" i="38"/>
  <c r="E22" i="38"/>
  <c r="E14" i="38"/>
  <c r="E6" i="38"/>
  <c r="J4" i="38"/>
  <c r="J22" i="38"/>
  <c r="J25" i="38"/>
  <c r="D48" i="38"/>
  <c r="D40" i="38"/>
  <c r="D32" i="38"/>
  <c r="D24" i="38"/>
  <c r="D16" i="38"/>
  <c r="D8" i="38"/>
  <c r="E51" i="38"/>
  <c r="E43" i="38"/>
  <c r="E35" i="38"/>
  <c r="E27" i="38"/>
  <c r="E19" i="38"/>
  <c r="E11" i="38"/>
  <c r="E3" i="38"/>
  <c r="I46" i="38"/>
  <c r="I38" i="38"/>
  <c r="I30" i="38"/>
  <c r="I22" i="38"/>
  <c r="I14" i="38"/>
  <c r="B6" i="38"/>
  <c r="D45" i="38"/>
  <c r="D37" i="38"/>
  <c r="J48" i="38"/>
  <c r="J11" i="38"/>
  <c r="J6" i="38"/>
  <c r="J9" i="38"/>
  <c r="C48" i="38"/>
  <c r="B40" i="38"/>
  <c r="C32" i="38"/>
  <c r="B24" i="38"/>
  <c r="C16" i="38"/>
  <c r="B8" i="38"/>
  <c r="D51" i="38"/>
  <c r="D43" i="38"/>
  <c r="D35" i="38"/>
  <c r="D27" i="38"/>
  <c r="D19" i="38"/>
  <c r="D11" i="38"/>
  <c r="G3" i="38"/>
  <c r="B46" i="38"/>
  <c r="B38" i="38"/>
  <c r="D30" i="38"/>
  <c r="B22" i="38"/>
  <c r="B14" i="38"/>
  <c r="H6" i="38"/>
  <c r="C45" i="38"/>
  <c r="B37" i="38"/>
  <c r="J32" i="38"/>
  <c r="J27" i="38"/>
  <c r="J46" i="38"/>
  <c r="H44" i="38"/>
  <c r="H36" i="38"/>
  <c r="H28" i="38"/>
  <c r="H20" i="38"/>
  <c r="H12" i="38"/>
  <c r="H4" i="38"/>
  <c r="H47" i="38"/>
  <c r="H39" i="38"/>
  <c r="H31" i="38"/>
  <c r="H23" i="38"/>
  <c r="H15" i="38"/>
  <c r="H7" i="38"/>
  <c r="E50" i="38"/>
  <c r="E42" i="38"/>
  <c r="E34" i="38"/>
  <c r="E26" i="38"/>
  <c r="E18" i="38"/>
  <c r="D2" i="38"/>
  <c r="G2" i="38"/>
  <c r="F5" i="38"/>
  <c r="F13" i="38"/>
  <c r="F21" i="38"/>
  <c r="F29" i="38"/>
  <c r="H37" i="38"/>
  <c r="F49" i="38"/>
  <c r="E9" i="38"/>
  <c r="E17" i="38"/>
  <c r="E25" i="38"/>
  <c r="E33" i="38"/>
  <c r="G41" i="38"/>
  <c r="F6" i="38"/>
  <c r="G9" i="38"/>
  <c r="G17" i="38"/>
  <c r="G25" i="38"/>
  <c r="H33" i="38"/>
  <c r="F45" i="38"/>
  <c r="E5" i="38"/>
  <c r="C13" i="38"/>
  <c r="E21" i="38"/>
  <c r="E29" i="38"/>
  <c r="G37" i="38"/>
  <c r="I49" i="38"/>
  <c r="F10" i="38"/>
  <c r="F18" i="38"/>
  <c r="F26" i="38"/>
  <c r="F34" i="38"/>
  <c r="F42" i="38"/>
  <c r="F50" i="38"/>
  <c r="I7" i="38"/>
  <c r="I15" i="38"/>
  <c r="I23" i="38"/>
  <c r="I31" i="38"/>
  <c r="I39" i="38"/>
  <c r="I47" i="38"/>
  <c r="E4" i="38"/>
  <c r="E12" i="38"/>
  <c r="E20" i="38"/>
  <c r="E28" i="38"/>
  <c r="E36" i="38"/>
  <c r="E44" i="38"/>
  <c r="J31" i="38"/>
  <c r="J51" i="38"/>
  <c r="J40" i="38"/>
  <c r="D18" i="38"/>
  <c r="B26" i="38"/>
  <c r="D34" i="38"/>
  <c r="H42" i="38"/>
  <c r="H50" i="38"/>
  <c r="B7" i="38"/>
  <c r="B15" i="38"/>
  <c r="B23" i="38"/>
  <c r="B31" i="38"/>
  <c r="G39" i="38"/>
  <c r="G47" i="38"/>
  <c r="G4" i="38"/>
  <c r="G12" i="38"/>
  <c r="I20" i="38"/>
  <c r="G32" i="38"/>
  <c r="I40" i="38"/>
  <c r="J14" i="38"/>
  <c r="J12" i="38"/>
  <c r="C14" i="38"/>
  <c r="C46" i="38"/>
  <c r="B27" i="38"/>
  <c r="C8" i="38"/>
  <c r="C40" i="38"/>
  <c r="J7" i="38"/>
  <c r="CH5" i="4"/>
  <c r="CR9" i="4"/>
  <c r="CR13" i="4"/>
  <c r="CR21" i="4"/>
  <c r="CR8" i="4"/>
  <c r="CR12" i="4"/>
  <c r="CR16" i="4"/>
  <c r="CR5" i="4"/>
  <c r="CR19" i="4"/>
  <c r="CR22" i="4"/>
  <c r="CR7" i="4"/>
  <c r="CR11" i="4"/>
  <c r="CR17" i="4"/>
  <c r="CR6" i="4"/>
  <c r="CR10" i="4"/>
  <c r="CR14" i="4"/>
  <c r="CR18" i="4"/>
  <c r="CR15" i="4"/>
  <c r="CR23" i="4"/>
  <c r="CR20" i="4"/>
  <c r="CR38" i="4"/>
  <c r="CR37" i="4"/>
  <c r="CR33" i="4"/>
  <c r="CR29" i="4"/>
  <c r="CR25" i="4"/>
  <c r="CR48" i="4"/>
  <c r="CR44" i="4"/>
  <c r="CR53" i="4"/>
  <c r="CR36" i="4"/>
  <c r="CR32" i="4"/>
  <c r="CR28" i="4"/>
  <c r="CR24" i="4"/>
  <c r="CR49" i="4"/>
  <c r="CR45" i="4"/>
  <c r="CR41" i="4"/>
  <c r="CR39" i="4"/>
  <c r="CR35" i="4"/>
  <c r="CR31" i="4"/>
  <c r="CR27" i="4"/>
  <c r="CR50" i="4"/>
  <c r="CR46" i="4"/>
  <c r="CR42" i="4"/>
  <c r="CR40" i="4"/>
  <c r="CR34" i="4"/>
  <c r="CR30" i="4"/>
  <c r="CR26" i="4"/>
  <c r="CR51" i="4"/>
  <c r="CR47" i="4"/>
  <c r="CR43" i="4"/>
  <c r="CR52" i="4"/>
  <c r="DP5" i="4"/>
  <c r="DP11" i="4"/>
  <c r="DP10" i="4"/>
  <c r="DP9" i="4"/>
  <c r="DP7" i="4"/>
  <c r="DP51" i="4"/>
  <c r="DP49" i="4"/>
  <c r="DP47" i="4"/>
  <c r="DP45" i="4"/>
  <c r="DP43" i="4"/>
  <c r="DP41" i="4"/>
  <c r="DP39" i="4"/>
  <c r="DP37" i="4"/>
  <c r="DP35" i="4"/>
  <c r="DP33" i="4"/>
  <c r="DP31" i="4"/>
  <c r="DP29" i="4"/>
  <c r="DP27" i="4"/>
  <c r="DP25" i="4"/>
  <c r="DP23" i="4"/>
  <c r="DP21" i="4"/>
  <c r="DP19" i="4"/>
  <c r="DP8" i="4"/>
  <c r="DP50" i="4"/>
  <c r="DP46" i="4"/>
  <c r="DP40" i="4"/>
  <c r="DP36" i="4"/>
  <c r="DP32" i="4"/>
  <c r="DP28" i="4"/>
  <c r="DP24" i="4"/>
  <c r="DP20" i="4"/>
  <c r="DP16" i="4"/>
  <c r="DP6" i="4"/>
  <c r="DP48" i="4"/>
  <c r="DP44" i="4"/>
  <c r="DP42" i="4"/>
  <c r="DP38" i="4"/>
  <c r="DP34" i="4"/>
  <c r="DP30" i="4"/>
  <c r="DP26" i="4"/>
  <c r="DP22" i="4"/>
  <c r="DP18" i="4"/>
  <c r="DP14" i="4"/>
  <c r="DP15" i="4"/>
  <c r="DP12" i="4"/>
  <c r="DP17" i="4"/>
  <c r="DP54" i="4"/>
  <c r="DP53" i="4"/>
  <c r="DP13" i="4"/>
  <c r="DP52" i="4"/>
  <c r="AI29" i="40" l="1"/>
  <c r="BE29" i="40" s="1"/>
  <c r="X29" i="40"/>
  <c r="AI33" i="40"/>
  <c r="BE33" i="40" s="1"/>
  <c r="X33" i="40"/>
  <c r="AJ33" i="40" s="1"/>
  <c r="BF33" i="40" s="1"/>
  <c r="AI28" i="40"/>
  <c r="BE28" i="40" s="1"/>
  <c r="X28" i="40"/>
  <c r="AJ28" i="40" s="1"/>
  <c r="BF28" i="40" s="1"/>
  <c r="AI16" i="40"/>
  <c r="BE16" i="40" s="1"/>
  <c r="X16" i="40"/>
  <c r="X22" i="40"/>
  <c r="AJ22" i="40" s="1"/>
  <c r="BF22" i="40" s="1"/>
  <c r="AI22" i="40"/>
  <c r="BE22" i="40" s="1"/>
  <c r="AI4" i="40"/>
  <c r="BE4" i="40" s="1"/>
  <c r="X4" i="40"/>
  <c r="AI48" i="40"/>
  <c r="BE48" i="40" s="1"/>
  <c r="X48" i="40"/>
  <c r="X24" i="40"/>
  <c r="AJ24" i="40" s="1"/>
  <c r="BF24" i="40" s="1"/>
  <c r="AI24" i="40"/>
  <c r="BE24" i="40" s="1"/>
  <c r="AI2" i="40"/>
  <c r="BE2" i="40" s="1"/>
  <c r="X2" i="40"/>
  <c r="AI12" i="40"/>
  <c r="BE12" i="40" s="1"/>
  <c r="X12" i="40"/>
  <c r="X7" i="40"/>
  <c r="AI7" i="40"/>
  <c r="BE7" i="40" s="1"/>
  <c r="AI19" i="40"/>
  <c r="BE19" i="40" s="1"/>
  <c r="X19" i="40"/>
  <c r="AI47" i="40"/>
  <c r="BE47" i="40" s="1"/>
  <c r="X47" i="40"/>
  <c r="AJ47" i="40" s="1"/>
  <c r="BF47" i="40" s="1"/>
  <c r="X6" i="40"/>
  <c r="AJ6" i="40" s="1"/>
  <c r="BF6" i="40" s="1"/>
  <c r="AI6" i="40"/>
  <c r="BE6" i="40" s="1"/>
  <c r="X14" i="40"/>
  <c r="AJ14" i="40" s="1"/>
  <c r="BF14" i="40" s="1"/>
  <c r="AI14" i="40"/>
  <c r="BE14" i="40" s="1"/>
  <c r="AI35" i="40"/>
  <c r="BE35" i="40" s="1"/>
  <c r="X35" i="40"/>
  <c r="AJ35" i="40" s="1"/>
  <c r="BF35" i="40" s="1"/>
  <c r="X43" i="40"/>
  <c r="AJ43" i="40" s="1"/>
  <c r="BF43" i="40" s="1"/>
  <c r="AI43" i="40"/>
  <c r="BE43" i="40" s="1"/>
  <c r="AI20" i="40"/>
  <c r="BE20" i="40" s="1"/>
  <c r="X20" i="40"/>
  <c r="X38" i="40"/>
  <c r="AJ38" i="40" s="1"/>
  <c r="BF38" i="40" s="1"/>
  <c r="AI38" i="40"/>
  <c r="BE38" i="40" s="1"/>
  <c r="X44" i="40"/>
  <c r="AJ44" i="40" s="1"/>
  <c r="BF44" i="40" s="1"/>
  <c r="AI44" i="40"/>
  <c r="BE44" i="40" s="1"/>
  <c r="X15" i="40"/>
  <c r="AJ15" i="40" s="1"/>
  <c r="BF15" i="40" s="1"/>
  <c r="AI15" i="40"/>
  <c r="BE15" i="40" s="1"/>
  <c r="AI32" i="40"/>
  <c r="BE32" i="40" s="1"/>
  <c r="X32" i="40"/>
  <c r="X30" i="40"/>
  <c r="AJ30" i="40" s="1"/>
  <c r="BF30" i="40" s="1"/>
  <c r="AI30" i="40"/>
  <c r="BE30" i="40" s="1"/>
  <c r="AI50" i="40"/>
  <c r="BE50" i="40" s="1"/>
  <c r="X50" i="40"/>
  <c r="AI9" i="40"/>
  <c r="BE9" i="40" s="1"/>
  <c r="X9" i="40"/>
  <c r="AJ9" i="40" s="1"/>
  <c r="BF9" i="40" s="1"/>
  <c r="AI36" i="40"/>
  <c r="BE36" i="40" s="1"/>
  <c r="X36" i="40"/>
  <c r="AJ36" i="40" s="1"/>
  <c r="BF36" i="40" s="1"/>
  <c r="X18" i="40"/>
  <c r="AI18" i="40"/>
  <c r="BE18" i="40" s="1"/>
  <c r="X3" i="40"/>
  <c r="AI3" i="40"/>
  <c r="BE3" i="40" s="1"/>
  <c r="AI31" i="40"/>
  <c r="BE31" i="40" s="1"/>
  <c r="X31" i="40"/>
  <c r="AJ31" i="40" s="1"/>
  <c r="BF31" i="40" s="1"/>
  <c r="AI13" i="40"/>
  <c r="BE13" i="40" s="1"/>
  <c r="X13" i="40"/>
  <c r="AI41" i="40"/>
  <c r="BE41" i="40" s="1"/>
  <c r="X41" i="40"/>
  <c r="AJ41" i="40" s="1"/>
  <c r="BF41" i="40" s="1"/>
  <c r="X11" i="40"/>
  <c r="AI11" i="40"/>
  <c r="BE11" i="40" s="1"/>
  <c r="X5" i="40"/>
  <c r="AJ5" i="40" s="1"/>
  <c r="BF5" i="40" s="1"/>
  <c r="AI5" i="40"/>
  <c r="BE5" i="40" s="1"/>
  <c r="AI21" i="40"/>
  <c r="BE21" i="40" s="1"/>
  <c r="X21" i="40"/>
  <c r="AI27" i="40"/>
  <c r="BE27" i="40" s="1"/>
  <c r="X27" i="40"/>
  <c r="AJ27" i="40" s="1"/>
  <c r="BF27" i="40" s="1"/>
  <c r="AI34" i="40"/>
  <c r="BE34" i="40" s="1"/>
  <c r="X34" i="40"/>
  <c r="AJ34" i="40" s="1"/>
  <c r="BF34" i="40" s="1"/>
  <c r="AI49" i="40"/>
  <c r="BE49" i="40" s="1"/>
  <c r="X49" i="40"/>
  <c r="AI42" i="40"/>
  <c r="BE42" i="40" s="1"/>
  <c r="X42" i="40"/>
  <c r="AI10" i="40"/>
  <c r="BE10" i="40" s="1"/>
  <c r="X10" i="40"/>
  <c r="AI46" i="40"/>
  <c r="BE46" i="40" s="1"/>
  <c r="X46" i="40"/>
  <c r="X26" i="40"/>
  <c r="AI26" i="40"/>
  <c r="BE26" i="40" s="1"/>
  <c r="X51" i="40"/>
  <c r="AI51" i="40"/>
  <c r="BE51" i="40" s="1"/>
  <c r="AI52" i="40"/>
  <c r="BE52" i="40" s="1"/>
  <c r="X52" i="40"/>
  <c r="X37" i="40"/>
  <c r="AJ37" i="40" s="1"/>
  <c r="BF37" i="40" s="1"/>
  <c r="AI37" i="40"/>
  <c r="BE37" i="40" s="1"/>
  <c r="AI25" i="40"/>
  <c r="BE25" i="40" s="1"/>
  <c r="X25" i="40"/>
  <c r="AI17" i="40"/>
  <c r="BE17" i="40" s="1"/>
  <c r="X17" i="40"/>
  <c r="AJ17" i="40" s="1"/>
  <c r="BF17" i="40" s="1"/>
  <c r="AI45" i="40"/>
  <c r="BE45" i="40" s="1"/>
  <c r="X45" i="40"/>
  <c r="AJ45" i="40" s="1"/>
  <c r="BF45" i="40" s="1"/>
  <c r="AI40" i="40"/>
  <c r="BE40" i="40" s="1"/>
  <c r="X40" i="40"/>
  <c r="AI8" i="40"/>
  <c r="BE8" i="40" s="1"/>
  <c r="X8" i="40"/>
  <c r="AI23" i="40"/>
  <c r="BE23" i="40" s="1"/>
  <c r="X23" i="40"/>
  <c r="AJ23" i="40" s="1"/>
  <c r="BF23" i="40" s="1"/>
  <c r="AI39" i="40"/>
  <c r="BE39" i="40" s="1"/>
  <c r="X39" i="40"/>
  <c r="AJ39" i="40" s="1"/>
  <c r="BF39" i="40" s="1"/>
  <c r="X8" i="38"/>
  <c r="AI8" i="38"/>
  <c r="BE8" i="38" s="1"/>
  <c r="AI33" i="38"/>
  <c r="BE33" i="38" s="1"/>
  <c r="X33" i="38"/>
  <c r="AT33" i="38" s="1"/>
  <c r="AI39" i="38"/>
  <c r="BE39" i="38" s="1"/>
  <c r="X39" i="38"/>
  <c r="AT39" i="38" s="1"/>
  <c r="AI12" i="38"/>
  <c r="BE12" i="38" s="1"/>
  <c r="X12" i="38"/>
  <c r="X37" i="38"/>
  <c r="AT37" i="38" s="1"/>
  <c r="AI37" i="38"/>
  <c r="BE37" i="38" s="1"/>
  <c r="AI6" i="38"/>
  <c r="BE6" i="38" s="1"/>
  <c r="X6" i="38"/>
  <c r="AI43" i="38"/>
  <c r="BE43" i="38" s="1"/>
  <c r="X43" i="38"/>
  <c r="AT43" i="38" s="1"/>
  <c r="AT16" i="38"/>
  <c r="AI16" i="38"/>
  <c r="BE16" i="38" s="1"/>
  <c r="X41" i="38"/>
  <c r="AT41" i="38" s="1"/>
  <c r="AI41" i="38"/>
  <c r="BE41" i="38" s="1"/>
  <c r="X10" i="38"/>
  <c r="AI10" i="38"/>
  <c r="BE10" i="38" s="1"/>
  <c r="AI47" i="38"/>
  <c r="BE47" i="38" s="1"/>
  <c r="X47" i="38"/>
  <c r="AT47" i="38" s="1"/>
  <c r="AI20" i="38"/>
  <c r="BE20" i="38" s="1"/>
  <c r="X20" i="38"/>
  <c r="AT20" i="38" s="1"/>
  <c r="X45" i="38"/>
  <c r="AT45" i="38" s="1"/>
  <c r="AI45" i="38"/>
  <c r="BE45" i="38" s="1"/>
  <c r="X14" i="38"/>
  <c r="AT14" i="38" s="1"/>
  <c r="AI14" i="38"/>
  <c r="BE14" i="38" s="1"/>
  <c r="AI51" i="38"/>
  <c r="BE51" i="38" s="1"/>
  <c r="X51" i="38"/>
  <c r="AT51" i="38" s="1"/>
  <c r="AI24" i="38"/>
  <c r="BE24" i="38" s="1"/>
  <c r="X24" i="38"/>
  <c r="AT24" i="38" s="1"/>
  <c r="AI49" i="38"/>
  <c r="BE49" i="38" s="1"/>
  <c r="X49" i="38"/>
  <c r="AT49" i="38" s="1"/>
  <c r="AI18" i="38"/>
  <c r="BE18" i="38" s="1"/>
  <c r="X18" i="38"/>
  <c r="AT18" i="38" s="1"/>
  <c r="AI28" i="38"/>
  <c r="BE28" i="38" s="1"/>
  <c r="X28" i="38"/>
  <c r="AT28" i="38" s="1"/>
  <c r="AI22" i="38"/>
  <c r="BE22" i="38" s="1"/>
  <c r="X22" i="38"/>
  <c r="AT22" i="38" s="1"/>
  <c r="X32" i="38"/>
  <c r="AT32" i="38" s="1"/>
  <c r="AI32" i="38"/>
  <c r="BE32" i="38" s="1"/>
  <c r="X26" i="38"/>
  <c r="AT26" i="38" s="1"/>
  <c r="AI26" i="38"/>
  <c r="BE26" i="38" s="1"/>
  <c r="AI36" i="38"/>
  <c r="BE36" i="38" s="1"/>
  <c r="X36" i="38"/>
  <c r="AT36" i="38" s="1"/>
  <c r="AI3" i="38"/>
  <c r="BE3" i="38" s="1"/>
  <c r="X3" i="38"/>
  <c r="AI30" i="38"/>
  <c r="BE30" i="38" s="1"/>
  <c r="X30" i="38"/>
  <c r="AT30" i="38" s="1"/>
  <c r="X2" i="38"/>
  <c r="AJ2" i="38" s="1"/>
  <c r="BF2" i="38" s="1"/>
  <c r="AI2" i="38"/>
  <c r="BE2" i="38" s="1"/>
  <c r="AI40" i="38"/>
  <c r="BE40" i="38" s="1"/>
  <c r="X40" i="38"/>
  <c r="AT40" i="38" s="1"/>
  <c r="AI34" i="38"/>
  <c r="BE34" i="38" s="1"/>
  <c r="X34" i="38"/>
  <c r="AT34" i="38" s="1"/>
  <c r="AI7" i="38"/>
  <c r="BE7" i="38" s="1"/>
  <c r="X7" i="38"/>
  <c r="AI44" i="38"/>
  <c r="BE44" i="38" s="1"/>
  <c r="X44" i="38"/>
  <c r="AT44" i="38" s="1"/>
  <c r="X5" i="38"/>
  <c r="AI5" i="38"/>
  <c r="BE5" i="38" s="1"/>
  <c r="AI38" i="38"/>
  <c r="BE38" i="38" s="1"/>
  <c r="X38" i="38"/>
  <c r="AT38" i="38" s="1"/>
  <c r="AI11" i="38"/>
  <c r="BE11" i="38" s="1"/>
  <c r="X11" i="38"/>
  <c r="X48" i="38"/>
  <c r="AT48" i="38" s="1"/>
  <c r="AI48" i="38"/>
  <c r="BE48" i="38" s="1"/>
  <c r="X9" i="38"/>
  <c r="AI9" i="38"/>
  <c r="BE9" i="38" s="1"/>
  <c r="X42" i="38"/>
  <c r="AT42" i="38" s="1"/>
  <c r="AI42" i="38"/>
  <c r="BE42" i="38" s="1"/>
  <c r="AI15" i="38"/>
  <c r="BE15" i="38" s="1"/>
  <c r="X15" i="38"/>
  <c r="AT15" i="38" s="1"/>
  <c r="X13" i="38"/>
  <c r="AT13" i="38" s="1"/>
  <c r="AI13" i="38"/>
  <c r="BE13" i="38" s="1"/>
  <c r="AI46" i="38"/>
  <c r="BE46" i="38" s="1"/>
  <c r="X46" i="38"/>
  <c r="AT46" i="38" s="1"/>
  <c r="AI19" i="38"/>
  <c r="BE19" i="38" s="1"/>
  <c r="X19" i="38"/>
  <c r="AT19" i="38" s="1"/>
  <c r="AI17" i="38"/>
  <c r="BE17" i="38" s="1"/>
  <c r="X17" i="38"/>
  <c r="AT17" i="38" s="1"/>
  <c r="AI50" i="38"/>
  <c r="BE50" i="38" s="1"/>
  <c r="X50" i="38"/>
  <c r="AT50" i="38" s="1"/>
  <c r="AI23" i="38"/>
  <c r="BE23" i="38" s="1"/>
  <c r="X23" i="38"/>
  <c r="AT23" i="38" s="1"/>
  <c r="X21" i="38"/>
  <c r="AT21" i="38" s="1"/>
  <c r="AI21" i="38"/>
  <c r="BE21" i="38" s="1"/>
  <c r="AI27" i="38"/>
  <c r="BE27" i="38" s="1"/>
  <c r="X27" i="38"/>
  <c r="AT27" i="38" s="1"/>
  <c r="X25" i="38"/>
  <c r="AT25" i="38" s="1"/>
  <c r="AI25" i="38"/>
  <c r="BE25" i="38" s="1"/>
  <c r="AI31" i="38"/>
  <c r="BE31" i="38" s="1"/>
  <c r="X31" i="38"/>
  <c r="AT31" i="38" s="1"/>
  <c r="X4" i="38"/>
  <c r="AI4" i="38"/>
  <c r="BE4" i="38" s="1"/>
  <c r="X29" i="38"/>
  <c r="AT29" i="38" s="1"/>
  <c r="AI29" i="38"/>
  <c r="BE29" i="38" s="1"/>
  <c r="AI35" i="38"/>
  <c r="BE35" i="38" s="1"/>
  <c r="X35" i="38"/>
  <c r="AT35" i="38" s="1"/>
  <c r="AJ2" i="40" l="1"/>
  <c r="BF2" i="40" s="1"/>
  <c r="Y2" i="40"/>
  <c r="AJ40" i="40"/>
  <c r="BF40" i="40" s="1"/>
  <c r="AT40" i="40"/>
  <c r="Y40" i="40"/>
  <c r="Y45" i="40"/>
  <c r="AT45" i="40"/>
  <c r="AT17" i="40"/>
  <c r="Y17" i="40"/>
  <c r="AJ42" i="40"/>
  <c r="BF42" i="40" s="1"/>
  <c r="AT42" i="40"/>
  <c r="Y42" i="40"/>
  <c r="Y5" i="40"/>
  <c r="AT5" i="40"/>
  <c r="AT41" i="40"/>
  <c r="Y41" i="40"/>
  <c r="Y31" i="40"/>
  <c r="AT31" i="40"/>
  <c r="Y18" i="40"/>
  <c r="AT18" i="40"/>
  <c r="AJ32" i="40"/>
  <c r="BF32" i="40" s="1"/>
  <c r="Y32" i="40"/>
  <c r="AT32" i="40"/>
  <c r="AT44" i="40"/>
  <c r="Y44" i="40"/>
  <c r="AJ18" i="40"/>
  <c r="BF18" i="40" s="1"/>
  <c r="AT6" i="40"/>
  <c r="Y6" i="40"/>
  <c r="AT47" i="40"/>
  <c r="Y47" i="40"/>
  <c r="Y24" i="40"/>
  <c r="AT24" i="40"/>
  <c r="AJ48" i="40"/>
  <c r="BF48" i="40" s="1"/>
  <c r="Y48" i="40"/>
  <c r="AT48" i="40"/>
  <c r="AJ16" i="40"/>
  <c r="BF16" i="40" s="1"/>
  <c r="AT16" i="40"/>
  <c r="Y16" i="40"/>
  <c r="Y33" i="40"/>
  <c r="AT33" i="40"/>
  <c r="AJ8" i="40"/>
  <c r="BF8" i="40" s="1"/>
  <c r="Y8" i="40"/>
  <c r="AT8" i="40"/>
  <c r="AJ10" i="40"/>
  <c r="BF10" i="40" s="1"/>
  <c r="AT10" i="40"/>
  <c r="Y10" i="40"/>
  <c r="AJ21" i="40"/>
  <c r="BF21" i="40" s="1"/>
  <c r="Y21" i="40"/>
  <c r="AT21" i="40"/>
  <c r="AT38" i="40"/>
  <c r="Y38" i="40"/>
  <c r="Y43" i="40"/>
  <c r="AT43" i="40"/>
  <c r="AT2" i="40"/>
  <c r="AT22" i="40"/>
  <c r="Y22" i="40"/>
  <c r="AT28" i="40"/>
  <c r="Y28" i="40"/>
  <c r="Y25" i="40"/>
  <c r="AT25" i="40"/>
  <c r="AJ52" i="40"/>
  <c r="BF52" i="40" s="1"/>
  <c r="Y52" i="40"/>
  <c r="AT52" i="40"/>
  <c r="Y49" i="40"/>
  <c r="AT49" i="40"/>
  <c r="Y27" i="40"/>
  <c r="AT27" i="40"/>
  <c r="AT11" i="40"/>
  <c r="Y11" i="40"/>
  <c r="AJ13" i="40"/>
  <c r="BF13" i="40" s="1"/>
  <c r="AT13" i="40"/>
  <c r="Y13" i="40"/>
  <c r="Y9" i="40"/>
  <c r="AT9" i="40"/>
  <c r="AJ50" i="40"/>
  <c r="BF50" i="40" s="1"/>
  <c r="Y50" i="40"/>
  <c r="AT50" i="40"/>
  <c r="AJ20" i="40"/>
  <c r="BF20" i="40" s="1"/>
  <c r="AT20" i="40"/>
  <c r="Y20" i="40"/>
  <c r="AT14" i="40"/>
  <c r="Y14" i="40"/>
  <c r="AJ19" i="40"/>
  <c r="BF19" i="40" s="1"/>
  <c r="Y19" i="40"/>
  <c r="AT19" i="40"/>
  <c r="AJ7" i="40"/>
  <c r="BF7" i="40" s="1"/>
  <c r="Y7" i="40"/>
  <c r="AT7" i="40"/>
  <c r="AJ12" i="40"/>
  <c r="BF12" i="40" s="1"/>
  <c r="Y12" i="40"/>
  <c r="AT12" i="40"/>
  <c r="AJ4" i="40"/>
  <c r="BF4" i="40" s="1"/>
  <c r="Y4" i="40"/>
  <c r="AT4" i="40"/>
  <c r="AJ29" i="40"/>
  <c r="BF29" i="40" s="1"/>
  <c r="AT29" i="40"/>
  <c r="Y29" i="40"/>
  <c r="Y39" i="40"/>
  <c r="AT39" i="40"/>
  <c r="Y23" i="40"/>
  <c r="AT23" i="40"/>
  <c r="AJ49" i="40"/>
  <c r="BF49" i="40" s="1"/>
  <c r="Y37" i="40"/>
  <c r="AT37" i="40"/>
  <c r="AJ51" i="40"/>
  <c r="BF51" i="40" s="1"/>
  <c r="Y51" i="40"/>
  <c r="AT51" i="40"/>
  <c r="AT26" i="40"/>
  <c r="Y26" i="40"/>
  <c r="AJ46" i="40"/>
  <c r="BF46" i="40" s="1"/>
  <c r="Y46" i="40"/>
  <c r="AT46" i="40"/>
  <c r="AT34" i="40"/>
  <c r="Y34" i="40"/>
  <c r="AJ26" i="40"/>
  <c r="BF26" i="40" s="1"/>
  <c r="AJ3" i="40"/>
  <c r="BF3" i="40" s="1"/>
  <c r="Y3" i="40"/>
  <c r="AT3" i="40"/>
  <c r="AJ25" i="40"/>
  <c r="BF25" i="40" s="1"/>
  <c r="AT36" i="40"/>
  <c r="Y36" i="40"/>
  <c r="AT30" i="40"/>
  <c r="Y30" i="40"/>
  <c r="Y15" i="40"/>
  <c r="AT15" i="40"/>
  <c r="Y35" i="40"/>
  <c r="AT35" i="40"/>
  <c r="AJ11" i="40"/>
  <c r="BF11" i="40" s="1"/>
  <c r="AJ3" i="38"/>
  <c r="BF3" i="38" s="1"/>
  <c r="AT3" i="38"/>
  <c r="AJ6" i="38"/>
  <c r="BF6" i="38" s="1"/>
  <c r="AT6" i="38"/>
  <c r="AJ12" i="38"/>
  <c r="BF12" i="38" s="1"/>
  <c r="AT12" i="38"/>
  <c r="AJ10" i="38"/>
  <c r="BF10" i="38" s="1"/>
  <c r="AT10" i="38"/>
  <c r="AJ11" i="38"/>
  <c r="BF11" i="38" s="1"/>
  <c r="AT11" i="38"/>
  <c r="AJ7" i="38"/>
  <c r="BF7" i="38" s="1"/>
  <c r="AT7" i="38"/>
  <c r="AJ4" i="38"/>
  <c r="BF4" i="38" s="1"/>
  <c r="AT4" i="38"/>
  <c r="AJ9" i="38"/>
  <c r="BF9" i="38" s="1"/>
  <c r="AT9" i="38"/>
  <c r="AJ5" i="38"/>
  <c r="BF5" i="38" s="1"/>
  <c r="AT5" i="38"/>
  <c r="AJ8" i="38"/>
  <c r="BF8" i="38" s="1"/>
  <c r="AT8" i="38"/>
  <c r="AJ29" i="38"/>
  <c r="BF29" i="38" s="1"/>
  <c r="Y29" i="38"/>
  <c r="AU29" i="38" s="1"/>
  <c r="AJ27" i="38"/>
  <c r="BF27" i="38" s="1"/>
  <c r="Y27" i="38"/>
  <c r="AU27" i="38" s="1"/>
  <c r="Y50" i="38"/>
  <c r="AU50" i="38" s="1"/>
  <c r="AJ50" i="38"/>
  <c r="BF50" i="38" s="1"/>
  <c r="Y9" i="38"/>
  <c r="AU9" i="38" s="1"/>
  <c r="Y11" i="38"/>
  <c r="AU11" i="38" s="1"/>
  <c r="AJ24" i="38"/>
  <c r="BF24" i="38" s="1"/>
  <c r="Y24" i="38"/>
  <c r="AU24" i="38" s="1"/>
  <c r="AJ16" i="38"/>
  <c r="BF16" i="38" s="1"/>
  <c r="Y16" i="38"/>
  <c r="AU16" i="38" s="1"/>
  <c r="Y12" i="38"/>
  <c r="AU12" i="38" s="1"/>
  <c r="AJ31" i="38"/>
  <c r="BF31" i="38" s="1"/>
  <c r="Y31" i="38"/>
  <c r="AU31" i="38" s="1"/>
  <c r="AJ25" i="38"/>
  <c r="BF25" i="38" s="1"/>
  <c r="Y25" i="38"/>
  <c r="AU25" i="38" s="1"/>
  <c r="Y46" i="38"/>
  <c r="AU46" i="38" s="1"/>
  <c r="AJ46" i="38"/>
  <c r="BF46" i="38" s="1"/>
  <c r="AJ13" i="38"/>
  <c r="BF13" i="38" s="1"/>
  <c r="Y13" i="38"/>
  <c r="AU13" i="38" s="1"/>
  <c r="AJ42" i="38"/>
  <c r="BF42" i="38" s="1"/>
  <c r="Y42" i="38"/>
  <c r="AU42" i="38" s="1"/>
  <c r="AJ44" i="38"/>
  <c r="BF44" i="38" s="1"/>
  <c r="Y44" i="38"/>
  <c r="AU44" i="38" s="1"/>
  <c r="AJ30" i="38"/>
  <c r="BF30" i="38" s="1"/>
  <c r="Y30" i="38"/>
  <c r="AU30" i="38" s="1"/>
  <c r="AJ28" i="38"/>
  <c r="BF28" i="38" s="1"/>
  <c r="Y28" i="38"/>
  <c r="AU28" i="38" s="1"/>
  <c r="AJ49" i="38"/>
  <c r="BF49" i="38" s="1"/>
  <c r="Y49" i="38"/>
  <c r="AU49" i="38" s="1"/>
  <c r="AJ45" i="38"/>
  <c r="BF45" i="38" s="1"/>
  <c r="Y45" i="38"/>
  <c r="AU45" i="38" s="1"/>
  <c r="AJ41" i="38"/>
  <c r="BF41" i="38" s="1"/>
  <c r="Y41" i="38"/>
  <c r="AU41" i="38" s="1"/>
  <c r="Y43" i="38"/>
  <c r="AU43" i="38" s="1"/>
  <c r="AJ43" i="38"/>
  <c r="BF43" i="38" s="1"/>
  <c r="AJ21" i="38"/>
  <c r="BF21" i="38" s="1"/>
  <c r="Y21" i="38"/>
  <c r="AU21" i="38" s="1"/>
  <c r="AJ23" i="38"/>
  <c r="BF23" i="38" s="1"/>
  <c r="Y23" i="38"/>
  <c r="AU23" i="38" s="1"/>
  <c r="AJ17" i="38"/>
  <c r="BF17" i="38" s="1"/>
  <c r="Y17" i="38"/>
  <c r="AU17" i="38" s="1"/>
  <c r="AJ19" i="38"/>
  <c r="BF19" i="38" s="1"/>
  <c r="Y19" i="38"/>
  <c r="AU19" i="38" s="1"/>
  <c r="AJ15" i="38"/>
  <c r="BF15" i="38" s="1"/>
  <c r="Y15" i="38"/>
  <c r="AU15" i="38" s="1"/>
  <c r="Y48" i="38"/>
  <c r="AU48" i="38" s="1"/>
  <c r="AJ48" i="38"/>
  <c r="BF48" i="38" s="1"/>
  <c r="AJ34" i="38"/>
  <c r="BF34" i="38" s="1"/>
  <c r="Y34" i="38"/>
  <c r="AU34" i="38" s="1"/>
  <c r="AJ36" i="38"/>
  <c r="BF36" i="38" s="1"/>
  <c r="Y36" i="38"/>
  <c r="AU36" i="38" s="1"/>
  <c r="AJ26" i="38"/>
  <c r="BF26" i="38" s="1"/>
  <c r="Y26" i="38"/>
  <c r="AU26" i="38" s="1"/>
  <c r="AJ22" i="38"/>
  <c r="BF22" i="38" s="1"/>
  <c r="Y22" i="38"/>
  <c r="AU22" i="38" s="1"/>
  <c r="AJ18" i="38"/>
  <c r="BF18" i="38" s="1"/>
  <c r="Y18" i="38"/>
  <c r="AU18" i="38" s="1"/>
  <c r="AJ14" i="38"/>
  <c r="BF14" i="38" s="1"/>
  <c r="Y14" i="38"/>
  <c r="AU14" i="38" s="1"/>
  <c r="Y47" i="38"/>
  <c r="AU47" i="38" s="1"/>
  <c r="AJ47" i="38"/>
  <c r="BF47" i="38" s="1"/>
  <c r="Y10" i="38"/>
  <c r="AU10" i="38" s="1"/>
  <c r="AJ35" i="38"/>
  <c r="BF35" i="38" s="1"/>
  <c r="Y35" i="38"/>
  <c r="AU35" i="38" s="1"/>
  <c r="Y4" i="38"/>
  <c r="AU4" i="38" s="1"/>
  <c r="AJ38" i="38"/>
  <c r="BF38" i="38" s="1"/>
  <c r="Y38" i="38"/>
  <c r="AU38" i="38" s="1"/>
  <c r="Y5" i="38"/>
  <c r="AU5" i="38" s="1"/>
  <c r="Y7" i="38"/>
  <c r="AU7" i="38" s="1"/>
  <c r="AJ40" i="38"/>
  <c r="BF40" i="38" s="1"/>
  <c r="Y40" i="38"/>
  <c r="AU40" i="38" s="1"/>
  <c r="AT2" i="38"/>
  <c r="Y2" i="38"/>
  <c r="Y3" i="38"/>
  <c r="AU3" i="38" s="1"/>
  <c r="AJ32" i="38"/>
  <c r="BF32" i="38" s="1"/>
  <c r="Y32" i="38"/>
  <c r="AU32" i="38" s="1"/>
  <c r="Y51" i="38"/>
  <c r="AU51" i="38" s="1"/>
  <c r="AJ51" i="38"/>
  <c r="BF51" i="38" s="1"/>
  <c r="AJ20" i="38"/>
  <c r="BF20" i="38" s="1"/>
  <c r="Y20" i="38"/>
  <c r="AU20" i="38" s="1"/>
  <c r="Y6" i="38"/>
  <c r="AU6" i="38" s="1"/>
  <c r="AJ37" i="38"/>
  <c r="BF37" i="38" s="1"/>
  <c r="Y37" i="38"/>
  <c r="AU37" i="38" s="1"/>
  <c r="AJ39" i="38"/>
  <c r="BF39" i="38" s="1"/>
  <c r="Y39" i="38"/>
  <c r="AU39" i="38" s="1"/>
  <c r="AJ33" i="38"/>
  <c r="BF33" i="38" s="1"/>
  <c r="Y33" i="38"/>
  <c r="AU33" i="38" s="1"/>
  <c r="Y8" i="38"/>
  <c r="AU8" i="38" s="1"/>
  <c r="AU15" i="40" l="1"/>
  <c r="Z15" i="40"/>
  <c r="AK15" i="40"/>
  <c r="BG15" i="40" s="1"/>
  <c r="AU23" i="40"/>
  <c r="Z23" i="40"/>
  <c r="AK23" i="40"/>
  <c r="BG23" i="40" s="1"/>
  <c r="Z9" i="40"/>
  <c r="AU9" i="40"/>
  <c r="AK9" i="40"/>
  <c r="BG9" i="40" s="1"/>
  <c r="AU11" i="40"/>
  <c r="Z11" i="40"/>
  <c r="AK11" i="40"/>
  <c r="BG11" i="40" s="1"/>
  <c r="Z10" i="40"/>
  <c r="AU10" i="40"/>
  <c r="AK10" i="40"/>
  <c r="BG10" i="40" s="1"/>
  <c r="AU8" i="40"/>
  <c r="Z8" i="40"/>
  <c r="AK8" i="40"/>
  <c r="BG8" i="40" s="1"/>
  <c r="Z16" i="40"/>
  <c r="AU16" i="40"/>
  <c r="AK16" i="40"/>
  <c r="BG16" i="40" s="1"/>
  <c r="Z48" i="40"/>
  <c r="AU48" i="40"/>
  <c r="AK48" i="40"/>
  <c r="BG48" i="40" s="1"/>
  <c r="Z47" i="40"/>
  <c r="AU47" i="40"/>
  <c r="AK47" i="40"/>
  <c r="BG47" i="40" s="1"/>
  <c r="AU32" i="40"/>
  <c r="Z32" i="40"/>
  <c r="AK32" i="40"/>
  <c r="BG32" i="40" s="1"/>
  <c r="AU45" i="40"/>
  <c r="Z45" i="40"/>
  <c r="AK45" i="40"/>
  <c r="BG45" i="40" s="1"/>
  <c r="Z30" i="40"/>
  <c r="AU30" i="40"/>
  <c r="AK30" i="40"/>
  <c r="BG30" i="40" s="1"/>
  <c r="Z46" i="40"/>
  <c r="AU46" i="40"/>
  <c r="AK46" i="40"/>
  <c r="BG46" i="40" s="1"/>
  <c r="Z37" i="40"/>
  <c r="AU37" i="40"/>
  <c r="AK37" i="40"/>
  <c r="BG37" i="40" s="1"/>
  <c r="AU19" i="40"/>
  <c r="Z19" i="40"/>
  <c r="AK19" i="40"/>
  <c r="BG19" i="40" s="1"/>
  <c r="Z20" i="40"/>
  <c r="AU20" i="40"/>
  <c r="AK20" i="40"/>
  <c r="BG20" i="40" s="1"/>
  <c r="AU50" i="40"/>
  <c r="Z50" i="40"/>
  <c r="AK50" i="40"/>
  <c r="BG50" i="40" s="1"/>
  <c r="Z13" i="40"/>
  <c r="AU13" i="40"/>
  <c r="AK13" i="40"/>
  <c r="BG13" i="40" s="1"/>
  <c r="AU49" i="40"/>
  <c r="Z49" i="40"/>
  <c r="AK49" i="40"/>
  <c r="BG49" i="40" s="1"/>
  <c r="Z22" i="40"/>
  <c r="AU22" i="40"/>
  <c r="AK22" i="40"/>
  <c r="BG22" i="40" s="1"/>
  <c r="Z44" i="40"/>
  <c r="AU44" i="40"/>
  <c r="AK44" i="40"/>
  <c r="BG44" i="40" s="1"/>
  <c r="AU31" i="40"/>
  <c r="Z31" i="40"/>
  <c r="AK31" i="40"/>
  <c r="BG31" i="40" s="1"/>
  <c r="AU5" i="40"/>
  <c r="Z5" i="40"/>
  <c r="AK5" i="40"/>
  <c r="BG5" i="40" s="1"/>
  <c r="AK17" i="40"/>
  <c r="BG17" i="40" s="1"/>
  <c r="Z17" i="40"/>
  <c r="AU17" i="40"/>
  <c r="Z40" i="40"/>
  <c r="AU40" i="40"/>
  <c r="AK40" i="40"/>
  <c r="BG40" i="40" s="1"/>
  <c r="AU35" i="40"/>
  <c r="Z35" i="40"/>
  <c r="AK35" i="40"/>
  <c r="BG35" i="40" s="1"/>
  <c r="AU34" i="40"/>
  <c r="Z34" i="40"/>
  <c r="AK34" i="40"/>
  <c r="BG34" i="40" s="1"/>
  <c r="AK51" i="40"/>
  <c r="BG51" i="40" s="1"/>
  <c r="Z51" i="40"/>
  <c r="AU51" i="40"/>
  <c r="AU39" i="40"/>
  <c r="Z39" i="40"/>
  <c r="AK39" i="40"/>
  <c r="BG39" i="40" s="1"/>
  <c r="AU7" i="40"/>
  <c r="Z7" i="40"/>
  <c r="AK7" i="40"/>
  <c r="BG7" i="40" s="1"/>
  <c r="AK25" i="40"/>
  <c r="BG25" i="40" s="1"/>
  <c r="Z25" i="40"/>
  <c r="AU25" i="40"/>
  <c r="AU43" i="40"/>
  <c r="Z43" i="40"/>
  <c r="AK43" i="40"/>
  <c r="BG43" i="40" s="1"/>
  <c r="AK21" i="40"/>
  <c r="BG21" i="40" s="1"/>
  <c r="AU21" i="40"/>
  <c r="Z21" i="40"/>
  <c r="Z6" i="40"/>
  <c r="AU6" i="40"/>
  <c r="AK6" i="40"/>
  <c r="BG6" i="40" s="1"/>
  <c r="AU41" i="40"/>
  <c r="Z41" i="40"/>
  <c r="AK41" i="40"/>
  <c r="BG41" i="40" s="1"/>
  <c r="AU42" i="40"/>
  <c r="Z42" i="40"/>
  <c r="AK42" i="40"/>
  <c r="BG42" i="40" s="1"/>
  <c r="Z36" i="40"/>
  <c r="AU36" i="40"/>
  <c r="AK36" i="40"/>
  <c r="BG36" i="40" s="1"/>
  <c r="AK3" i="40"/>
  <c r="BG3" i="40" s="1"/>
  <c r="AU3" i="40"/>
  <c r="Z3" i="40"/>
  <c r="AK26" i="40"/>
  <c r="BG26" i="40" s="1"/>
  <c r="Z26" i="40"/>
  <c r="AU26" i="40"/>
  <c r="Z29" i="40"/>
  <c r="AU29" i="40"/>
  <c r="AK29" i="40"/>
  <c r="BG29" i="40" s="1"/>
  <c r="Z4" i="40"/>
  <c r="AU4" i="40"/>
  <c r="AK4" i="40"/>
  <c r="BG4" i="40" s="1"/>
  <c r="AU12" i="40"/>
  <c r="Z12" i="40"/>
  <c r="AK12" i="40"/>
  <c r="BG12" i="40" s="1"/>
  <c r="Z14" i="40"/>
  <c r="AU14" i="40"/>
  <c r="AK14" i="40"/>
  <c r="BG14" i="40" s="1"/>
  <c r="AU27" i="40"/>
  <c r="Z27" i="40"/>
  <c r="AK27" i="40"/>
  <c r="BG27" i="40" s="1"/>
  <c r="Z52" i="40"/>
  <c r="AU52" i="40"/>
  <c r="AK52" i="40"/>
  <c r="BG52" i="40" s="1"/>
  <c r="Z28" i="40"/>
  <c r="AU28" i="40"/>
  <c r="AK28" i="40"/>
  <c r="BG28" i="40" s="1"/>
  <c r="Z2" i="40"/>
  <c r="AU2" i="40"/>
  <c r="AK2" i="40"/>
  <c r="BG2" i="40" s="1"/>
  <c r="AU38" i="40"/>
  <c r="Z38" i="40"/>
  <c r="AK38" i="40"/>
  <c r="BG38" i="40" s="1"/>
  <c r="AK33" i="40"/>
  <c r="BG33" i="40" s="1"/>
  <c r="Z33" i="40"/>
  <c r="AU33" i="40"/>
  <c r="AU24" i="40"/>
  <c r="Z24" i="40"/>
  <c r="AK24" i="40"/>
  <c r="BG24" i="40" s="1"/>
  <c r="AU18" i="40"/>
  <c r="Z18" i="40"/>
  <c r="AK18" i="40"/>
  <c r="BG18" i="40" s="1"/>
  <c r="AK33" i="38"/>
  <c r="BG33" i="38" s="1"/>
  <c r="Z33" i="38"/>
  <c r="AV33" i="38" s="1"/>
  <c r="AK40" i="38"/>
  <c r="BG40" i="38" s="1"/>
  <c r="Z40" i="38"/>
  <c r="AV40" i="38" s="1"/>
  <c r="AK49" i="38"/>
  <c r="BG49" i="38" s="1"/>
  <c r="Z49" i="38"/>
  <c r="AV49" i="38" s="1"/>
  <c r="Z6" i="38"/>
  <c r="AV6" i="38" s="1"/>
  <c r="AK6" i="38"/>
  <c r="BG6" i="38" s="1"/>
  <c r="AK32" i="38"/>
  <c r="BG32" i="38" s="1"/>
  <c r="Z32" i="38"/>
  <c r="AV32" i="38" s="1"/>
  <c r="Z5" i="38"/>
  <c r="AV5" i="38" s="1"/>
  <c r="AK5" i="38"/>
  <c r="BG5" i="38" s="1"/>
  <c r="Z4" i="38"/>
  <c r="AV4" i="38" s="1"/>
  <c r="AK4" i="38"/>
  <c r="BG4" i="38" s="1"/>
  <c r="Z47" i="38"/>
  <c r="AV47" i="38" s="1"/>
  <c r="AK47" i="38"/>
  <c r="BG47" i="38" s="1"/>
  <c r="AK22" i="38"/>
  <c r="BG22" i="38" s="1"/>
  <c r="Z22" i="38"/>
  <c r="AV22" i="38" s="1"/>
  <c r="AK23" i="38"/>
  <c r="BG23" i="38" s="1"/>
  <c r="Z23" i="38"/>
  <c r="AV23" i="38" s="1"/>
  <c r="AK45" i="38"/>
  <c r="BG45" i="38" s="1"/>
  <c r="Z45" i="38"/>
  <c r="AV45" i="38" s="1"/>
  <c r="Z44" i="38"/>
  <c r="AV44" i="38" s="1"/>
  <c r="AK44" i="38"/>
  <c r="BG44" i="38" s="1"/>
  <c r="AK25" i="38"/>
  <c r="BG25" i="38" s="1"/>
  <c r="Z25" i="38"/>
  <c r="AV25" i="38" s="1"/>
  <c r="AK16" i="38"/>
  <c r="BG16" i="38" s="1"/>
  <c r="Z16" i="38"/>
  <c r="AV16" i="38" s="1"/>
  <c r="Z9" i="38"/>
  <c r="AV9" i="38" s="1"/>
  <c r="AK9" i="38"/>
  <c r="BG9" i="38" s="1"/>
  <c r="AK29" i="38"/>
  <c r="BG29" i="38" s="1"/>
  <c r="Z29" i="38"/>
  <c r="AV29" i="38" s="1"/>
  <c r="AK43" i="38"/>
  <c r="BG43" i="38" s="1"/>
  <c r="Z43" i="38"/>
  <c r="AV43" i="38" s="1"/>
  <c r="AK42" i="38"/>
  <c r="BG42" i="38" s="1"/>
  <c r="Z42" i="38"/>
  <c r="AV42" i="38" s="1"/>
  <c r="AK8" i="38"/>
  <c r="BG8" i="38" s="1"/>
  <c r="Z8" i="38"/>
  <c r="AV8" i="38" s="1"/>
  <c r="AK37" i="38"/>
  <c r="BG37" i="38" s="1"/>
  <c r="Z37" i="38"/>
  <c r="AV37" i="38" s="1"/>
  <c r="AU2" i="38"/>
  <c r="Z2" i="38"/>
  <c r="AK2" i="38"/>
  <c r="BG2" i="38" s="1"/>
  <c r="Z10" i="38"/>
  <c r="AV10" i="38" s="1"/>
  <c r="AK10" i="38"/>
  <c r="BG10" i="38" s="1"/>
  <c r="AK18" i="38"/>
  <c r="BG18" i="38" s="1"/>
  <c r="Z18" i="38"/>
  <c r="AV18" i="38" s="1"/>
  <c r="AK34" i="38"/>
  <c r="BG34" i="38" s="1"/>
  <c r="Z34" i="38"/>
  <c r="AV34" i="38" s="1"/>
  <c r="AK48" i="38"/>
  <c r="BG48" i="38" s="1"/>
  <c r="Z48" i="38"/>
  <c r="AV48" i="38" s="1"/>
  <c r="AK17" i="38"/>
  <c r="BG17" i="38" s="1"/>
  <c r="Z17" i="38"/>
  <c r="AV17" i="38" s="1"/>
  <c r="AK41" i="38"/>
  <c r="BG41" i="38" s="1"/>
  <c r="Z41" i="38"/>
  <c r="AV41" i="38" s="1"/>
  <c r="AK30" i="38"/>
  <c r="BG30" i="38" s="1"/>
  <c r="Z30" i="38"/>
  <c r="AV30" i="38" s="1"/>
  <c r="AK27" i="38"/>
  <c r="BG27" i="38" s="1"/>
  <c r="Z27" i="38"/>
  <c r="AV27" i="38" s="1"/>
  <c r="Z3" i="38"/>
  <c r="AV3" i="38" s="1"/>
  <c r="AK3" i="38"/>
  <c r="BG3" i="38" s="1"/>
  <c r="AK26" i="38"/>
  <c r="BG26" i="38" s="1"/>
  <c r="Z26" i="38"/>
  <c r="AV26" i="38" s="1"/>
  <c r="AK15" i="38"/>
  <c r="BG15" i="38" s="1"/>
  <c r="Z15" i="38"/>
  <c r="AV15" i="38" s="1"/>
  <c r="AK21" i="38"/>
  <c r="BG21" i="38" s="1"/>
  <c r="Z21" i="38"/>
  <c r="AV21" i="38" s="1"/>
  <c r="AK31" i="38"/>
  <c r="BG31" i="38" s="1"/>
  <c r="Z31" i="38"/>
  <c r="AV31" i="38" s="1"/>
  <c r="AK24" i="38"/>
  <c r="BG24" i="38" s="1"/>
  <c r="Z24" i="38"/>
  <c r="AV24" i="38" s="1"/>
  <c r="AK50" i="38"/>
  <c r="BG50" i="38" s="1"/>
  <c r="Z50" i="38"/>
  <c r="AV50" i="38" s="1"/>
  <c r="Z39" i="38"/>
  <c r="AV39" i="38" s="1"/>
  <c r="AK39" i="38"/>
  <c r="BG39" i="38" s="1"/>
  <c r="AK20" i="38"/>
  <c r="BG20" i="38" s="1"/>
  <c r="Z20" i="38"/>
  <c r="AV20" i="38" s="1"/>
  <c r="AK51" i="38"/>
  <c r="BG51" i="38" s="1"/>
  <c r="Z51" i="38"/>
  <c r="AV51" i="38" s="1"/>
  <c r="Z7" i="38"/>
  <c r="AV7" i="38" s="1"/>
  <c r="AK7" i="38"/>
  <c r="BG7" i="38" s="1"/>
  <c r="AK38" i="38"/>
  <c r="BG38" i="38" s="1"/>
  <c r="Z38" i="38"/>
  <c r="AV38" i="38" s="1"/>
  <c r="AK35" i="38"/>
  <c r="BG35" i="38" s="1"/>
  <c r="Z35" i="38"/>
  <c r="AV35" i="38" s="1"/>
  <c r="AK14" i="38"/>
  <c r="BG14" i="38" s="1"/>
  <c r="Z14" i="38"/>
  <c r="AV14" i="38" s="1"/>
  <c r="AK36" i="38"/>
  <c r="BG36" i="38" s="1"/>
  <c r="Z36" i="38"/>
  <c r="AV36" i="38" s="1"/>
  <c r="AK19" i="38"/>
  <c r="BG19" i="38" s="1"/>
  <c r="Z19" i="38"/>
  <c r="AV19" i="38" s="1"/>
  <c r="AK28" i="38"/>
  <c r="BG28" i="38" s="1"/>
  <c r="Z28" i="38"/>
  <c r="AV28" i="38" s="1"/>
  <c r="AK13" i="38"/>
  <c r="BG13" i="38" s="1"/>
  <c r="Z13" i="38"/>
  <c r="AV13" i="38" s="1"/>
  <c r="AK46" i="38"/>
  <c r="BG46" i="38" s="1"/>
  <c r="Z46" i="38"/>
  <c r="AV46" i="38" s="1"/>
  <c r="AK12" i="38"/>
  <c r="BG12" i="38" s="1"/>
  <c r="Z12" i="38"/>
  <c r="AV12" i="38" s="1"/>
  <c r="Z11" i="38"/>
  <c r="AV11" i="38" s="1"/>
  <c r="AK11" i="38"/>
  <c r="BG11" i="38" s="1"/>
  <c r="AA38" i="40" l="1"/>
  <c r="AV38" i="40"/>
  <c r="AL38" i="40"/>
  <c r="BH38" i="40" s="1"/>
  <c r="AV2" i="40"/>
  <c r="AA2" i="40"/>
  <c r="AL2" i="40"/>
  <c r="BH2" i="40" s="1"/>
  <c r="AV27" i="40"/>
  <c r="AA27" i="40"/>
  <c r="AL27" i="40"/>
  <c r="BH27" i="40" s="1"/>
  <c r="AA14" i="40"/>
  <c r="AV14" i="40"/>
  <c r="AL14" i="40"/>
  <c r="BH14" i="40" s="1"/>
  <c r="AA42" i="40"/>
  <c r="AV42" i="40"/>
  <c r="AL42" i="40"/>
  <c r="BH42" i="40" s="1"/>
  <c r="AV21" i="40"/>
  <c r="AA21" i="40"/>
  <c r="AL21" i="40"/>
  <c r="BH21" i="40" s="1"/>
  <c r="AA43" i="40"/>
  <c r="AV43" i="40"/>
  <c r="AL43" i="40"/>
  <c r="BH43" i="40" s="1"/>
  <c r="AA51" i="40"/>
  <c r="AV51" i="40"/>
  <c r="AL51" i="40"/>
  <c r="BH51" i="40" s="1"/>
  <c r="AV17" i="40"/>
  <c r="AA17" i="40"/>
  <c r="AL17" i="40"/>
  <c r="BH17" i="40" s="1"/>
  <c r="AV16" i="40"/>
  <c r="AA16" i="40"/>
  <c r="AL16" i="40"/>
  <c r="BH16" i="40" s="1"/>
  <c r="AA33" i="40"/>
  <c r="AV33" i="40"/>
  <c r="AL33" i="40"/>
  <c r="BH33" i="40" s="1"/>
  <c r="AV29" i="40"/>
  <c r="AA29" i="40"/>
  <c r="AL29" i="40"/>
  <c r="BH29" i="40" s="1"/>
  <c r="AA3" i="40"/>
  <c r="AV3" i="40"/>
  <c r="AL3" i="40"/>
  <c r="BH3" i="40" s="1"/>
  <c r="AA39" i="40"/>
  <c r="AV39" i="40"/>
  <c r="AL39" i="40"/>
  <c r="BH39" i="40" s="1"/>
  <c r="AV22" i="40"/>
  <c r="AA22" i="40"/>
  <c r="AL22" i="40"/>
  <c r="BH22" i="40" s="1"/>
  <c r="AV50" i="40"/>
  <c r="AA50" i="40"/>
  <c r="AL50" i="40"/>
  <c r="BH50" i="40" s="1"/>
  <c r="AV20" i="40"/>
  <c r="AA20" i="40"/>
  <c r="AL20" i="40"/>
  <c r="BH20" i="40" s="1"/>
  <c r="AA30" i="40"/>
  <c r="AV30" i="40"/>
  <c r="AL30" i="40"/>
  <c r="BH30" i="40" s="1"/>
  <c r="AV48" i="40"/>
  <c r="AA48" i="40"/>
  <c r="AL48" i="40"/>
  <c r="BH48" i="40" s="1"/>
  <c r="AV11" i="40"/>
  <c r="AA11" i="40"/>
  <c r="AL11" i="40"/>
  <c r="BH11" i="40" s="1"/>
  <c r="AA9" i="40"/>
  <c r="AV9" i="40"/>
  <c r="AL9" i="40"/>
  <c r="BH9" i="40" s="1"/>
  <c r="AA24" i="40"/>
  <c r="AV24" i="40"/>
  <c r="AL24" i="40"/>
  <c r="BH24" i="40" s="1"/>
  <c r="AA52" i="40"/>
  <c r="AV52" i="40"/>
  <c r="AL52" i="40"/>
  <c r="BH52" i="40" s="1"/>
  <c r="AV12" i="40"/>
  <c r="AA12" i="40"/>
  <c r="AL12" i="40"/>
  <c r="BH12" i="40" s="1"/>
  <c r="AV4" i="40"/>
  <c r="AA4" i="40"/>
  <c r="AL4" i="40"/>
  <c r="BH4" i="40" s="1"/>
  <c r="AV36" i="40"/>
  <c r="AA36" i="40"/>
  <c r="AL36" i="40"/>
  <c r="BH36" i="40" s="1"/>
  <c r="AA7" i="40"/>
  <c r="AV7" i="40"/>
  <c r="AL7" i="40"/>
  <c r="BH7" i="40" s="1"/>
  <c r="AV35" i="40"/>
  <c r="AA35" i="40"/>
  <c r="AL35" i="40"/>
  <c r="BH35" i="40" s="1"/>
  <c r="AA40" i="40"/>
  <c r="AV40" i="40"/>
  <c r="AL40" i="40"/>
  <c r="BH40" i="40" s="1"/>
  <c r="AA31" i="40"/>
  <c r="AV31" i="40"/>
  <c r="AL31" i="40"/>
  <c r="BH31" i="40" s="1"/>
  <c r="AA44" i="40"/>
  <c r="AV44" i="40"/>
  <c r="AL44" i="40"/>
  <c r="BH44" i="40" s="1"/>
  <c r="AV46" i="40"/>
  <c r="AA46" i="40"/>
  <c r="AL46" i="40"/>
  <c r="BH46" i="40" s="1"/>
  <c r="AV32" i="40"/>
  <c r="AA32" i="40"/>
  <c r="AL32" i="40"/>
  <c r="BH32" i="40" s="1"/>
  <c r="AA47" i="40"/>
  <c r="AV47" i="40"/>
  <c r="AL47" i="40"/>
  <c r="BH47" i="40" s="1"/>
  <c r="AA8" i="40"/>
  <c r="AV8" i="40"/>
  <c r="AL8" i="40"/>
  <c r="BH8" i="40" s="1"/>
  <c r="AA10" i="40"/>
  <c r="AV10" i="40"/>
  <c r="AL10" i="40"/>
  <c r="BH10" i="40" s="1"/>
  <c r="AV15" i="40"/>
  <c r="AA15" i="40"/>
  <c r="AL15" i="40"/>
  <c r="BH15" i="40" s="1"/>
  <c r="AV18" i="40"/>
  <c r="AA18" i="40"/>
  <c r="AL18" i="40"/>
  <c r="BH18" i="40" s="1"/>
  <c r="AV28" i="40"/>
  <c r="AA28" i="40"/>
  <c r="AL28" i="40"/>
  <c r="BH28" i="40" s="1"/>
  <c r="AV26" i="40"/>
  <c r="AA26" i="40"/>
  <c r="AL26" i="40"/>
  <c r="BH26" i="40" s="1"/>
  <c r="AV41" i="40"/>
  <c r="AA41" i="40"/>
  <c r="AL41" i="40"/>
  <c r="BH41" i="40" s="1"/>
  <c r="AV6" i="40"/>
  <c r="AA6" i="40"/>
  <c r="AL6" i="40"/>
  <c r="BH6" i="40" s="1"/>
  <c r="AA25" i="40"/>
  <c r="AV25" i="40"/>
  <c r="AL25" i="40"/>
  <c r="BH25" i="40" s="1"/>
  <c r="AA34" i="40"/>
  <c r="AV34" i="40"/>
  <c r="AL34" i="40"/>
  <c r="BH34" i="40" s="1"/>
  <c r="AV5" i="40"/>
  <c r="AA5" i="40"/>
  <c r="AL5" i="40"/>
  <c r="BH5" i="40" s="1"/>
  <c r="AA49" i="40"/>
  <c r="AV49" i="40"/>
  <c r="AL49" i="40"/>
  <c r="BH49" i="40" s="1"/>
  <c r="AA13" i="40"/>
  <c r="AV13" i="40"/>
  <c r="AL13" i="40"/>
  <c r="BH13" i="40" s="1"/>
  <c r="AV19" i="40"/>
  <c r="AA19" i="40"/>
  <c r="AL19" i="40"/>
  <c r="BH19" i="40" s="1"/>
  <c r="AV37" i="40"/>
  <c r="AA37" i="40"/>
  <c r="AL37" i="40"/>
  <c r="BH37" i="40" s="1"/>
  <c r="AV45" i="40"/>
  <c r="AA45" i="40"/>
  <c r="AL45" i="40"/>
  <c r="BH45" i="40" s="1"/>
  <c r="AA23" i="40"/>
  <c r="AV23" i="40"/>
  <c r="AL23" i="40"/>
  <c r="BH23" i="40" s="1"/>
  <c r="AL20" i="38"/>
  <c r="BH20" i="38" s="1"/>
  <c r="AA20" i="38"/>
  <c r="AW20" i="38" s="1"/>
  <c r="AA8" i="38"/>
  <c r="AW8" i="38" s="1"/>
  <c r="AL8" i="38"/>
  <c r="BH8" i="38" s="1"/>
  <c r="AL14" i="38"/>
  <c r="BH14" i="38" s="1"/>
  <c r="AA14" i="38"/>
  <c r="AW14" i="38" s="1"/>
  <c r="AA51" i="38"/>
  <c r="AW51" i="38" s="1"/>
  <c r="AL51" i="38"/>
  <c r="BH51" i="38" s="1"/>
  <c r="AL24" i="38"/>
  <c r="BH24" i="38" s="1"/>
  <c r="AA24" i="38"/>
  <c r="AW24" i="38" s="1"/>
  <c r="AL26" i="38"/>
  <c r="BH26" i="38" s="1"/>
  <c r="AA26" i="38"/>
  <c r="AW26" i="38" s="1"/>
  <c r="AA3" i="38"/>
  <c r="AW3" i="38" s="1"/>
  <c r="AL3" i="38"/>
  <c r="BH3" i="38" s="1"/>
  <c r="AA41" i="38"/>
  <c r="AW41" i="38" s="1"/>
  <c r="AL41" i="38"/>
  <c r="BH41" i="38" s="1"/>
  <c r="AL18" i="38"/>
  <c r="BH18" i="38" s="1"/>
  <c r="AA18" i="38"/>
  <c r="AW18" i="38" s="1"/>
  <c r="AA10" i="38"/>
  <c r="AW10" i="38" s="1"/>
  <c r="AL10" i="38"/>
  <c r="BH10" i="38" s="1"/>
  <c r="AA37" i="38"/>
  <c r="AW37" i="38" s="1"/>
  <c r="AL37" i="38"/>
  <c r="BH37" i="38" s="1"/>
  <c r="AA29" i="38"/>
  <c r="AW29" i="38" s="1"/>
  <c r="AL29" i="38"/>
  <c r="BH29" i="38" s="1"/>
  <c r="AA9" i="38"/>
  <c r="AW9" i="38" s="1"/>
  <c r="AL9" i="38"/>
  <c r="BH9" i="38" s="1"/>
  <c r="AA4" i="38"/>
  <c r="AW4" i="38" s="1"/>
  <c r="AL4" i="38"/>
  <c r="BH4" i="38" s="1"/>
  <c r="AA35" i="38"/>
  <c r="AW35" i="38" s="1"/>
  <c r="AL35" i="38"/>
  <c r="BH35" i="38" s="1"/>
  <c r="AA39" i="38"/>
  <c r="AW39" i="38" s="1"/>
  <c r="AL39" i="38"/>
  <c r="BH39" i="38" s="1"/>
  <c r="AA31" i="38"/>
  <c r="AW31" i="38" s="1"/>
  <c r="AL31" i="38"/>
  <c r="BH31" i="38" s="1"/>
  <c r="AA17" i="38"/>
  <c r="AW17" i="38" s="1"/>
  <c r="AL17" i="38"/>
  <c r="BH17" i="38" s="1"/>
  <c r="AA11" i="38"/>
  <c r="AW11" i="38" s="1"/>
  <c r="AL11" i="38"/>
  <c r="BH11" i="38" s="1"/>
  <c r="AA13" i="38"/>
  <c r="AW13" i="38" s="1"/>
  <c r="AL13" i="38"/>
  <c r="BH13" i="38" s="1"/>
  <c r="AL46" i="38"/>
  <c r="BH46" i="38" s="1"/>
  <c r="AA46" i="38"/>
  <c r="AW46" i="38" s="1"/>
  <c r="AA36" i="38"/>
  <c r="AW36" i="38" s="1"/>
  <c r="AL36" i="38"/>
  <c r="BH36" i="38" s="1"/>
  <c r="AA50" i="38"/>
  <c r="AW50" i="38" s="1"/>
  <c r="AL50" i="38"/>
  <c r="BH50" i="38" s="1"/>
  <c r="AA15" i="38"/>
  <c r="AW15" i="38" s="1"/>
  <c r="AL15" i="38"/>
  <c r="BH15" i="38" s="1"/>
  <c r="AL30" i="38"/>
  <c r="BH30" i="38" s="1"/>
  <c r="AA30" i="38"/>
  <c r="AW30" i="38" s="1"/>
  <c r="AL34" i="38"/>
  <c r="BH34" i="38" s="1"/>
  <c r="AA34" i="38"/>
  <c r="AW34" i="38" s="1"/>
  <c r="AA43" i="38"/>
  <c r="AW43" i="38" s="1"/>
  <c r="AL43" i="38"/>
  <c r="BH43" i="38" s="1"/>
  <c r="AA25" i="38"/>
  <c r="AW25" i="38" s="1"/>
  <c r="AL25" i="38"/>
  <c r="BH25" i="38" s="1"/>
  <c r="AA44" i="38"/>
  <c r="AW44" i="38" s="1"/>
  <c r="AL44" i="38"/>
  <c r="BH44" i="38" s="1"/>
  <c r="AL22" i="38"/>
  <c r="BH22" i="38" s="1"/>
  <c r="AA22" i="38"/>
  <c r="AW22" i="38" s="1"/>
  <c r="AA47" i="38"/>
  <c r="AW47" i="38" s="1"/>
  <c r="AL47" i="38"/>
  <c r="BH47" i="38" s="1"/>
  <c r="AL32" i="38"/>
  <c r="BH32" i="38" s="1"/>
  <c r="AA32" i="38"/>
  <c r="AW32" i="38" s="1"/>
  <c r="AA6" i="38"/>
  <c r="AW6" i="38" s="1"/>
  <c r="AL6" i="38"/>
  <c r="BH6" i="38" s="1"/>
  <c r="AA33" i="38"/>
  <c r="AW33" i="38" s="1"/>
  <c r="AL33" i="38"/>
  <c r="BH33" i="38" s="1"/>
  <c r="AL28" i="38"/>
  <c r="BH28" i="38" s="1"/>
  <c r="AA28" i="38"/>
  <c r="AW28" i="38" s="1"/>
  <c r="AA12" i="38"/>
  <c r="AW12" i="38" s="1"/>
  <c r="AL12" i="38"/>
  <c r="BH12" i="38" s="1"/>
  <c r="AA19" i="38"/>
  <c r="AW19" i="38" s="1"/>
  <c r="AL19" i="38"/>
  <c r="BH19" i="38" s="1"/>
  <c r="AL38" i="38"/>
  <c r="BH38" i="38" s="1"/>
  <c r="AA38" i="38"/>
  <c r="AW38" i="38" s="1"/>
  <c r="AA7" i="38"/>
  <c r="AW7" i="38" s="1"/>
  <c r="AL7" i="38"/>
  <c r="BH7" i="38" s="1"/>
  <c r="AA21" i="38"/>
  <c r="AW21" i="38" s="1"/>
  <c r="AL21" i="38"/>
  <c r="BH21" i="38" s="1"/>
  <c r="AA27" i="38"/>
  <c r="AW27" i="38" s="1"/>
  <c r="AL27" i="38"/>
  <c r="BH27" i="38" s="1"/>
  <c r="AA48" i="38"/>
  <c r="AW48" i="38" s="1"/>
  <c r="AL48" i="38"/>
  <c r="BH48" i="38" s="1"/>
  <c r="AV2" i="38"/>
  <c r="AA2" i="38"/>
  <c r="AW2" i="38" s="1"/>
  <c r="AL2" i="38"/>
  <c r="BH2" i="38" s="1"/>
  <c r="AL42" i="38"/>
  <c r="BH42" i="38" s="1"/>
  <c r="AA42" i="38"/>
  <c r="AW42" i="38" s="1"/>
  <c r="AL16" i="38"/>
  <c r="BH16" i="38" s="1"/>
  <c r="AA16" i="38"/>
  <c r="AW16" i="38" s="1"/>
  <c r="AA23" i="38"/>
  <c r="AW23" i="38" s="1"/>
  <c r="AL23" i="38"/>
  <c r="BH23" i="38" s="1"/>
  <c r="AL40" i="38"/>
  <c r="BH40" i="38" s="1"/>
  <c r="AA40" i="38"/>
  <c r="AW40" i="38" s="1"/>
  <c r="AA45" i="38"/>
  <c r="AW45" i="38" s="1"/>
  <c r="AL45" i="38"/>
  <c r="BH45" i="38" s="1"/>
  <c r="AA5" i="38"/>
  <c r="AW5" i="38" s="1"/>
  <c r="AL5" i="38"/>
  <c r="BH5" i="38" s="1"/>
  <c r="AA49" i="38"/>
  <c r="AW49" i="38" s="1"/>
  <c r="AL49" i="38"/>
  <c r="BH49" i="38" s="1"/>
  <c r="AB37" i="40" l="1"/>
  <c r="AW37" i="40"/>
  <c r="AM37" i="40"/>
  <c r="BI37" i="40" s="1"/>
  <c r="AW5" i="40"/>
  <c r="AB5" i="40"/>
  <c r="AM5" i="40"/>
  <c r="BI5" i="40" s="1"/>
  <c r="AB34" i="40"/>
  <c r="AW34" i="40"/>
  <c r="AM34" i="40"/>
  <c r="BI34" i="40" s="1"/>
  <c r="AB41" i="40"/>
  <c r="AW41" i="40"/>
  <c r="AM41" i="40"/>
  <c r="BI41" i="40" s="1"/>
  <c r="AW15" i="40"/>
  <c r="AB15" i="40"/>
  <c r="AM15" i="40"/>
  <c r="BI15" i="40" s="1"/>
  <c r="AB10" i="40"/>
  <c r="AW10" i="40"/>
  <c r="AM10" i="40"/>
  <c r="BI10" i="40" s="1"/>
  <c r="AW32" i="40"/>
  <c r="AB32" i="40"/>
  <c r="AM32" i="40"/>
  <c r="BI32" i="40" s="1"/>
  <c r="AW4" i="40"/>
  <c r="AB4" i="40"/>
  <c r="AM4" i="40"/>
  <c r="BI4" i="40" s="1"/>
  <c r="AW11" i="40"/>
  <c r="AB11" i="40"/>
  <c r="AM11" i="40"/>
  <c r="BI11" i="40" s="1"/>
  <c r="AW50" i="40"/>
  <c r="AB50" i="40"/>
  <c r="AM50" i="40"/>
  <c r="BI50" i="40" s="1"/>
  <c r="AB29" i="40"/>
  <c r="AW29" i="40"/>
  <c r="AM29" i="40"/>
  <c r="BI29" i="40" s="1"/>
  <c r="AW33" i="40"/>
  <c r="AB33" i="40"/>
  <c r="AM33" i="40"/>
  <c r="BI33" i="40" s="1"/>
  <c r="AB43" i="40"/>
  <c r="AW43" i="40"/>
  <c r="AM43" i="40"/>
  <c r="BI43" i="40" s="1"/>
  <c r="AW45" i="40"/>
  <c r="AB45" i="40"/>
  <c r="AM45" i="40"/>
  <c r="BI45" i="40" s="1"/>
  <c r="AB6" i="40"/>
  <c r="AW6" i="40"/>
  <c r="AM6" i="40"/>
  <c r="BI6" i="40" s="1"/>
  <c r="AB18" i="40"/>
  <c r="AW18" i="40"/>
  <c r="AM18" i="40"/>
  <c r="BI18" i="40" s="1"/>
  <c r="AB40" i="40"/>
  <c r="AW40" i="40"/>
  <c r="AM40" i="40"/>
  <c r="BI40" i="40" s="1"/>
  <c r="AW36" i="40"/>
  <c r="AB36" i="40"/>
  <c r="AM36" i="40"/>
  <c r="BI36" i="40" s="1"/>
  <c r="AB20" i="40"/>
  <c r="AW20" i="40"/>
  <c r="AM20" i="40"/>
  <c r="BI20" i="40" s="1"/>
  <c r="AB17" i="40"/>
  <c r="AW17" i="40"/>
  <c r="AM17" i="40"/>
  <c r="BI17" i="40" s="1"/>
  <c r="AW51" i="40"/>
  <c r="AB51" i="40"/>
  <c r="AM51" i="40"/>
  <c r="BI51" i="40" s="1"/>
  <c r="AB14" i="40"/>
  <c r="AW14" i="40"/>
  <c r="AM14" i="40"/>
  <c r="BI14" i="40" s="1"/>
  <c r="AW49" i="40"/>
  <c r="AB49" i="40"/>
  <c r="AM49" i="40"/>
  <c r="BI49" i="40" s="1"/>
  <c r="AB28" i="40"/>
  <c r="AW28" i="40"/>
  <c r="AM28" i="40"/>
  <c r="BI28" i="40" s="1"/>
  <c r="AB47" i="40"/>
  <c r="AW47" i="40"/>
  <c r="AM47" i="40"/>
  <c r="BI47" i="40" s="1"/>
  <c r="AB31" i="40"/>
  <c r="AW31" i="40"/>
  <c r="AM31" i="40"/>
  <c r="BI31" i="40" s="1"/>
  <c r="AW9" i="40"/>
  <c r="AB9" i="40"/>
  <c r="AM9" i="40"/>
  <c r="BI9" i="40" s="1"/>
  <c r="AB3" i="40"/>
  <c r="AW3" i="40"/>
  <c r="AM3" i="40"/>
  <c r="BI3" i="40" s="1"/>
  <c r="AB16" i="40"/>
  <c r="AW16" i="40"/>
  <c r="AM16" i="40"/>
  <c r="BI16" i="40" s="1"/>
  <c r="AW21" i="40"/>
  <c r="AB21" i="40"/>
  <c r="AM21" i="40"/>
  <c r="BI21" i="40" s="1"/>
  <c r="AB42" i="40"/>
  <c r="AW42" i="40"/>
  <c r="AM42" i="40"/>
  <c r="BI42" i="40" s="1"/>
  <c r="AB2" i="40"/>
  <c r="AW2" i="40"/>
  <c r="AM2" i="40"/>
  <c r="BI2" i="40" s="1"/>
  <c r="AB38" i="40"/>
  <c r="AW38" i="40"/>
  <c r="AM38" i="40"/>
  <c r="BI38" i="40" s="1"/>
  <c r="AB23" i="40"/>
  <c r="AW23" i="40"/>
  <c r="AM23" i="40"/>
  <c r="BI23" i="40" s="1"/>
  <c r="AB19" i="40"/>
  <c r="AW19" i="40"/>
  <c r="AM19" i="40"/>
  <c r="BI19" i="40" s="1"/>
  <c r="AW13" i="40"/>
  <c r="AB13" i="40"/>
  <c r="AM13" i="40"/>
  <c r="BI13" i="40" s="1"/>
  <c r="AW25" i="40"/>
  <c r="AB25" i="40"/>
  <c r="AM25" i="40"/>
  <c r="BI25" i="40" s="1"/>
  <c r="AB26" i="40"/>
  <c r="AW26" i="40"/>
  <c r="AM26" i="40"/>
  <c r="BI26" i="40" s="1"/>
  <c r="AB8" i="40"/>
  <c r="AW8" i="40"/>
  <c r="AM8" i="40"/>
  <c r="BI8" i="40" s="1"/>
  <c r="AB46" i="40"/>
  <c r="AW46" i="40"/>
  <c r="AM46" i="40"/>
  <c r="BI46" i="40" s="1"/>
  <c r="AB44" i="40"/>
  <c r="AW44" i="40"/>
  <c r="AM44" i="40"/>
  <c r="BI44" i="40" s="1"/>
  <c r="AB35" i="40"/>
  <c r="AW35" i="40"/>
  <c r="AM35" i="40"/>
  <c r="BI35" i="40" s="1"/>
  <c r="AB7" i="40"/>
  <c r="AW7" i="40"/>
  <c r="AM7" i="40"/>
  <c r="BI7" i="40" s="1"/>
  <c r="AW12" i="40"/>
  <c r="AB12" i="40"/>
  <c r="AM12" i="40"/>
  <c r="BI12" i="40" s="1"/>
  <c r="AB52" i="40"/>
  <c r="AW52" i="40"/>
  <c r="AM52" i="40"/>
  <c r="BI52" i="40" s="1"/>
  <c r="AW24" i="40"/>
  <c r="AB24" i="40"/>
  <c r="AM24" i="40"/>
  <c r="BI24" i="40" s="1"/>
  <c r="AB48" i="40"/>
  <c r="AW48" i="40"/>
  <c r="AM48" i="40"/>
  <c r="BI48" i="40" s="1"/>
  <c r="AB30" i="40"/>
  <c r="AW30" i="40"/>
  <c r="AM30" i="40"/>
  <c r="BI30" i="40" s="1"/>
  <c r="AW22" i="40"/>
  <c r="AB22" i="40"/>
  <c r="AM22" i="40"/>
  <c r="BI22" i="40" s="1"/>
  <c r="AB39" i="40"/>
  <c r="AW39" i="40"/>
  <c r="AM39" i="40"/>
  <c r="BI39" i="40" s="1"/>
  <c r="AB27" i="40"/>
  <c r="AW27" i="40"/>
  <c r="AM27" i="40"/>
  <c r="BI27" i="40" s="1"/>
  <c r="AB45" i="38"/>
  <c r="AX45" i="38" s="1"/>
  <c r="AM45" i="38"/>
  <c r="BI45" i="38" s="1"/>
  <c r="AB27" i="38"/>
  <c r="AX27" i="38" s="1"/>
  <c r="AM27" i="38"/>
  <c r="BI27" i="38" s="1"/>
  <c r="AB19" i="38"/>
  <c r="AX19" i="38" s="1"/>
  <c r="AM19" i="38"/>
  <c r="BI19" i="38" s="1"/>
  <c r="AB7" i="38"/>
  <c r="AX7" i="38" s="1"/>
  <c r="AM7" i="38"/>
  <c r="BI7" i="38" s="1"/>
  <c r="AB33" i="38"/>
  <c r="AX33" i="38" s="1"/>
  <c r="AM33" i="38"/>
  <c r="BI33" i="38" s="1"/>
  <c r="AM32" i="38"/>
  <c r="BI32" i="38" s="1"/>
  <c r="AB32" i="38"/>
  <c r="AX32" i="38" s="1"/>
  <c r="AB50" i="38"/>
  <c r="AX50" i="38" s="1"/>
  <c r="AM50" i="38"/>
  <c r="BI50" i="38" s="1"/>
  <c r="AB36" i="38"/>
  <c r="AX36" i="38" s="1"/>
  <c r="AM36" i="38"/>
  <c r="BI36" i="38" s="1"/>
  <c r="AB11" i="38"/>
  <c r="AX11" i="38" s="1"/>
  <c r="AM11" i="38"/>
  <c r="BI11" i="38" s="1"/>
  <c r="AB17" i="38"/>
  <c r="AX17" i="38" s="1"/>
  <c r="AM17" i="38"/>
  <c r="BI17" i="38" s="1"/>
  <c r="AB3" i="38"/>
  <c r="AX3" i="38" s="1"/>
  <c r="AM3" i="38"/>
  <c r="BI3" i="38" s="1"/>
  <c r="AB49" i="38"/>
  <c r="AX49" i="38" s="1"/>
  <c r="AM49" i="38"/>
  <c r="BI49" i="38" s="1"/>
  <c r="AB23" i="38"/>
  <c r="AX23" i="38" s="1"/>
  <c r="AM23" i="38"/>
  <c r="BI23" i="38" s="1"/>
  <c r="AB42" i="38"/>
  <c r="AX42" i="38" s="1"/>
  <c r="AM42" i="38"/>
  <c r="BI42" i="38" s="1"/>
  <c r="AB2" i="38"/>
  <c r="AM2" i="38"/>
  <c r="BI2" i="38" s="1"/>
  <c r="AB12" i="38"/>
  <c r="AX12" i="38" s="1"/>
  <c r="AM12" i="38"/>
  <c r="BI12" i="38" s="1"/>
  <c r="AB47" i="38"/>
  <c r="AX47" i="38" s="1"/>
  <c r="AM47" i="38"/>
  <c r="BI47" i="38" s="1"/>
  <c r="AB43" i="38"/>
  <c r="AX43" i="38" s="1"/>
  <c r="AM43" i="38"/>
  <c r="BI43" i="38" s="1"/>
  <c r="AB30" i="38"/>
  <c r="AX30" i="38" s="1"/>
  <c r="AM30" i="38"/>
  <c r="BI30" i="38" s="1"/>
  <c r="AM46" i="38"/>
  <c r="BI46" i="38" s="1"/>
  <c r="AB46" i="38"/>
  <c r="AX46" i="38" s="1"/>
  <c r="AB35" i="38"/>
  <c r="AX35" i="38" s="1"/>
  <c r="AM35" i="38"/>
  <c r="BI35" i="38" s="1"/>
  <c r="AB37" i="38"/>
  <c r="AX37" i="38" s="1"/>
  <c r="AM37" i="38"/>
  <c r="BI37" i="38" s="1"/>
  <c r="AM18" i="38"/>
  <c r="BI18" i="38" s="1"/>
  <c r="AB18" i="38"/>
  <c r="AX18" i="38" s="1"/>
  <c r="AM24" i="38"/>
  <c r="BI24" i="38" s="1"/>
  <c r="AB24" i="38"/>
  <c r="AX24" i="38" s="1"/>
  <c r="AM20" i="38"/>
  <c r="BI20" i="38" s="1"/>
  <c r="AB20" i="38"/>
  <c r="AX20" i="38" s="1"/>
  <c r="AM40" i="38"/>
  <c r="BI40" i="38" s="1"/>
  <c r="AB40" i="38"/>
  <c r="AX40" i="38" s="1"/>
  <c r="AM16" i="38"/>
  <c r="BI16" i="38" s="1"/>
  <c r="AB16" i="38"/>
  <c r="AX16" i="38" s="1"/>
  <c r="AB21" i="38"/>
  <c r="AX21" i="38" s="1"/>
  <c r="AM21" i="38"/>
  <c r="BI21" i="38" s="1"/>
  <c r="AM38" i="38"/>
  <c r="BI38" i="38" s="1"/>
  <c r="AB38" i="38"/>
  <c r="AX38" i="38" s="1"/>
  <c r="AB6" i="38"/>
  <c r="AX6" i="38" s="1"/>
  <c r="AM6" i="38"/>
  <c r="BI6" i="38" s="1"/>
  <c r="AB22" i="38"/>
  <c r="AX22" i="38" s="1"/>
  <c r="AM22" i="38"/>
  <c r="BI22" i="38" s="1"/>
  <c r="AB25" i="38"/>
  <c r="AX25" i="38" s="1"/>
  <c r="AM25" i="38"/>
  <c r="BI25" i="38" s="1"/>
  <c r="AM34" i="38"/>
  <c r="BI34" i="38" s="1"/>
  <c r="AB34" i="38"/>
  <c r="AX34" i="38" s="1"/>
  <c r="AB15" i="38"/>
  <c r="AX15" i="38" s="1"/>
  <c r="AM15" i="38"/>
  <c r="BI15" i="38" s="1"/>
  <c r="AB13" i="38"/>
  <c r="AX13" i="38" s="1"/>
  <c r="AM13" i="38"/>
  <c r="BI13" i="38" s="1"/>
  <c r="AM39" i="38"/>
  <c r="BI39" i="38" s="1"/>
  <c r="AB39" i="38"/>
  <c r="AX39" i="38" s="1"/>
  <c r="AB9" i="38"/>
  <c r="AX9" i="38" s="1"/>
  <c r="AM9" i="38"/>
  <c r="BI9" i="38" s="1"/>
  <c r="AB29" i="38"/>
  <c r="AX29" i="38" s="1"/>
  <c r="AM29" i="38"/>
  <c r="BI29" i="38" s="1"/>
  <c r="AB41" i="38"/>
  <c r="AX41" i="38" s="1"/>
  <c r="AM41" i="38"/>
  <c r="BI41" i="38" s="1"/>
  <c r="AM26" i="38"/>
  <c r="BI26" i="38" s="1"/>
  <c r="AB26" i="38"/>
  <c r="AX26" i="38" s="1"/>
  <c r="AB51" i="38"/>
  <c r="AX51" i="38" s="1"/>
  <c r="AM51" i="38"/>
  <c r="BI51" i="38" s="1"/>
  <c r="AB5" i="38"/>
  <c r="AX5" i="38" s="1"/>
  <c r="AM5" i="38"/>
  <c r="BI5" i="38" s="1"/>
  <c r="AM48" i="38"/>
  <c r="BI48" i="38" s="1"/>
  <c r="AB48" i="38"/>
  <c r="AX48" i="38" s="1"/>
  <c r="AM28" i="38"/>
  <c r="BI28" i="38" s="1"/>
  <c r="AB28" i="38"/>
  <c r="AX28" i="38" s="1"/>
  <c r="AB44" i="38"/>
  <c r="AX44" i="38" s="1"/>
  <c r="AM44" i="38"/>
  <c r="BI44" i="38" s="1"/>
  <c r="AB31" i="38"/>
  <c r="AX31" i="38" s="1"/>
  <c r="AM31" i="38"/>
  <c r="BI31" i="38" s="1"/>
  <c r="AB4" i="38"/>
  <c r="AX4" i="38" s="1"/>
  <c r="AM4" i="38"/>
  <c r="BI4" i="38" s="1"/>
  <c r="AB10" i="38"/>
  <c r="AX10" i="38" s="1"/>
  <c r="AM10" i="38"/>
  <c r="BI10" i="38" s="1"/>
  <c r="AM14" i="38"/>
  <c r="BI14" i="38" s="1"/>
  <c r="AB14" i="38"/>
  <c r="AX14" i="38" s="1"/>
  <c r="AB8" i="38"/>
  <c r="AX8" i="38" s="1"/>
  <c r="AM8" i="38"/>
  <c r="BI8" i="38" s="1"/>
  <c r="AX22" i="40" l="1"/>
  <c r="AC22" i="40"/>
  <c r="AN22" i="40"/>
  <c r="BJ22" i="40" s="1"/>
  <c r="AC30" i="40"/>
  <c r="AX30" i="40"/>
  <c r="AN30" i="40"/>
  <c r="BJ30" i="40" s="1"/>
  <c r="AX46" i="40"/>
  <c r="AC46" i="40"/>
  <c r="AN46" i="40"/>
  <c r="BJ46" i="40" s="1"/>
  <c r="AX25" i="40"/>
  <c r="AC25" i="40"/>
  <c r="AN25" i="40"/>
  <c r="BJ25" i="40" s="1"/>
  <c r="AX2" i="40"/>
  <c r="AC2" i="40"/>
  <c r="AN2" i="40"/>
  <c r="BJ2" i="40" s="1"/>
  <c r="AX3" i="40"/>
  <c r="AC3" i="40"/>
  <c r="AN3" i="40"/>
  <c r="BJ3" i="40" s="1"/>
  <c r="AC28" i="40"/>
  <c r="AX28" i="40"/>
  <c r="AN28" i="40"/>
  <c r="BJ28" i="40" s="1"/>
  <c r="AX51" i="40"/>
  <c r="AC51" i="40"/>
  <c r="AN51" i="40"/>
  <c r="BJ51" i="40" s="1"/>
  <c r="AC17" i="40"/>
  <c r="AX17" i="40"/>
  <c r="AN17" i="40"/>
  <c r="BJ17" i="40" s="1"/>
  <c r="AX18" i="40"/>
  <c r="AC18" i="40"/>
  <c r="AN18" i="40"/>
  <c r="BJ18" i="40" s="1"/>
  <c r="AX11" i="40"/>
  <c r="AC11" i="40"/>
  <c r="AN11" i="40"/>
  <c r="BJ11" i="40" s="1"/>
  <c r="AX15" i="40"/>
  <c r="AC15" i="40"/>
  <c r="AN15" i="40"/>
  <c r="BJ15" i="40" s="1"/>
  <c r="AX41" i="40"/>
  <c r="AC41" i="40"/>
  <c r="AN41" i="40"/>
  <c r="BJ41" i="40" s="1"/>
  <c r="AX24" i="40"/>
  <c r="AC24" i="40"/>
  <c r="AN24" i="40"/>
  <c r="BJ24" i="40" s="1"/>
  <c r="AX52" i="40"/>
  <c r="AC52" i="40"/>
  <c r="AN52" i="40"/>
  <c r="BJ52" i="40" s="1"/>
  <c r="AC44" i="40"/>
  <c r="AX44" i="40"/>
  <c r="AN44" i="40"/>
  <c r="BJ44" i="40" s="1"/>
  <c r="AX38" i="40"/>
  <c r="AC38" i="40"/>
  <c r="AN38" i="40"/>
  <c r="BJ38" i="40" s="1"/>
  <c r="AX21" i="40"/>
  <c r="AC21" i="40"/>
  <c r="AN21" i="40"/>
  <c r="BJ21" i="40" s="1"/>
  <c r="AX16" i="40"/>
  <c r="AC16" i="40"/>
  <c r="AN16" i="40"/>
  <c r="BJ16" i="40" s="1"/>
  <c r="AX47" i="40"/>
  <c r="AC47" i="40"/>
  <c r="AN47" i="40"/>
  <c r="BJ47" i="40" s="1"/>
  <c r="AX36" i="40"/>
  <c r="AC36" i="40"/>
  <c r="AN36" i="40"/>
  <c r="BJ36" i="40" s="1"/>
  <c r="AC40" i="40"/>
  <c r="AX40" i="40"/>
  <c r="AN40" i="40"/>
  <c r="BJ40" i="40" s="1"/>
  <c r="AX45" i="40"/>
  <c r="AC45" i="40"/>
  <c r="AN45" i="40"/>
  <c r="BJ45" i="40" s="1"/>
  <c r="AX43" i="40"/>
  <c r="AC43" i="40"/>
  <c r="AN43" i="40"/>
  <c r="BJ43" i="40" s="1"/>
  <c r="AX50" i="40"/>
  <c r="AC50" i="40"/>
  <c r="AN50" i="40"/>
  <c r="BJ50" i="40" s="1"/>
  <c r="AC5" i="40"/>
  <c r="AX5" i="40"/>
  <c r="AN5" i="40"/>
  <c r="BJ5" i="40" s="1"/>
  <c r="AC37" i="40"/>
  <c r="AX37" i="40"/>
  <c r="AN37" i="40"/>
  <c r="BJ37" i="40" s="1"/>
  <c r="AC39" i="40"/>
  <c r="AX39" i="40"/>
  <c r="AN39" i="40"/>
  <c r="BJ39" i="40" s="1"/>
  <c r="AX35" i="40"/>
  <c r="AC35" i="40"/>
  <c r="AN35" i="40"/>
  <c r="BJ35" i="40" s="1"/>
  <c r="AX26" i="40"/>
  <c r="AC26" i="40"/>
  <c r="AN26" i="40"/>
  <c r="BJ26" i="40" s="1"/>
  <c r="AC23" i="40"/>
  <c r="AX23" i="40"/>
  <c r="AN23" i="40"/>
  <c r="BJ23" i="40" s="1"/>
  <c r="AC9" i="40"/>
  <c r="AX9" i="40"/>
  <c r="AN9" i="40"/>
  <c r="BJ9" i="40" s="1"/>
  <c r="AC31" i="40"/>
  <c r="AX31" i="40"/>
  <c r="AN31" i="40"/>
  <c r="BJ31" i="40" s="1"/>
  <c r="AC49" i="40"/>
  <c r="AX49" i="40"/>
  <c r="AN49" i="40"/>
  <c r="BJ49" i="40" s="1"/>
  <c r="AX14" i="40"/>
  <c r="AC14" i="40"/>
  <c r="AN14" i="40"/>
  <c r="BJ14" i="40" s="1"/>
  <c r="AC32" i="40"/>
  <c r="AX32" i="40"/>
  <c r="AN32" i="40"/>
  <c r="BJ32" i="40" s="1"/>
  <c r="AX10" i="40"/>
  <c r="AC10" i="40"/>
  <c r="AN10" i="40"/>
  <c r="BJ10" i="40" s="1"/>
  <c r="AC27" i="40"/>
  <c r="AX27" i="40"/>
  <c r="AN27" i="40"/>
  <c r="BJ27" i="40" s="1"/>
  <c r="AC48" i="40"/>
  <c r="AX48" i="40"/>
  <c r="AN48" i="40"/>
  <c r="BJ48" i="40" s="1"/>
  <c r="AX12" i="40"/>
  <c r="AC12" i="40"/>
  <c r="AN12" i="40"/>
  <c r="BJ12" i="40" s="1"/>
  <c r="AX7" i="40"/>
  <c r="AC7" i="40"/>
  <c r="AN7" i="40"/>
  <c r="BJ7" i="40" s="1"/>
  <c r="AC8" i="40"/>
  <c r="AX8" i="40"/>
  <c r="AN8" i="40"/>
  <c r="BJ8" i="40" s="1"/>
  <c r="AX13" i="40"/>
  <c r="AC13" i="40"/>
  <c r="AN13" i="40"/>
  <c r="BJ13" i="40" s="1"/>
  <c r="AC19" i="40"/>
  <c r="AX19" i="40"/>
  <c r="AN19" i="40"/>
  <c r="BJ19" i="40" s="1"/>
  <c r="AX42" i="40"/>
  <c r="AC42" i="40"/>
  <c r="AN42" i="40"/>
  <c r="BJ42" i="40" s="1"/>
  <c r="AX20" i="40"/>
  <c r="AC20" i="40"/>
  <c r="AN20" i="40"/>
  <c r="BJ20" i="40" s="1"/>
  <c r="AX6" i="40"/>
  <c r="AC6" i="40"/>
  <c r="AN6" i="40"/>
  <c r="BJ6" i="40" s="1"/>
  <c r="AC33" i="40"/>
  <c r="AX33" i="40"/>
  <c r="AN33" i="40"/>
  <c r="BJ33" i="40" s="1"/>
  <c r="AC29" i="40"/>
  <c r="AX29" i="40"/>
  <c r="AN29" i="40"/>
  <c r="BJ29" i="40" s="1"/>
  <c r="AC4" i="40"/>
  <c r="AX4" i="40"/>
  <c r="AN4" i="40"/>
  <c r="BJ4" i="40" s="1"/>
  <c r="AC34" i="40"/>
  <c r="AX34" i="40"/>
  <c r="AN34" i="40"/>
  <c r="BJ34" i="40" s="1"/>
  <c r="AC48" i="38"/>
  <c r="AY48" i="38" s="1"/>
  <c r="AN48" i="38"/>
  <c r="BJ48" i="38" s="1"/>
  <c r="AC16" i="38"/>
  <c r="AY16" i="38" s="1"/>
  <c r="AN16" i="38"/>
  <c r="BJ16" i="38" s="1"/>
  <c r="AN37" i="38"/>
  <c r="BJ37" i="38" s="1"/>
  <c r="AC37" i="38"/>
  <c r="AY37" i="38" s="1"/>
  <c r="AC42" i="38"/>
  <c r="AY42" i="38" s="1"/>
  <c r="AN42" i="38"/>
  <c r="BJ42" i="38" s="1"/>
  <c r="AC3" i="38"/>
  <c r="AY3" i="38" s="1"/>
  <c r="AN3" i="38"/>
  <c r="BJ3" i="38" s="1"/>
  <c r="AN27" i="38"/>
  <c r="BJ27" i="38" s="1"/>
  <c r="AC27" i="38"/>
  <c r="AY27" i="38" s="1"/>
  <c r="AC4" i="38"/>
  <c r="AY4" i="38" s="1"/>
  <c r="AN4" i="38"/>
  <c r="BJ4" i="38" s="1"/>
  <c r="AN31" i="38"/>
  <c r="BJ31" i="38" s="1"/>
  <c r="AC31" i="38"/>
  <c r="AY31" i="38" s="1"/>
  <c r="AC28" i="38"/>
  <c r="AY28" i="38" s="1"/>
  <c r="AN28" i="38"/>
  <c r="BJ28" i="38" s="1"/>
  <c r="AC26" i="38"/>
  <c r="AY26" i="38" s="1"/>
  <c r="AN26" i="38"/>
  <c r="BJ26" i="38" s="1"/>
  <c r="AC41" i="38"/>
  <c r="AY41" i="38" s="1"/>
  <c r="AN41" i="38"/>
  <c r="BJ41" i="38" s="1"/>
  <c r="AC29" i="38"/>
  <c r="AY29" i="38" s="1"/>
  <c r="AN29" i="38"/>
  <c r="BJ29" i="38" s="1"/>
  <c r="AN39" i="38"/>
  <c r="BJ39" i="38" s="1"/>
  <c r="AC39" i="38"/>
  <c r="AY39" i="38" s="1"/>
  <c r="AC15" i="38"/>
  <c r="AY15" i="38" s="1"/>
  <c r="AN15" i="38"/>
  <c r="BJ15" i="38" s="1"/>
  <c r="AC24" i="38"/>
  <c r="AY24" i="38" s="1"/>
  <c r="AN24" i="38"/>
  <c r="BJ24" i="38" s="1"/>
  <c r="AC46" i="38"/>
  <c r="AY46" i="38" s="1"/>
  <c r="AN46" i="38"/>
  <c r="BJ46" i="38" s="1"/>
  <c r="AC43" i="38"/>
  <c r="AY43" i="38" s="1"/>
  <c r="AN43" i="38"/>
  <c r="BJ43" i="38" s="1"/>
  <c r="AC49" i="38"/>
  <c r="AY49" i="38" s="1"/>
  <c r="AN49" i="38"/>
  <c r="BJ49" i="38" s="1"/>
  <c r="AC50" i="38"/>
  <c r="AY50" i="38" s="1"/>
  <c r="AN50" i="38"/>
  <c r="BJ50" i="38" s="1"/>
  <c r="AC7" i="38"/>
  <c r="AY7" i="38" s="1"/>
  <c r="AN7" i="38"/>
  <c r="BJ7" i="38" s="1"/>
  <c r="AN19" i="38"/>
  <c r="BJ19" i="38" s="1"/>
  <c r="AC19" i="38"/>
  <c r="AY19" i="38" s="1"/>
  <c r="AC44" i="38"/>
  <c r="AY44" i="38" s="1"/>
  <c r="AN44" i="38"/>
  <c r="BJ44" i="38" s="1"/>
  <c r="AC51" i="38"/>
  <c r="AY51" i="38" s="1"/>
  <c r="AN51" i="38"/>
  <c r="BJ51" i="38" s="1"/>
  <c r="AC6" i="38"/>
  <c r="AY6" i="38" s="1"/>
  <c r="AN6" i="38"/>
  <c r="BJ6" i="38" s="1"/>
  <c r="AC18" i="38"/>
  <c r="AY18" i="38" s="1"/>
  <c r="AN18" i="38"/>
  <c r="BJ18" i="38" s="1"/>
  <c r="AN35" i="38"/>
  <c r="BJ35" i="38" s="1"/>
  <c r="AC35" i="38"/>
  <c r="AY35" i="38" s="1"/>
  <c r="AX2" i="38"/>
  <c r="AC2" i="38"/>
  <c r="AN2" i="38"/>
  <c r="BJ2" i="38" s="1"/>
  <c r="AN17" i="38"/>
  <c r="BJ17" i="38" s="1"/>
  <c r="AC17" i="38"/>
  <c r="AY17" i="38" s="1"/>
  <c r="AC14" i="38"/>
  <c r="AY14" i="38" s="1"/>
  <c r="AN14" i="38"/>
  <c r="BJ14" i="38" s="1"/>
  <c r="AC10" i="38"/>
  <c r="AY10" i="38" s="1"/>
  <c r="AN10" i="38"/>
  <c r="BJ10" i="38" s="1"/>
  <c r="AC13" i="38"/>
  <c r="AY13" i="38" s="1"/>
  <c r="AN13" i="38"/>
  <c r="BJ13" i="38" s="1"/>
  <c r="AC34" i="38"/>
  <c r="AY34" i="38" s="1"/>
  <c r="AN34" i="38"/>
  <c r="BJ34" i="38" s="1"/>
  <c r="AC22" i="38"/>
  <c r="AY22" i="38" s="1"/>
  <c r="AN22" i="38"/>
  <c r="BJ22" i="38" s="1"/>
  <c r="AC38" i="38"/>
  <c r="AY38" i="38" s="1"/>
  <c r="AN38" i="38"/>
  <c r="BJ38" i="38" s="1"/>
  <c r="AC20" i="38"/>
  <c r="AY20" i="38" s="1"/>
  <c r="AN20" i="38"/>
  <c r="BJ20" i="38" s="1"/>
  <c r="AC30" i="38"/>
  <c r="AY30" i="38" s="1"/>
  <c r="AN30" i="38"/>
  <c r="BJ30" i="38" s="1"/>
  <c r="AC12" i="38"/>
  <c r="AY12" i="38" s="1"/>
  <c r="AN12" i="38"/>
  <c r="BJ12" i="38" s="1"/>
  <c r="AC11" i="38"/>
  <c r="AY11" i="38" s="1"/>
  <c r="AN11" i="38"/>
  <c r="BJ11" i="38" s="1"/>
  <c r="AC36" i="38"/>
  <c r="AY36" i="38" s="1"/>
  <c r="AN36" i="38"/>
  <c r="BJ36" i="38" s="1"/>
  <c r="AC32" i="38"/>
  <c r="AY32" i="38" s="1"/>
  <c r="AN32" i="38"/>
  <c r="BJ32" i="38" s="1"/>
  <c r="AN45" i="38"/>
  <c r="BJ45" i="38" s="1"/>
  <c r="AC45" i="38"/>
  <c r="AY45" i="38" s="1"/>
  <c r="AC8" i="38"/>
  <c r="AY8" i="38" s="1"/>
  <c r="AN8" i="38"/>
  <c r="BJ8" i="38" s="1"/>
  <c r="AC5" i="38"/>
  <c r="AY5" i="38" s="1"/>
  <c r="AN5" i="38"/>
  <c r="BJ5" i="38" s="1"/>
  <c r="AC9" i="38"/>
  <c r="AY9" i="38" s="1"/>
  <c r="AN9" i="38"/>
  <c r="BJ9" i="38" s="1"/>
  <c r="AN25" i="38"/>
  <c r="BJ25" i="38" s="1"/>
  <c r="AC25" i="38"/>
  <c r="AY25" i="38" s="1"/>
  <c r="AC21" i="38"/>
  <c r="AY21" i="38" s="1"/>
  <c r="AN21" i="38"/>
  <c r="BJ21" i="38" s="1"/>
  <c r="AC40" i="38"/>
  <c r="AY40" i="38" s="1"/>
  <c r="AN40" i="38"/>
  <c r="BJ40" i="38" s="1"/>
  <c r="AN47" i="38"/>
  <c r="BJ47" i="38" s="1"/>
  <c r="AC47" i="38"/>
  <c r="AY47" i="38" s="1"/>
  <c r="AN23" i="38"/>
  <c r="BJ23" i="38" s="1"/>
  <c r="AC23" i="38"/>
  <c r="AY23" i="38" s="1"/>
  <c r="AN33" i="38"/>
  <c r="BJ33" i="38" s="1"/>
  <c r="AC33" i="38"/>
  <c r="AY33" i="38" s="1"/>
  <c r="AD4" i="40" l="1"/>
  <c r="AY4" i="40"/>
  <c r="AO4" i="40"/>
  <c r="BK4" i="40" s="1"/>
  <c r="AD6" i="40"/>
  <c r="AY6" i="40"/>
  <c r="AO6" i="40"/>
  <c r="BK6" i="40" s="1"/>
  <c r="AY13" i="40"/>
  <c r="AD13" i="40"/>
  <c r="AO13" i="40"/>
  <c r="BK13" i="40" s="1"/>
  <c r="AY8" i="40"/>
  <c r="AD8" i="40"/>
  <c r="AO8" i="40"/>
  <c r="BK8" i="40" s="1"/>
  <c r="AY27" i="40"/>
  <c r="AD27" i="40"/>
  <c r="AO27" i="40"/>
  <c r="BK27" i="40" s="1"/>
  <c r="AD14" i="40"/>
  <c r="AY14" i="40"/>
  <c r="AO14" i="40"/>
  <c r="BK14" i="40" s="1"/>
  <c r="AY49" i="40"/>
  <c r="AD49" i="40"/>
  <c r="AO49" i="40"/>
  <c r="BK49" i="40" s="1"/>
  <c r="AD5" i="40"/>
  <c r="AY5" i="40"/>
  <c r="AO5" i="40"/>
  <c r="BK5" i="40" s="1"/>
  <c r="AY45" i="40"/>
  <c r="AD45" i="40"/>
  <c r="AO45" i="40"/>
  <c r="BK45" i="40" s="1"/>
  <c r="AD40" i="40"/>
  <c r="AY40" i="40"/>
  <c r="AO40" i="40"/>
  <c r="BK40" i="40" s="1"/>
  <c r="AD16" i="40"/>
  <c r="AY16" i="40"/>
  <c r="AO16" i="40"/>
  <c r="BK16" i="40" s="1"/>
  <c r="AD52" i="40"/>
  <c r="AY52" i="40"/>
  <c r="AO52" i="40"/>
  <c r="BK52" i="40" s="1"/>
  <c r="AY11" i="40"/>
  <c r="AD11" i="40"/>
  <c r="AO11" i="40"/>
  <c r="BK11" i="40" s="1"/>
  <c r="AD46" i="40"/>
  <c r="AY46" i="40"/>
  <c r="AO46" i="40"/>
  <c r="BK46" i="40" s="1"/>
  <c r="AD30" i="40"/>
  <c r="AY30" i="40"/>
  <c r="AO30" i="40"/>
  <c r="BK30" i="40" s="1"/>
  <c r="AD34" i="40"/>
  <c r="AY34" i="40"/>
  <c r="AO34" i="40"/>
  <c r="BK34" i="40" s="1"/>
  <c r="AD12" i="40"/>
  <c r="AY12" i="40"/>
  <c r="AO12" i="40"/>
  <c r="BK12" i="40" s="1"/>
  <c r="AD48" i="40"/>
  <c r="AY48" i="40"/>
  <c r="AO48" i="40"/>
  <c r="BK48" i="40" s="1"/>
  <c r="AD23" i="40"/>
  <c r="AY23" i="40"/>
  <c r="AO23" i="40"/>
  <c r="BK23" i="40" s="1"/>
  <c r="AD37" i="40"/>
  <c r="AY37" i="40"/>
  <c r="AO37" i="40"/>
  <c r="BK37" i="40" s="1"/>
  <c r="AD43" i="40"/>
  <c r="AY43" i="40"/>
  <c r="AO43" i="40"/>
  <c r="BK43" i="40" s="1"/>
  <c r="AY47" i="40"/>
  <c r="AD47" i="40"/>
  <c r="AO47" i="40"/>
  <c r="BK47" i="40" s="1"/>
  <c r="AD15" i="40"/>
  <c r="AY15" i="40"/>
  <c r="AO15" i="40"/>
  <c r="BK15" i="40" s="1"/>
  <c r="AD51" i="40"/>
  <c r="AY51" i="40"/>
  <c r="AO51" i="40"/>
  <c r="BK51" i="40" s="1"/>
  <c r="AD28" i="40"/>
  <c r="AY28" i="40"/>
  <c r="AO28" i="40"/>
  <c r="BK28" i="40" s="1"/>
  <c r="AD25" i="40"/>
  <c r="AY25" i="40"/>
  <c r="AO25" i="40"/>
  <c r="BK25" i="40" s="1"/>
  <c r="AD33" i="40"/>
  <c r="AY33" i="40"/>
  <c r="AO33" i="40"/>
  <c r="BK33" i="40" s="1"/>
  <c r="AY42" i="40"/>
  <c r="AD42" i="40"/>
  <c r="AO42" i="40"/>
  <c r="BK42" i="40" s="1"/>
  <c r="AY19" i="40"/>
  <c r="AD19" i="40"/>
  <c r="AO19" i="40"/>
  <c r="BK19" i="40" s="1"/>
  <c r="AY7" i="40"/>
  <c r="AD7" i="40"/>
  <c r="AO7" i="40"/>
  <c r="BK7" i="40" s="1"/>
  <c r="AD10" i="40"/>
  <c r="AY10" i="40"/>
  <c r="AO10" i="40"/>
  <c r="BK10" i="40" s="1"/>
  <c r="AY32" i="40"/>
  <c r="AD32" i="40"/>
  <c r="AO32" i="40"/>
  <c r="BK32" i="40" s="1"/>
  <c r="AD9" i="40"/>
  <c r="AY9" i="40"/>
  <c r="AO9" i="40"/>
  <c r="BK9" i="40" s="1"/>
  <c r="AD35" i="40"/>
  <c r="AY35" i="40"/>
  <c r="AO35" i="40"/>
  <c r="BK35" i="40" s="1"/>
  <c r="AY39" i="40"/>
  <c r="AD39" i="40"/>
  <c r="AO39" i="40"/>
  <c r="BK39" i="40" s="1"/>
  <c r="AY50" i="40"/>
  <c r="AD50" i="40"/>
  <c r="AO50" i="40"/>
  <c r="BK50" i="40" s="1"/>
  <c r="AY36" i="40"/>
  <c r="AD36" i="40"/>
  <c r="AO36" i="40"/>
  <c r="BK36" i="40" s="1"/>
  <c r="AD38" i="40"/>
  <c r="AY38" i="40"/>
  <c r="AO38" i="40"/>
  <c r="BK38" i="40" s="1"/>
  <c r="AY44" i="40"/>
  <c r="AD44" i="40"/>
  <c r="AO44" i="40"/>
  <c r="BK44" i="40" s="1"/>
  <c r="AD41" i="40"/>
  <c r="AY41" i="40"/>
  <c r="AO41" i="40"/>
  <c r="BK41" i="40" s="1"/>
  <c r="AY2" i="40"/>
  <c r="AD2" i="40"/>
  <c r="AO2" i="40"/>
  <c r="BK2" i="40" s="1"/>
  <c r="AD22" i="40"/>
  <c r="AY22" i="40"/>
  <c r="AO22" i="40"/>
  <c r="BK22" i="40" s="1"/>
  <c r="AY29" i="40"/>
  <c r="AD29" i="40"/>
  <c r="AO29" i="40"/>
  <c r="BK29" i="40" s="1"/>
  <c r="AD20" i="40"/>
  <c r="AY20" i="40"/>
  <c r="AO20" i="40"/>
  <c r="BK20" i="40" s="1"/>
  <c r="AY31" i="40"/>
  <c r="AD31" i="40"/>
  <c r="AO31" i="40"/>
  <c r="BK31" i="40" s="1"/>
  <c r="AY26" i="40"/>
  <c r="AD26" i="40"/>
  <c r="AO26" i="40"/>
  <c r="BK26" i="40" s="1"/>
  <c r="AY21" i="40"/>
  <c r="AD21" i="40"/>
  <c r="AO21" i="40"/>
  <c r="BK21" i="40" s="1"/>
  <c r="AD24" i="40"/>
  <c r="AY24" i="40"/>
  <c r="AO24" i="40"/>
  <c r="BK24" i="40" s="1"/>
  <c r="AD18" i="40"/>
  <c r="AY18" i="40"/>
  <c r="AO18" i="40"/>
  <c r="BK18" i="40" s="1"/>
  <c r="AD17" i="40"/>
  <c r="AY17" i="40"/>
  <c r="AO17" i="40"/>
  <c r="BK17" i="40" s="1"/>
  <c r="AY3" i="40"/>
  <c r="AD3" i="40"/>
  <c r="AO3" i="40"/>
  <c r="BK3" i="40" s="1"/>
  <c r="AD10" i="38"/>
  <c r="AZ10" i="38" s="1"/>
  <c r="AO10" i="38"/>
  <c r="BK10" i="38" s="1"/>
  <c r="AD8" i="38"/>
  <c r="AZ8" i="38" s="1"/>
  <c r="AO8" i="38"/>
  <c r="BK8" i="38" s="1"/>
  <c r="AD11" i="38"/>
  <c r="AZ11" i="38" s="1"/>
  <c r="AO11" i="38"/>
  <c r="BK11" i="38" s="1"/>
  <c r="AO38" i="38"/>
  <c r="BK38" i="38" s="1"/>
  <c r="AD38" i="38"/>
  <c r="AZ38" i="38" s="1"/>
  <c r="AO17" i="38"/>
  <c r="BK17" i="38" s="1"/>
  <c r="AD17" i="38"/>
  <c r="AZ17" i="38" s="1"/>
  <c r="AD2" i="38"/>
  <c r="AY2" i="38"/>
  <c r="AO2" i="38"/>
  <c r="BK2" i="38" s="1"/>
  <c r="AD44" i="38"/>
  <c r="AZ44" i="38" s="1"/>
  <c r="AO44" i="38"/>
  <c r="BK44" i="38" s="1"/>
  <c r="AD49" i="38"/>
  <c r="AZ49" i="38" s="1"/>
  <c r="AO49" i="38"/>
  <c r="BK49" i="38" s="1"/>
  <c r="AO15" i="38"/>
  <c r="BK15" i="38" s="1"/>
  <c r="AD15" i="38"/>
  <c r="AZ15" i="38" s="1"/>
  <c r="AD26" i="38"/>
  <c r="AZ26" i="38" s="1"/>
  <c r="AO26" i="38"/>
  <c r="BK26" i="38" s="1"/>
  <c r="AD31" i="38"/>
  <c r="AZ31" i="38" s="1"/>
  <c r="AO31" i="38"/>
  <c r="BK31" i="38" s="1"/>
  <c r="AD4" i="38"/>
  <c r="AZ4" i="38" s="1"/>
  <c r="AO4" i="38"/>
  <c r="BK4" i="38" s="1"/>
  <c r="AD16" i="38"/>
  <c r="AZ16" i="38" s="1"/>
  <c r="AO16" i="38"/>
  <c r="BK16" i="38" s="1"/>
  <c r="AD47" i="38"/>
  <c r="AZ47" i="38" s="1"/>
  <c r="AO47" i="38"/>
  <c r="BK47" i="38" s="1"/>
  <c r="AD21" i="38"/>
  <c r="AZ21" i="38" s="1"/>
  <c r="AO21" i="38"/>
  <c r="BK21" i="38" s="1"/>
  <c r="AD5" i="38"/>
  <c r="AZ5" i="38" s="1"/>
  <c r="AO5" i="38"/>
  <c r="BK5" i="38" s="1"/>
  <c r="AD20" i="38"/>
  <c r="AZ20" i="38" s="1"/>
  <c r="AO20" i="38"/>
  <c r="BK20" i="38" s="1"/>
  <c r="AD13" i="38"/>
  <c r="AZ13" i="38" s="1"/>
  <c r="AO13" i="38"/>
  <c r="BK13" i="38" s="1"/>
  <c r="AD6" i="38"/>
  <c r="AZ6" i="38" s="1"/>
  <c r="AO6" i="38"/>
  <c r="BK6" i="38" s="1"/>
  <c r="AD51" i="38"/>
  <c r="AZ51" i="38" s="1"/>
  <c r="AO51" i="38"/>
  <c r="BK51" i="38" s="1"/>
  <c r="AO19" i="38"/>
  <c r="BK19" i="38" s="1"/>
  <c r="AD19" i="38"/>
  <c r="AZ19" i="38" s="1"/>
  <c r="AD7" i="38"/>
  <c r="AZ7" i="38" s="1"/>
  <c r="AO7" i="38"/>
  <c r="BK7" i="38" s="1"/>
  <c r="AD50" i="38"/>
  <c r="AZ50" i="38" s="1"/>
  <c r="AO50" i="38"/>
  <c r="BK50" i="38" s="1"/>
  <c r="AD24" i="38"/>
  <c r="AZ24" i="38" s="1"/>
  <c r="AO24" i="38"/>
  <c r="BK24" i="38" s="1"/>
  <c r="AD39" i="38"/>
  <c r="AZ39" i="38" s="1"/>
  <c r="AO39" i="38"/>
  <c r="BK39" i="38" s="1"/>
  <c r="AD41" i="38"/>
  <c r="AZ41" i="38" s="1"/>
  <c r="AO41" i="38"/>
  <c r="BK41" i="38" s="1"/>
  <c r="AD22" i="38"/>
  <c r="AZ22" i="38" s="1"/>
  <c r="AO22" i="38"/>
  <c r="BK22" i="38" s="1"/>
  <c r="AD23" i="38"/>
  <c r="AZ23" i="38" s="1"/>
  <c r="AO23" i="38"/>
  <c r="BK23" i="38" s="1"/>
  <c r="AD40" i="38"/>
  <c r="AZ40" i="38" s="1"/>
  <c r="AO40" i="38"/>
  <c r="BK40" i="38" s="1"/>
  <c r="AO25" i="38"/>
  <c r="BK25" i="38" s="1"/>
  <c r="AD25" i="38"/>
  <c r="AZ25" i="38" s="1"/>
  <c r="AD9" i="38"/>
  <c r="AZ9" i="38" s="1"/>
  <c r="AO9" i="38"/>
  <c r="BK9" i="38" s="1"/>
  <c r="AO45" i="38"/>
  <c r="BK45" i="38" s="1"/>
  <c r="AD45" i="38"/>
  <c r="AZ45" i="38" s="1"/>
  <c r="AD36" i="38"/>
  <c r="AZ36" i="38" s="1"/>
  <c r="AO36" i="38"/>
  <c r="BK36" i="38" s="1"/>
  <c r="AD12" i="38"/>
  <c r="AZ12" i="38" s="1"/>
  <c r="AO12" i="38"/>
  <c r="BK12" i="38" s="1"/>
  <c r="AD30" i="38"/>
  <c r="AZ30" i="38" s="1"/>
  <c r="AO30" i="38"/>
  <c r="BK30" i="38" s="1"/>
  <c r="AD34" i="38"/>
  <c r="AZ34" i="38" s="1"/>
  <c r="AO34" i="38"/>
  <c r="BK34" i="38" s="1"/>
  <c r="AO35" i="38"/>
  <c r="BK35" i="38" s="1"/>
  <c r="AD35" i="38"/>
  <c r="AZ35" i="38" s="1"/>
  <c r="AO46" i="38"/>
  <c r="BK46" i="38" s="1"/>
  <c r="AD46" i="38"/>
  <c r="AZ46" i="38" s="1"/>
  <c r="AD29" i="38"/>
  <c r="AZ29" i="38" s="1"/>
  <c r="AO29" i="38"/>
  <c r="BK29" i="38" s="1"/>
  <c r="AO27" i="38"/>
  <c r="BK27" i="38" s="1"/>
  <c r="AD27" i="38"/>
  <c r="AZ27" i="38" s="1"/>
  <c r="AD3" i="38"/>
  <c r="AZ3" i="38" s="1"/>
  <c r="AO3" i="38"/>
  <c r="BK3" i="38" s="1"/>
  <c r="AD42" i="38"/>
  <c r="AZ42" i="38" s="1"/>
  <c r="AO42" i="38"/>
  <c r="BK42" i="38" s="1"/>
  <c r="AO33" i="38"/>
  <c r="BK33" i="38" s="1"/>
  <c r="AD33" i="38"/>
  <c r="AZ33" i="38" s="1"/>
  <c r="AD32" i="38"/>
  <c r="AZ32" i="38" s="1"/>
  <c r="AO32" i="38"/>
  <c r="BK32" i="38" s="1"/>
  <c r="AD14" i="38"/>
  <c r="AZ14" i="38" s="1"/>
  <c r="AO14" i="38"/>
  <c r="BK14" i="38" s="1"/>
  <c r="AD18" i="38"/>
  <c r="AZ18" i="38" s="1"/>
  <c r="AO18" i="38"/>
  <c r="BK18" i="38" s="1"/>
  <c r="AD43" i="38"/>
  <c r="AZ43" i="38" s="1"/>
  <c r="AO43" i="38"/>
  <c r="BK43" i="38" s="1"/>
  <c r="AD28" i="38"/>
  <c r="AZ28" i="38" s="1"/>
  <c r="AO28" i="38"/>
  <c r="BK28" i="38" s="1"/>
  <c r="AO37" i="38"/>
  <c r="BK37" i="38" s="1"/>
  <c r="AD37" i="38"/>
  <c r="AZ37" i="38" s="1"/>
  <c r="AD48" i="38"/>
  <c r="AZ48" i="38" s="1"/>
  <c r="AO48" i="38"/>
  <c r="BK48" i="38" s="1"/>
  <c r="AE3" i="40" l="1"/>
  <c r="AZ3" i="40"/>
  <c r="AP3" i="40"/>
  <c r="BL3" i="40" s="1"/>
  <c r="AE17" i="40"/>
  <c r="AZ17" i="40"/>
  <c r="AP17" i="40"/>
  <c r="BL17" i="40" s="1"/>
  <c r="AE21" i="40"/>
  <c r="AZ21" i="40"/>
  <c r="AP21" i="40"/>
  <c r="BL21" i="40" s="1"/>
  <c r="AE29" i="40"/>
  <c r="AZ29" i="40"/>
  <c r="AP29" i="40"/>
  <c r="BL29" i="40" s="1"/>
  <c r="AE22" i="40"/>
  <c r="AZ22" i="40"/>
  <c r="AP22" i="40"/>
  <c r="BL22" i="40" s="1"/>
  <c r="AE44" i="40"/>
  <c r="AZ44" i="40"/>
  <c r="AP44" i="40"/>
  <c r="BL44" i="40" s="1"/>
  <c r="AZ38" i="40"/>
  <c r="AE38" i="40"/>
  <c r="AP38" i="40"/>
  <c r="BL38" i="40" s="1"/>
  <c r="AE39" i="40"/>
  <c r="AZ39" i="40"/>
  <c r="AP39" i="40"/>
  <c r="BL39" i="40" s="1"/>
  <c r="AZ35" i="40"/>
  <c r="AE35" i="40"/>
  <c r="AP35" i="40"/>
  <c r="BL35" i="40" s="1"/>
  <c r="AE25" i="40"/>
  <c r="AZ25" i="40"/>
  <c r="AP25" i="40"/>
  <c r="BL25" i="40" s="1"/>
  <c r="AZ48" i="40"/>
  <c r="AE48" i="40"/>
  <c r="AP48" i="40"/>
  <c r="BL48" i="40" s="1"/>
  <c r="AZ46" i="40"/>
  <c r="AE46" i="40"/>
  <c r="AP46" i="40"/>
  <c r="BL46" i="40" s="1"/>
  <c r="AZ40" i="40"/>
  <c r="AE40" i="40"/>
  <c r="AP40" i="40"/>
  <c r="BL40" i="40" s="1"/>
  <c r="AZ49" i="40"/>
  <c r="AE49" i="40"/>
  <c r="AP49" i="40"/>
  <c r="BL49" i="40" s="1"/>
  <c r="AZ14" i="40"/>
  <c r="AE14" i="40"/>
  <c r="AP14" i="40"/>
  <c r="BL14" i="40" s="1"/>
  <c r="AE13" i="40"/>
  <c r="AZ13" i="40"/>
  <c r="AP13" i="40"/>
  <c r="BL13" i="40" s="1"/>
  <c r="AE6" i="40"/>
  <c r="AZ6" i="40"/>
  <c r="AP6" i="40"/>
  <c r="BL6" i="40" s="1"/>
  <c r="AE50" i="40"/>
  <c r="AZ50" i="40"/>
  <c r="AP50" i="40"/>
  <c r="BL50" i="40" s="1"/>
  <c r="AZ32" i="40"/>
  <c r="AE32" i="40"/>
  <c r="AP32" i="40"/>
  <c r="BL32" i="40" s="1"/>
  <c r="AZ10" i="40"/>
  <c r="AE10" i="40"/>
  <c r="AP10" i="40"/>
  <c r="BL10" i="40" s="1"/>
  <c r="AZ42" i="40"/>
  <c r="AE42" i="40"/>
  <c r="AP42" i="40"/>
  <c r="BL42" i="40" s="1"/>
  <c r="AE33" i="40"/>
  <c r="AZ33" i="40"/>
  <c r="AP33" i="40"/>
  <c r="BL33" i="40" s="1"/>
  <c r="AE15" i="40"/>
  <c r="AZ15" i="40"/>
  <c r="AP15" i="40"/>
  <c r="BL15" i="40" s="1"/>
  <c r="AE23" i="40"/>
  <c r="AZ23" i="40"/>
  <c r="AP23" i="40"/>
  <c r="BL23" i="40" s="1"/>
  <c r="AZ30" i="40"/>
  <c r="AE30" i="40"/>
  <c r="AP30" i="40"/>
  <c r="BL30" i="40" s="1"/>
  <c r="AZ16" i="40"/>
  <c r="AE16" i="40"/>
  <c r="AP16" i="40"/>
  <c r="BL16" i="40" s="1"/>
  <c r="AZ8" i="40"/>
  <c r="AE8" i="40"/>
  <c r="AP8" i="40"/>
  <c r="BL8" i="40" s="1"/>
  <c r="AZ24" i="40"/>
  <c r="AE24" i="40"/>
  <c r="AP24" i="40"/>
  <c r="BL24" i="40" s="1"/>
  <c r="AZ31" i="40"/>
  <c r="AE31" i="40"/>
  <c r="AP31" i="40"/>
  <c r="BL31" i="40" s="1"/>
  <c r="AZ20" i="40"/>
  <c r="AE20" i="40"/>
  <c r="AP20" i="40"/>
  <c r="BL20" i="40" s="1"/>
  <c r="AE2" i="40"/>
  <c r="AZ2" i="40"/>
  <c r="AP2" i="40"/>
  <c r="BL2" i="40" s="1"/>
  <c r="AE41" i="40"/>
  <c r="AZ41" i="40"/>
  <c r="AP41" i="40"/>
  <c r="BL41" i="40" s="1"/>
  <c r="AZ36" i="40"/>
  <c r="AE36" i="40"/>
  <c r="AP36" i="40"/>
  <c r="BL36" i="40" s="1"/>
  <c r="AE19" i="40"/>
  <c r="AZ19" i="40"/>
  <c r="AP19" i="40"/>
  <c r="BL19" i="40" s="1"/>
  <c r="AE51" i="40"/>
  <c r="AZ51" i="40"/>
  <c r="AP51" i="40"/>
  <c r="BL51" i="40" s="1"/>
  <c r="AE37" i="40"/>
  <c r="AZ37" i="40"/>
  <c r="AP37" i="40"/>
  <c r="BL37" i="40" s="1"/>
  <c r="AE34" i="40"/>
  <c r="AZ34" i="40"/>
  <c r="AP34" i="40"/>
  <c r="BL34" i="40" s="1"/>
  <c r="AZ11" i="40"/>
  <c r="AE11" i="40"/>
  <c r="AP11" i="40"/>
  <c r="BL11" i="40" s="1"/>
  <c r="AE52" i="40"/>
  <c r="AZ52" i="40"/>
  <c r="AP52" i="40"/>
  <c r="BL52" i="40" s="1"/>
  <c r="AE45" i="40"/>
  <c r="AZ45" i="40"/>
  <c r="AP45" i="40"/>
  <c r="BL45" i="40" s="1"/>
  <c r="AE5" i="40"/>
  <c r="AZ5" i="40"/>
  <c r="AP5" i="40"/>
  <c r="BL5" i="40" s="1"/>
  <c r="AE27" i="40"/>
  <c r="AZ27" i="40"/>
  <c r="AP27" i="40"/>
  <c r="BL27" i="40" s="1"/>
  <c r="AE18" i="40"/>
  <c r="AZ18" i="40"/>
  <c r="AP18" i="40"/>
  <c r="BL18" i="40" s="1"/>
  <c r="AE26" i="40"/>
  <c r="AZ26" i="40"/>
  <c r="AP26" i="40"/>
  <c r="BL26" i="40" s="1"/>
  <c r="AE9" i="40"/>
  <c r="AZ9" i="40"/>
  <c r="AP9" i="40"/>
  <c r="BL9" i="40" s="1"/>
  <c r="AE7" i="40"/>
  <c r="AZ7" i="40"/>
  <c r="AP7" i="40"/>
  <c r="BL7" i="40" s="1"/>
  <c r="AZ28" i="40"/>
  <c r="AE28" i="40"/>
  <c r="AP28" i="40"/>
  <c r="BL28" i="40" s="1"/>
  <c r="AE47" i="40"/>
  <c r="AZ47" i="40"/>
  <c r="AP47" i="40"/>
  <c r="BL47" i="40" s="1"/>
  <c r="AZ43" i="40"/>
  <c r="AE43" i="40"/>
  <c r="AP43" i="40"/>
  <c r="BL43" i="40" s="1"/>
  <c r="AE12" i="40"/>
  <c r="AZ12" i="40"/>
  <c r="AP12" i="40"/>
  <c r="BL12" i="40" s="1"/>
  <c r="AZ4" i="40"/>
  <c r="AE4" i="40"/>
  <c r="AP4" i="40"/>
  <c r="BL4" i="40" s="1"/>
  <c r="AP34" i="38"/>
  <c r="BL34" i="38" s="1"/>
  <c r="AE34" i="38"/>
  <c r="AE25" i="38"/>
  <c r="AP25" i="38"/>
  <c r="BL25" i="38" s="1"/>
  <c r="AE14" i="38"/>
  <c r="AP14" i="38"/>
  <c r="BL14" i="38" s="1"/>
  <c r="AE33" i="38"/>
  <c r="AP33" i="38"/>
  <c r="BL33" i="38" s="1"/>
  <c r="AE12" i="38"/>
  <c r="AP12" i="38"/>
  <c r="BL12" i="38" s="1"/>
  <c r="AE36" i="38"/>
  <c r="AP36" i="38"/>
  <c r="BL36" i="38" s="1"/>
  <c r="AE40" i="38"/>
  <c r="AP40" i="38"/>
  <c r="BL40" i="38" s="1"/>
  <c r="AE39" i="38"/>
  <c r="AP39" i="38"/>
  <c r="BL39" i="38" s="1"/>
  <c r="AE7" i="38"/>
  <c r="AP7" i="38"/>
  <c r="BL7" i="38" s="1"/>
  <c r="AP20" i="38"/>
  <c r="BL20" i="38" s="1"/>
  <c r="AE20" i="38"/>
  <c r="AE16" i="38"/>
  <c r="AP16" i="38"/>
  <c r="BL16" i="38" s="1"/>
  <c r="AE11" i="38"/>
  <c r="AP11" i="38"/>
  <c r="BL11" i="38" s="1"/>
  <c r="AE48" i="38"/>
  <c r="AP48" i="38"/>
  <c r="BL48" i="38" s="1"/>
  <c r="AP18" i="38"/>
  <c r="BL18" i="38" s="1"/>
  <c r="AE18" i="38"/>
  <c r="AE42" i="38"/>
  <c r="AP42" i="38"/>
  <c r="BL42" i="38" s="1"/>
  <c r="AE27" i="38"/>
  <c r="AP27" i="38"/>
  <c r="BL27" i="38" s="1"/>
  <c r="AE45" i="38"/>
  <c r="AP45" i="38"/>
  <c r="BL45" i="38" s="1"/>
  <c r="AE9" i="38"/>
  <c r="AP9" i="38"/>
  <c r="BL9" i="38" s="1"/>
  <c r="AE41" i="38"/>
  <c r="AP41" i="38"/>
  <c r="BL41" i="38" s="1"/>
  <c r="AE6" i="38"/>
  <c r="AP6" i="38"/>
  <c r="BL6" i="38" s="1"/>
  <c r="AE13" i="38"/>
  <c r="AP13" i="38"/>
  <c r="BL13" i="38" s="1"/>
  <c r="AE47" i="38"/>
  <c r="AP47" i="38"/>
  <c r="BL47" i="38" s="1"/>
  <c r="AP26" i="38"/>
  <c r="BL26" i="38" s="1"/>
  <c r="AE26" i="38"/>
  <c r="AZ2" i="38"/>
  <c r="AE2" i="38"/>
  <c r="AP2" i="38"/>
  <c r="BL2" i="38" s="1"/>
  <c r="AE38" i="38"/>
  <c r="AP38" i="38"/>
  <c r="BL38" i="38" s="1"/>
  <c r="AE32" i="38"/>
  <c r="AP32" i="38"/>
  <c r="BL32" i="38" s="1"/>
  <c r="AE46" i="38"/>
  <c r="AP46" i="38"/>
  <c r="BL46" i="38" s="1"/>
  <c r="AE23" i="38"/>
  <c r="AP23" i="38"/>
  <c r="BL23" i="38" s="1"/>
  <c r="AE37" i="38"/>
  <c r="AP37" i="38"/>
  <c r="BL37" i="38" s="1"/>
  <c r="AE43" i="38"/>
  <c r="AP43" i="38"/>
  <c r="BL43" i="38" s="1"/>
  <c r="AE29" i="38"/>
  <c r="AP29" i="38"/>
  <c r="BL29" i="38" s="1"/>
  <c r="AE35" i="38"/>
  <c r="AP35" i="38"/>
  <c r="BL35" i="38" s="1"/>
  <c r="AE30" i="38"/>
  <c r="AP30" i="38"/>
  <c r="BL30" i="38" s="1"/>
  <c r="AE22" i="38"/>
  <c r="AP22" i="38"/>
  <c r="BL22" i="38" s="1"/>
  <c r="AE50" i="38"/>
  <c r="AP50" i="38"/>
  <c r="BL50" i="38" s="1"/>
  <c r="AE19" i="38"/>
  <c r="AP19" i="38"/>
  <c r="BL19" i="38" s="1"/>
  <c r="AE5" i="38"/>
  <c r="AP5" i="38"/>
  <c r="BL5" i="38" s="1"/>
  <c r="AE21" i="38"/>
  <c r="AP21" i="38"/>
  <c r="BL21" i="38" s="1"/>
  <c r="AE31" i="38"/>
  <c r="AP31" i="38"/>
  <c r="BL31" i="38" s="1"/>
  <c r="AE15" i="38"/>
  <c r="AP15" i="38"/>
  <c r="BL15" i="38" s="1"/>
  <c r="AE44" i="38"/>
  <c r="AP44" i="38"/>
  <c r="BL44" i="38" s="1"/>
  <c r="AE17" i="38"/>
  <c r="AP17" i="38"/>
  <c r="BL17" i="38" s="1"/>
  <c r="AE10" i="38"/>
  <c r="AP10" i="38"/>
  <c r="BL10" i="38" s="1"/>
  <c r="AP28" i="38"/>
  <c r="BL28" i="38" s="1"/>
  <c r="AE28" i="38"/>
  <c r="AE3" i="38"/>
  <c r="AP3" i="38"/>
  <c r="BL3" i="38" s="1"/>
  <c r="AE24" i="38"/>
  <c r="AP24" i="38"/>
  <c r="BL24" i="38" s="1"/>
  <c r="AE51" i="38"/>
  <c r="AP51" i="38"/>
  <c r="BL51" i="38" s="1"/>
  <c r="AE4" i="38"/>
  <c r="AP4" i="38"/>
  <c r="BL4" i="38" s="1"/>
  <c r="AE49" i="38"/>
  <c r="AP49" i="38"/>
  <c r="BL49" i="38" s="1"/>
  <c r="AE8" i="38"/>
  <c r="AP8" i="38"/>
  <c r="BL8" i="38" s="1"/>
  <c r="AF4" i="40" l="1"/>
  <c r="BB4" i="40" s="1"/>
  <c r="BA4" i="40"/>
  <c r="AQ4" i="40"/>
  <c r="BM4" i="40" s="1"/>
  <c r="BA12" i="40"/>
  <c r="AF12" i="40"/>
  <c r="BB12" i="40" s="1"/>
  <c r="AQ12" i="40"/>
  <c r="BM12" i="40" s="1"/>
  <c r="AF28" i="40"/>
  <c r="BB28" i="40" s="1"/>
  <c r="BA28" i="40"/>
  <c r="AQ28" i="40"/>
  <c r="BM28" i="40" s="1"/>
  <c r="AF7" i="40"/>
  <c r="BB7" i="40" s="1"/>
  <c r="BA7" i="40"/>
  <c r="AQ7" i="40"/>
  <c r="BM7" i="40" s="1"/>
  <c r="AF27" i="40"/>
  <c r="BB27" i="40" s="1"/>
  <c r="BA27" i="40"/>
  <c r="AQ27" i="40"/>
  <c r="BM27" i="40" s="1"/>
  <c r="BA19" i="40"/>
  <c r="AF19" i="40"/>
  <c r="BB19" i="40" s="1"/>
  <c r="AQ19" i="40"/>
  <c r="BM19" i="40" s="1"/>
  <c r="AF8" i="40"/>
  <c r="BB8" i="40" s="1"/>
  <c r="BA8" i="40"/>
  <c r="AQ8" i="40"/>
  <c r="BM8" i="40" s="1"/>
  <c r="BA33" i="40"/>
  <c r="AF33" i="40"/>
  <c r="BB33" i="40" s="1"/>
  <c r="AQ33" i="40"/>
  <c r="BM33" i="40" s="1"/>
  <c r="BA32" i="40"/>
  <c r="AF32" i="40"/>
  <c r="BB32" i="40" s="1"/>
  <c r="AQ32" i="40"/>
  <c r="BM32" i="40" s="1"/>
  <c r="BA50" i="40"/>
  <c r="AF50" i="40"/>
  <c r="BB50" i="40" s="1"/>
  <c r="AQ50" i="40"/>
  <c r="BM50" i="40" s="1"/>
  <c r="AF14" i="40"/>
  <c r="BB14" i="40" s="1"/>
  <c r="BA14" i="40"/>
  <c r="AQ14" i="40"/>
  <c r="BM14" i="40" s="1"/>
  <c r="BA48" i="40"/>
  <c r="AF48" i="40"/>
  <c r="BB48" i="40" s="1"/>
  <c r="AQ48" i="40"/>
  <c r="BM48" i="40" s="1"/>
  <c r="BA25" i="40"/>
  <c r="AF25" i="40"/>
  <c r="BB25" i="40" s="1"/>
  <c r="AQ25" i="40"/>
  <c r="BM25" i="40" s="1"/>
  <c r="AF38" i="40"/>
  <c r="BB38" i="40" s="1"/>
  <c r="BA38" i="40"/>
  <c r="AQ38" i="40"/>
  <c r="BM38" i="40" s="1"/>
  <c r="AF44" i="40"/>
  <c r="BB44" i="40" s="1"/>
  <c r="BA44" i="40"/>
  <c r="AQ44" i="40"/>
  <c r="BM44" i="40" s="1"/>
  <c r="BA17" i="40"/>
  <c r="AF17" i="40"/>
  <c r="BB17" i="40" s="1"/>
  <c r="AQ17" i="40"/>
  <c r="BM17" i="40" s="1"/>
  <c r="BA18" i="40"/>
  <c r="AF18" i="40"/>
  <c r="BB18" i="40" s="1"/>
  <c r="AQ18" i="40"/>
  <c r="BM18" i="40" s="1"/>
  <c r="AF52" i="40"/>
  <c r="BB52" i="40" s="1"/>
  <c r="BA52" i="40"/>
  <c r="AQ52" i="40"/>
  <c r="BM52" i="40" s="1"/>
  <c r="BA51" i="40"/>
  <c r="AF51" i="40"/>
  <c r="BB51" i="40" s="1"/>
  <c r="AQ51" i="40"/>
  <c r="BM51" i="40" s="1"/>
  <c r="BA2" i="40"/>
  <c r="AF2" i="40"/>
  <c r="BB2" i="40" s="1"/>
  <c r="AQ2" i="40"/>
  <c r="BM2" i="40" s="1"/>
  <c r="AF24" i="40"/>
  <c r="BB24" i="40" s="1"/>
  <c r="BA24" i="40"/>
  <c r="AQ24" i="40"/>
  <c r="BM24" i="40" s="1"/>
  <c r="AF15" i="40"/>
  <c r="BB15" i="40" s="1"/>
  <c r="BA15" i="40"/>
  <c r="AQ15" i="40"/>
  <c r="BM15" i="40" s="1"/>
  <c r="BA10" i="40"/>
  <c r="AF10" i="40"/>
  <c r="BB10" i="40" s="1"/>
  <c r="AQ10" i="40"/>
  <c r="BM10" i="40" s="1"/>
  <c r="BA46" i="40"/>
  <c r="AF46" i="40"/>
  <c r="BB46" i="40" s="1"/>
  <c r="AQ46" i="40"/>
  <c r="BM46" i="40" s="1"/>
  <c r="BA21" i="40"/>
  <c r="AF21" i="40"/>
  <c r="BB21" i="40" s="1"/>
  <c r="AQ21" i="40"/>
  <c r="BM21" i="40" s="1"/>
  <c r="BA43" i="40"/>
  <c r="AF43" i="40"/>
  <c r="BB43" i="40" s="1"/>
  <c r="AQ43" i="40"/>
  <c r="BM43" i="40" s="1"/>
  <c r="BA47" i="40"/>
  <c r="AF47" i="40"/>
  <c r="BB47" i="40" s="1"/>
  <c r="AQ47" i="40"/>
  <c r="BM47" i="40" s="1"/>
  <c r="AF26" i="40"/>
  <c r="BB26" i="40" s="1"/>
  <c r="BA26" i="40"/>
  <c r="AQ26" i="40"/>
  <c r="BM26" i="40" s="1"/>
  <c r="BA45" i="40"/>
  <c r="AF45" i="40"/>
  <c r="BB45" i="40" s="1"/>
  <c r="AQ45" i="40"/>
  <c r="BM45" i="40" s="1"/>
  <c r="BA37" i="40"/>
  <c r="AF37" i="40"/>
  <c r="BB37" i="40" s="1"/>
  <c r="AQ37" i="40"/>
  <c r="BM37" i="40" s="1"/>
  <c r="AF36" i="40"/>
  <c r="BB36" i="40" s="1"/>
  <c r="BA36" i="40"/>
  <c r="AQ36" i="40"/>
  <c r="BM36" i="40" s="1"/>
  <c r="BA41" i="40"/>
  <c r="AF41" i="40"/>
  <c r="BB41" i="40" s="1"/>
  <c r="AQ41" i="40"/>
  <c r="BM41" i="40" s="1"/>
  <c r="AF31" i="40"/>
  <c r="BB31" i="40" s="1"/>
  <c r="BA31" i="40"/>
  <c r="AQ31" i="40"/>
  <c r="BM31" i="40" s="1"/>
  <c r="AF30" i="40"/>
  <c r="BB30" i="40" s="1"/>
  <c r="BA30" i="40"/>
  <c r="AQ30" i="40"/>
  <c r="BM30" i="40" s="1"/>
  <c r="BA23" i="40"/>
  <c r="AF23" i="40"/>
  <c r="BB23" i="40" s="1"/>
  <c r="AQ23" i="40"/>
  <c r="BM23" i="40" s="1"/>
  <c r="AF42" i="40"/>
  <c r="BB42" i="40" s="1"/>
  <c r="BA42" i="40"/>
  <c r="AQ42" i="40"/>
  <c r="BM42" i="40" s="1"/>
  <c r="BA13" i="40"/>
  <c r="AF13" i="40"/>
  <c r="BB13" i="40" s="1"/>
  <c r="AQ13" i="40"/>
  <c r="BM13" i="40" s="1"/>
  <c r="BA40" i="40"/>
  <c r="AF40" i="40"/>
  <c r="BB40" i="40" s="1"/>
  <c r="AQ40" i="40"/>
  <c r="BM40" i="40" s="1"/>
  <c r="BA35" i="40"/>
  <c r="AF35" i="40"/>
  <c r="BB35" i="40" s="1"/>
  <c r="AQ35" i="40"/>
  <c r="BM35" i="40" s="1"/>
  <c r="AF39" i="40"/>
  <c r="BB39" i="40" s="1"/>
  <c r="BA39" i="40"/>
  <c r="AQ39" i="40"/>
  <c r="BM39" i="40" s="1"/>
  <c r="BA29" i="40"/>
  <c r="AF29" i="40"/>
  <c r="BB29" i="40" s="1"/>
  <c r="AQ29" i="40"/>
  <c r="BM29" i="40" s="1"/>
  <c r="BA9" i="40"/>
  <c r="AF9" i="40"/>
  <c r="BB9" i="40" s="1"/>
  <c r="AQ9" i="40"/>
  <c r="BM9" i="40" s="1"/>
  <c r="BA5" i="40"/>
  <c r="AF5" i="40"/>
  <c r="BB5" i="40" s="1"/>
  <c r="AQ5" i="40"/>
  <c r="BM5" i="40" s="1"/>
  <c r="BA11" i="40"/>
  <c r="AF11" i="40"/>
  <c r="BB11" i="40" s="1"/>
  <c r="AQ11" i="40"/>
  <c r="BM11" i="40" s="1"/>
  <c r="AF34" i="40"/>
  <c r="BB34" i="40" s="1"/>
  <c r="BA34" i="40"/>
  <c r="AQ34" i="40"/>
  <c r="BM34" i="40" s="1"/>
  <c r="BA20" i="40"/>
  <c r="AF20" i="40"/>
  <c r="BB20" i="40" s="1"/>
  <c r="AQ20" i="40"/>
  <c r="BM20" i="40" s="1"/>
  <c r="BA16" i="40"/>
  <c r="AF16" i="40"/>
  <c r="BB16" i="40" s="1"/>
  <c r="AQ16" i="40"/>
  <c r="BM16" i="40" s="1"/>
  <c r="AF6" i="40"/>
  <c r="BB6" i="40" s="1"/>
  <c r="BA6" i="40"/>
  <c r="AQ6" i="40"/>
  <c r="BM6" i="40" s="1"/>
  <c r="AF49" i="40"/>
  <c r="BB49" i="40" s="1"/>
  <c r="BA49" i="40"/>
  <c r="AQ49" i="40"/>
  <c r="BM49" i="40" s="1"/>
  <c r="AF22" i="40"/>
  <c r="BB22" i="40" s="1"/>
  <c r="BA22" i="40"/>
  <c r="AQ22" i="40"/>
  <c r="BM22" i="40" s="1"/>
  <c r="AF3" i="40"/>
  <c r="BB3" i="40" s="1"/>
  <c r="BA3" i="40"/>
  <c r="AQ3" i="40"/>
  <c r="BM3" i="40" s="1"/>
  <c r="AQ8" i="38"/>
  <c r="BM8" i="38" s="1"/>
  <c r="BA8" i="38"/>
  <c r="AQ24" i="38"/>
  <c r="BM24" i="38" s="1"/>
  <c r="BA24" i="38"/>
  <c r="AQ31" i="38"/>
  <c r="BM31" i="38" s="1"/>
  <c r="BA31" i="38"/>
  <c r="AQ30" i="38"/>
  <c r="BM30" i="38" s="1"/>
  <c r="BA30" i="38"/>
  <c r="AQ38" i="38"/>
  <c r="BM38" i="38" s="1"/>
  <c r="BA38" i="38"/>
  <c r="AQ13" i="38"/>
  <c r="BM13" i="38" s="1"/>
  <c r="BA13" i="38"/>
  <c r="AQ41" i="38"/>
  <c r="BM41" i="38" s="1"/>
  <c r="BA41" i="38"/>
  <c r="AQ45" i="38"/>
  <c r="BM45" i="38" s="1"/>
  <c r="BA45" i="38"/>
  <c r="AQ42" i="38"/>
  <c r="BM42" i="38" s="1"/>
  <c r="BA42" i="38"/>
  <c r="AQ48" i="38"/>
  <c r="BM48" i="38" s="1"/>
  <c r="BA48" i="38"/>
  <c r="AQ16" i="38"/>
  <c r="BM16" i="38" s="1"/>
  <c r="BA16" i="38"/>
  <c r="AQ7" i="38"/>
  <c r="BM7" i="38" s="1"/>
  <c r="BA7" i="38"/>
  <c r="AQ40" i="38"/>
  <c r="BM40" i="38" s="1"/>
  <c r="BA40" i="38"/>
  <c r="AQ14" i="38"/>
  <c r="BM14" i="38" s="1"/>
  <c r="BA14" i="38"/>
  <c r="AQ49" i="38"/>
  <c r="BM49" i="38" s="1"/>
  <c r="BA49" i="38"/>
  <c r="AQ51" i="38"/>
  <c r="BM51" i="38" s="1"/>
  <c r="BA51" i="38"/>
  <c r="AQ3" i="38"/>
  <c r="BM3" i="38" s="1"/>
  <c r="BA3" i="38"/>
  <c r="AQ10" i="38"/>
  <c r="BM10" i="38" s="1"/>
  <c r="BA10" i="38"/>
  <c r="AQ17" i="38"/>
  <c r="BM17" i="38" s="1"/>
  <c r="BA17" i="38"/>
  <c r="AQ15" i="38"/>
  <c r="BM15" i="38" s="1"/>
  <c r="BA15" i="38"/>
  <c r="AQ21" i="38"/>
  <c r="BM21" i="38" s="1"/>
  <c r="BA21" i="38"/>
  <c r="AQ19" i="38"/>
  <c r="BM19" i="38" s="1"/>
  <c r="BA19" i="38"/>
  <c r="AQ22" i="38"/>
  <c r="BM22" i="38" s="1"/>
  <c r="BA22" i="38"/>
  <c r="AQ35" i="38"/>
  <c r="BM35" i="38" s="1"/>
  <c r="BA35" i="38"/>
  <c r="AQ43" i="38"/>
  <c r="BM43" i="38" s="1"/>
  <c r="BA43" i="38"/>
  <c r="AQ23" i="38"/>
  <c r="BM23" i="38" s="1"/>
  <c r="BA23" i="38"/>
  <c r="AQ32" i="38"/>
  <c r="BM32" i="38" s="1"/>
  <c r="BA32" i="38"/>
  <c r="AQ2" i="38"/>
  <c r="BM2" i="38" s="1"/>
  <c r="BA2" i="38"/>
  <c r="AQ18" i="38"/>
  <c r="BM18" i="38" s="1"/>
  <c r="BA18" i="38"/>
  <c r="AQ20" i="38"/>
  <c r="BM20" i="38" s="1"/>
  <c r="BA20" i="38"/>
  <c r="AQ47" i="38"/>
  <c r="BM47" i="38" s="1"/>
  <c r="BA47" i="38"/>
  <c r="AQ6" i="38"/>
  <c r="BM6" i="38" s="1"/>
  <c r="BA6" i="38"/>
  <c r="AQ9" i="38"/>
  <c r="BM9" i="38" s="1"/>
  <c r="BA9" i="38"/>
  <c r="AQ27" i="38"/>
  <c r="BM27" i="38" s="1"/>
  <c r="BA27" i="38"/>
  <c r="AQ11" i="38"/>
  <c r="BM11" i="38" s="1"/>
  <c r="BA11" i="38"/>
  <c r="AQ39" i="38"/>
  <c r="BM39" i="38" s="1"/>
  <c r="BA39" i="38"/>
  <c r="AQ36" i="38"/>
  <c r="BM36" i="38" s="1"/>
  <c r="BA36" i="38"/>
  <c r="AQ33" i="38"/>
  <c r="BM33" i="38" s="1"/>
  <c r="BA33" i="38"/>
  <c r="AQ25" i="38"/>
  <c r="BM25" i="38" s="1"/>
  <c r="BA25" i="38"/>
  <c r="AQ4" i="38"/>
  <c r="BM4" i="38" s="1"/>
  <c r="BA4" i="38"/>
  <c r="AQ5" i="38"/>
  <c r="BM5" i="38" s="1"/>
  <c r="BA5" i="38"/>
  <c r="AQ37" i="38"/>
  <c r="BM37" i="38" s="1"/>
  <c r="BA37" i="38"/>
  <c r="AQ34" i="38"/>
  <c r="BM34" i="38" s="1"/>
  <c r="BA34" i="38"/>
  <c r="AQ28" i="38"/>
  <c r="BM28" i="38" s="1"/>
  <c r="BA28" i="38"/>
  <c r="AQ44" i="38"/>
  <c r="BM44" i="38" s="1"/>
  <c r="BA44" i="38"/>
  <c r="AQ50" i="38"/>
  <c r="BM50" i="38" s="1"/>
  <c r="BA50" i="38"/>
  <c r="AQ29" i="38"/>
  <c r="BM29" i="38" s="1"/>
  <c r="BA29" i="38"/>
  <c r="AQ46" i="38"/>
  <c r="BM46" i="38" s="1"/>
  <c r="BA46" i="38"/>
  <c r="AQ26" i="38"/>
  <c r="BM26" i="38" s="1"/>
  <c r="BA26" i="38"/>
  <c r="AQ12" i="38"/>
  <c r="BM12" i="38" s="1"/>
  <c r="BA12" i="38"/>
  <c r="AF3" i="38"/>
  <c r="BB3" i="38" s="1"/>
  <c r="AF15" i="38"/>
  <c r="BB15" i="38" s="1"/>
  <c r="AF22" i="38"/>
  <c r="BB22" i="38" s="1"/>
  <c r="AF23" i="38"/>
  <c r="BB23" i="38" s="1"/>
  <c r="AF32" i="38"/>
  <c r="BB32" i="38" s="1"/>
  <c r="AF18" i="38"/>
  <c r="BB18" i="38" s="1"/>
  <c r="AF20" i="38"/>
  <c r="BB20" i="38" s="1"/>
  <c r="AF28" i="38"/>
  <c r="BB28" i="38" s="1"/>
  <c r="AF47" i="38"/>
  <c r="BB47" i="38" s="1"/>
  <c r="AF6" i="38"/>
  <c r="BB6" i="38" s="1"/>
  <c r="AF9" i="38"/>
  <c r="BB9" i="38" s="1"/>
  <c r="AF27" i="38"/>
  <c r="BB27" i="38" s="1"/>
  <c r="AF11" i="38"/>
  <c r="BB11" i="38" s="1"/>
  <c r="AF39" i="38"/>
  <c r="BB39" i="38" s="1"/>
  <c r="AF36" i="38"/>
  <c r="BB36" i="38" s="1"/>
  <c r="AF33" i="38"/>
  <c r="BB33" i="38" s="1"/>
  <c r="AF25" i="38"/>
  <c r="BB25" i="38" s="1"/>
  <c r="AF49" i="38"/>
  <c r="BB49" i="38" s="1"/>
  <c r="AF17" i="38"/>
  <c r="BB17" i="38" s="1"/>
  <c r="AF21" i="38"/>
  <c r="BB21" i="38" s="1"/>
  <c r="AF43" i="38"/>
  <c r="BB43" i="38" s="1"/>
  <c r="AF8" i="38"/>
  <c r="BB8" i="38" s="1"/>
  <c r="AF44" i="38"/>
  <c r="BB44" i="38" s="1"/>
  <c r="AF5" i="38"/>
  <c r="BB5" i="38" s="1"/>
  <c r="AF50" i="38"/>
  <c r="BB50" i="38" s="1"/>
  <c r="AF30" i="38"/>
  <c r="BB30" i="38" s="1"/>
  <c r="AF29" i="38"/>
  <c r="BB29" i="38" s="1"/>
  <c r="AF37" i="38"/>
  <c r="BB37" i="38" s="1"/>
  <c r="AF46" i="38"/>
  <c r="BB46" i="38" s="1"/>
  <c r="AF38" i="38"/>
  <c r="BB38" i="38" s="1"/>
  <c r="AF26" i="38"/>
  <c r="BB26" i="38" s="1"/>
  <c r="AF34" i="38"/>
  <c r="BB34" i="38" s="1"/>
  <c r="AF51" i="38"/>
  <c r="BB51" i="38" s="1"/>
  <c r="AF10" i="38"/>
  <c r="BB10" i="38" s="1"/>
  <c r="AF19" i="38"/>
  <c r="BB19" i="38" s="1"/>
  <c r="AF35" i="38"/>
  <c r="BB35" i="38" s="1"/>
  <c r="AF2" i="38"/>
  <c r="BB2" i="38" s="1"/>
  <c r="AF4" i="38"/>
  <c r="BB4" i="38" s="1"/>
  <c r="AF24" i="38"/>
  <c r="BB24" i="38" s="1"/>
  <c r="AF31" i="38"/>
  <c r="BB31" i="38" s="1"/>
  <c r="AF13" i="38"/>
  <c r="BB13" i="38" s="1"/>
  <c r="AF41" i="38"/>
  <c r="BB41" i="38" s="1"/>
  <c r="AF45" i="38"/>
  <c r="BB45" i="38" s="1"/>
  <c r="AF42" i="38"/>
  <c r="BB42" i="38" s="1"/>
  <c r="AF48" i="38"/>
  <c r="BB48" i="38" s="1"/>
  <c r="AF16" i="38"/>
  <c r="BB16" i="38" s="1"/>
  <c r="AF7" i="38"/>
  <c r="BB7" i="38" s="1"/>
  <c r="AF40" i="38"/>
  <c r="BB40" i="38" s="1"/>
  <c r="AF12" i="38"/>
  <c r="BB12" i="38" s="1"/>
  <c r="AF14" i="38"/>
  <c r="BB14" i="38" s="1"/>
  <c r="BQ2" i="40" l="1"/>
  <c r="BQ1" i="40"/>
  <c r="BQ2" i="38"/>
  <c r="BQ1" i="38"/>
  <c r="BQ3" i="40" l="1"/>
  <c r="BQ3" i="38"/>
</calcChain>
</file>

<file path=xl/sharedStrings.xml><?xml version="1.0" encoding="utf-8"?>
<sst xmlns="http://schemas.openxmlformats.org/spreadsheetml/2006/main" count="5919" uniqueCount="154">
  <si>
    <t>Objective:</t>
  </si>
  <si>
    <t>Xij</t>
  </si>
  <si>
    <t>Iij</t>
  </si>
  <si>
    <t>Uij</t>
  </si>
  <si>
    <t>Balance</t>
  </si>
  <si>
    <t xml:space="preserve">Holding </t>
  </si>
  <si>
    <t>Unmet</t>
  </si>
  <si>
    <t>Constraints</t>
  </si>
  <si>
    <t>Total:</t>
  </si>
  <si>
    <t>M3135400</t>
  </si>
  <si>
    <t>M3135500</t>
  </si>
  <si>
    <t>M3471400</t>
  </si>
  <si>
    <t>M3472400</t>
  </si>
  <si>
    <t>M4103300</t>
  </si>
  <si>
    <t>M4348701</t>
  </si>
  <si>
    <t>P3</t>
  </si>
  <si>
    <t>P4</t>
  </si>
  <si>
    <t>P5</t>
  </si>
  <si>
    <t>P6</t>
  </si>
  <si>
    <t>P8</t>
  </si>
  <si>
    <t>P9</t>
  </si>
  <si>
    <t>P10</t>
  </si>
  <si>
    <t>M3134800</t>
  </si>
  <si>
    <t>M3135000</t>
  </si>
  <si>
    <t>M4330501</t>
  </si>
  <si>
    <t>Holding Cost (% of GSV)</t>
  </si>
  <si>
    <t>Penalty Cost of Unmet Demand (% of GSV)</t>
  </si>
  <si>
    <t>Last Period Holding Cost (% of GSV)</t>
  </si>
  <si>
    <t>Total</t>
  </si>
  <si>
    <t>P7</t>
  </si>
  <si>
    <t>SKU</t>
  </si>
  <si>
    <t>Historical Average</t>
  </si>
  <si>
    <t>Increasing</t>
  </si>
  <si>
    <t>Concave Parabola</t>
  </si>
  <si>
    <t>Decreasing</t>
  </si>
  <si>
    <t>Historical 2010</t>
  </si>
  <si>
    <t>Historical 2011</t>
  </si>
  <si>
    <t>Unmet Demand</t>
  </si>
  <si>
    <t>Period</t>
  </si>
  <si>
    <t>Sku</t>
  </si>
  <si>
    <t>Demand</t>
  </si>
  <si>
    <t>Amount</t>
  </si>
  <si>
    <t>GSV</t>
  </si>
  <si>
    <t>STATIC</t>
  </si>
  <si>
    <t>Season Production Constraints</t>
  </si>
  <si>
    <t>Season Total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</si>
  <si>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</si>
  <si>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</si>
  <si>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</si>
  <si>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</si>
  <si>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</si>
  <si>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</si>
  <si>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</si>
  <si>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</si>
  <si>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DYNAMIC (50 SKUS)</t>
  </si>
  <si>
    <t>YES</t>
  </si>
  <si>
    <t>Location</t>
  </si>
  <si>
    <t>CLV</t>
  </si>
  <si>
    <t>HKT</t>
  </si>
  <si>
    <t>Uij Constraint</t>
  </si>
  <si>
    <t>Last Period = Zero Constraint</t>
  </si>
  <si>
    <t>Type</t>
  </si>
  <si>
    <t>MC</t>
  </si>
  <si>
    <t>Row Labels</t>
  </si>
  <si>
    <t>Grand Total</t>
  </si>
  <si>
    <t>Column Labels</t>
  </si>
  <si>
    <t>Sum of Xij</t>
  </si>
  <si>
    <t>(All)</t>
  </si>
  <si>
    <t>MC - Cleveland</t>
  </si>
  <si>
    <t>PNT - Cleveland</t>
  </si>
  <si>
    <t>MC - Hackettstown</t>
  </si>
  <si>
    <t>PNT - Hackettstown</t>
  </si>
  <si>
    <t>P3 Shifts</t>
  </si>
  <si>
    <t>P4 Shifts</t>
  </si>
  <si>
    <t>P5 Shifts</t>
  </si>
  <si>
    <t>P6 Shifts</t>
  </si>
  <si>
    <t>P7 Shifts</t>
  </si>
  <si>
    <t>P8 Shifts</t>
  </si>
  <si>
    <t>P9 Shifts</t>
  </si>
  <si>
    <t>P10 Shifts</t>
  </si>
  <si>
    <t>MC Rate Tons/Shift - Cleveland</t>
  </si>
  <si>
    <t>PNT Rate Tons/Shift - Cleveland</t>
  </si>
  <si>
    <t>MC Rate Tons/Shift - Hackettstown</t>
  </si>
  <si>
    <t>PNT Rate Tons/Shift - Hackettstown</t>
  </si>
  <si>
    <t>Production Amount Per Line</t>
  </si>
  <si>
    <t>Production Per Line</t>
  </si>
  <si>
    <t>Line Constraints</t>
  </si>
  <si>
    <t>PNT</t>
  </si>
  <si>
    <t>DomesticMC</t>
  </si>
  <si>
    <t>DomesticPNT</t>
  </si>
  <si>
    <t>Production Plan</t>
  </si>
  <si>
    <t>Monte Carlo Demand</t>
  </si>
  <si>
    <t>Inventory</t>
  </si>
  <si>
    <t>Inventory Cost</t>
  </si>
  <si>
    <t>Unmet Cost</t>
  </si>
  <si>
    <t>Holding</t>
  </si>
  <si>
    <t>Starting Period</t>
  </si>
  <si>
    <t>Periods before Starting Period Must be Zero</t>
  </si>
  <si>
    <t>Static</t>
  </si>
  <si>
    <t>Bounded to equal zero or be anything</t>
  </si>
  <si>
    <t>SKUS</t>
  </si>
  <si>
    <t>Cleveland</t>
  </si>
  <si>
    <t>Hackettstown</t>
  </si>
  <si>
    <t>Bounded to be zero or anything</t>
  </si>
  <si>
    <t>Historical 2009</t>
  </si>
  <si>
    <t>P11</t>
  </si>
  <si>
    <t xml:space="preserve">Peanut </t>
  </si>
  <si>
    <t>Milk Chocolate</t>
  </si>
  <si>
    <t>M4103600</t>
  </si>
  <si>
    <t>M4468800</t>
  </si>
  <si>
    <t>M4581200</t>
  </si>
  <si>
    <t>M4597400</t>
  </si>
  <si>
    <t>Period 11</t>
  </si>
  <si>
    <t>P11 Shifts</t>
  </si>
  <si>
    <t>Rand() Number</t>
  </si>
  <si>
    <t>Rescaled</t>
  </si>
  <si>
    <t>Zero or Original</t>
  </si>
  <si>
    <t>DYNAMIC (50 SKUS) Driven by VBA</t>
  </si>
  <si>
    <t>Dynamic Demands (Automatically Calculated)</t>
  </si>
  <si>
    <t>Dynamic Number (Better Format). Sent to VecMat</t>
  </si>
  <si>
    <t>Trial</t>
  </si>
  <si>
    <t>DYNAMIC CALCULATIONS BASED ON COLUMN VECTOR TO THE LEFT THAT IS PASTED FROM "RANDNUMS" STATIC VALUES</t>
  </si>
  <si>
    <t>Current Holding</t>
  </si>
  <si>
    <t>Current Unmet</t>
  </si>
  <si>
    <t>Current Total</t>
  </si>
  <si>
    <t>Static Array created in VBA that is used so that Suggested and Current Monte Carlo Demands are the same</t>
  </si>
  <si>
    <t>MODEL</t>
  </si>
  <si>
    <t>Inputted</t>
  </si>
  <si>
    <t>User Inputted SKUs</t>
  </si>
  <si>
    <t>Include in Model?</t>
  </si>
  <si>
    <t>Domestic Products</t>
  </si>
  <si>
    <t>Yes</t>
  </si>
  <si>
    <t>Rearranged Matrix</t>
  </si>
  <si>
    <t>Scenario A</t>
  </si>
  <si>
    <t>Scenario B</t>
  </si>
  <si>
    <t>Scenario C</t>
  </si>
  <si>
    <t>Scenario D</t>
  </si>
  <si>
    <t>Choose the Demand Options</t>
  </si>
  <si>
    <t>Holding Subtotal</t>
  </si>
  <si>
    <t>Unmet Subtotal</t>
  </si>
  <si>
    <t>NO</t>
  </si>
  <si>
    <t>MC Total Tons - Cleveland</t>
  </si>
  <si>
    <t>PNT Total - Cleveland</t>
  </si>
  <si>
    <t>MC Total Tons - Hackettstown</t>
  </si>
  <si>
    <t>PNT Tons Total - Hackettstown</t>
  </si>
  <si>
    <t>Monte Carlo Values</t>
  </si>
  <si>
    <t xml:space="preserve"> </t>
  </si>
  <si>
    <t>Amount (Tons)</t>
  </si>
  <si>
    <t>GSV Per Ton</t>
  </si>
  <si>
    <t>Historical 2012</t>
  </si>
  <si>
    <t>Model Holding</t>
  </si>
  <si>
    <t>Model Unmet</t>
  </si>
  <si>
    <t>Model Total</t>
  </si>
  <si>
    <t>Model SKUs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</si>
</sst>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#,##0.0"/>
    <numFmt numFmtId="165" formatCode="#,##0.0_);[Red]\(#,##0.0\)"/>
    <numFmt numFmtId="166" formatCode="0.0"/>
    <numFmt numFmtId="167" formatCode="0.0000%"/>
    <numFmt numFmtId="168" formatCode="#,##0.00000000_);[Red]\(#,##0.00000000\)"/>
    <numFmt numFmtId="169" formatCode="#,##0.0000000000_);[Red]\(#,##0.0000000000\)"/>
    <numFmt numFmtId="170" formatCode="0.0000000000"/>
    <numFmt numFmtId="171" formatCode="0.0000"/>
    <numFmt numFmtId="172" formatCode="#%"/>
    <numFmt numFmtId="173" formatCode="#,##0;;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sz val="11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16"/>
      <color rgb="FF006100"/>
      <name val="Calibri"/>
      <family val="2"/>
      <scheme val="minor"/>
    </font>
    <font>
      <sz val="2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rgb="FF000000"/>
      <name val="Calibri"/>
      <family val="2"/>
    </font>
    <font>
      <b/>
      <sz val="18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80">
    <xf numFmtId="0" fontId="0" fillId="0" borderId="0"/>
    <xf numFmtId="0" fontId="1" fillId="0" borderId="0"/>
    <xf numFmtId="0" fontId="5" fillId="4" borderId="8" applyNumberFormat="0" applyProtection="0">
      <alignment horizontal="left" vertical="center" indent="1"/>
    </xf>
    <xf numFmtId="4" fontId="6" fillId="5" borderId="8" applyNumberFormat="0" applyProtection="0">
      <alignment horizontal="right" vertical="center"/>
    </xf>
    <xf numFmtId="0" fontId="5" fillId="4" borderId="8" applyNumberFormat="0" applyProtection="0">
      <alignment horizontal="left" vertical="center" indent="1"/>
    </xf>
    <xf numFmtId="0" fontId="5" fillId="4" borderId="8" applyNumberFormat="0" applyProtection="0">
      <alignment horizontal="left" vertical="center" inden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0" fillId="6" borderId="0" applyNumberFormat="0" applyBorder="0" applyAlignment="0" applyProtection="0"/>
    <xf numFmtId="9" fontId="7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6" fillId="10" borderId="0" applyNumberFormat="0" applyBorder="0" applyAlignment="0" applyProtection="0"/>
  </cellStyleXfs>
  <cellXfs count="299">
    <xf numFmtId="0" fontId="0" fillId="0" borderId="0" xfId="0"/>
    <xf numFmtId="0" fontId="3" fillId="0" borderId="0" xfId="0" applyFont="1"/>
    <xf numFmtId="8" fontId="3" fillId="0" borderId="0" xfId="0" applyNumberFormat="1" applyFont="1"/>
    <xf numFmtId="0" fontId="4" fillId="0" borderId="0" xfId="0" applyFont="1"/>
    <xf numFmtId="8" fontId="0" fillId="0" borderId="0" xfId="0" applyNumberFormat="1"/>
    <xf numFmtId="0" fontId="2" fillId="0" borderId="1" xfId="0" applyFont="1" applyBorder="1"/>
    <xf numFmtId="164" fontId="0" fillId="0" borderId="0" xfId="0" applyNumberFormat="1" applyFill="1" applyBorder="1"/>
    <xf numFmtId="0" fontId="0" fillId="0" borderId="0" xfId="0" applyBorder="1"/>
    <xf numFmtId="165" fontId="0" fillId="0" borderId="0" xfId="0" applyNumberFormat="1" applyFill="1" applyBorder="1"/>
    <xf numFmtId="0" fontId="0" fillId="0" borderId="0" xfId="0" applyFill="1" applyBorder="1"/>
    <xf numFmtId="0" fontId="0" fillId="0" borderId="0" xfId="0" applyFont="1"/>
    <xf numFmtId="0" fontId="2" fillId="0" borderId="0" xfId="0" applyFont="1" applyBorder="1"/>
    <xf numFmtId="0" fontId="2" fillId="0" borderId="0" xfId="0" applyFont="1"/>
    <xf numFmtId="0" fontId="0" fillId="0" borderId="0" xfId="0"/>
    <xf numFmtId="1" fontId="0" fillId="0" borderId="0" xfId="0" applyNumberFormat="1" applyBorder="1"/>
    <xf numFmtId="9" fontId="0" fillId="0" borderId="0" xfId="973" applyFont="1"/>
    <xf numFmtId="9" fontId="0" fillId="0" borderId="0" xfId="973" applyFont="1" applyBorder="1"/>
    <xf numFmtId="0" fontId="0" fillId="0" borderId="15" xfId="0" applyBorder="1"/>
    <xf numFmtId="0" fontId="0" fillId="0" borderId="0" xfId="0" applyAlignment="1">
      <alignment horizontal="left"/>
    </xf>
    <xf numFmtId="0" fontId="0" fillId="7" borderId="0" xfId="0" applyFill="1"/>
    <xf numFmtId="0" fontId="2" fillId="7" borderId="0" xfId="0" applyFont="1" applyFill="1" applyBorder="1" applyAlignment="1">
      <alignment horizontal="left"/>
    </xf>
    <xf numFmtId="0" fontId="0" fillId="0" borderId="14" xfId="0" applyBorder="1"/>
    <xf numFmtId="0" fontId="0" fillId="0" borderId="12" xfId="0" applyBorder="1"/>
    <xf numFmtId="0" fontId="0" fillId="0" borderId="0" xfId="0" applyFill="1"/>
    <xf numFmtId="8" fontId="0" fillId="0" borderId="0" xfId="0" applyNumberFormat="1" applyBorder="1"/>
    <xf numFmtId="0" fontId="2" fillId="0" borderId="13" xfId="0" applyFont="1" applyBorder="1"/>
    <xf numFmtId="1" fontId="0" fillId="0" borderId="13" xfId="0" applyNumberFormat="1" applyFont="1" applyBorder="1"/>
    <xf numFmtId="0" fontId="0" fillId="0" borderId="13" xfId="0" applyBorder="1" applyAlignment="1">
      <alignment horizontal="left"/>
    </xf>
    <xf numFmtId="0" fontId="2" fillId="0" borderId="13" xfId="0" applyFont="1" applyBorder="1" applyAlignment="1">
      <alignment horizontal="left"/>
    </xf>
    <xf numFmtId="0" fontId="12" fillId="8" borderId="0" xfId="977" applyFont="1" applyAlignment="1">
      <alignment horizontal="center"/>
    </xf>
    <xf numFmtId="0" fontId="0" fillId="0" borderId="0" xfId="0" applyFont="1" applyFill="1" applyBorder="1"/>
    <xf numFmtId="0" fontId="2" fillId="0" borderId="9" xfId="0" applyFont="1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3" fontId="0" fillId="0" borderId="0" xfId="0" applyNumberFormat="1" applyBorder="1" applyAlignment="1">
      <alignment horizontal="right"/>
    </xf>
    <xf numFmtId="1" fontId="0" fillId="0" borderId="5" xfId="0" applyNumberFormat="1" applyBorder="1" applyAlignment="1">
      <alignment horizontal="righ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1" fontId="0" fillId="0" borderId="7" xfId="0" applyNumberFormat="1" applyBorder="1" applyAlignment="1">
      <alignment horizontal="right"/>
    </xf>
    <xf numFmtId="166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0" xfId="0" applyNumberFormat="1" applyBorder="1"/>
    <xf numFmtId="0" fontId="13" fillId="0" borderId="0" xfId="0" applyFont="1" applyFill="1" applyBorder="1" applyAlignment="1">
      <alignment vertical="center" wrapText="1"/>
    </xf>
    <xf numFmtId="9" fontId="0" fillId="0" borderId="13" xfId="973" applyFont="1" applyBorder="1" applyAlignment="1">
      <alignment horizontal="center"/>
    </xf>
    <xf numFmtId="164" fontId="0" fillId="3" borderId="0" xfId="0" applyNumberFormat="1" applyFill="1" applyBorder="1" applyAlignment="1">
      <alignment horizontal="left"/>
    </xf>
    <xf numFmtId="164" fontId="0" fillId="2" borderId="0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0" xfId="0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7" borderId="10" xfId="0" applyFont="1" applyFill="1" applyBorder="1" applyAlignment="1">
      <alignment horizontal="left"/>
    </xf>
    <xf numFmtId="0" fontId="0" fillId="7" borderId="0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64" fontId="0" fillId="7" borderId="0" xfId="0" applyNumberFormat="1" applyFill="1" applyBorder="1" applyAlignment="1">
      <alignment horizontal="left"/>
    </xf>
    <xf numFmtId="165" fontId="0" fillId="0" borderId="14" xfId="0" applyNumberFormat="1" applyFill="1" applyBorder="1" applyAlignment="1">
      <alignment horizontal="left"/>
    </xf>
    <xf numFmtId="165" fontId="0" fillId="0" borderId="12" xfId="0" applyNumberFormat="1" applyFill="1" applyBorder="1" applyAlignment="1">
      <alignment horizontal="left"/>
    </xf>
    <xf numFmtId="0" fontId="0" fillId="0" borderId="15" xfId="0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0" borderId="0" xfId="0" pivotButton="1"/>
    <xf numFmtId="0" fontId="13" fillId="7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0" fillId="0" borderId="13" xfId="0" applyBorder="1"/>
    <xf numFmtId="44" fontId="0" fillId="0" borderId="13" xfId="976" applyFont="1" applyBorder="1" applyAlignment="1">
      <alignment horizontal="center"/>
    </xf>
    <xf numFmtId="164" fontId="0" fillId="3" borderId="0" xfId="0" applyNumberFormat="1" applyFont="1" applyFill="1" applyBorder="1" applyAlignment="1">
      <alignment horizontal="left"/>
    </xf>
    <xf numFmtId="164" fontId="0" fillId="2" borderId="0" xfId="0" applyNumberFormat="1" applyFont="1" applyFill="1" applyBorder="1" applyAlignment="1">
      <alignment horizontal="left"/>
    </xf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12" fillId="0" borderId="0" xfId="977" applyFont="1" applyFill="1" applyAlignment="1">
      <alignment horizontal="center"/>
    </xf>
    <xf numFmtId="0" fontId="13" fillId="0" borderId="0" xfId="0" applyFont="1" applyBorder="1" applyAlignment="1">
      <alignment horizontal="center" vertical="center" wrapText="1"/>
    </xf>
    <xf numFmtId="1" fontId="14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/>
    <xf numFmtId="165" fontId="4" fillId="0" borderId="0" xfId="0" applyNumberFormat="1" applyFont="1" applyBorder="1"/>
    <xf numFmtId="165" fontId="4" fillId="0" borderId="0" xfId="0" applyNumberFormat="1" applyFont="1" applyFill="1" applyBorder="1"/>
    <xf numFmtId="0" fontId="4" fillId="0" borderId="0" xfId="0" applyFont="1" applyBorder="1"/>
    <xf numFmtId="0" fontId="0" fillId="0" borderId="17" xfId="0" applyBorder="1" applyAlignment="1">
      <alignment vertical="center" wrapText="1"/>
    </xf>
    <xf numFmtId="1" fontId="0" fillId="0" borderId="15" xfId="973" applyNumberFormat="1" applyFont="1" applyFill="1" applyBorder="1" applyAlignment="1">
      <alignment horizontal="center"/>
    </xf>
    <xf numFmtId="0" fontId="14" fillId="0" borderId="17" xfId="0" applyFont="1" applyBorder="1" applyAlignment="1">
      <alignment horizontal="center" vertical="center" wrapText="1"/>
    </xf>
    <xf numFmtId="3" fontId="0" fillId="0" borderId="4" xfId="0" applyNumberFormat="1" applyFill="1" applyBorder="1"/>
    <xf numFmtId="164" fontId="0" fillId="0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Border="1" applyAlignment="1">
      <alignment horizontal="left"/>
    </xf>
    <xf numFmtId="3" fontId="0" fillId="0" borderId="0" xfId="0" applyNumberFormat="1" applyFill="1" applyBorder="1" applyAlignment="1">
      <alignment horizontal="left"/>
    </xf>
    <xf numFmtId="167" fontId="0" fillId="0" borderId="0" xfId="0" applyNumberFormat="1" applyBorder="1"/>
    <xf numFmtId="9" fontId="0" fillId="0" borderId="0" xfId="0" applyNumberFormat="1" applyBorder="1"/>
    <xf numFmtId="0" fontId="0" fillId="7" borderId="0" xfId="0" applyFill="1" applyBorder="1"/>
    <xf numFmtId="0" fontId="16" fillId="0" borderId="0" xfId="979" applyFill="1" applyBorder="1"/>
    <xf numFmtId="9" fontId="16" fillId="0" borderId="0" xfId="979" applyNumberFormat="1" applyFill="1" applyBorder="1"/>
    <xf numFmtId="9" fontId="16" fillId="0" borderId="0" xfId="979" applyNumberFormat="1" applyFill="1"/>
    <xf numFmtId="0" fontId="16" fillId="0" borderId="0" xfId="979" applyFill="1"/>
    <xf numFmtId="0" fontId="0" fillId="0" borderId="12" xfId="0" applyBorder="1" applyAlignment="1">
      <alignment horizontal="left"/>
    </xf>
    <xf numFmtId="1" fontId="0" fillId="0" borderId="0" xfId="0" applyNumberFormat="1" applyFill="1" applyBorder="1"/>
    <xf numFmtId="164" fontId="0" fillId="0" borderId="0" xfId="0" applyNumberFormat="1" applyFont="1" applyFill="1" applyBorder="1" applyAlignment="1">
      <alignment horizontal="left"/>
    </xf>
    <xf numFmtId="0" fontId="0" fillId="0" borderId="14" xfId="0" applyFont="1" applyFill="1" applyBorder="1" applyAlignment="1">
      <alignment horizontal="left"/>
    </xf>
    <xf numFmtId="0" fontId="2" fillId="0" borderId="18" xfId="0" applyFont="1" applyFill="1" applyBorder="1"/>
    <xf numFmtId="0" fontId="0" fillId="0" borderId="19" xfId="0" applyFont="1" applyFill="1" applyBorder="1"/>
    <xf numFmtId="0" fontId="2" fillId="0" borderId="19" xfId="0" applyFont="1" applyFill="1" applyBorder="1"/>
    <xf numFmtId="0" fontId="0" fillId="0" borderId="20" xfId="0" applyFont="1" applyFill="1" applyBorder="1"/>
    <xf numFmtId="1" fontId="0" fillId="0" borderId="21" xfId="0" applyNumberFormat="1" applyFill="1" applyBorder="1"/>
    <xf numFmtId="1" fontId="0" fillId="0" borderId="22" xfId="0" applyNumberFormat="1" applyFill="1" applyBorder="1"/>
    <xf numFmtId="1" fontId="0" fillId="0" borderId="16" xfId="0" applyNumberFormat="1" applyFill="1" applyBorder="1"/>
    <xf numFmtId="164" fontId="0" fillId="0" borderId="16" xfId="0" applyNumberFormat="1" applyFill="1" applyBorder="1"/>
    <xf numFmtId="1" fontId="0" fillId="0" borderId="24" xfId="0" applyNumberFormat="1" applyFill="1" applyBorder="1"/>
    <xf numFmtId="9" fontId="18" fillId="0" borderId="0" xfId="973" applyFont="1" applyFill="1" applyBorder="1"/>
    <xf numFmtId="166" fontId="0" fillId="7" borderId="13" xfId="0" applyNumberFormat="1" applyFill="1" applyBorder="1" applyAlignment="1">
      <alignment horizontal="center"/>
    </xf>
    <xf numFmtId="44" fontId="0" fillId="7" borderId="13" xfId="976" applyFont="1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9" fontId="0" fillId="7" borderId="13" xfId="973" applyFont="1" applyFill="1" applyBorder="1" applyAlignment="1">
      <alignment horizontal="center"/>
    </xf>
    <xf numFmtId="0" fontId="0" fillId="0" borderId="12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0" xfId="0" applyNumberFormat="1" applyBorder="1"/>
    <xf numFmtId="1" fontId="0" fillId="0" borderId="23" xfId="0" applyNumberFormat="1" applyFill="1" applyBorder="1"/>
    <xf numFmtId="49" fontId="0" fillId="2" borderId="0" xfId="0" applyNumberFormat="1" applyFill="1" applyBorder="1" applyAlignment="1">
      <alignment horizontal="left"/>
    </xf>
    <xf numFmtId="49" fontId="0" fillId="3" borderId="0" xfId="0" applyNumberFormat="1" applyFill="1" applyBorder="1" applyAlignment="1">
      <alignment horizontal="left"/>
    </xf>
    <xf numFmtId="1" fontId="0" fillId="2" borderId="0" xfId="0" applyNumberFormat="1" applyFill="1" applyBorder="1"/>
    <xf numFmtId="1" fontId="0" fillId="3" borderId="0" xfId="0" applyNumberFormat="1" applyFill="1" applyBorder="1"/>
    <xf numFmtId="1" fontId="0" fillId="2" borderId="0" xfId="0" applyNumberFormat="1" applyFill="1" applyBorder="1" applyAlignment="1">
      <alignment horizontal="left"/>
    </xf>
    <xf numFmtId="1" fontId="0" fillId="3" borderId="0" xfId="0" applyNumberFormat="1" applyFill="1" applyBorder="1" applyAlignment="1">
      <alignment horizontal="left"/>
    </xf>
    <xf numFmtId="165" fontId="0" fillId="0" borderId="0" xfId="0" applyNumberFormat="1"/>
    <xf numFmtId="44" fontId="18" fillId="0" borderId="13" xfId="976" applyFont="1" applyFill="1" applyBorder="1" applyAlignment="1">
      <alignment horizontal="center"/>
    </xf>
    <xf numFmtId="9" fontId="10" fillId="6" borderId="0" xfId="974" applyNumberFormat="1" applyBorder="1" applyAlignment="1">
      <alignment horizontal="left"/>
    </xf>
    <xf numFmtId="9" fontId="0" fillId="0" borderId="0" xfId="973" applyFont="1" applyBorder="1" applyAlignment="1">
      <alignment horizontal="left"/>
    </xf>
    <xf numFmtId="9" fontId="18" fillId="0" borderId="0" xfId="973" applyFont="1" applyFill="1" applyBorder="1" applyAlignment="1">
      <alignment horizontal="left"/>
    </xf>
    <xf numFmtId="9" fontId="18" fillId="0" borderId="0" xfId="973" applyFont="1" applyBorder="1" applyAlignment="1">
      <alignment horizontal="left"/>
    </xf>
    <xf numFmtId="9" fontId="10" fillId="6" borderId="25" xfId="974" applyNumberFormat="1" applyBorder="1" applyAlignment="1">
      <alignment horizontal="left"/>
    </xf>
    <xf numFmtId="0" fontId="16" fillId="0" borderId="12" xfId="979" applyFill="1" applyBorder="1" applyAlignment="1">
      <alignment horizontal="left"/>
    </xf>
    <xf numFmtId="9" fontId="0" fillId="0" borderId="0" xfId="973" applyFont="1" applyFill="1" applyBorder="1" applyAlignment="1">
      <alignment horizontal="left"/>
    </xf>
    <xf numFmtId="9" fontId="10" fillId="6" borderId="0" xfId="973" applyFont="1" applyFill="1" applyBorder="1" applyAlignment="1">
      <alignment horizontal="left"/>
    </xf>
    <xf numFmtId="9" fontId="0" fillId="0" borderId="1" xfId="973" applyFont="1" applyBorder="1"/>
    <xf numFmtId="9" fontId="0" fillId="0" borderId="3" xfId="973" applyFont="1" applyBorder="1"/>
    <xf numFmtId="9" fontId="0" fillId="0" borderId="4" xfId="973" applyFont="1" applyBorder="1"/>
    <xf numFmtId="9" fontId="0" fillId="0" borderId="5" xfId="973" applyFont="1" applyBorder="1"/>
    <xf numFmtId="9" fontId="0" fillId="0" borderId="6" xfId="973" applyFont="1" applyBorder="1"/>
    <xf numFmtId="9" fontId="0" fillId="0" borderId="7" xfId="973" applyFont="1" applyBorder="1"/>
    <xf numFmtId="0" fontId="0" fillId="0" borderId="10" xfId="0" applyFill="1" applyBorder="1"/>
    <xf numFmtId="165" fontId="18" fillId="0" borderId="12" xfId="0" applyNumberFormat="1" applyFont="1" applyFill="1" applyBorder="1" applyAlignment="1">
      <alignment horizontal="left"/>
    </xf>
    <xf numFmtId="0" fontId="18" fillId="0" borderId="12" xfId="0" applyFont="1" applyBorder="1" applyAlignment="1">
      <alignment horizontal="left"/>
    </xf>
    <xf numFmtId="0" fontId="18" fillId="0" borderId="15" xfId="979" applyFont="1" applyFill="1" applyBorder="1" applyAlignment="1">
      <alignment horizontal="left"/>
    </xf>
    <xf numFmtId="0" fontId="10" fillId="0" borderId="0" xfId="974" applyFill="1" applyBorder="1"/>
    <xf numFmtId="0" fontId="22" fillId="0" borderId="0" xfId="0" applyFont="1" applyAlignment="1">
      <alignment horizontal="center" vertical="center"/>
    </xf>
    <xf numFmtId="7" fontId="24" fillId="6" borderId="26" xfId="976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4" fontId="10" fillId="6" borderId="0" xfId="974" applyNumberFormat="1"/>
    <xf numFmtId="0" fontId="0" fillId="0" borderId="0" xfId="0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9" fontId="18" fillId="7" borderId="0" xfId="973" applyFont="1" applyFill="1" applyBorder="1"/>
    <xf numFmtId="1" fontId="0" fillId="0" borderId="0" xfId="973" applyNumberFormat="1" applyFont="1" applyBorder="1" applyAlignment="1">
      <alignment horizontal="left"/>
    </xf>
    <xf numFmtId="172" fontId="0" fillId="0" borderId="0" xfId="973" applyNumberFormat="1" applyFont="1" applyBorder="1" applyAlignment="1">
      <alignment horizontal="left"/>
    </xf>
    <xf numFmtId="1" fontId="0" fillId="0" borderId="3" xfId="973" applyNumberFormat="1" applyFont="1" applyBorder="1"/>
    <xf numFmtId="1" fontId="0" fillId="0" borderId="5" xfId="973" applyNumberFormat="1" applyFont="1" applyBorder="1"/>
    <xf numFmtId="1" fontId="0" fillId="0" borderId="7" xfId="973" applyNumberFormat="1" applyFont="1" applyBorder="1"/>
    <xf numFmtId="1" fontId="10" fillId="6" borderId="0" xfId="974" applyNumberFormat="1" applyBorder="1" applyAlignment="1">
      <alignment horizontal="left"/>
    </xf>
    <xf numFmtId="1" fontId="10" fillId="6" borderId="0" xfId="973" applyNumberFormat="1" applyFont="1" applyFill="1" applyBorder="1" applyAlignment="1">
      <alignment horizontal="left"/>
    </xf>
    <xf numFmtId="49" fontId="18" fillId="0" borderId="0" xfId="973" applyNumberFormat="1" applyFont="1" applyFill="1" applyBorder="1"/>
    <xf numFmtId="49" fontId="0" fillId="0" borderId="0" xfId="0" applyNumberFormat="1"/>
    <xf numFmtId="49" fontId="18" fillId="0" borderId="0" xfId="973" applyNumberFormat="1" applyFont="1" applyFill="1" applyBorder="1" applyAlignment="1">
      <alignment horizontal="right"/>
    </xf>
    <xf numFmtId="0" fontId="24" fillId="6" borderId="0" xfId="974" applyFont="1"/>
    <xf numFmtId="1" fontId="0" fillId="0" borderId="0" xfId="0" applyNumberFormat="1"/>
    <xf numFmtId="0" fontId="18" fillId="0" borderId="0" xfId="0" applyFont="1" applyFill="1" applyBorder="1"/>
    <xf numFmtId="0" fontId="25" fillId="0" borderId="0" xfId="0" applyFont="1" applyFill="1" applyBorder="1" applyAlignment="1"/>
    <xf numFmtId="9" fontId="18" fillId="0" borderId="0" xfId="973" applyFont="1" applyFill="1" applyBorder="1" applyAlignment="1">
      <alignment horizontal="center"/>
    </xf>
    <xf numFmtId="9" fontId="18" fillId="0" borderId="0" xfId="973" applyNumberFormat="1" applyFont="1" applyFill="1" applyBorder="1" applyAlignment="1">
      <alignment horizontal="center"/>
    </xf>
    <xf numFmtId="9" fontId="18" fillId="0" borderId="0" xfId="973" applyNumberFormat="1" applyFont="1" applyFill="1" applyBorder="1"/>
    <xf numFmtId="9" fontId="0" fillId="0" borderId="0" xfId="0" applyNumberFormat="1" applyFill="1" applyBorder="1"/>
    <xf numFmtId="9" fontId="0" fillId="0" borderId="0" xfId="973" applyNumberFormat="1" applyFont="1" applyBorder="1" applyAlignment="1">
      <alignment horizontal="left"/>
    </xf>
    <xf numFmtId="9" fontId="18" fillId="0" borderId="0" xfId="973" applyNumberFormat="1" applyFont="1" applyFill="1" applyBorder="1" applyAlignment="1">
      <alignment horizontal="left"/>
    </xf>
    <xf numFmtId="9" fontId="18" fillId="0" borderId="0" xfId="973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Alignment="1">
      <alignment wrapText="1"/>
    </xf>
    <xf numFmtId="173" fontId="0" fillId="0" borderId="15" xfId="973" applyNumberFormat="1" applyFont="1" applyFill="1" applyBorder="1" applyAlignment="1">
      <alignment horizontal="center"/>
    </xf>
    <xf numFmtId="7" fontId="18" fillId="0" borderId="13" xfId="974" applyNumberFormat="1" applyFont="1" applyFill="1" applyBorder="1" applyAlignment="1">
      <alignment horizontal="center"/>
    </xf>
    <xf numFmtId="7" fontId="18" fillId="0" borderId="13" xfId="976" applyNumberFormat="1" applyFont="1" applyFill="1" applyBorder="1" applyAlignment="1">
      <alignment horizontal="center"/>
    </xf>
    <xf numFmtId="7" fontId="18" fillId="0" borderId="13" xfId="979" applyNumberFormat="1" applyFont="1" applyFill="1" applyBorder="1" applyAlignment="1">
      <alignment horizontal="center"/>
    </xf>
    <xf numFmtId="0" fontId="11" fillId="0" borderId="0" xfId="0" applyFont="1"/>
    <xf numFmtId="0" fontId="27" fillId="0" borderId="0" xfId="0" applyFont="1"/>
    <xf numFmtId="9" fontId="13" fillId="0" borderId="13" xfId="973" applyFont="1" applyBorder="1" applyAlignment="1">
      <alignment horizontal="center" vertical="center" wrapText="1"/>
    </xf>
    <xf numFmtId="9" fontId="0" fillId="0" borderId="0" xfId="973" applyFont="1" applyAlignment="1">
      <alignment horizontal="center"/>
    </xf>
    <xf numFmtId="0" fontId="13" fillId="0" borderId="13" xfId="0" applyFont="1" applyBorder="1" applyAlignment="1">
      <alignment horizontal="center" vertical="center" wrapText="1"/>
    </xf>
    <xf numFmtId="44" fontId="13" fillId="0" borderId="13" xfId="976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/>
    </xf>
    <xf numFmtId="44" fontId="0" fillId="0" borderId="0" xfId="976" applyFont="1" applyAlignment="1">
      <alignment horizontal="center"/>
    </xf>
    <xf numFmtId="0" fontId="18" fillId="0" borderId="0" xfId="0" applyFont="1"/>
    <xf numFmtId="0" fontId="28" fillId="0" borderId="0" xfId="0" applyFont="1" applyBorder="1"/>
    <xf numFmtId="0" fontId="18" fillId="0" borderId="0" xfId="0" applyFont="1" applyBorder="1"/>
    <xf numFmtId="0" fontId="2" fillId="0" borderId="14" xfId="0" applyFon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44" fontId="18" fillId="0" borderId="14" xfId="976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9" fontId="0" fillId="0" borderId="14" xfId="973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44" fontId="18" fillId="0" borderId="0" xfId="976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0" borderId="0" xfId="973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44" fontId="18" fillId="0" borderId="10" xfId="976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9" fontId="0" fillId="0" borderId="10" xfId="973" applyFont="1" applyBorder="1" applyAlignment="1">
      <alignment horizontal="center"/>
    </xf>
    <xf numFmtId="0" fontId="18" fillId="7" borderId="0" xfId="0" applyFont="1" applyFill="1" applyBorder="1"/>
    <xf numFmtId="0" fontId="25" fillId="7" borderId="0" xfId="0" applyFont="1" applyFill="1" applyBorder="1" applyAlignment="1"/>
    <xf numFmtId="165" fontId="18" fillId="0" borderId="14" xfId="0" applyNumberFormat="1" applyFont="1" applyFill="1" applyBorder="1" applyAlignment="1">
      <alignment horizontal="left"/>
    </xf>
    <xf numFmtId="9" fontId="18" fillId="0" borderId="0" xfId="973" applyFont="1" applyBorder="1"/>
    <xf numFmtId="49" fontId="28" fillId="0" borderId="0" xfId="0" applyNumberFormat="1" applyFont="1" applyBorder="1"/>
    <xf numFmtId="49" fontId="18" fillId="0" borderId="0" xfId="973" applyNumberFormat="1" applyFont="1" applyBorder="1"/>
    <xf numFmtId="49" fontId="18" fillId="0" borderId="0" xfId="0" applyNumberFormat="1" applyFont="1" applyBorder="1"/>
    <xf numFmtId="49" fontId="18" fillId="0" borderId="0" xfId="0" applyNumberFormat="1" applyFont="1"/>
    <xf numFmtId="0" fontId="18" fillId="0" borderId="0" xfId="0" quotePrefix="1" applyFont="1"/>
    <xf numFmtId="49" fontId="18" fillId="0" borderId="0" xfId="973" applyNumberFormat="1" applyFont="1" applyBorder="1" applyAlignment="1">
      <alignment horizontal="right"/>
    </xf>
    <xf numFmtId="9" fontId="18" fillId="0" borderId="0" xfId="0" applyNumberFormat="1" applyFont="1" applyBorder="1"/>
    <xf numFmtId="9" fontId="18" fillId="0" borderId="0" xfId="0" applyNumberFormat="1" applyFont="1"/>
    <xf numFmtId="9" fontId="18" fillId="0" borderId="0" xfId="973" applyNumberFormat="1" applyFont="1" applyBorder="1"/>
    <xf numFmtId="0" fontId="17" fillId="7" borderId="0" xfId="0" applyFont="1" applyFill="1" applyBorder="1" applyAlignment="1">
      <alignment horizontal="left"/>
    </xf>
    <xf numFmtId="9" fontId="17" fillId="7" borderId="0" xfId="973" applyFont="1" applyFill="1" applyBorder="1" applyAlignment="1">
      <alignment horizontal="left"/>
    </xf>
    <xf numFmtId="0" fontId="0" fillId="0" borderId="13" xfId="0" applyFont="1" applyBorder="1" applyAlignment="1">
      <alignment horizontal="center"/>
    </xf>
    <xf numFmtId="166" fontId="0" fillId="0" borderId="13" xfId="0" applyNumberFormat="1" applyFont="1" applyBorder="1" applyAlignment="1">
      <alignment horizontal="center"/>
    </xf>
    <xf numFmtId="9" fontId="1" fillId="0" borderId="13" xfId="973" applyFont="1" applyBorder="1" applyAlignment="1">
      <alignment horizontal="center"/>
    </xf>
    <xf numFmtId="44" fontId="1" fillId="0" borderId="13" xfId="976" applyFont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quotePrefix="1" applyFont="1" applyBorder="1" applyAlignment="1">
      <alignment horizontal="center"/>
    </xf>
    <xf numFmtId="0" fontId="11" fillId="0" borderId="0" xfId="0" quotePrefix="1" applyFont="1" applyFill="1" applyBorder="1" applyAlignment="1">
      <alignment vertical="center" wrapText="1"/>
    </xf>
    <xf numFmtId="0" fontId="11" fillId="0" borderId="0" xfId="0" applyFont="1" applyBorder="1"/>
    <xf numFmtId="0" fontId="2" fillId="7" borderId="0" xfId="0" applyFont="1" applyFill="1" applyBorder="1"/>
    <xf numFmtId="1" fontId="0" fillId="7" borderId="0" xfId="0" applyNumberFormat="1" applyFont="1" applyFill="1" applyBorder="1"/>
    <xf numFmtId="8" fontId="0" fillId="7" borderId="0" xfId="0" applyNumberFormat="1" applyFill="1" applyBorder="1"/>
    <xf numFmtId="7" fontId="0" fillId="0" borderId="13" xfId="0" applyNumberFormat="1" applyBorder="1" applyAlignment="1">
      <alignment horizontal="center"/>
    </xf>
    <xf numFmtId="0" fontId="13" fillId="7" borderId="0" xfId="0" applyFont="1" applyFill="1" applyBorder="1" applyAlignment="1">
      <alignment horizontal="center" vertical="center" wrapText="1"/>
    </xf>
    <xf numFmtId="0" fontId="0" fillId="7" borderId="0" xfId="0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29" fillId="7" borderId="0" xfId="0" applyFont="1" applyFill="1" applyBorder="1" applyAlignment="1">
      <alignment vertical="center" wrapText="1"/>
    </xf>
    <xf numFmtId="0" fontId="11" fillId="7" borderId="0" xfId="0" applyFont="1" applyFill="1"/>
    <xf numFmtId="164" fontId="0" fillId="0" borderId="0" xfId="0" applyNumberFormat="1"/>
    <xf numFmtId="8" fontId="10" fillId="6" borderId="0" xfId="974" applyNumberFormat="1"/>
    <xf numFmtId="7" fontId="23" fillId="11" borderId="26" xfId="976" applyNumberFormat="1" applyFont="1" applyFill="1" applyBorder="1" applyAlignment="1">
      <alignment horizontal="center" vertical="center"/>
    </xf>
    <xf numFmtId="9" fontId="28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173" fontId="0" fillId="0" borderId="15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8" fillId="0" borderId="0" xfId="0" applyFont="1"/>
    <xf numFmtId="0" fontId="30" fillId="0" borderId="0" xfId="0" applyFont="1"/>
    <xf numFmtId="0" fontId="0" fillId="0" borderId="0" xfId="0" applyAlignment="1">
      <alignment horizontal="center"/>
    </xf>
    <xf numFmtId="0" fontId="27" fillId="0" borderId="0" xfId="0" applyFont="1" applyBorder="1"/>
    <xf numFmtId="0" fontId="31" fillId="0" borderId="0" xfId="0" applyFont="1"/>
    <xf numFmtId="0" fontId="0" fillId="0" borderId="13" xfId="0" quotePrefix="1" applyBorder="1" applyAlignment="1">
      <alignment horizontal="center"/>
    </xf>
    <xf numFmtId="166" fontId="15" fillId="0" borderId="0" xfId="0" applyNumberFormat="1" applyFont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166" fontId="0" fillId="7" borderId="0" xfId="0" applyNumberFormat="1" applyFill="1" applyAlignment="1">
      <alignment horizontal="left" vertical="center"/>
    </xf>
    <xf numFmtId="166" fontId="10" fillId="6" borderId="0" xfId="974" applyNumberFormat="1" applyAlignment="1">
      <alignment horizontal="left" vertical="center"/>
    </xf>
    <xf numFmtId="166" fontId="0" fillId="0" borderId="0" xfId="0" applyNumberFormat="1" applyFill="1" applyBorder="1" applyAlignment="1">
      <alignment horizontal="left" vertical="center"/>
    </xf>
    <xf numFmtId="166" fontId="0" fillId="0" borderId="0" xfId="0" applyNumberFormat="1" applyBorder="1" applyAlignment="1">
      <alignment horizontal="left" vertical="center"/>
    </xf>
    <xf numFmtId="166" fontId="0" fillId="0" borderId="0" xfId="976" applyNumberFormat="1" applyFont="1" applyAlignment="1">
      <alignment horizontal="left" vertical="center"/>
    </xf>
    <xf numFmtId="166" fontId="0" fillId="7" borderId="0" xfId="976" applyNumberFormat="1" applyFont="1" applyFill="1" applyAlignment="1">
      <alignment horizontal="left" vertical="center"/>
    </xf>
    <xf numFmtId="166" fontId="0" fillId="7" borderId="0" xfId="0" applyNumberFormat="1" applyFill="1" applyBorder="1" applyAlignment="1">
      <alignment horizontal="left" vertical="center"/>
    </xf>
    <xf numFmtId="166" fontId="0" fillId="0" borderId="0" xfId="0" applyNumberFormat="1" applyFill="1" applyAlignment="1">
      <alignment horizontal="left" vertical="center"/>
    </xf>
    <xf numFmtId="166" fontId="15" fillId="0" borderId="0" xfId="0" applyNumberFormat="1" applyFont="1" applyAlignment="1">
      <alignment horizontal="left"/>
    </xf>
    <xf numFmtId="166" fontId="0" fillId="0" borderId="0" xfId="0" applyNumberFormat="1" applyAlignment="1">
      <alignment horizontal="left"/>
    </xf>
    <xf numFmtId="166" fontId="0" fillId="7" borderId="0" xfId="0" applyNumberFormat="1" applyFill="1" applyAlignment="1">
      <alignment horizontal="left"/>
    </xf>
    <xf numFmtId="166" fontId="10" fillId="6" borderId="0" xfId="974" applyNumberFormat="1" applyAlignment="1">
      <alignment horizontal="left"/>
    </xf>
    <xf numFmtId="166" fontId="0" fillId="0" borderId="0" xfId="0" applyNumberFormat="1" applyFill="1" applyBorder="1" applyAlignment="1">
      <alignment horizontal="left"/>
    </xf>
    <xf numFmtId="166" fontId="0" fillId="0" borderId="0" xfId="0" applyNumberFormat="1" applyBorder="1" applyAlignment="1">
      <alignment horizontal="left"/>
    </xf>
    <xf numFmtId="166" fontId="0" fillId="0" borderId="0" xfId="976" applyNumberFormat="1" applyFont="1" applyAlignment="1">
      <alignment horizontal="left"/>
    </xf>
    <xf numFmtId="166" fontId="0" fillId="7" borderId="0" xfId="0" applyNumberFormat="1" applyFill="1" applyBorder="1" applyAlignment="1">
      <alignment horizontal="left"/>
    </xf>
    <xf numFmtId="166" fontId="0" fillId="0" borderId="0" xfId="0" applyNumberFormat="1" applyFill="1" applyAlignment="1">
      <alignment horizontal="left"/>
    </xf>
    <xf numFmtId="44" fontId="20" fillId="11" borderId="26" xfId="976" applyFont="1" applyFill="1" applyBorder="1" applyAlignment="1">
      <alignment horizontal="center"/>
    </xf>
    <xf numFmtId="44" fontId="10" fillId="6" borderId="26" xfId="976" applyFont="1" applyFill="1" applyBorder="1" applyAlignment="1">
      <alignment horizontal="center"/>
    </xf>
    <xf numFmtId="44" fontId="0" fillId="12" borderId="27" xfId="976" applyFont="1" applyFill="1" applyBorder="1" applyAlignment="1">
      <alignment horizontal="center"/>
    </xf>
    <xf numFmtId="44" fontId="10" fillId="6" borderId="27" xfId="976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8" fontId="20" fillId="11" borderId="26" xfId="976" applyNumberFormat="1" applyFont="1" applyFill="1" applyBorder="1" applyAlignment="1">
      <alignment horizontal="center"/>
    </xf>
    <xf numFmtId="8" fontId="10" fillId="6" borderId="26" xfId="976" applyNumberFormat="1" applyFont="1" applyFill="1" applyBorder="1" applyAlignment="1">
      <alignment horizontal="center"/>
    </xf>
    <xf numFmtId="8" fontId="0" fillId="12" borderId="27" xfId="976" applyNumberFormat="1" applyFont="1" applyFill="1" applyBorder="1" applyAlignment="1">
      <alignment horizontal="center"/>
    </xf>
    <xf numFmtId="8" fontId="10" fillId="6" borderId="27" xfId="976" applyNumberFormat="1" applyFont="1" applyFill="1" applyBorder="1" applyAlignment="1">
      <alignment horizontal="center"/>
    </xf>
    <xf numFmtId="166" fontId="0" fillId="0" borderId="0" xfId="0" applyNumberFormat="1"/>
    <xf numFmtId="0" fontId="26" fillId="0" borderId="0" xfId="0" applyFont="1" applyAlignment="1">
      <alignment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2" fillId="8" borderId="0" xfId="977" applyFont="1" applyAlignment="1">
      <alignment horizontal="center"/>
    </xf>
    <xf numFmtId="0" fontId="12" fillId="9" borderId="0" xfId="978" applyFont="1" applyAlignment="1">
      <alignment horizontal="center"/>
    </xf>
    <xf numFmtId="0" fontId="19" fillId="9" borderId="0" xfId="978" applyFont="1" applyAlignment="1">
      <alignment horizontal="center"/>
    </xf>
    <xf numFmtId="1" fontId="19" fillId="9" borderId="0" xfId="978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10" fillId="0" borderId="0" xfId="974" applyFill="1" applyBorder="1" applyAlignment="1">
      <alignment horizontal="center"/>
    </xf>
    <xf numFmtId="0" fontId="10" fillId="6" borderId="0" xfId="974" applyAlignment="1">
      <alignment horizontal="center" wrapText="1"/>
    </xf>
    <xf numFmtId="8" fontId="22" fillId="0" borderId="27" xfId="976" applyNumberFormat="1" applyFont="1" applyFill="1" applyBorder="1" applyAlignment="1">
      <alignment horizontal="center" vertical="center"/>
    </xf>
    <xf numFmtId="8" fontId="24" fillId="0" borderId="27" xfId="976" applyNumberFormat="1" applyFont="1" applyFill="1" applyBorder="1" applyAlignment="1">
      <alignment horizontal="center" vertical="center"/>
    </xf>
    <xf numFmtId="9" fontId="17" fillId="7" borderId="0" xfId="0" applyNumberFormat="1" applyFont="1" applyFill="1" applyBorder="1" applyAlignment="1">
      <alignment horizontal="left"/>
    </xf>
    <xf numFmtId="9" fontId="18" fillId="0" borderId="0" xfId="0" applyNumberFormat="1" applyFont="1" applyFill="1" applyBorder="1" applyAlignment="1">
      <alignment horizontal="center"/>
    </xf>
    <xf numFmtId="9" fontId="18" fillId="7" borderId="0" xfId="0" applyNumberFormat="1" applyFont="1" applyFill="1" applyBorder="1" applyAlignment="1">
      <alignment horizontal="center"/>
    </xf>
    <xf numFmtId="166" fontId="18" fillId="0" borderId="14" xfId="0" applyNumberFormat="1" applyFont="1" applyFill="1" applyBorder="1" applyAlignment="1">
      <alignment horizontal="left"/>
    </xf>
    <xf numFmtId="166" fontId="18" fillId="0" borderId="12" xfId="0" applyNumberFormat="1" applyFont="1" applyFill="1" applyBorder="1" applyAlignment="1">
      <alignment horizontal="left"/>
    </xf>
    <xf numFmtId="166" fontId="18" fillId="0" borderId="12" xfId="0" applyNumberFormat="1" applyFont="1" applyBorder="1" applyAlignment="1">
      <alignment horizontal="left"/>
    </xf>
    <xf numFmtId="166" fontId="18" fillId="0" borderId="15" xfId="0" applyNumberFormat="1" applyFont="1" applyBorder="1" applyAlignment="1">
      <alignment horizontal="left"/>
    </xf>
  </cellXfs>
  <cellStyles count="980">
    <cellStyle name="60% - Accent3" xfId="978" builtinId="40"/>
    <cellStyle name="Accent2" xfId="977" builtinId="33"/>
    <cellStyle name="Bad" xfId="979" builtinId="27"/>
    <cellStyle name="Currency" xfId="976" builtinId="4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Good" xfId="974" builtinId="26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Normal" xfId="0" builtinId="0"/>
    <cellStyle name="Normal 2" xfId="1"/>
    <cellStyle name="Normal 2 2" xfId="6"/>
    <cellStyle name="Normal 2 2 2" xfId="7"/>
    <cellStyle name="Normal 2 3" xfId="8"/>
    <cellStyle name="Normal 2 3 2" xfId="9"/>
    <cellStyle name="Normal 2 4" xfId="10"/>
    <cellStyle name="Normal 2 5" xfId="11"/>
    <cellStyle name="Normal 2 6" xfId="12"/>
    <cellStyle name="Normal 3" xfId="13"/>
    <cellStyle name="Normal 3 2" xfId="14"/>
    <cellStyle name="Normal 4" xfId="15"/>
    <cellStyle name="Normal 4 2" xfId="16"/>
    <cellStyle name="Normal 5" xfId="17"/>
    <cellStyle name="Normal 5 2" xfId="18"/>
    <cellStyle name="Normal 6" xfId="19"/>
    <cellStyle name="Normal 6 2" xfId="20"/>
    <cellStyle name="Normal 7" xfId="21"/>
    <cellStyle name="Normal 7 2" xfId="22"/>
    <cellStyle name="Normal 8" xfId="23"/>
    <cellStyle name="Normal 9" xfId="24"/>
    <cellStyle name="Percent" xfId="973" builtinId="5"/>
    <cellStyle name="Percent 2" xfId="975"/>
    <cellStyle name="SAPBEXchaText" xfId="2"/>
    <cellStyle name="SAPBEXstdData" xfId="3"/>
    <cellStyle name="SAPBEXstdItem" xfId="4"/>
    <cellStyle name="SAPBEXstdItemX" xfId="5"/>
  </cellStyles>
  <dxfs count="18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9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323850</xdr:colOff>
          <xdr:row>0</xdr:row>
          <xdr:rowOff>828675</xdr:rowOff>
        </xdr:from>
        <xdr:to>
          <xdr:col>24</xdr:col>
          <xdr:colOff>266700</xdr:colOff>
          <xdr:row>3</xdr:row>
          <xdr:rowOff>104775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SKU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361950</xdr:colOff>
          <xdr:row>0</xdr:row>
          <xdr:rowOff>828675</xdr:rowOff>
        </xdr:from>
        <xdr:to>
          <xdr:col>25</xdr:col>
          <xdr:colOff>352425</xdr:colOff>
          <xdr:row>3</xdr:row>
          <xdr:rowOff>104775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Demand Pattern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323850</xdr:colOff>
          <xdr:row>4</xdr:row>
          <xdr:rowOff>9525</xdr:rowOff>
        </xdr:from>
        <xdr:to>
          <xdr:col>24</xdr:col>
          <xdr:colOff>266700</xdr:colOff>
          <xdr:row>7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Domestic Production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361950</xdr:colOff>
          <xdr:row>4</xdr:row>
          <xdr:rowOff>9525</xdr:rowOff>
        </xdr:from>
        <xdr:to>
          <xdr:col>25</xdr:col>
          <xdr:colOff>352425</xdr:colOff>
          <xdr:row>7</xdr:row>
          <xdr:rowOff>114300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Manage Demand Options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323850</xdr:colOff>
          <xdr:row>0</xdr:row>
          <xdr:rowOff>228600</xdr:rowOff>
        </xdr:from>
        <xdr:to>
          <xdr:col>25</xdr:col>
          <xdr:colOff>352425</xdr:colOff>
          <xdr:row>0</xdr:row>
          <xdr:rowOff>762000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SKUs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323850</xdr:colOff>
          <xdr:row>8</xdr:row>
          <xdr:rowOff>0</xdr:rowOff>
        </xdr:from>
        <xdr:to>
          <xdr:col>24</xdr:col>
          <xdr:colOff>266700</xdr:colOff>
          <xdr:row>11</xdr:row>
          <xdr:rowOff>104775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Scenario 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361950</xdr:colOff>
          <xdr:row>8</xdr:row>
          <xdr:rowOff>0</xdr:rowOff>
        </xdr:from>
        <xdr:to>
          <xdr:col>25</xdr:col>
          <xdr:colOff>352425</xdr:colOff>
          <xdr:row>11</xdr:row>
          <xdr:rowOff>104775</xdr:rowOff>
        </xdr:to>
        <xdr:sp macro="" textlink="">
          <xdr:nvSpPr>
            <xdr:cNvPr id="12310" name="Button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Scenario B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323850</xdr:colOff>
          <xdr:row>11</xdr:row>
          <xdr:rowOff>180975</xdr:rowOff>
        </xdr:from>
        <xdr:to>
          <xdr:col>24</xdr:col>
          <xdr:colOff>266700</xdr:colOff>
          <xdr:row>15</xdr:row>
          <xdr:rowOff>95250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Scenario C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361950</xdr:colOff>
          <xdr:row>11</xdr:row>
          <xdr:rowOff>171450</xdr:rowOff>
        </xdr:from>
        <xdr:to>
          <xdr:col>25</xdr:col>
          <xdr:colOff>352425</xdr:colOff>
          <xdr:row>15</xdr:row>
          <xdr:rowOff>85725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Scenario D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323850</xdr:colOff>
          <xdr:row>16</xdr:row>
          <xdr:rowOff>9525</xdr:rowOff>
        </xdr:from>
        <xdr:to>
          <xdr:col>25</xdr:col>
          <xdr:colOff>352425</xdr:colOff>
          <xdr:row>18</xdr:row>
          <xdr:rowOff>171450</xdr:rowOff>
        </xdr:to>
        <xdr:sp macro="" textlink="">
          <xdr:nvSpPr>
            <xdr:cNvPr id="12313" name="Button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Scenario Probabilities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12</xdr:row>
          <xdr:rowOff>19050</xdr:rowOff>
        </xdr:from>
        <xdr:to>
          <xdr:col>4</xdr:col>
          <xdr:colOff>628650</xdr:colOff>
          <xdr:row>14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SHIFTS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15</xdr:row>
          <xdr:rowOff>28575</xdr:rowOff>
        </xdr:from>
        <xdr:to>
          <xdr:col>13</xdr:col>
          <xdr:colOff>419100</xdr:colOff>
          <xdr:row>17</xdr:row>
          <xdr:rowOff>66675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Monte Carlo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704850</xdr:colOff>
          <xdr:row>11</xdr:row>
          <xdr:rowOff>95250</xdr:rowOff>
        </xdr:from>
        <xdr:to>
          <xdr:col>16</xdr:col>
          <xdr:colOff>666750</xdr:colOff>
          <xdr:row>13</xdr:row>
          <xdr:rowOff>95250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Model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15</xdr:row>
          <xdr:rowOff>9525</xdr:rowOff>
        </xdr:from>
        <xdr:to>
          <xdr:col>16</xdr:col>
          <xdr:colOff>533400</xdr:colOff>
          <xdr:row>17</xdr:row>
          <xdr:rowOff>66675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Pivot Tables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pton, William M" refreshedDate="41253.032803587965" createdVersion="3" refreshedVersion="4" minRefreshableVersion="3" recordCount="279">
  <cacheSource type="worksheet">
    <worksheetSource ref="A1:E280" sheet="PivotTables"/>
  </cacheSource>
  <cacheFields count="5">
    <cacheField name="Period" numFmtId="1">
      <sharedItems containsSemiMixedTypes="0" containsString="0" containsNumber="1" containsInteger="1" minValue="3" maxValue="11" count="9">
        <n v="3"/>
        <n v="4"/>
        <n v="5"/>
        <n v="6"/>
        <n v="7"/>
        <n v="8"/>
        <n v="9"/>
        <n v="10"/>
        <n v="11"/>
      </sharedItems>
    </cacheField>
    <cacheField name="Sku" numFmtId="49">
      <sharedItems count="15">
        <s v="DomesticMC"/>
        <s v="DomesticPNT"/>
        <s v="M3135400"/>
        <s v="M3135500"/>
        <s v="M3471400"/>
        <s v="M3472400"/>
        <s v="M4103300"/>
        <s v="M4348701"/>
        <s v="M4597400"/>
        <s v="M3134800"/>
        <s v="M3135000"/>
        <s v="M4103600"/>
        <s v="M4330501"/>
        <s v="M4468800"/>
        <s v="M4581200"/>
      </sharedItems>
    </cacheField>
    <cacheField name="Type" numFmtId="0">
      <sharedItems count="2">
        <s v="MC"/>
        <s v="PNT"/>
      </sharedItems>
    </cacheField>
    <cacheField name="Location" numFmtId="0">
      <sharedItems count="2">
        <s v="CLV"/>
        <s v="HKT"/>
      </sharedItems>
    </cacheField>
    <cacheField name="Xij" numFmtId="1">
      <sharedItems containsString="0" containsBlank="1" containsNumber="1" minValue="0" maxValue="51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9">
  <r>
    <x v="0"/>
    <x v="0"/>
    <x v="0"/>
    <x v="0"/>
    <n v="4395.8"/>
  </r>
  <r>
    <x v="1"/>
    <x v="0"/>
    <x v="0"/>
    <x v="0"/>
    <n v="2925"/>
  </r>
  <r>
    <x v="2"/>
    <x v="0"/>
    <x v="0"/>
    <x v="0"/>
    <n v="4550"/>
  </r>
  <r>
    <x v="3"/>
    <x v="0"/>
    <x v="0"/>
    <x v="0"/>
    <n v="4290"/>
  </r>
  <r>
    <x v="4"/>
    <x v="0"/>
    <x v="0"/>
    <x v="0"/>
    <n v="4225"/>
  </r>
  <r>
    <x v="5"/>
    <x v="0"/>
    <x v="0"/>
    <x v="0"/>
    <n v="4169.4043000000001"/>
  </r>
  <r>
    <x v="6"/>
    <x v="0"/>
    <x v="0"/>
    <x v="0"/>
    <n v="4290"/>
  </r>
  <r>
    <x v="7"/>
    <x v="0"/>
    <x v="0"/>
    <x v="0"/>
    <n v="4357.3414000000002"/>
  </r>
  <r>
    <x v="8"/>
    <x v="0"/>
    <x v="0"/>
    <x v="0"/>
    <n v="3380"/>
  </r>
  <r>
    <x v="0"/>
    <x v="1"/>
    <x v="1"/>
    <x v="0"/>
    <n v="2640"/>
  </r>
  <r>
    <x v="1"/>
    <x v="1"/>
    <x v="1"/>
    <x v="0"/>
    <n v="1888"/>
  </r>
  <r>
    <x v="2"/>
    <x v="1"/>
    <x v="1"/>
    <x v="0"/>
    <n v="2054.9"/>
  </r>
  <r>
    <x v="3"/>
    <x v="1"/>
    <x v="1"/>
    <x v="0"/>
    <n v="2138.1999999999998"/>
  </r>
  <r>
    <x v="4"/>
    <x v="1"/>
    <x v="1"/>
    <x v="0"/>
    <n v="2093.8667"/>
  </r>
  <r>
    <x v="5"/>
    <x v="1"/>
    <x v="1"/>
    <x v="0"/>
    <n v="2954.8984999999998"/>
  </r>
  <r>
    <x v="6"/>
    <x v="1"/>
    <x v="1"/>
    <x v="0"/>
    <n v="2751.2905999999998"/>
  </r>
  <r>
    <x v="7"/>
    <x v="1"/>
    <x v="1"/>
    <x v="0"/>
    <n v="2831.7107999999998"/>
  </r>
  <r>
    <x v="8"/>
    <x v="1"/>
    <x v="1"/>
    <x v="0"/>
    <n v="2200"/>
  </r>
  <r>
    <x v="0"/>
    <x v="2"/>
    <x v="0"/>
    <x v="0"/>
    <n v="0"/>
  </r>
  <r>
    <x v="1"/>
    <x v="2"/>
    <x v="0"/>
    <x v="0"/>
    <n v="0"/>
  </r>
  <r>
    <x v="2"/>
    <x v="2"/>
    <x v="0"/>
    <x v="0"/>
    <n v="0"/>
  </r>
  <r>
    <x v="3"/>
    <x v="2"/>
    <x v="0"/>
    <x v="0"/>
    <n v="0"/>
  </r>
  <r>
    <x v="4"/>
    <x v="2"/>
    <x v="0"/>
    <x v="0"/>
    <n v="0"/>
  </r>
  <r>
    <x v="5"/>
    <x v="2"/>
    <x v="0"/>
    <x v="0"/>
    <n v="250.81558000000001"/>
  </r>
  <r>
    <x v="6"/>
    <x v="2"/>
    <x v="0"/>
    <x v="0"/>
    <n v="0"/>
  </r>
  <r>
    <x v="7"/>
    <x v="2"/>
    <x v="0"/>
    <x v="0"/>
    <n v="14.786524"/>
  </r>
  <r>
    <x v="8"/>
    <x v="2"/>
    <x v="0"/>
    <x v="0"/>
    <n v="0"/>
  </r>
  <r>
    <x v="0"/>
    <x v="3"/>
    <x v="0"/>
    <x v="0"/>
    <n v="0"/>
  </r>
  <r>
    <x v="1"/>
    <x v="3"/>
    <x v="0"/>
    <x v="0"/>
    <n v="0"/>
  </r>
  <r>
    <x v="2"/>
    <x v="3"/>
    <x v="0"/>
    <x v="0"/>
    <n v="0"/>
  </r>
  <r>
    <x v="3"/>
    <x v="3"/>
    <x v="0"/>
    <x v="0"/>
    <n v="0"/>
  </r>
  <r>
    <x v="4"/>
    <x v="3"/>
    <x v="0"/>
    <x v="0"/>
    <n v="0"/>
  </r>
  <r>
    <x v="5"/>
    <x v="3"/>
    <x v="0"/>
    <x v="0"/>
    <n v="0"/>
  </r>
  <r>
    <x v="6"/>
    <x v="3"/>
    <x v="0"/>
    <x v="0"/>
    <n v="0"/>
  </r>
  <r>
    <x v="7"/>
    <x v="3"/>
    <x v="0"/>
    <x v="0"/>
    <n v="0"/>
  </r>
  <r>
    <x v="8"/>
    <x v="3"/>
    <x v="0"/>
    <x v="0"/>
    <n v="0"/>
  </r>
  <r>
    <x v="0"/>
    <x v="4"/>
    <x v="0"/>
    <x v="0"/>
    <n v="0"/>
  </r>
  <r>
    <x v="1"/>
    <x v="4"/>
    <x v="0"/>
    <x v="0"/>
    <n v="0"/>
  </r>
  <r>
    <x v="2"/>
    <x v="4"/>
    <x v="0"/>
    <x v="0"/>
    <n v="0"/>
  </r>
  <r>
    <x v="3"/>
    <x v="4"/>
    <x v="0"/>
    <x v="0"/>
    <n v="0"/>
  </r>
  <r>
    <x v="4"/>
    <x v="4"/>
    <x v="0"/>
    <x v="0"/>
    <n v="0"/>
  </r>
  <r>
    <x v="5"/>
    <x v="4"/>
    <x v="0"/>
    <x v="0"/>
    <n v="64.780152000000001"/>
  </r>
  <r>
    <x v="6"/>
    <x v="4"/>
    <x v="0"/>
    <x v="0"/>
    <n v="0"/>
  </r>
  <r>
    <x v="7"/>
    <x v="4"/>
    <x v="0"/>
    <x v="0"/>
    <n v="48.196162999999999"/>
  </r>
  <r>
    <x v="8"/>
    <x v="4"/>
    <x v="0"/>
    <x v="0"/>
    <n v="0"/>
  </r>
  <r>
    <x v="0"/>
    <x v="5"/>
    <x v="0"/>
    <x v="0"/>
    <n v="0"/>
  </r>
  <r>
    <x v="1"/>
    <x v="5"/>
    <x v="0"/>
    <x v="0"/>
    <n v="0"/>
  </r>
  <r>
    <x v="2"/>
    <x v="5"/>
    <x v="0"/>
    <x v="0"/>
    <n v="0"/>
  </r>
  <r>
    <x v="3"/>
    <x v="5"/>
    <x v="0"/>
    <x v="0"/>
    <n v="0"/>
  </r>
  <r>
    <x v="4"/>
    <x v="5"/>
    <x v="0"/>
    <x v="0"/>
    <n v="0"/>
  </r>
  <r>
    <x v="5"/>
    <x v="5"/>
    <x v="0"/>
    <x v="0"/>
    <n v="0"/>
  </r>
  <r>
    <x v="6"/>
    <x v="5"/>
    <x v="0"/>
    <x v="0"/>
    <n v="0"/>
  </r>
  <r>
    <x v="7"/>
    <x v="5"/>
    <x v="0"/>
    <x v="0"/>
    <n v="48.163924000000002"/>
  </r>
  <r>
    <x v="8"/>
    <x v="5"/>
    <x v="0"/>
    <x v="0"/>
    <n v="0"/>
  </r>
  <r>
    <x v="0"/>
    <x v="6"/>
    <x v="0"/>
    <x v="0"/>
    <n v="0"/>
  </r>
  <r>
    <x v="1"/>
    <x v="6"/>
    <x v="0"/>
    <x v="0"/>
    <n v="0"/>
  </r>
  <r>
    <x v="2"/>
    <x v="6"/>
    <x v="0"/>
    <x v="0"/>
    <n v="0"/>
  </r>
  <r>
    <x v="3"/>
    <x v="6"/>
    <x v="0"/>
    <x v="0"/>
    <n v="0"/>
  </r>
  <r>
    <x v="4"/>
    <x v="6"/>
    <x v="0"/>
    <x v="0"/>
    <n v="0"/>
  </r>
  <r>
    <x v="5"/>
    <x v="6"/>
    <x v="0"/>
    <x v="0"/>
    <n v="0"/>
  </r>
  <r>
    <x v="6"/>
    <x v="6"/>
    <x v="0"/>
    <x v="0"/>
    <n v="0"/>
  </r>
  <r>
    <x v="7"/>
    <x v="6"/>
    <x v="0"/>
    <x v="0"/>
    <n v="0"/>
  </r>
  <r>
    <x v="8"/>
    <x v="6"/>
    <x v="0"/>
    <x v="0"/>
    <n v="0"/>
  </r>
  <r>
    <x v="0"/>
    <x v="7"/>
    <x v="0"/>
    <x v="0"/>
    <n v="0"/>
  </r>
  <r>
    <x v="1"/>
    <x v="7"/>
    <x v="0"/>
    <x v="0"/>
    <n v="0"/>
  </r>
  <r>
    <x v="2"/>
    <x v="7"/>
    <x v="0"/>
    <x v="0"/>
    <n v="0"/>
  </r>
  <r>
    <x v="3"/>
    <x v="7"/>
    <x v="0"/>
    <x v="0"/>
    <n v="0"/>
  </r>
  <r>
    <x v="4"/>
    <x v="7"/>
    <x v="0"/>
    <x v="0"/>
    <n v="0"/>
  </r>
  <r>
    <x v="5"/>
    <x v="7"/>
    <x v="0"/>
    <x v="0"/>
    <n v="0"/>
  </r>
  <r>
    <x v="6"/>
    <x v="7"/>
    <x v="0"/>
    <x v="0"/>
    <n v="0"/>
  </r>
  <r>
    <x v="7"/>
    <x v="7"/>
    <x v="0"/>
    <x v="0"/>
    <n v="0"/>
  </r>
  <r>
    <x v="8"/>
    <x v="7"/>
    <x v="0"/>
    <x v="0"/>
    <n v="0"/>
  </r>
  <r>
    <x v="0"/>
    <x v="8"/>
    <x v="0"/>
    <x v="0"/>
    <n v="0"/>
  </r>
  <r>
    <x v="1"/>
    <x v="8"/>
    <x v="0"/>
    <x v="0"/>
    <n v="0"/>
  </r>
  <r>
    <x v="2"/>
    <x v="8"/>
    <x v="0"/>
    <x v="0"/>
    <n v="0"/>
  </r>
  <r>
    <x v="3"/>
    <x v="8"/>
    <x v="0"/>
    <x v="0"/>
    <n v="0"/>
  </r>
  <r>
    <x v="4"/>
    <x v="8"/>
    <x v="0"/>
    <x v="0"/>
    <n v="0"/>
  </r>
  <r>
    <x v="5"/>
    <x v="8"/>
    <x v="0"/>
    <x v="0"/>
    <n v="0"/>
  </r>
  <r>
    <x v="6"/>
    <x v="8"/>
    <x v="0"/>
    <x v="0"/>
    <n v="0"/>
  </r>
  <r>
    <x v="7"/>
    <x v="8"/>
    <x v="0"/>
    <x v="0"/>
    <n v="16.511976000000001"/>
  </r>
  <r>
    <x v="8"/>
    <x v="8"/>
    <x v="0"/>
    <x v="0"/>
    <n v="0"/>
  </r>
  <r>
    <x v="0"/>
    <x v="9"/>
    <x v="1"/>
    <x v="0"/>
    <n v="0"/>
  </r>
  <r>
    <x v="1"/>
    <x v="9"/>
    <x v="1"/>
    <x v="0"/>
    <n v="0"/>
  </r>
  <r>
    <x v="2"/>
    <x v="9"/>
    <x v="1"/>
    <x v="0"/>
    <n v="0"/>
  </r>
  <r>
    <x v="3"/>
    <x v="9"/>
    <x v="1"/>
    <x v="0"/>
    <n v="454.7"/>
  </r>
  <r>
    <x v="4"/>
    <x v="9"/>
    <x v="1"/>
    <x v="0"/>
    <n v="129.69999999999999"/>
  </r>
  <r>
    <x v="5"/>
    <x v="9"/>
    <x v="1"/>
    <x v="0"/>
    <n v="0"/>
  </r>
  <r>
    <x v="6"/>
    <x v="9"/>
    <x v="1"/>
    <x v="0"/>
    <n v="0"/>
  </r>
  <r>
    <x v="7"/>
    <x v="9"/>
    <x v="1"/>
    <x v="0"/>
    <n v="0"/>
  </r>
  <r>
    <x v="8"/>
    <x v="9"/>
    <x v="1"/>
    <x v="0"/>
    <n v="0"/>
  </r>
  <r>
    <x v="0"/>
    <x v="10"/>
    <x v="1"/>
    <x v="0"/>
    <n v="0"/>
  </r>
  <r>
    <x v="1"/>
    <x v="10"/>
    <x v="1"/>
    <x v="0"/>
    <n v="0"/>
  </r>
  <r>
    <x v="2"/>
    <x v="10"/>
    <x v="1"/>
    <x v="0"/>
    <n v="0"/>
  </r>
  <r>
    <x v="3"/>
    <x v="10"/>
    <x v="1"/>
    <x v="0"/>
    <n v="0"/>
  </r>
  <r>
    <x v="4"/>
    <x v="10"/>
    <x v="1"/>
    <x v="0"/>
    <n v="0"/>
  </r>
  <r>
    <x v="5"/>
    <x v="10"/>
    <x v="1"/>
    <x v="0"/>
    <n v="0"/>
  </r>
  <r>
    <x v="6"/>
    <x v="10"/>
    <x v="1"/>
    <x v="0"/>
    <n v="0"/>
  </r>
  <r>
    <x v="7"/>
    <x v="10"/>
    <x v="1"/>
    <x v="0"/>
    <n v="0"/>
  </r>
  <r>
    <x v="8"/>
    <x v="10"/>
    <x v="1"/>
    <x v="0"/>
    <n v="0"/>
  </r>
  <r>
    <x v="0"/>
    <x v="11"/>
    <x v="1"/>
    <x v="0"/>
    <n v="0"/>
  </r>
  <r>
    <x v="1"/>
    <x v="11"/>
    <x v="1"/>
    <x v="0"/>
    <n v="0"/>
  </r>
  <r>
    <x v="2"/>
    <x v="11"/>
    <x v="1"/>
    <x v="0"/>
    <n v="0"/>
  </r>
  <r>
    <x v="3"/>
    <x v="11"/>
    <x v="1"/>
    <x v="0"/>
    <n v="0"/>
  </r>
  <r>
    <x v="4"/>
    <x v="11"/>
    <x v="1"/>
    <x v="0"/>
    <n v="32.966667000000001"/>
  </r>
  <r>
    <x v="5"/>
    <x v="11"/>
    <x v="1"/>
    <x v="0"/>
    <n v="57.223939999999999"/>
  </r>
  <r>
    <x v="6"/>
    <x v="11"/>
    <x v="1"/>
    <x v="0"/>
    <n v="8.7093933000000003"/>
  </r>
  <r>
    <x v="7"/>
    <x v="11"/>
    <x v="1"/>
    <x v="0"/>
    <n v="0"/>
  </r>
  <r>
    <x v="8"/>
    <x v="11"/>
    <x v="1"/>
    <x v="0"/>
    <n v="0"/>
  </r>
  <r>
    <x v="0"/>
    <x v="12"/>
    <x v="1"/>
    <x v="0"/>
    <n v="0"/>
  </r>
  <r>
    <x v="1"/>
    <x v="12"/>
    <x v="1"/>
    <x v="0"/>
    <n v="0"/>
  </r>
  <r>
    <x v="2"/>
    <x v="12"/>
    <x v="1"/>
    <x v="0"/>
    <n v="0"/>
  </r>
  <r>
    <x v="3"/>
    <x v="12"/>
    <x v="1"/>
    <x v="0"/>
    <n v="0"/>
  </r>
  <r>
    <x v="4"/>
    <x v="12"/>
    <x v="1"/>
    <x v="0"/>
    <n v="143.46666999999999"/>
  </r>
  <r>
    <x v="5"/>
    <x v="12"/>
    <x v="1"/>
    <x v="0"/>
    <n v="24.433333000000001"/>
  </r>
  <r>
    <x v="6"/>
    <x v="12"/>
    <x v="1"/>
    <x v="0"/>
    <n v="0"/>
  </r>
  <r>
    <x v="7"/>
    <x v="12"/>
    <x v="1"/>
    <x v="0"/>
    <n v="0"/>
  </r>
  <r>
    <x v="8"/>
    <x v="12"/>
    <x v="1"/>
    <x v="0"/>
    <n v="0"/>
  </r>
  <r>
    <x v="0"/>
    <x v="13"/>
    <x v="1"/>
    <x v="0"/>
    <n v="0"/>
  </r>
  <r>
    <x v="1"/>
    <x v="13"/>
    <x v="1"/>
    <x v="0"/>
    <n v="61.3"/>
  </r>
  <r>
    <x v="2"/>
    <x v="13"/>
    <x v="1"/>
    <x v="0"/>
    <n v="425.1"/>
  </r>
  <r>
    <x v="3"/>
    <x v="13"/>
    <x v="1"/>
    <x v="0"/>
    <n v="7.1"/>
  </r>
  <r>
    <x v="4"/>
    <x v="13"/>
    <x v="1"/>
    <x v="0"/>
    <n v="0"/>
  </r>
  <r>
    <x v="5"/>
    <x v="13"/>
    <x v="1"/>
    <x v="0"/>
    <n v="0"/>
  </r>
  <r>
    <x v="6"/>
    <x v="13"/>
    <x v="1"/>
    <x v="0"/>
    <n v="0"/>
  </r>
  <r>
    <x v="7"/>
    <x v="13"/>
    <x v="1"/>
    <x v="0"/>
    <n v="0"/>
  </r>
  <r>
    <x v="8"/>
    <x v="13"/>
    <x v="1"/>
    <x v="0"/>
    <n v="0"/>
  </r>
  <r>
    <x v="0"/>
    <x v="14"/>
    <x v="1"/>
    <x v="0"/>
    <n v="0"/>
  </r>
  <r>
    <x v="1"/>
    <x v="14"/>
    <x v="1"/>
    <x v="0"/>
    <n v="0"/>
  </r>
  <r>
    <x v="2"/>
    <x v="14"/>
    <x v="1"/>
    <x v="0"/>
    <n v="0"/>
  </r>
  <r>
    <x v="3"/>
    <x v="14"/>
    <x v="1"/>
    <x v="0"/>
    <n v="0"/>
  </r>
  <r>
    <x v="4"/>
    <x v="14"/>
    <x v="1"/>
    <x v="0"/>
    <n v="0"/>
  </r>
  <r>
    <x v="5"/>
    <x v="14"/>
    <x v="1"/>
    <x v="0"/>
    <n v="83.444176999999996"/>
  </r>
  <r>
    <x v="6"/>
    <x v="14"/>
    <x v="1"/>
    <x v="0"/>
    <n v="0"/>
  </r>
  <r>
    <x v="7"/>
    <x v="14"/>
    <x v="1"/>
    <x v="0"/>
    <n v="8.2891566000000001"/>
  </r>
  <r>
    <x v="8"/>
    <x v="14"/>
    <x v="1"/>
    <x v="0"/>
    <n v="0"/>
  </r>
  <r>
    <x v="0"/>
    <x v="0"/>
    <x v="0"/>
    <x v="1"/>
    <n v="2880"/>
  </r>
  <r>
    <x v="1"/>
    <x v="0"/>
    <x v="0"/>
    <x v="1"/>
    <n v="2804.1"/>
  </r>
  <r>
    <x v="2"/>
    <x v="0"/>
    <x v="0"/>
    <x v="1"/>
    <n v="2418.3000000000002"/>
  </r>
  <r>
    <x v="3"/>
    <x v="0"/>
    <x v="0"/>
    <x v="1"/>
    <n v="1359.9"/>
  </r>
  <r>
    <x v="4"/>
    <x v="0"/>
    <x v="0"/>
    <x v="1"/>
    <n v="1330.6"/>
  </r>
  <r>
    <x v="5"/>
    <x v="0"/>
    <x v="0"/>
    <x v="1"/>
    <n v="2396.6327999999999"/>
  </r>
  <r>
    <x v="6"/>
    <x v="0"/>
    <x v="0"/>
    <x v="1"/>
    <n v="2364.5628999999999"/>
  </r>
  <r>
    <x v="7"/>
    <x v="0"/>
    <x v="0"/>
    <x v="1"/>
    <n v="2627.8586"/>
  </r>
  <r>
    <x v="8"/>
    <x v="0"/>
    <x v="0"/>
    <x v="1"/>
    <n v="2672.7"/>
  </r>
  <r>
    <x v="0"/>
    <x v="1"/>
    <x v="1"/>
    <x v="1"/>
    <n v="4700.8999999999996"/>
  </r>
  <r>
    <x v="1"/>
    <x v="1"/>
    <x v="1"/>
    <x v="1"/>
    <n v="5120"/>
  </r>
  <r>
    <x v="2"/>
    <x v="1"/>
    <x v="1"/>
    <x v="1"/>
    <n v="4800"/>
  </r>
  <r>
    <x v="3"/>
    <x v="1"/>
    <x v="1"/>
    <x v="1"/>
    <n v="4437"/>
  </r>
  <r>
    <x v="4"/>
    <x v="1"/>
    <x v="1"/>
    <x v="1"/>
    <n v="4674.1333000000004"/>
  </r>
  <r>
    <x v="5"/>
    <x v="1"/>
    <x v="1"/>
    <x v="1"/>
    <n v="4960"/>
  </r>
  <r>
    <x v="6"/>
    <x v="1"/>
    <x v="1"/>
    <x v="1"/>
    <n v="4640"/>
  </r>
  <r>
    <x v="7"/>
    <x v="1"/>
    <x v="1"/>
    <x v="1"/>
    <n v="4400"/>
  </r>
  <r>
    <x v="8"/>
    <x v="1"/>
    <x v="1"/>
    <x v="1"/>
    <n v="4880"/>
  </r>
  <r>
    <x v="0"/>
    <x v="2"/>
    <x v="0"/>
    <x v="1"/>
    <n v="0"/>
  </r>
  <r>
    <x v="1"/>
    <x v="2"/>
    <x v="0"/>
    <x v="1"/>
    <n v="0"/>
  </r>
  <r>
    <x v="2"/>
    <x v="2"/>
    <x v="0"/>
    <x v="1"/>
    <n v="0"/>
  </r>
  <r>
    <x v="3"/>
    <x v="2"/>
    <x v="0"/>
    <x v="1"/>
    <n v="132.91408999999999"/>
  </r>
  <r>
    <x v="4"/>
    <x v="2"/>
    <x v="0"/>
    <x v="1"/>
    <n v="259.79935"/>
  </r>
  <r>
    <x v="5"/>
    <x v="2"/>
    <x v="0"/>
    <x v="1"/>
    <n v="0"/>
  </r>
  <r>
    <x v="6"/>
    <x v="2"/>
    <x v="0"/>
    <x v="1"/>
    <n v="0"/>
  </r>
  <r>
    <x v="7"/>
    <x v="2"/>
    <x v="0"/>
    <x v="1"/>
    <n v="0"/>
  </r>
  <r>
    <x v="8"/>
    <x v="2"/>
    <x v="0"/>
    <x v="1"/>
    <n v="0"/>
  </r>
  <r>
    <x v="0"/>
    <x v="3"/>
    <x v="0"/>
    <x v="1"/>
    <n v="0"/>
  </r>
  <r>
    <x v="1"/>
    <x v="3"/>
    <x v="0"/>
    <x v="1"/>
    <n v="0"/>
  </r>
  <r>
    <x v="2"/>
    <x v="3"/>
    <x v="0"/>
    <x v="1"/>
    <n v="0"/>
  </r>
  <r>
    <x v="3"/>
    <x v="3"/>
    <x v="0"/>
    <x v="1"/>
    <n v="426.40906999999999"/>
  </r>
  <r>
    <x v="4"/>
    <x v="3"/>
    <x v="0"/>
    <x v="1"/>
    <n v="0"/>
  </r>
  <r>
    <x v="5"/>
    <x v="3"/>
    <x v="0"/>
    <x v="1"/>
    <n v="0"/>
  </r>
  <r>
    <x v="6"/>
    <x v="3"/>
    <x v="0"/>
    <x v="1"/>
    <n v="0"/>
  </r>
  <r>
    <x v="7"/>
    <x v="3"/>
    <x v="0"/>
    <x v="1"/>
    <n v="0"/>
  </r>
  <r>
    <x v="8"/>
    <x v="3"/>
    <x v="0"/>
    <x v="1"/>
    <n v="0"/>
  </r>
  <r>
    <x v="0"/>
    <x v="4"/>
    <x v="0"/>
    <x v="1"/>
    <n v="0"/>
  </r>
  <r>
    <x v="1"/>
    <x v="4"/>
    <x v="0"/>
    <x v="1"/>
    <n v="0"/>
  </r>
  <r>
    <x v="2"/>
    <x v="4"/>
    <x v="0"/>
    <x v="1"/>
    <n v="0"/>
  </r>
  <r>
    <x v="3"/>
    <x v="4"/>
    <x v="0"/>
    <x v="1"/>
    <n v="2.5366401000000001"/>
  </r>
  <r>
    <x v="4"/>
    <x v="4"/>
    <x v="0"/>
    <x v="1"/>
    <n v="78.438550000000006"/>
  </r>
  <r>
    <x v="5"/>
    <x v="4"/>
    <x v="0"/>
    <x v="1"/>
    <n v="0"/>
  </r>
  <r>
    <x v="6"/>
    <x v="4"/>
    <x v="0"/>
    <x v="1"/>
    <n v="48.974066000000001"/>
  </r>
  <r>
    <x v="7"/>
    <x v="4"/>
    <x v="0"/>
    <x v="1"/>
    <n v="0"/>
  </r>
  <r>
    <x v="8"/>
    <x v="4"/>
    <x v="0"/>
    <x v="1"/>
    <n v="0"/>
  </r>
  <r>
    <x v="0"/>
    <x v="5"/>
    <x v="0"/>
    <x v="1"/>
    <n v="0"/>
  </r>
  <r>
    <x v="1"/>
    <x v="5"/>
    <x v="0"/>
    <x v="1"/>
    <n v="0"/>
  </r>
  <r>
    <x v="2"/>
    <x v="5"/>
    <x v="0"/>
    <x v="1"/>
    <n v="0"/>
  </r>
  <r>
    <x v="3"/>
    <x v="5"/>
    <x v="0"/>
    <x v="1"/>
    <n v="0"/>
  </r>
  <r>
    <x v="4"/>
    <x v="5"/>
    <x v="0"/>
    <x v="1"/>
    <n v="80.273206999999999"/>
  </r>
  <r>
    <x v="5"/>
    <x v="5"/>
    <x v="0"/>
    <x v="1"/>
    <n v="64.218565999999996"/>
  </r>
  <r>
    <x v="6"/>
    <x v="5"/>
    <x v="0"/>
    <x v="1"/>
    <n v="48.163924000000002"/>
  </r>
  <r>
    <x v="7"/>
    <x v="5"/>
    <x v="0"/>
    <x v="1"/>
    <n v="0"/>
  </r>
  <r>
    <x v="8"/>
    <x v="5"/>
    <x v="0"/>
    <x v="1"/>
    <n v="0"/>
  </r>
  <r>
    <x v="0"/>
    <x v="6"/>
    <x v="0"/>
    <x v="1"/>
    <n v="0"/>
  </r>
  <r>
    <x v="1"/>
    <x v="6"/>
    <x v="0"/>
    <x v="1"/>
    <n v="0"/>
  </r>
  <r>
    <x v="2"/>
    <x v="6"/>
    <x v="0"/>
    <x v="1"/>
    <n v="0"/>
  </r>
  <r>
    <x v="3"/>
    <x v="6"/>
    <x v="0"/>
    <x v="1"/>
    <n v="0"/>
  </r>
  <r>
    <x v="4"/>
    <x v="6"/>
    <x v="0"/>
    <x v="1"/>
    <n v="36.048195999999997"/>
  </r>
  <r>
    <x v="5"/>
    <x v="6"/>
    <x v="0"/>
    <x v="1"/>
    <n v="65.938693000000001"/>
  </r>
  <r>
    <x v="6"/>
    <x v="6"/>
    <x v="0"/>
    <x v="1"/>
    <n v="6.157699"/>
  </r>
  <r>
    <x v="7"/>
    <x v="6"/>
    <x v="0"/>
    <x v="1"/>
    <n v="0"/>
  </r>
  <r>
    <x v="8"/>
    <x v="6"/>
    <x v="0"/>
    <x v="1"/>
    <n v="0"/>
  </r>
  <r>
    <x v="0"/>
    <x v="7"/>
    <x v="0"/>
    <x v="1"/>
    <n v="0"/>
  </r>
  <r>
    <x v="1"/>
    <x v="7"/>
    <x v="0"/>
    <x v="1"/>
    <n v="0"/>
  </r>
  <r>
    <x v="2"/>
    <x v="7"/>
    <x v="0"/>
    <x v="1"/>
    <n v="1.250544E-2"/>
  </r>
  <r>
    <x v="3"/>
    <x v="7"/>
    <x v="0"/>
    <x v="1"/>
    <n v="2.1491492000000001"/>
  </r>
  <r>
    <x v="4"/>
    <x v="7"/>
    <x v="0"/>
    <x v="1"/>
    <n v="218.07402999999999"/>
  </r>
  <r>
    <x v="5"/>
    <x v="7"/>
    <x v="0"/>
    <x v="1"/>
    <n v="176.18854999999999"/>
  </r>
  <r>
    <x v="6"/>
    <x v="7"/>
    <x v="0"/>
    <x v="1"/>
    <n v="132.14141000000001"/>
  </r>
  <r>
    <x v="7"/>
    <x v="7"/>
    <x v="0"/>
    <x v="1"/>
    <n v="132.14141000000001"/>
  </r>
  <r>
    <x v="8"/>
    <x v="7"/>
    <x v="0"/>
    <x v="1"/>
    <n v="0"/>
  </r>
  <r>
    <x v="0"/>
    <x v="8"/>
    <x v="0"/>
    <x v="1"/>
    <n v="0"/>
  </r>
  <r>
    <x v="1"/>
    <x v="8"/>
    <x v="0"/>
    <x v="1"/>
    <n v="0"/>
  </r>
  <r>
    <x v="2"/>
    <x v="8"/>
    <x v="0"/>
    <x v="1"/>
    <n v="0"/>
  </r>
  <r>
    <x v="3"/>
    <x v="8"/>
    <x v="0"/>
    <x v="1"/>
    <n v="0"/>
  </r>
  <r>
    <x v="4"/>
    <x v="8"/>
    <x v="0"/>
    <x v="1"/>
    <n v="36.766666999999998"/>
  </r>
  <r>
    <x v="5"/>
    <x v="8"/>
    <x v="0"/>
    <x v="1"/>
    <n v="57.021357000000002"/>
  </r>
  <r>
    <x v="6"/>
    <x v="8"/>
    <x v="0"/>
    <x v="1"/>
    <n v="0"/>
  </r>
  <r>
    <x v="7"/>
    <x v="8"/>
    <x v="0"/>
    <x v="1"/>
    <n v="0"/>
  </r>
  <r>
    <x v="8"/>
    <x v="8"/>
    <x v="0"/>
    <x v="1"/>
    <n v="0"/>
  </r>
  <r>
    <x v="0"/>
    <x v="9"/>
    <x v="1"/>
    <x v="1"/>
    <n v="0"/>
  </r>
  <r>
    <x v="1"/>
    <x v="9"/>
    <x v="1"/>
    <x v="1"/>
    <n v="0"/>
  </r>
  <r>
    <x v="2"/>
    <x v="9"/>
    <x v="1"/>
    <x v="1"/>
    <n v="0"/>
  </r>
  <r>
    <x v="3"/>
    <x v="9"/>
    <x v="1"/>
    <x v="1"/>
    <n v="0"/>
  </r>
  <r>
    <x v="4"/>
    <x v="9"/>
    <x v="1"/>
    <x v="1"/>
    <n v="0"/>
  </r>
  <r>
    <x v="5"/>
    <x v="9"/>
    <x v="1"/>
    <x v="1"/>
    <n v="0"/>
  </r>
  <r>
    <x v="6"/>
    <x v="9"/>
    <x v="1"/>
    <x v="1"/>
    <n v="0"/>
  </r>
  <r>
    <x v="7"/>
    <x v="9"/>
    <x v="1"/>
    <x v="1"/>
    <n v="0"/>
  </r>
  <r>
    <x v="8"/>
    <x v="9"/>
    <x v="1"/>
    <x v="1"/>
    <n v="0"/>
  </r>
  <r>
    <x v="0"/>
    <x v="10"/>
    <x v="1"/>
    <x v="1"/>
    <n v="0"/>
  </r>
  <r>
    <x v="1"/>
    <x v="10"/>
    <x v="1"/>
    <x v="1"/>
    <n v="0"/>
  </r>
  <r>
    <x v="2"/>
    <x v="10"/>
    <x v="1"/>
    <x v="1"/>
    <n v="0"/>
  </r>
  <r>
    <x v="3"/>
    <x v="10"/>
    <x v="1"/>
    <x v="1"/>
    <n v="363"/>
  </r>
  <r>
    <x v="4"/>
    <x v="10"/>
    <x v="1"/>
    <x v="1"/>
    <n v="0"/>
  </r>
  <r>
    <x v="5"/>
    <x v="10"/>
    <x v="1"/>
    <x v="1"/>
    <n v="0"/>
  </r>
  <r>
    <x v="6"/>
    <x v="10"/>
    <x v="1"/>
    <x v="1"/>
    <n v="0"/>
  </r>
  <r>
    <x v="7"/>
    <x v="10"/>
    <x v="1"/>
    <x v="1"/>
    <n v="0"/>
  </r>
  <r>
    <x v="8"/>
    <x v="10"/>
    <x v="1"/>
    <x v="1"/>
    <n v="0"/>
  </r>
  <r>
    <x v="0"/>
    <x v="11"/>
    <x v="1"/>
    <x v="1"/>
    <n v="0"/>
  </r>
  <r>
    <x v="1"/>
    <x v="11"/>
    <x v="1"/>
    <x v="1"/>
    <n v="0"/>
  </r>
  <r>
    <x v="2"/>
    <x v="11"/>
    <x v="1"/>
    <x v="1"/>
    <n v="0"/>
  </r>
  <r>
    <x v="3"/>
    <x v="11"/>
    <x v="1"/>
    <x v="1"/>
    <n v="0"/>
  </r>
  <r>
    <x v="4"/>
    <x v="11"/>
    <x v="1"/>
    <x v="1"/>
    <n v="0"/>
  </r>
  <r>
    <x v="5"/>
    <x v="11"/>
    <x v="1"/>
    <x v="1"/>
    <n v="0"/>
  </r>
  <r>
    <x v="6"/>
    <x v="11"/>
    <x v="1"/>
    <x v="1"/>
    <n v="0"/>
  </r>
  <r>
    <x v="7"/>
    <x v="11"/>
    <x v="1"/>
    <x v="1"/>
    <n v="0"/>
  </r>
  <r>
    <x v="8"/>
    <x v="11"/>
    <x v="1"/>
    <x v="1"/>
    <n v="0"/>
  </r>
  <r>
    <x v="0"/>
    <x v="12"/>
    <x v="1"/>
    <x v="1"/>
    <n v="0"/>
  </r>
  <r>
    <x v="1"/>
    <x v="12"/>
    <x v="1"/>
    <x v="1"/>
    <n v="0"/>
  </r>
  <r>
    <x v="2"/>
    <x v="12"/>
    <x v="1"/>
    <x v="1"/>
    <n v="0"/>
  </r>
  <r>
    <x v="3"/>
    <x v="12"/>
    <x v="1"/>
    <x v="1"/>
    <n v="0"/>
  </r>
  <r>
    <x v="4"/>
    <x v="12"/>
    <x v="1"/>
    <x v="1"/>
    <n v="0"/>
  </r>
  <r>
    <x v="5"/>
    <x v="12"/>
    <x v="1"/>
    <x v="1"/>
    <n v="0"/>
  </r>
  <r>
    <x v="6"/>
    <x v="12"/>
    <x v="1"/>
    <x v="1"/>
    <n v="0"/>
  </r>
  <r>
    <x v="7"/>
    <x v="12"/>
    <x v="1"/>
    <x v="1"/>
    <n v="0"/>
  </r>
  <r>
    <x v="8"/>
    <x v="12"/>
    <x v="1"/>
    <x v="1"/>
    <n v="0"/>
  </r>
  <r>
    <x v="0"/>
    <x v="13"/>
    <x v="1"/>
    <x v="1"/>
    <n v="0"/>
  </r>
  <r>
    <x v="1"/>
    <x v="13"/>
    <x v="1"/>
    <x v="1"/>
    <n v="0"/>
  </r>
  <r>
    <x v="2"/>
    <x v="13"/>
    <x v="1"/>
    <x v="1"/>
    <n v="0"/>
  </r>
  <r>
    <x v="3"/>
    <x v="13"/>
    <x v="1"/>
    <x v="1"/>
    <n v="0"/>
  </r>
  <r>
    <x v="4"/>
    <x v="13"/>
    <x v="1"/>
    <x v="1"/>
    <n v="0"/>
  </r>
  <r>
    <x v="5"/>
    <x v="13"/>
    <x v="1"/>
    <x v="1"/>
    <n v="0"/>
  </r>
  <r>
    <x v="6"/>
    <x v="13"/>
    <x v="1"/>
    <x v="1"/>
    <n v="0"/>
  </r>
  <r>
    <x v="7"/>
    <x v="13"/>
    <x v="1"/>
    <x v="1"/>
    <n v="0"/>
  </r>
  <r>
    <x v="8"/>
    <x v="13"/>
    <x v="1"/>
    <x v="1"/>
    <n v="0"/>
  </r>
  <r>
    <x v="0"/>
    <x v="14"/>
    <x v="1"/>
    <x v="1"/>
    <n v="0"/>
  </r>
  <r>
    <x v="1"/>
    <x v="14"/>
    <x v="1"/>
    <x v="1"/>
    <n v="0"/>
  </r>
  <r>
    <x v="2"/>
    <x v="14"/>
    <x v="1"/>
    <x v="1"/>
    <n v="0"/>
  </r>
  <r>
    <x v="3"/>
    <x v="14"/>
    <x v="1"/>
    <x v="1"/>
    <n v="0"/>
  </r>
  <r>
    <x v="4"/>
    <x v="14"/>
    <x v="1"/>
    <x v="1"/>
    <n v="45.866667"/>
  </r>
  <r>
    <x v="5"/>
    <x v="14"/>
    <x v="1"/>
    <x v="1"/>
    <n v="0"/>
  </r>
  <r>
    <x v="6"/>
    <x v="14"/>
    <x v="1"/>
    <x v="1"/>
    <n v="0"/>
  </r>
  <r>
    <x v="7"/>
    <x v="14"/>
    <x v="1"/>
    <x v="1"/>
    <n v="0"/>
  </r>
  <r>
    <x v="8"/>
    <x v="14"/>
    <x v="1"/>
    <x v="1"/>
    <n v="0"/>
  </r>
  <r>
    <x v="0"/>
    <x v="12"/>
    <x v="1"/>
    <x v="1"/>
    <m/>
  </r>
  <r>
    <x v="1"/>
    <x v="12"/>
    <x v="1"/>
    <x v="1"/>
    <m/>
  </r>
  <r>
    <x v="2"/>
    <x v="12"/>
    <x v="1"/>
    <x v="1"/>
    <m/>
  </r>
  <r>
    <x v="3"/>
    <x v="12"/>
    <x v="1"/>
    <x v="1"/>
    <m/>
  </r>
  <r>
    <x v="4"/>
    <x v="12"/>
    <x v="1"/>
    <x v="1"/>
    <m/>
  </r>
  <r>
    <x v="5"/>
    <x v="12"/>
    <x v="1"/>
    <x v="1"/>
    <m/>
  </r>
  <r>
    <x v="6"/>
    <x v="12"/>
    <x v="1"/>
    <x v="1"/>
    <m/>
  </r>
  <r>
    <x v="7"/>
    <x v="12"/>
    <x v="1"/>
    <x v="1"/>
    <m/>
  </r>
  <r>
    <x v="8"/>
    <x v="12"/>
    <x v="1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4:S21" firstHeaderRow="1" firstDataRow="2" firstDataCol="1" rowPageCount="2" colPageCount="1"/>
  <pivotFields count="5">
    <pivotField axis="axisCol" numFmtI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showAll="0">
      <items count="16">
        <item x="0"/>
        <item x="1"/>
        <item x="9"/>
        <item x="10"/>
        <item x="2"/>
        <item x="3"/>
        <item x="4"/>
        <item x="5"/>
        <item x="6"/>
        <item x="11"/>
        <item x="12"/>
        <item x="7"/>
        <item x="13"/>
        <item x="14"/>
        <item x="8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dataField="1"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2" hier="-1"/>
    <pageField fld="3" hier="-1"/>
  </pageFields>
  <dataFields count="1">
    <dataField name="Sum of Xij" fld="4" baseField="0" baseItem="0" numFmtId="166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Q658"/>
  <sheetViews>
    <sheetView tabSelected="1" zoomScale="70" zoomScaleNormal="70" workbookViewId="0"/>
  </sheetViews>
  <sheetFormatPr defaultColWidth="9.42578125" defaultRowHeight="15" x14ac:dyDescent="0.25"/>
  <cols>
    <col min="1" max="1" width="17.140625" style="170" customWidth="1"/>
    <col min="2" max="2" width="11" style="170" customWidth="1"/>
    <col min="3" max="3" width="13" style="170" customWidth="1"/>
    <col min="4" max="4" width="10.42578125" style="170" customWidth="1"/>
    <col min="5" max="5" width="10" style="170" customWidth="1"/>
    <col min="6" max="6" width="17.140625" style="183" customWidth="1"/>
    <col min="7" max="7" width="16.28515625" style="179" customWidth="1"/>
    <col min="8" max="8" width="17.140625" style="179" customWidth="1"/>
    <col min="9" max="9" width="18.140625" style="179" customWidth="1"/>
    <col min="10" max="10" width="9.42578125" style="170"/>
    <col min="11" max="11" width="10.140625" style="222" customWidth="1"/>
    <col min="12" max="13" width="23.28515625" style="240" customWidth="1"/>
    <col min="14" max="17" width="20" style="240" customWidth="1"/>
    <col min="18" max="18" width="10.140625" style="234" customWidth="1"/>
    <col min="19" max="19" width="2.7109375" style="225" customWidth="1"/>
    <col min="20" max="20" width="2.7109375" style="176" customWidth="1"/>
    <col min="21" max="21" width="18" style="240" customWidth="1"/>
    <col min="22" max="22" width="22.7109375" style="240" customWidth="1"/>
    <col min="23" max="24" width="9.42578125" style="176"/>
    <col min="25" max="25" width="18.140625" style="176" bestFit="1" customWidth="1"/>
    <col min="26" max="26" width="18.5703125" style="176" bestFit="1" customWidth="1"/>
    <col min="27" max="27" width="19.140625" style="176" bestFit="1" customWidth="1"/>
    <col min="28" max="28" width="15.28515625" style="176" bestFit="1" customWidth="1"/>
    <col min="29" max="35" width="9.42578125" style="176"/>
    <col min="36" max="36" width="16.7109375" style="176" customWidth="1"/>
    <col min="37" max="37" width="9.42578125" style="176"/>
    <col min="38" max="38" width="19.140625" style="176" bestFit="1" customWidth="1"/>
    <col min="39" max="16384" width="9.42578125" style="176"/>
  </cols>
  <sheetData>
    <row r="1" spans="1:38" s="177" customFormat="1" ht="80.25" customHeight="1" x14ac:dyDescent="0.25">
      <c r="A1" s="180" t="s">
        <v>30</v>
      </c>
      <c r="B1" s="180" t="s">
        <v>61</v>
      </c>
      <c r="C1" s="180" t="s">
        <v>147</v>
      </c>
      <c r="D1" s="180" t="s">
        <v>58</v>
      </c>
      <c r="E1" s="180" t="s">
        <v>57</v>
      </c>
      <c r="F1" s="181" t="s">
        <v>148</v>
      </c>
      <c r="G1" s="178" t="s">
        <v>25</v>
      </c>
      <c r="H1" s="178" t="s">
        <v>27</v>
      </c>
      <c r="I1" s="178" t="s">
        <v>26</v>
      </c>
      <c r="J1" s="180" t="s">
        <v>129</v>
      </c>
      <c r="K1" s="230"/>
      <c r="L1" s="180" t="s">
        <v>153</v>
      </c>
      <c r="M1" s="180" t="s">
        <v>137</v>
      </c>
      <c r="N1" s="180" t="s">
        <v>133</v>
      </c>
      <c r="O1" s="180" t="s">
        <v>134</v>
      </c>
      <c r="P1" s="180" t="s">
        <v>135</v>
      </c>
      <c r="Q1" s="180" t="s">
        <v>136</v>
      </c>
      <c r="R1" s="233"/>
      <c r="S1" s="224" t="s">
        <v>104</v>
      </c>
      <c r="T1" s="176" t="s">
        <v>55</v>
      </c>
      <c r="U1" s="180" t="s">
        <v>100</v>
      </c>
      <c r="V1" s="180" t="s">
        <v>145</v>
      </c>
      <c r="W1" s="245"/>
      <c r="X1" s="177" t="s">
        <v>88</v>
      </c>
      <c r="Y1" s="248" t="s">
        <v>89</v>
      </c>
      <c r="Z1" s="177" t="s">
        <v>9</v>
      </c>
      <c r="AA1" s="177" t="s">
        <v>10</v>
      </c>
      <c r="AB1" s="177" t="s">
        <v>11</v>
      </c>
      <c r="AC1" s="177" t="s">
        <v>12</v>
      </c>
      <c r="AD1" s="177" t="s">
        <v>13</v>
      </c>
      <c r="AE1" s="177" t="s">
        <v>14</v>
      </c>
      <c r="AF1" s="177" t="s">
        <v>111</v>
      </c>
      <c r="AG1" s="177" t="s">
        <v>22</v>
      </c>
      <c r="AH1" s="177" t="s">
        <v>23</v>
      </c>
      <c r="AI1" s="177" t="s">
        <v>108</v>
      </c>
      <c r="AJ1" s="177" t="s">
        <v>24</v>
      </c>
      <c r="AK1" s="177" t="s">
        <v>109</v>
      </c>
      <c r="AL1" s="177" t="s">
        <v>110</v>
      </c>
    </row>
    <row r="2" spans="1:38" ht="15" customHeight="1" x14ac:dyDescent="0.25">
      <c r="A2" s="217" t="s">
        <v>88</v>
      </c>
      <c r="B2" s="217" t="s">
        <v>62</v>
      </c>
      <c r="C2" s="218">
        <v>57437.19999999999</v>
      </c>
      <c r="D2" s="218" t="s">
        <v>55</v>
      </c>
      <c r="E2" s="218" t="s">
        <v>55</v>
      </c>
      <c r="F2" s="121">
        <v>6975.18</v>
      </c>
      <c r="G2" s="219">
        <v>0.3</v>
      </c>
      <c r="H2" s="219">
        <v>0.3</v>
      </c>
      <c r="I2" s="219">
        <v>1</v>
      </c>
      <c r="J2" s="217" t="s">
        <v>131</v>
      </c>
      <c r="K2" s="231"/>
      <c r="L2" s="40" t="s">
        <v>88</v>
      </c>
      <c r="M2" s="40" t="s">
        <v>127</v>
      </c>
      <c r="N2" s="40" t="s">
        <v>127</v>
      </c>
      <c r="O2" s="40" t="s">
        <v>127</v>
      </c>
      <c r="P2" s="40" t="s">
        <v>127</v>
      </c>
      <c r="Q2" s="40" t="s">
        <v>127</v>
      </c>
      <c r="S2" s="224" t="s">
        <v>35</v>
      </c>
      <c r="T2" s="176" t="s">
        <v>140</v>
      </c>
      <c r="U2" s="40" t="s">
        <v>88</v>
      </c>
      <c r="V2" s="40" t="s">
        <v>127</v>
      </c>
      <c r="W2" s="184"/>
      <c r="X2" s="176" t="s">
        <v>127</v>
      </c>
      <c r="Y2" s="176" t="s">
        <v>127</v>
      </c>
      <c r="Z2" s="176" t="s">
        <v>104</v>
      </c>
      <c r="AA2" s="176" t="s">
        <v>104</v>
      </c>
      <c r="AB2" s="176" t="s">
        <v>104</v>
      </c>
      <c r="AC2" s="176" t="s">
        <v>104</v>
      </c>
      <c r="AD2" s="176" t="s">
        <v>35</v>
      </c>
      <c r="AE2" s="176" t="s">
        <v>36</v>
      </c>
      <c r="AF2" s="176" t="s">
        <v>36</v>
      </c>
      <c r="AG2" s="176" t="s">
        <v>104</v>
      </c>
      <c r="AH2" s="176" t="s">
        <v>104</v>
      </c>
      <c r="AI2" s="176" t="s">
        <v>35</v>
      </c>
      <c r="AJ2" s="176" t="s">
        <v>35</v>
      </c>
      <c r="AK2" s="176" t="s">
        <v>36</v>
      </c>
      <c r="AL2" s="176" t="s">
        <v>36</v>
      </c>
    </row>
    <row r="3" spans="1:38" ht="15" customHeight="1" x14ac:dyDescent="0.25">
      <c r="A3" s="217" t="s">
        <v>89</v>
      </c>
      <c r="B3" s="217" t="s">
        <v>87</v>
      </c>
      <c r="C3" s="218">
        <v>64164.9</v>
      </c>
      <c r="D3" s="218" t="s">
        <v>55</v>
      </c>
      <c r="E3" s="218" t="s">
        <v>55</v>
      </c>
      <c r="F3" s="121">
        <v>7312.72</v>
      </c>
      <c r="G3" s="219">
        <v>0.3</v>
      </c>
      <c r="H3" s="219">
        <v>0.3</v>
      </c>
      <c r="I3" s="219">
        <v>1</v>
      </c>
      <c r="J3" s="217" t="s">
        <v>131</v>
      </c>
      <c r="K3" s="231"/>
      <c r="L3" s="40" t="s">
        <v>89</v>
      </c>
      <c r="M3" s="40" t="s">
        <v>127</v>
      </c>
      <c r="N3" s="40" t="s">
        <v>127</v>
      </c>
      <c r="O3" s="40" t="s">
        <v>127</v>
      </c>
      <c r="P3" s="40" t="s">
        <v>127</v>
      </c>
      <c r="Q3" s="40" t="s">
        <v>127</v>
      </c>
      <c r="S3" s="224" t="s">
        <v>36</v>
      </c>
      <c r="U3" s="40" t="s">
        <v>89</v>
      </c>
      <c r="V3" s="40" t="s">
        <v>127</v>
      </c>
      <c r="W3" s="184"/>
      <c r="Z3" s="176" t="s">
        <v>35</v>
      </c>
      <c r="AA3" s="176" t="s">
        <v>35</v>
      </c>
      <c r="AB3" s="176" t="s">
        <v>35</v>
      </c>
      <c r="AC3" s="176" t="s">
        <v>35</v>
      </c>
      <c r="AD3" s="176" t="s">
        <v>36</v>
      </c>
      <c r="AE3" s="176" t="s">
        <v>149</v>
      </c>
      <c r="AF3" s="176" t="s">
        <v>149</v>
      </c>
      <c r="AG3" s="176" t="s">
        <v>35</v>
      </c>
      <c r="AH3" s="176" t="s">
        <v>35</v>
      </c>
      <c r="AI3" s="176" t="s">
        <v>36</v>
      </c>
      <c r="AJ3" s="176" t="s">
        <v>36</v>
      </c>
      <c r="AK3" s="176" t="s">
        <v>149</v>
      </c>
      <c r="AL3" s="176" t="s">
        <v>32</v>
      </c>
    </row>
    <row r="4" spans="1:38" ht="15" customHeight="1" x14ac:dyDescent="0.25">
      <c r="A4" s="217" t="s">
        <v>9</v>
      </c>
      <c r="B4" s="217" t="s">
        <v>62</v>
      </c>
      <c r="C4" s="218">
        <v>658.3155427338877</v>
      </c>
      <c r="D4" s="218" t="s">
        <v>55</v>
      </c>
      <c r="E4" s="218" t="s">
        <v>55</v>
      </c>
      <c r="F4" s="121">
        <v>6864.3039999999992</v>
      </c>
      <c r="G4" s="219">
        <v>0.3</v>
      </c>
      <c r="H4" s="219">
        <v>0.5</v>
      </c>
      <c r="I4" s="219">
        <v>1</v>
      </c>
      <c r="J4" s="217" t="s">
        <v>131</v>
      </c>
      <c r="K4" s="231"/>
      <c r="L4" s="40" t="s">
        <v>9</v>
      </c>
      <c r="M4" s="40" t="s">
        <v>36</v>
      </c>
      <c r="N4" s="40" t="s">
        <v>36</v>
      </c>
      <c r="O4" s="40" t="s">
        <v>32</v>
      </c>
      <c r="P4" s="40" t="s">
        <v>33</v>
      </c>
      <c r="Q4" s="40" t="s">
        <v>34</v>
      </c>
      <c r="S4" s="224" t="s">
        <v>149</v>
      </c>
      <c r="U4" s="40" t="s">
        <v>9</v>
      </c>
      <c r="V4" s="40" t="s">
        <v>36</v>
      </c>
      <c r="W4" s="184"/>
      <c r="Z4" s="176" t="s">
        <v>36</v>
      </c>
      <c r="AA4" s="176" t="s">
        <v>36</v>
      </c>
      <c r="AB4" s="176" t="s">
        <v>36</v>
      </c>
      <c r="AC4" s="176" t="s">
        <v>36</v>
      </c>
      <c r="AD4" s="176" t="s">
        <v>32</v>
      </c>
      <c r="AE4" s="176" t="s">
        <v>32</v>
      </c>
      <c r="AF4" s="176" t="s">
        <v>32</v>
      </c>
      <c r="AG4" s="176" t="s">
        <v>36</v>
      </c>
      <c r="AH4" s="176" t="s">
        <v>36</v>
      </c>
      <c r="AI4" s="176" t="s">
        <v>32</v>
      </c>
      <c r="AJ4" s="176" t="s">
        <v>149</v>
      </c>
      <c r="AK4" s="176" t="s">
        <v>32</v>
      </c>
      <c r="AL4" s="176" t="s">
        <v>33</v>
      </c>
    </row>
    <row r="5" spans="1:38" ht="15" customHeight="1" x14ac:dyDescent="0.25">
      <c r="A5" s="217" t="s">
        <v>10</v>
      </c>
      <c r="B5" s="217" t="s">
        <v>62</v>
      </c>
      <c r="C5" s="218">
        <v>426.40906924000001</v>
      </c>
      <c r="D5" s="218" t="s">
        <v>55</v>
      </c>
      <c r="E5" s="218" t="s">
        <v>55</v>
      </c>
      <c r="F5" s="121">
        <v>6861.0599999999995</v>
      </c>
      <c r="G5" s="219">
        <v>0.3</v>
      </c>
      <c r="H5" s="219">
        <v>0.5</v>
      </c>
      <c r="I5" s="219">
        <v>1</v>
      </c>
      <c r="J5" s="217" t="s">
        <v>131</v>
      </c>
      <c r="K5" s="231"/>
      <c r="L5" s="40" t="s">
        <v>10</v>
      </c>
      <c r="M5" s="40" t="s">
        <v>36</v>
      </c>
      <c r="N5" s="40" t="s">
        <v>36</v>
      </c>
      <c r="O5" s="40" t="s">
        <v>32</v>
      </c>
      <c r="P5" s="40" t="s">
        <v>33</v>
      </c>
      <c r="Q5" s="40" t="s">
        <v>34</v>
      </c>
      <c r="S5" s="224" t="s">
        <v>31</v>
      </c>
      <c r="U5" s="40" t="s">
        <v>10</v>
      </c>
      <c r="V5" s="40" t="s">
        <v>36</v>
      </c>
      <c r="W5" s="184"/>
      <c r="Z5" s="176" t="s">
        <v>149</v>
      </c>
      <c r="AA5" s="176" t="s">
        <v>149</v>
      </c>
      <c r="AB5" s="176" t="s">
        <v>149</v>
      </c>
      <c r="AC5" s="176" t="s">
        <v>149</v>
      </c>
      <c r="AD5" s="176" t="s">
        <v>33</v>
      </c>
      <c r="AE5" s="176" t="s">
        <v>33</v>
      </c>
      <c r="AF5" s="176" t="s">
        <v>33</v>
      </c>
      <c r="AG5" s="176" t="s">
        <v>149</v>
      </c>
      <c r="AH5" s="176" t="s">
        <v>149</v>
      </c>
      <c r="AI5" s="176" t="s">
        <v>33</v>
      </c>
      <c r="AJ5" s="176" t="s">
        <v>31</v>
      </c>
      <c r="AK5" s="176" t="s">
        <v>33</v>
      </c>
      <c r="AL5" s="176" t="s">
        <v>34</v>
      </c>
    </row>
    <row r="6" spans="1:38" ht="15" customHeight="1" x14ac:dyDescent="0.25">
      <c r="A6" s="217" t="s">
        <v>11</v>
      </c>
      <c r="B6" s="217" t="s">
        <v>62</v>
      </c>
      <c r="C6" s="218">
        <v>242.92557031683594</v>
      </c>
      <c r="D6" s="218" t="s">
        <v>55</v>
      </c>
      <c r="E6" s="218" t="s">
        <v>55</v>
      </c>
      <c r="F6" s="121">
        <v>8709.0558766859358</v>
      </c>
      <c r="G6" s="219">
        <v>0.3</v>
      </c>
      <c r="H6" s="219">
        <v>0.5</v>
      </c>
      <c r="I6" s="219">
        <v>1</v>
      </c>
      <c r="J6" s="217" t="s">
        <v>131</v>
      </c>
      <c r="K6" s="231"/>
      <c r="L6" s="40" t="s">
        <v>11</v>
      </c>
      <c r="M6" s="40" t="s">
        <v>36</v>
      </c>
      <c r="N6" s="40" t="s">
        <v>36</v>
      </c>
      <c r="O6" s="40" t="s">
        <v>32</v>
      </c>
      <c r="P6" s="40" t="s">
        <v>33</v>
      </c>
      <c r="Q6" s="40" t="s">
        <v>34</v>
      </c>
      <c r="S6" s="224" t="s">
        <v>32</v>
      </c>
      <c r="U6" s="40" t="s">
        <v>11</v>
      </c>
      <c r="V6" s="40" t="s">
        <v>36</v>
      </c>
      <c r="W6" s="184"/>
      <c r="Z6" s="176" t="s">
        <v>31</v>
      </c>
      <c r="AA6" s="176" t="s">
        <v>31</v>
      </c>
      <c r="AB6" s="176" t="s">
        <v>31</v>
      </c>
      <c r="AC6" s="176" t="s">
        <v>31</v>
      </c>
      <c r="AD6" s="176" t="s">
        <v>34</v>
      </c>
      <c r="AE6" s="176" t="s">
        <v>34</v>
      </c>
      <c r="AF6" s="176" t="s">
        <v>34</v>
      </c>
      <c r="AG6" s="176" t="s">
        <v>31</v>
      </c>
      <c r="AH6" s="176" t="s">
        <v>31</v>
      </c>
      <c r="AI6" s="176" t="s">
        <v>34</v>
      </c>
      <c r="AJ6" s="176" t="s">
        <v>32</v>
      </c>
      <c r="AK6" s="176" t="s">
        <v>34</v>
      </c>
    </row>
    <row r="7" spans="1:38" ht="15" customHeight="1" x14ac:dyDescent="0.25">
      <c r="A7" s="217" t="s">
        <v>12</v>
      </c>
      <c r="B7" s="217" t="s">
        <v>62</v>
      </c>
      <c r="C7" s="218">
        <v>240.81962240162409</v>
      </c>
      <c r="D7" s="218" t="s">
        <v>55</v>
      </c>
      <c r="E7" s="218" t="s">
        <v>55</v>
      </c>
      <c r="F7" s="121">
        <v>8709.3641618497113</v>
      </c>
      <c r="G7" s="219">
        <v>0.3</v>
      </c>
      <c r="H7" s="219">
        <v>0.5</v>
      </c>
      <c r="I7" s="219">
        <v>1</v>
      </c>
      <c r="J7" s="217" t="s">
        <v>131</v>
      </c>
      <c r="K7" s="231"/>
      <c r="L7" s="40" t="s">
        <v>12</v>
      </c>
      <c r="M7" s="40" t="s">
        <v>36</v>
      </c>
      <c r="N7" s="40" t="s">
        <v>36</v>
      </c>
      <c r="O7" s="40" t="s">
        <v>32</v>
      </c>
      <c r="P7" s="40" t="s">
        <v>33</v>
      </c>
      <c r="Q7" s="40" t="s">
        <v>34</v>
      </c>
      <c r="S7" s="224" t="s">
        <v>33</v>
      </c>
      <c r="U7" s="40" t="s">
        <v>12</v>
      </c>
      <c r="V7" s="40" t="s">
        <v>36</v>
      </c>
      <c r="W7" s="184"/>
      <c r="Z7" s="176" t="s">
        <v>32</v>
      </c>
      <c r="AA7" s="176" t="s">
        <v>32</v>
      </c>
      <c r="AB7" s="176" t="s">
        <v>32</v>
      </c>
      <c r="AC7" s="176" t="s">
        <v>32</v>
      </c>
      <c r="AG7" s="176" t="s">
        <v>32</v>
      </c>
      <c r="AH7" s="176" t="s">
        <v>32</v>
      </c>
      <c r="AJ7" s="176" t="s">
        <v>33</v>
      </c>
    </row>
    <row r="8" spans="1:38" ht="15" customHeight="1" x14ac:dyDescent="0.25">
      <c r="A8" s="217" t="s">
        <v>13</v>
      </c>
      <c r="B8" s="217" t="s">
        <v>62</v>
      </c>
      <c r="C8" s="218">
        <v>108.14458796882006</v>
      </c>
      <c r="D8" s="218" t="s">
        <v>55</v>
      </c>
      <c r="E8" s="218" t="s">
        <v>55</v>
      </c>
      <c r="F8" s="121">
        <v>7828.8000000000011</v>
      </c>
      <c r="G8" s="219">
        <v>0.3</v>
      </c>
      <c r="H8" s="219">
        <v>0.5</v>
      </c>
      <c r="I8" s="219">
        <v>1</v>
      </c>
      <c r="J8" s="217" t="s">
        <v>131</v>
      </c>
      <c r="K8" s="231"/>
      <c r="L8" s="40" t="s">
        <v>13</v>
      </c>
      <c r="M8" s="40" t="s">
        <v>36</v>
      </c>
      <c r="N8" s="40" t="s">
        <v>36</v>
      </c>
      <c r="O8" s="40" t="s">
        <v>32</v>
      </c>
      <c r="P8" s="40" t="s">
        <v>33</v>
      </c>
      <c r="Q8" s="40" t="s">
        <v>34</v>
      </c>
      <c r="S8" s="224" t="s">
        <v>34</v>
      </c>
      <c r="U8" s="40" t="s">
        <v>13</v>
      </c>
      <c r="V8" s="40" t="s">
        <v>36</v>
      </c>
      <c r="W8" s="184"/>
      <c r="AA8" s="176" t="s">
        <v>33</v>
      </c>
      <c r="AB8" s="176" t="s">
        <v>33</v>
      </c>
      <c r="AC8" s="176" t="s">
        <v>33</v>
      </c>
      <c r="AG8" s="176" t="s">
        <v>33</v>
      </c>
      <c r="AH8" s="176" t="s">
        <v>33</v>
      </c>
      <c r="AJ8" s="176" t="s">
        <v>34</v>
      </c>
    </row>
    <row r="9" spans="1:38" ht="15" customHeight="1" x14ac:dyDescent="0.25">
      <c r="A9" s="217" t="s">
        <v>14</v>
      </c>
      <c r="B9" s="217" t="s">
        <v>62</v>
      </c>
      <c r="C9" s="218">
        <v>660.70706222049796</v>
      </c>
      <c r="D9" s="218" t="s">
        <v>55</v>
      </c>
      <c r="E9" s="218" t="s">
        <v>55</v>
      </c>
      <c r="F9" s="121">
        <v>7406.0606060606069</v>
      </c>
      <c r="G9" s="219">
        <v>0.3</v>
      </c>
      <c r="H9" s="219">
        <v>0.5</v>
      </c>
      <c r="I9" s="219">
        <v>1</v>
      </c>
      <c r="J9" s="217" t="s">
        <v>131</v>
      </c>
      <c r="K9" s="231"/>
      <c r="L9" s="40" t="s">
        <v>14</v>
      </c>
      <c r="M9" s="40" t="s">
        <v>36</v>
      </c>
      <c r="N9" s="40" t="s">
        <v>36</v>
      </c>
      <c r="O9" s="40" t="s">
        <v>32</v>
      </c>
      <c r="P9" s="40" t="s">
        <v>33</v>
      </c>
      <c r="Q9" s="40" t="s">
        <v>34</v>
      </c>
      <c r="S9" s="224"/>
      <c r="U9" s="40" t="s">
        <v>14</v>
      </c>
      <c r="V9" s="40" t="s">
        <v>36</v>
      </c>
      <c r="W9" s="184"/>
      <c r="AA9" s="176" t="s">
        <v>34</v>
      </c>
      <c r="AB9" s="176" t="s">
        <v>34</v>
      </c>
      <c r="AC9" s="176" t="s">
        <v>34</v>
      </c>
      <c r="AG9" s="176" t="s">
        <v>34</v>
      </c>
      <c r="AH9" s="176" t="s">
        <v>34</v>
      </c>
    </row>
    <row r="10" spans="1:38" ht="15" customHeight="1" x14ac:dyDescent="0.25">
      <c r="A10" s="217" t="s">
        <v>111</v>
      </c>
      <c r="B10" s="217" t="s">
        <v>62</v>
      </c>
      <c r="C10" s="218">
        <v>110.3</v>
      </c>
      <c r="D10" s="218" t="s">
        <v>55</v>
      </c>
      <c r="E10" s="218" t="s">
        <v>55</v>
      </c>
      <c r="F10" s="121">
        <v>6915.11</v>
      </c>
      <c r="G10" s="219">
        <v>0.3</v>
      </c>
      <c r="H10" s="219">
        <v>0.5</v>
      </c>
      <c r="I10" s="219">
        <v>1</v>
      </c>
      <c r="J10" s="217" t="s">
        <v>131</v>
      </c>
      <c r="K10" s="231"/>
      <c r="L10" s="40" t="s">
        <v>111</v>
      </c>
      <c r="M10" s="40" t="s">
        <v>36</v>
      </c>
      <c r="N10" s="40" t="s">
        <v>36</v>
      </c>
      <c r="O10" s="40" t="s">
        <v>32</v>
      </c>
      <c r="P10" s="40" t="s">
        <v>33</v>
      </c>
      <c r="Q10" s="40" t="s">
        <v>34</v>
      </c>
      <c r="S10" s="224"/>
      <c r="U10" s="40" t="s">
        <v>111</v>
      </c>
      <c r="V10" s="40" t="s">
        <v>36</v>
      </c>
      <c r="W10" s="184"/>
    </row>
    <row r="11" spans="1:38" ht="15" customHeight="1" x14ac:dyDescent="0.25">
      <c r="A11" s="217" t="s">
        <v>22</v>
      </c>
      <c r="B11" s="217" t="s">
        <v>87</v>
      </c>
      <c r="C11" s="218">
        <v>584.4</v>
      </c>
      <c r="D11" s="218" t="s">
        <v>55</v>
      </c>
      <c r="E11" s="218" t="s">
        <v>55</v>
      </c>
      <c r="F11" s="121">
        <v>6864.3</v>
      </c>
      <c r="G11" s="219">
        <v>0.3</v>
      </c>
      <c r="H11" s="219">
        <v>0.5</v>
      </c>
      <c r="I11" s="219">
        <v>1</v>
      </c>
      <c r="J11" s="217" t="s">
        <v>131</v>
      </c>
      <c r="K11" s="231"/>
      <c r="L11" s="40" t="s">
        <v>22</v>
      </c>
      <c r="M11" s="40" t="s">
        <v>36</v>
      </c>
      <c r="N11" s="40" t="s">
        <v>36</v>
      </c>
      <c r="O11" s="40" t="s">
        <v>32</v>
      </c>
      <c r="P11" s="40" t="s">
        <v>33</v>
      </c>
      <c r="Q11" s="40" t="s">
        <v>34</v>
      </c>
      <c r="S11" s="224"/>
      <c r="U11" s="40" t="s">
        <v>22</v>
      </c>
      <c r="V11" s="40" t="s">
        <v>36</v>
      </c>
      <c r="W11" s="184"/>
    </row>
    <row r="12" spans="1:38" ht="15" customHeight="1" x14ac:dyDescent="0.25">
      <c r="A12" s="217" t="s">
        <v>23</v>
      </c>
      <c r="B12" s="217" t="s">
        <v>87</v>
      </c>
      <c r="C12" s="218">
        <v>363</v>
      </c>
      <c r="D12" s="218" t="s">
        <v>55</v>
      </c>
      <c r="E12" s="218" t="s">
        <v>55</v>
      </c>
      <c r="F12" s="121">
        <v>6861.06</v>
      </c>
      <c r="G12" s="219">
        <v>0.3</v>
      </c>
      <c r="H12" s="219">
        <v>0.5</v>
      </c>
      <c r="I12" s="219">
        <v>1</v>
      </c>
      <c r="J12" s="217" t="s">
        <v>131</v>
      </c>
      <c r="K12" s="231"/>
      <c r="L12" s="40" t="s">
        <v>23</v>
      </c>
      <c r="M12" s="40" t="s">
        <v>36</v>
      </c>
      <c r="N12" s="40" t="s">
        <v>36</v>
      </c>
      <c r="O12" s="40" t="s">
        <v>32</v>
      </c>
      <c r="P12" s="40" t="s">
        <v>33</v>
      </c>
      <c r="Q12" s="40" t="s">
        <v>34</v>
      </c>
      <c r="S12" s="224"/>
      <c r="U12" s="40" t="s">
        <v>23</v>
      </c>
      <c r="V12" s="40" t="s">
        <v>36</v>
      </c>
      <c r="W12" s="184"/>
    </row>
    <row r="13" spans="1:38" ht="15" customHeight="1" x14ac:dyDescent="0.25">
      <c r="A13" s="217" t="s">
        <v>108</v>
      </c>
      <c r="B13" s="217" t="s">
        <v>87</v>
      </c>
      <c r="C13" s="218">
        <v>98.9</v>
      </c>
      <c r="D13" s="218" t="s">
        <v>55</v>
      </c>
      <c r="E13" s="218" t="s">
        <v>55</v>
      </c>
      <c r="F13" s="121">
        <v>8825.7800000000007</v>
      </c>
      <c r="G13" s="219">
        <v>0.3</v>
      </c>
      <c r="H13" s="219">
        <v>0.5</v>
      </c>
      <c r="I13" s="219">
        <v>1</v>
      </c>
      <c r="J13" s="217" t="s">
        <v>131</v>
      </c>
      <c r="K13" s="231"/>
      <c r="L13" s="40" t="s">
        <v>108</v>
      </c>
      <c r="M13" s="40" t="s">
        <v>36</v>
      </c>
      <c r="N13" s="40" t="s">
        <v>36</v>
      </c>
      <c r="O13" s="40" t="s">
        <v>32</v>
      </c>
      <c r="P13" s="40" t="s">
        <v>33</v>
      </c>
      <c r="Q13" s="40" t="s">
        <v>34</v>
      </c>
      <c r="S13" s="224"/>
      <c r="U13" s="40" t="s">
        <v>108</v>
      </c>
      <c r="V13" s="40" t="s">
        <v>36</v>
      </c>
      <c r="W13" s="184"/>
    </row>
    <row r="14" spans="1:38" x14ac:dyDescent="0.25">
      <c r="A14" s="217" t="s">
        <v>24</v>
      </c>
      <c r="B14" s="217" t="s">
        <v>87</v>
      </c>
      <c r="C14" s="218">
        <v>167.89999999999998</v>
      </c>
      <c r="D14" s="218" t="s">
        <v>55</v>
      </c>
      <c r="E14" s="218" t="s">
        <v>55</v>
      </c>
      <c r="F14" s="121">
        <v>7252.57</v>
      </c>
      <c r="G14" s="219">
        <v>0.3</v>
      </c>
      <c r="H14" s="219">
        <v>0.5</v>
      </c>
      <c r="I14" s="219">
        <v>1</v>
      </c>
      <c r="J14" s="217" t="s">
        <v>131</v>
      </c>
      <c r="K14" s="231"/>
      <c r="L14" s="40" t="s">
        <v>24</v>
      </c>
      <c r="M14" s="40" t="s">
        <v>36</v>
      </c>
      <c r="N14" s="40" t="s">
        <v>36</v>
      </c>
      <c r="O14" s="40" t="s">
        <v>32</v>
      </c>
      <c r="P14" s="40" t="s">
        <v>33</v>
      </c>
      <c r="Q14" s="40" t="s">
        <v>34</v>
      </c>
      <c r="S14" s="224"/>
      <c r="U14" s="40" t="s">
        <v>24</v>
      </c>
      <c r="V14" s="40" t="s">
        <v>36</v>
      </c>
      <c r="W14" s="184"/>
    </row>
    <row r="15" spans="1:38" x14ac:dyDescent="0.25">
      <c r="A15" s="217" t="s">
        <v>109</v>
      </c>
      <c r="B15" s="217" t="s">
        <v>87</v>
      </c>
      <c r="C15" s="218">
        <v>493.5</v>
      </c>
      <c r="D15" s="218" t="s">
        <v>55</v>
      </c>
      <c r="E15" s="218" t="s">
        <v>55</v>
      </c>
      <c r="F15" s="121">
        <v>6656.96</v>
      </c>
      <c r="G15" s="219">
        <v>0.3</v>
      </c>
      <c r="H15" s="219">
        <v>0.5</v>
      </c>
      <c r="I15" s="219">
        <v>1</v>
      </c>
      <c r="J15" s="217" t="s">
        <v>131</v>
      </c>
      <c r="K15" s="231"/>
      <c r="L15" s="40" t="s">
        <v>109</v>
      </c>
      <c r="M15" s="40" t="s">
        <v>36</v>
      </c>
      <c r="N15" s="40" t="s">
        <v>36</v>
      </c>
      <c r="O15" s="40" t="s">
        <v>32</v>
      </c>
      <c r="P15" s="40" t="s">
        <v>33</v>
      </c>
      <c r="Q15" s="40" t="s">
        <v>34</v>
      </c>
      <c r="S15" s="224"/>
      <c r="U15" s="40" t="s">
        <v>109</v>
      </c>
      <c r="V15" s="40" t="s">
        <v>36</v>
      </c>
      <c r="W15" s="184"/>
    </row>
    <row r="16" spans="1:38" x14ac:dyDescent="0.25">
      <c r="A16" s="217" t="s">
        <v>110</v>
      </c>
      <c r="B16" s="217" t="s">
        <v>87</v>
      </c>
      <c r="C16" s="218">
        <v>137.6</v>
      </c>
      <c r="D16" s="218" t="s">
        <v>55</v>
      </c>
      <c r="E16" s="218" t="s">
        <v>55</v>
      </c>
      <c r="F16" s="121">
        <v>9137.35</v>
      </c>
      <c r="G16" s="219">
        <v>0.3</v>
      </c>
      <c r="H16" s="219">
        <v>0.5</v>
      </c>
      <c r="I16" s="219">
        <v>1</v>
      </c>
      <c r="J16" s="217" t="s">
        <v>131</v>
      </c>
      <c r="K16" s="231"/>
      <c r="L16" s="40" t="s">
        <v>110</v>
      </c>
      <c r="M16" s="40" t="s">
        <v>36</v>
      </c>
      <c r="N16" s="40" t="s">
        <v>36</v>
      </c>
      <c r="O16" s="40" t="s">
        <v>32</v>
      </c>
      <c r="P16" s="40" t="s">
        <v>33</v>
      </c>
      <c r="Q16" s="40" t="s">
        <v>34</v>
      </c>
      <c r="S16" s="224"/>
      <c r="U16" s="40" t="s">
        <v>110</v>
      </c>
      <c r="V16" s="40" t="s">
        <v>36</v>
      </c>
      <c r="W16" s="184"/>
    </row>
    <row r="17" spans="1:43" x14ac:dyDescent="0.25">
      <c r="A17" s="217"/>
      <c r="B17" s="217"/>
      <c r="C17" s="217"/>
      <c r="D17" s="217"/>
      <c r="E17" s="217"/>
      <c r="F17" s="220"/>
      <c r="G17" s="219"/>
      <c r="H17" s="219"/>
      <c r="I17" s="219"/>
      <c r="J17" s="217"/>
      <c r="K17" s="231"/>
      <c r="L17" s="250"/>
      <c r="M17" s="40"/>
      <c r="N17" s="40"/>
      <c r="O17" s="40"/>
      <c r="P17" s="40"/>
      <c r="Q17" s="40"/>
      <c r="S17" s="224"/>
      <c r="U17" s="40"/>
      <c r="V17" s="40"/>
      <c r="W17" s="184"/>
    </row>
    <row r="18" spans="1:43" x14ac:dyDescent="0.25">
      <c r="A18" s="182"/>
      <c r="B18" s="182"/>
      <c r="C18" s="39"/>
      <c r="D18" s="39"/>
      <c r="E18" s="39"/>
      <c r="F18" s="121"/>
      <c r="G18" s="43"/>
      <c r="H18" s="43"/>
      <c r="I18" s="43"/>
      <c r="J18" s="40"/>
      <c r="K18" s="232"/>
      <c r="L18" s="250"/>
      <c r="M18" s="40"/>
      <c r="N18" s="40"/>
      <c r="O18" s="40"/>
      <c r="P18" s="40"/>
      <c r="Q18" s="40"/>
      <c r="S18" s="224"/>
      <c r="U18" s="40"/>
      <c r="V18" s="40"/>
      <c r="W18" s="184"/>
    </row>
    <row r="19" spans="1:43" x14ac:dyDescent="0.25">
      <c r="A19" s="182"/>
      <c r="B19" s="182"/>
      <c r="C19" s="39"/>
      <c r="D19" s="39"/>
      <c r="E19" s="39"/>
      <c r="F19" s="121"/>
      <c r="G19" s="43"/>
      <c r="H19" s="43"/>
      <c r="I19" s="43"/>
      <c r="J19" s="40"/>
      <c r="K19" s="232"/>
      <c r="L19" s="250"/>
      <c r="M19" s="250"/>
      <c r="N19" s="250"/>
      <c r="O19" s="250"/>
      <c r="P19" s="250"/>
      <c r="Q19" s="250"/>
      <c r="S19" s="224"/>
      <c r="U19" s="40"/>
      <c r="V19" s="40"/>
      <c r="W19" s="184"/>
    </row>
    <row r="20" spans="1:43" ht="15.75" customHeight="1" x14ac:dyDescent="0.25">
      <c r="A20" s="182"/>
      <c r="B20" s="182"/>
      <c r="C20" s="39"/>
      <c r="D20" s="39"/>
      <c r="E20" s="39"/>
      <c r="F20" s="121"/>
      <c r="G20" s="43"/>
      <c r="H20" s="43"/>
      <c r="I20" s="43"/>
      <c r="J20" s="40"/>
      <c r="K20" s="232"/>
      <c r="L20" s="250"/>
      <c r="M20" s="40"/>
      <c r="N20" s="40"/>
      <c r="O20" s="40"/>
      <c r="P20" s="40"/>
      <c r="Q20" s="40"/>
      <c r="S20" s="224"/>
      <c r="U20" s="40"/>
      <c r="V20" s="40"/>
      <c r="W20" s="184"/>
    </row>
    <row r="21" spans="1:43" x14ac:dyDescent="0.25">
      <c r="A21" s="182"/>
      <c r="B21" s="182"/>
      <c r="C21" s="39"/>
      <c r="D21" s="39"/>
      <c r="E21" s="39"/>
      <c r="F21" s="121"/>
      <c r="G21" s="43"/>
      <c r="H21" s="43"/>
      <c r="I21" s="43"/>
      <c r="J21" s="40"/>
      <c r="K21" s="232"/>
      <c r="L21" s="250"/>
      <c r="M21" s="40"/>
      <c r="N21" s="40"/>
      <c r="O21" s="40"/>
      <c r="P21" s="40"/>
      <c r="Q21" s="40"/>
      <c r="S21" s="224"/>
      <c r="U21" s="40"/>
      <c r="V21" s="40"/>
      <c r="W21" s="184"/>
      <c r="Y21" s="249"/>
      <c r="Z21" s="249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1:43" x14ac:dyDescent="0.25">
      <c r="A22" s="182"/>
      <c r="B22" s="182"/>
      <c r="C22" s="39"/>
      <c r="D22" s="39"/>
      <c r="E22" s="39"/>
      <c r="F22" s="121"/>
      <c r="G22" s="43"/>
      <c r="H22" s="43"/>
      <c r="I22" s="43"/>
      <c r="J22" s="40"/>
      <c r="K22" s="232"/>
      <c r="L22" s="250"/>
      <c r="M22" s="40"/>
      <c r="N22" s="40"/>
      <c r="O22" s="40"/>
      <c r="P22" s="40"/>
      <c r="Q22" s="40"/>
      <c r="S22" s="224"/>
      <c r="U22" s="40"/>
      <c r="V22" s="40"/>
      <c r="W22" s="184"/>
      <c r="Y22" s="249"/>
      <c r="Z22" s="249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1:43" x14ac:dyDescent="0.25">
      <c r="A23" s="182"/>
      <c r="B23" s="182"/>
      <c r="C23" s="39"/>
      <c r="D23" s="39"/>
      <c r="E23" s="39"/>
      <c r="F23" s="121"/>
      <c r="G23" s="43"/>
      <c r="H23" s="43"/>
      <c r="I23" s="43"/>
      <c r="J23" s="40"/>
      <c r="K23" s="232"/>
      <c r="L23" s="40"/>
      <c r="M23" s="40"/>
      <c r="N23" s="40"/>
      <c r="O23" s="40"/>
      <c r="P23" s="40"/>
      <c r="Q23" s="40"/>
      <c r="S23" s="224"/>
      <c r="U23" s="40"/>
      <c r="V23" s="40"/>
      <c r="W23" s="184"/>
      <c r="Y23" s="249"/>
      <c r="Z23" s="249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1:43" x14ac:dyDescent="0.25">
      <c r="A24" s="182"/>
      <c r="B24" s="182"/>
      <c r="C24" s="39"/>
      <c r="D24" s="39"/>
      <c r="E24" s="39"/>
      <c r="F24" s="121"/>
      <c r="G24" s="43"/>
      <c r="H24" s="43"/>
      <c r="I24" s="223"/>
      <c r="J24" s="40"/>
      <c r="K24" s="232"/>
      <c r="L24" s="250"/>
      <c r="M24" s="40"/>
      <c r="N24" s="40"/>
      <c r="O24" s="40"/>
      <c r="P24" s="40"/>
      <c r="Q24" s="40"/>
      <c r="S24" s="224"/>
      <c r="U24" s="40"/>
      <c r="V24" s="40"/>
      <c r="W24" s="184"/>
      <c r="Y24" s="249"/>
      <c r="Z24" s="249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1:43" x14ac:dyDescent="0.25">
      <c r="A25" s="182"/>
      <c r="B25" s="182"/>
      <c r="C25" s="39"/>
      <c r="D25" s="39"/>
      <c r="E25" s="39"/>
      <c r="F25" s="121"/>
      <c r="G25" s="43"/>
      <c r="H25" s="43"/>
      <c r="I25" s="43"/>
      <c r="J25" s="40"/>
      <c r="K25" s="232"/>
      <c r="L25" s="250"/>
      <c r="M25" s="40"/>
      <c r="N25" s="40"/>
      <c r="O25" s="40"/>
      <c r="P25" s="40"/>
      <c r="Q25" s="40"/>
      <c r="S25" s="224"/>
      <c r="U25" s="40"/>
      <c r="V25" s="40"/>
      <c r="W25" s="184"/>
      <c r="Y25" s="249"/>
      <c r="Z25" s="249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1:43" x14ac:dyDescent="0.25">
      <c r="A26" s="182"/>
      <c r="B26" s="182"/>
      <c r="C26" s="39"/>
      <c r="D26" s="39"/>
      <c r="E26" s="39"/>
      <c r="F26" s="121"/>
      <c r="G26" s="43"/>
      <c r="H26" s="43"/>
      <c r="I26" s="43"/>
      <c r="J26" s="40"/>
      <c r="K26" s="232"/>
      <c r="L26" s="250"/>
      <c r="M26" s="40"/>
      <c r="N26" s="40"/>
      <c r="O26" s="40"/>
      <c r="P26" s="40"/>
      <c r="Q26" s="40"/>
      <c r="S26" s="224"/>
      <c r="U26" s="40"/>
      <c r="V26" s="40"/>
      <c r="W26" s="184"/>
      <c r="Y26" s="249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1:43" x14ac:dyDescent="0.25">
      <c r="A27" s="182"/>
      <c r="B27" s="182"/>
      <c r="C27" s="39"/>
      <c r="D27" s="39"/>
      <c r="E27" s="39"/>
      <c r="F27" s="121"/>
      <c r="G27" s="43"/>
      <c r="H27" s="43"/>
      <c r="I27" s="43"/>
      <c r="J27" s="40"/>
      <c r="K27" s="232"/>
      <c r="L27" s="250"/>
      <c r="M27" s="40"/>
      <c r="N27" s="40"/>
      <c r="O27" s="40"/>
      <c r="P27" s="40"/>
      <c r="Q27" s="40"/>
      <c r="S27" s="224"/>
      <c r="U27" s="40"/>
      <c r="V27" s="40"/>
      <c r="W27" s="246"/>
      <c r="Y27" s="249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1:43" x14ac:dyDescent="0.25">
      <c r="A28" s="182"/>
      <c r="B28" s="182"/>
      <c r="C28" s="39"/>
      <c r="D28" s="39"/>
      <c r="E28" s="39"/>
      <c r="F28" s="121"/>
      <c r="G28" s="43"/>
      <c r="H28" s="43"/>
      <c r="I28" s="43"/>
      <c r="J28" s="40"/>
      <c r="K28" s="232"/>
      <c r="L28" s="250"/>
      <c r="M28" s="40"/>
      <c r="N28" s="40"/>
      <c r="O28" s="40"/>
      <c r="P28" s="40"/>
      <c r="Q28" s="40"/>
      <c r="S28" s="224"/>
      <c r="U28" s="40"/>
      <c r="V28" s="40"/>
      <c r="Y28" s="249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1:43" x14ac:dyDescent="0.25">
      <c r="A29" s="182"/>
      <c r="B29" s="182"/>
      <c r="C29" s="39"/>
      <c r="D29" s="39"/>
      <c r="E29" s="39"/>
      <c r="F29" s="121"/>
      <c r="G29" s="43"/>
      <c r="H29" s="43"/>
      <c r="I29" s="43"/>
      <c r="J29" s="40"/>
      <c r="K29" s="232"/>
      <c r="L29" s="250"/>
      <c r="M29" s="40"/>
      <c r="N29" s="40"/>
      <c r="O29" s="40"/>
      <c r="P29" s="40"/>
      <c r="Q29" s="40"/>
      <c r="S29" s="224"/>
      <c r="U29" s="40"/>
      <c r="V29" s="40"/>
    </row>
    <row r="30" spans="1:43" x14ac:dyDescent="0.25">
      <c r="A30" s="182"/>
      <c r="B30" s="182"/>
      <c r="C30" s="39"/>
      <c r="D30" s="39"/>
      <c r="E30" s="39"/>
      <c r="F30" s="121"/>
      <c r="G30" s="43"/>
      <c r="H30" s="43"/>
      <c r="I30" s="43"/>
      <c r="J30" s="40"/>
      <c r="K30" s="232"/>
      <c r="L30" s="250"/>
      <c r="M30" s="40"/>
      <c r="N30" s="40"/>
      <c r="O30" s="40"/>
      <c r="P30" s="40"/>
      <c r="Q30" s="40"/>
      <c r="S30" s="224"/>
      <c r="U30" s="40"/>
      <c r="V30" s="40"/>
    </row>
    <row r="31" spans="1:43" x14ac:dyDescent="0.25">
      <c r="A31" s="182"/>
      <c r="B31" s="182"/>
      <c r="C31" s="39"/>
      <c r="D31" s="39"/>
      <c r="E31" s="39"/>
      <c r="F31" s="121"/>
      <c r="G31" s="43"/>
      <c r="H31" s="43"/>
      <c r="I31" s="43"/>
      <c r="J31" s="40"/>
      <c r="K31" s="232"/>
      <c r="L31" s="250"/>
      <c r="M31" s="40"/>
      <c r="N31" s="40"/>
      <c r="O31" s="40"/>
      <c r="P31" s="40"/>
      <c r="Q31" s="40"/>
      <c r="S31" s="224"/>
      <c r="U31" s="40"/>
      <c r="V31" s="40"/>
    </row>
    <row r="32" spans="1:43" x14ac:dyDescent="0.25">
      <c r="A32" s="182"/>
      <c r="B32" s="182"/>
      <c r="C32" s="39"/>
      <c r="D32" s="39"/>
      <c r="E32" s="39"/>
      <c r="F32" s="121"/>
      <c r="G32" s="43"/>
      <c r="H32" s="43"/>
      <c r="I32" s="43"/>
      <c r="J32" s="40"/>
      <c r="K32" s="232"/>
      <c r="L32" s="250"/>
      <c r="M32" s="40"/>
      <c r="N32" s="40"/>
      <c r="O32" s="40"/>
      <c r="P32" s="40"/>
      <c r="Q32" s="40"/>
      <c r="S32" s="224"/>
      <c r="U32" s="40"/>
      <c r="V32" s="40"/>
    </row>
    <row r="33" spans="1:22" x14ac:dyDescent="0.25">
      <c r="A33" s="182"/>
      <c r="B33" s="182"/>
      <c r="C33" s="39"/>
      <c r="D33" s="39"/>
      <c r="E33" s="39"/>
      <c r="F33" s="121"/>
      <c r="G33" s="43"/>
      <c r="H33" s="43"/>
      <c r="I33" s="43"/>
      <c r="J33" s="40"/>
      <c r="K33" s="232"/>
      <c r="L33" s="250"/>
      <c r="M33" s="40"/>
      <c r="N33" s="40"/>
      <c r="O33" s="40"/>
      <c r="P33" s="40"/>
      <c r="Q33" s="40"/>
      <c r="S33" s="224"/>
      <c r="U33" s="40"/>
      <c r="V33" s="40"/>
    </row>
    <row r="34" spans="1:22" x14ac:dyDescent="0.25">
      <c r="A34" s="182"/>
      <c r="B34" s="182"/>
      <c r="C34" s="39"/>
      <c r="D34" s="39"/>
      <c r="E34" s="39"/>
      <c r="F34" s="121"/>
      <c r="G34" s="43"/>
      <c r="H34" s="43"/>
      <c r="I34" s="43"/>
      <c r="J34" s="40"/>
      <c r="K34" s="232"/>
      <c r="L34" s="250"/>
      <c r="M34" s="40"/>
      <c r="N34" s="40"/>
      <c r="O34" s="40"/>
      <c r="P34" s="40"/>
      <c r="Q34" s="40"/>
      <c r="S34" s="224"/>
      <c r="U34" s="40"/>
      <c r="V34" s="40"/>
    </row>
    <row r="35" spans="1:22" x14ac:dyDescent="0.25">
      <c r="A35" s="182"/>
      <c r="B35" s="182"/>
      <c r="C35" s="39"/>
      <c r="D35" s="39"/>
      <c r="E35" s="39"/>
      <c r="F35" s="121"/>
      <c r="G35" s="43"/>
      <c r="H35" s="43"/>
      <c r="I35" s="43"/>
      <c r="J35" s="40"/>
      <c r="K35" s="232"/>
      <c r="L35" s="250"/>
      <c r="M35" s="40"/>
      <c r="N35" s="40"/>
      <c r="O35" s="40"/>
      <c r="P35" s="40"/>
      <c r="Q35" s="40"/>
      <c r="S35" s="224"/>
      <c r="U35" s="40"/>
      <c r="V35" s="40"/>
    </row>
    <row r="36" spans="1:22" x14ac:dyDescent="0.25">
      <c r="A36" s="182"/>
      <c r="B36" s="182"/>
      <c r="C36" s="39"/>
      <c r="D36" s="39"/>
      <c r="E36" s="39"/>
      <c r="F36" s="121"/>
      <c r="G36" s="43"/>
      <c r="H36" s="43"/>
      <c r="I36" s="43"/>
      <c r="J36" s="40"/>
      <c r="K36" s="232"/>
      <c r="L36" s="250"/>
      <c r="M36" s="40"/>
      <c r="N36" s="40"/>
      <c r="O36" s="40"/>
      <c r="P36" s="40"/>
      <c r="Q36" s="40"/>
      <c r="S36" s="224"/>
      <c r="U36" s="40"/>
      <c r="V36" s="40"/>
    </row>
    <row r="37" spans="1:22" x14ac:dyDescent="0.25">
      <c r="A37" s="182"/>
      <c r="B37" s="182"/>
      <c r="C37" s="39"/>
      <c r="D37" s="39"/>
      <c r="E37" s="39"/>
      <c r="F37" s="121"/>
      <c r="G37" s="43"/>
      <c r="H37" s="43"/>
      <c r="I37" s="43"/>
      <c r="J37" s="40"/>
      <c r="K37" s="232"/>
      <c r="L37" s="250"/>
      <c r="M37" s="40"/>
      <c r="N37" s="40"/>
      <c r="O37" s="40"/>
      <c r="P37" s="40"/>
      <c r="Q37" s="40"/>
      <c r="S37" s="224"/>
      <c r="U37" s="40"/>
      <c r="V37" s="40"/>
    </row>
    <row r="38" spans="1:22" x14ac:dyDescent="0.25">
      <c r="A38" s="182"/>
      <c r="B38" s="182"/>
      <c r="C38" s="39"/>
      <c r="D38" s="39"/>
      <c r="E38" s="39"/>
      <c r="F38" s="121"/>
      <c r="G38" s="43"/>
      <c r="H38" s="43"/>
      <c r="I38" s="43"/>
      <c r="J38" s="40"/>
      <c r="K38" s="232"/>
      <c r="L38" s="250"/>
      <c r="M38" s="40"/>
      <c r="N38" s="40"/>
      <c r="O38" s="40"/>
      <c r="P38" s="40"/>
      <c r="Q38" s="40"/>
      <c r="S38" s="224"/>
      <c r="U38" s="40"/>
      <c r="V38" s="40"/>
    </row>
    <row r="39" spans="1:22" x14ac:dyDescent="0.25">
      <c r="A39" s="182"/>
      <c r="B39" s="182"/>
      <c r="C39" s="39"/>
      <c r="D39" s="39"/>
      <c r="E39" s="39"/>
      <c r="F39" s="121"/>
      <c r="G39" s="43"/>
      <c r="H39" s="43"/>
      <c r="I39" s="43"/>
      <c r="J39" s="40"/>
      <c r="K39" s="232"/>
      <c r="L39" s="250"/>
      <c r="M39" s="40"/>
      <c r="N39" s="40" t="s">
        <v>146</v>
      </c>
      <c r="O39" s="40"/>
      <c r="P39" s="40"/>
      <c r="Q39" s="40"/>
      <c r="S39" s="224"/>
      <c r="U39" s="40"/>
      <c r="V39" s="40"/>
    </row>
    <row r="40" spans="1:22" x14ac:dyDescent="0.25">
      <c r="A40" s="182"/>
      <c r="B40" s="182"/>
      <c r="C40" s="39"/>
      <c r="D40" s="39"/>
      <c r="E40" s="39"/>
      <c r="F40" s="121"/>
      <c r="G40" s="43"/>
      <c r="H40" s="43"/>
      <c r="I40" s="43"/>
      <c r="J40" s="40"/>
      <c r="K40" s="232"/>
      <c r="L40" s="250"/>
      <c r="M40" s="40"/>
      <c r="N40" s="40"/>
      <c r="O40" s="40"/>
      <c r="P40" s="40"/>
      <c r="Q40" s="40"/>
      <c r="S40" s="224"/>
      <c r="U40" s="40"/>
      <c r="V40" s="40"/>
    </row>
    <row r="41" spans="1:22" x14ac:dyDescent="0.25">
      <c r="A41" s="182"/>
      <c r="B41" s="182"/>
      <c r="C41" s="39"/>
      <c r="D41" s="39"/>
      <c r="E41" s="39"/>
      <c r="F41" s="121"/>
      <c r="G41" s="43"/>
      <c r="H41" s="43"/>
      <c r="I41" s="43"/>
      <c r="J41" s="40"/>
      <c r="K41" s="232"/>
      <c r="L41" s="250"/>
      <c r="M41" s="40"/>
      <c r="N41" s="40"/>
      <c r="O41" s="40"/>
      <c r="P41" s="40"/>
      <c r="Q41" s="40"/>
      <c r="S41" s="224"/>
      <c r="U41" s="40"/>
      <c r="V41" s="40"/>
    </row>
    <row r="42" spans="1:22" x14ac:dyDescent="0.25">
      <c r="A42" s="182"/>
      <c r="B42" s="182"/>
      <c r="C42" s="39"/>
      <c r="D42" s="39"/>
      <c r="E42" s="39"/>
      <c r="F42" s="121"/>
      <c r="G42" s="43"/>
      <c r="H42" s="43"/>
      <c r="I42" s="43"/>
      <c r="J42" s="40"/>
      <c r="K42" s="232"/>
      <c r="L42" s="250"/>
      <c r="M42" s="40"/>
      <c r="N42" s="40"/>
      <c r="O42" s="40"/>
      <c r="P42" s="40"/>
      <c r="Q42" s="40"/>
      <c r="S42" s="224"/>
      <c r="U42" s="40"/>
      <c r="V42" s="40"/>
    </row>
    <row r="43" spans="1:22" x14ac:dyDescent="0.25">
      <c r="A43" s="182"/>
      <c r="B43" s="182"/>
      <c r="C43" s="39"/>
      <c r="D43" s="39"/>
      <c r="E43" s="39"/>
      <c r="F43" s="121"/>
      <c r="G43" s="43"/>
      <c r="H43" s="43"/>
      <c r="I43" s="43"/>
      <c r="J43" s="40"/>
      <c r="K43" s="232"/>
      <c r="L43" s="250"/>
      <c r="M43" s="40"/>
      <c r="N43" s="40"/>
      <c r="O43" s="40"/>
      <c r="P43" s="40"/>
      <c r="Q43" s="40"/>
      <c r="S43" s="224"/>
      <c r="U43" s="40"/>
      <c r="V43" s="40"/>
    </row>
    <row r="44" spans="1:22" x14ac:dyDescent="0.25">
      <c r="A44" s="182"/>
      <c r="B44" s="182"/>
      <c r="C44" s="39"/>
      <c r="D44" s="39"/>
      <c r="E44" s="39"/>
      <c r="F44" s="121"/>
      <c r="G44" s="43"/>
      <c r="H44" s="43"/>
      <c r="I44" s="43"/>
      <c r="J44" s="40"/>
      <c r="K44" s="232"/>
      <c r="L44" s="250"/>
      <c r="M44" s="40"/>
      <c r="N44" s="40"/>
      <c r="O44" s="40"/>
      <c r="P44" s="40"/>
      <c r="Q44" s="40"/>
      <c r="S44" s="224"/>
      <c r="U44" s="40"/>
      <c r="V44" s="40"/>
    </row>
    <row r="45" spans="1:22" x14ac:dyDescent="0.25">
      <c r="A45" s="182"/>
      <c r="B45" s="182"/>
      <c r="C45" s="39"/>
      <c r="D45" s="39"/>
      <c r="E45" s="39"/>
      <c r="F45" s="121"/>
      <c r="G45" s="43"/>
      <c r="H45" s="43"/>
      <c r="I45" s="43"/>
      <c r="J45" s="40"/>
      <c r="K45" s="232"/>
      <c r="L45" s="250"/>
      <c r="M45" s="40"/>
      <c r="N45" s="40"/>
      <c r="O45" s="40"/>
      <c r="P45" s="40"/>
      <c r="Q45" s="40"/>
      <c r="S45" s="224"/>
      <c r="U45" s="40"/>
      <c r="V45" s="40"/>
    </row>
    <row r="46" spans="1:22" x14ac:dyDescent="0.25">
      <c r="A46" s="182"/>
      <c r="B46" s="182"/>
      <c r="C46" s="39"/>
      <c r="D46" s="39"/>
      <c r="E46" s="39"/>
      <c r="F46" s="121"/>
      <c r="G46" s="43"/>
      <c r="H46" s="43"/>
      <c r="I46" s="43"/>
      <c r="J46" s="40"/>
      <c r="K46" s="232"/>
      <c r="L46" s="250"/>
      <c r="M46" s="40"/>
      <c r="N46" s="40"/>
      <c r="O46" s="40"/>
      <c r="P46" s="40"/>
      <c r="Q46" s="40"/>
      <c r="S46" s="224"/>
      <c r="U46" s="40"/>
      <c r="V46" s="40"/>
    </row>
    <row r="47" spans="1:22" x14ac:dyDescent="0.25">
      <c r="A47" s="182"/>
      <c r="B47" s="182"/>
      <c r="C47" s="39"/>
      <c r="D47" s="39"/>
      <c r="E47" s="39"/>
      <c r="F47" s="121"/>
      <c r="G47" s="43"/>
      <c r="H47" s="43"/>
      <c r="I47" s="43"/>
      <c r="J47" s="40"/>
      <c r="K47" s="232"/>
      <c r="L47" s="250"/>
      <c r="M47" s="40"/>
      <c r="N47" s="40"/>
      <c r="O47" s="40"/>
      <c r="P47" s="40"/>
      <c r="Q47" s="40"/>
      <c r="S47" s="224"/>
      <c r="U47" s="40"/>
      <c r="V47" s="40"/>
    </row>
    <row r="48" spans="1:22" x14ac:dyDescent="0.25">
      <c r="A48" s="182"/>
      <c r="B48" s="182"/>
      <c r="C48" s="39"/>
      <c r="D48" s="39"/>
      <c r="E48" s="39"/>
      <c r="F48" s="121"/>
      <c r="G48" s="43"/>
      <c r="H48" s="43"/>
      <c r="I48" s="43"/>
      <c r="J48" s="40"/>
      <c r="K48" s="232"/>
      <c r="L48" s="250"/>
      <c r="M48" s="40"/>
      <c r="N48" s="40"/>
      <c r="O48" s="40"/>
      <c r="P48" s="40"/>
      <c r="Q48" s="40"/>
      <c r="S48" s="224"/>
      <c r="U48" s="40"/>
      <c r="V48" s="40"/>
    </row>
    <row r="49" spans="1:22" x14ac:dyDescent="0.25">
      <c r="A49" s="182"/>
      <c r="B49" s="182"/>
      <c r="C49" s="39"/>
      <c r="D49" s="39"/>
      <c r="E49" s="39"/>
      <c r="F49" s="121"/>
      <c r="G49" s="43"/>
      <c r="H49" s="43"/>
      <c r="I49" s="43"/>
      <c r="J49" s="40"/>
      <c r="K49" s="232"/>
      <c r="L49" s="250"/>
      <c r="M49" s="40"/>
      <c r="N49" s="40"/>
      <c r="O49" s="40"/>
      <c r="P49" s="40"/>
      <c r="Q49" s="40"/>
      <c r="S49" s="224"/>
      <c r="U49" s="40"/>
      <c r="V49" s="40"/>
    </row>
    <row r="50" spans="1:22" x14ac:dyDescent="0.25">
      <c r="A50" s="182"/>
      <c r="B50" s="182"/>
      <c r="C50" s="39"/>
      <c r="D50" s="39"/>
      <c r="E50" s="39"/>
      <c r="F50" s="121"/>
      <c r="G50" s="43"/>
      <c r="H50" s="43"/>
      <c r="I50" s="43"/>
      <c r="J50" s="40"/>
      <c r="K50" s="232"/>
      <c r="L50" s="250"/>
      <c r="M50" s="40"/>
      <c r="N50" s="40"/>
      <c r="O50" s="40"/>
      <c r="P50" s="40"/>
      <c r="Q50" s="40"/>
      <c r="S50" s="224"/>
      <c r="U50" s="40"/>
      <c r="V50" s="40"/>
    </row>
    <row r="51" spans="1:22" x14ac:dyDescent="0.25">
      <c r="A51" s="182"/>
      <c r="B51" s="182"/>
      <c r="C51" s="39"/>
      <c r="D51" s="39"/>
      <c r="E51" s="39"/>
      <c r="F51" s="121"/>
      <c r="G51" s="43"/>
      <c r="H51" s="43"/>
      <c r="I51" s="43"/>
      <c r="J51" s="40"/>
      <c r="K51" s="232"/>
      <c r="L51" s="250"/>
      <c r="M51" s="40"/>
      <c r="N51" s="40"/>
      <c r="O51" s="40"/>
      <c r="P51" s="40"/>
      <c r="Q51" s="40"/>
      <c r="S51" s="224"/>
      <c r="U51" s="40"/>
      <c r="V51" s="40"/>
    </row>
    <row r="52" spans="1:22" x14ac:dyDescent="0.25">
      <c r="A52" s="182"/>
      <c r="B52" s="182"/>
      <c r="C52" s="39"/>
      <c r="D52" s="39"/>
      <c r="E52" s="39"/>
      <c r="F52" s="121"/>
      <c r="G52" s="43"/>
      <c r="H52" s="43"/>
      <c r="I52" s="43"/>
      <c r="J52" s="40"/>
      <c r="K52" s="232"/>
      <c r="S52" s="224"/>
    </row>
    <row r="53" spans="1:22" x14ac:dyDescent="0.25">
      <c r="A53" s="182"/>
      <c r="B53" s="182"/>
      <c r="C53" s="39"/>
      <c r="D53" s="39"/>
      <c r="E53" s="39"/>
      <c r="F53" s="121"/>
      <c r="G53" s="43"/>
      <c r="H53" s="43"/>
      <c r="I53" s="43"/>
      <c r="J53" s="40"/>
      <c r="K53" s="232"/>
      <c r="S53" s="224"/>
    </row>
    <row r="54" spans="1:22" x14ac:dyDescent="0.25">
      <c r="A54" s="182"/>
      <c r="B54" s="182"/>
      <c r="C54" s="39"/>
      <c r="D54" s="39"/>
      <c r="E54" s="39"/>
      <c r="F54" s="121"/>
      <c r="G54" s="43"/>
      <c r="H54" s="43"/>
      <c r="I54" s="43"/>
      <c r="J54" s="40"/>
      <c r="K54" s="232"/>
      <c r="S54" s="224"/>
    </row>
    <row r="55" spans="1:22" x14ac:dyDescent="0.25">
      <c r="A55" s="182"/>
      <c r="B55" s="182"/>
      <c r="C55" s="39"/>
      <c r="D55" s="39"/>
      <c r="E55" s="39"/>
      <c r="F55" s="121"/>
      <c r="G55" s="43"/>
      <c r="H55" s="43"/>
      <c r="I55" s="43"/>
      <c r="J55" s="40"/>
      <c r="K55" s="232"/>
      <c r="S55" s="224"/>
    </row>
    <row r="56" spans="1:22" x14ac:dyDescent="0.25">
      <c r="A56" s="182"/>
      <c r="B56" s="182"/>
      <c r="C56" s="39"/>
      <c r="D56" s="39"/>
      <c r="E56" s="39"/>
      <c r="F56" s="121"/>
      <c r="G56" s="43"/>
      <c r="H56" s="43"/>
      <c r="I56" s="43"/>
      <c r="J56" s="40"/>
      <c r="K56" s="232"/>
      <c r="S56" s="224"/>
    </row>
    <row r="57" spans="1:22" x14ac:dyDescent="0.25">
      <c r="A57" s="182"/>
      <c r="B57" s="182"/>
      <c r="C57" s="39"/>
      <c r="D57" s="39"/>
      <c r="E57" s="39"/>
      <c r="F57" s="121"/>
      <c r="G57" s="43"/>
      <c r="H57" s="43"/>
      <c r="I57" s="43"/>
      <c r="J57" s="40"/>
      <c r="K57" s="232"/>
      <c r="S57" s="224"/>
    </row>
    <row r="58" spans="1:22" x14ac:dyDescent="0.25">
      <c r="A58" s="182"/>
      <c r="B58" s="182"/>
      <c r="C58" s="39"/>
      <c r="D58" s="39"/>
      <c r="E58" s="39"/>
      <c r="F58" s="121"/>
      <c r="G58" s="43"/>
      <c r="H58" s="43"/>
      <c r="I58" s="43"/>
      <c r="J58" s="40"/>
      <c r="K58" s="232"/>
      <c r="S58" s="224"/>
    </row>
    <row r="59" spans="1:22" x14ac:dyDescent="0.25">
      <c r="A59" s="182"/>
      <c r="B59" s="182"/>
      <c r="C59" s="39"/>
      <c r="D59" s="39"/>
      <c r="E59" s="39"/>
      <c r="F59" s="121"/>
      <c r="G59" s="43"/>
      <c r="H59" s="43"/>
      <c r="I59" s="43"/>
      <c r="J59" s="40"/>
      <c r="K59" s="232"/>
    </row>
    <row r="60" spans="1:22" x14ac:dyDescent="0.25">
      <c r="A60" s="182"/>
      <c r="B60" s="182"/>
      <c r="C60" s="39"/>
      <c r="D60" s="39"/>
      <c r="E60" s="39"/>
      <c r="F60" s="121"/>
      <c r="G60" s="43"/>
      <c r="H60" s="43"/>
      <c r="I60" s="43"/>
      <c r="J60" s="40"/>
      <c r="K60" s="232"/>
    </row>
    <row r="61" spans="1:22" x14ac:dyDescent="0.25">
      <c r="A61" s="182"/>
      <c r="B61" s="182"/>
      <c r="C61" s="39"/>
      <c r="D61" s="39"/>
      <c r="E61" s="39"/>
      <c r="F61" s="121"/>
      <c r="G61" s="43"/>
      <c r="H61" s="43"/>
      <c r="I61" s="43"/>
      <c r="J61" s="40"/>
      <c r="K61" s="232"/>
    </row>
    <row r="62" spans="1:22" x14ac:dyDescent="0.25">
      <c r="A62" s="182"/>
      <c r="B62" s="182"/>
      <c r="C62" s="39"/>
      <c r="D62" s="39"/>
      <c r="E62" s="39"/>
      <c r="F62" s="121"/>
      <c r="G62" s="43"/>
      <c r="H62" s="43"/>
      <c r="I62" s="43"/>
      <c r="J62" s="40"/>
      <c r="K62" s="232"/>
    </row>
    <row r="63" spans="1:22" x14ac:dyDescent="0.25">
      <c r="A63" s="182"/>
      <c r="B63" s="182"/>
      <c r="C63" s="39"/>
      <c r="D63" s="39"/>
      <c r="E63" s="39"/>
      <c r="F63" s="121"/>
      <c r="G63" s="43"/>
      <c r="H63" s="43"/>
      <c r="I63" s="43"/>
      <c r="J63" s="40"/>
      <c r="K63" s="232"/>
    </row>
    <row r="64" spans="1:22" x14ac:dyDescent="0.25">
      <c r="A64" s="182"/>
      <c r="B64" s="182"/>
      <c r="C64" s="39"/>
      <c r="D64" s="39"/>
      <c r="E64" s="39"/>
      <c r="F64" s="121"/>
      <c r="G64" s="43"/>
      <c r="H64" s="43"/>
      <c r="I64" s="43"/>
      <c r="J64" s="40"/>
      <c r="K64" s="232"/>
    </row>
    <row r="65" spans="1:11" x14ac:dyDescent="0.25">
      <c r="A65" s="182"/>
      <c r="B65" s="182"/>
      <c r="C65" s="39"/>
      <c r="D65" s="39"/>
      <c r="E65" s="39"/>
      <c r="F65" s="121"/>
      <c r="G65" s="43"/>
      <c r="H65" s="43"/>
      <c r="I65" s="43"/>
      <c r="J65" s="40"/>
      <c r="K65" s="232"/>
    </row>
    <row r="66" spans="1:11" x14ac:dyDescent="0.25">
      <c r="A66" s="182"/>
      <c r="B66" s="182"/>
      <c r="C66" s="39"/>
      <c r="D66" s="39"/>
      <c r="E66" s="39"/>
      <c r="F66" s="121"/>
      <c r="G66" s="43"/>
      <c r="H66" s="43"/>
      <c r="I66" s="43"/>
      <c r="J66" s="40"/>
      <c r="K66" s="232"/>
    </row>
    <row r="67" spans="1:11" x14ac:dyDescent="0.25">
      <c r="A67" s="182"/>
      <c r="B67" s="182"/>
      <c r="C67" s="39"/>
      <c r="D67" s="39"/>
      <c r="E67" s="39"/>
      <c r="F67" s="121"/>
      <c r="G67" s="43"/>
      <c r="H67" s="43"/>
      <c r="I67" s="43"/>
      <c r="J67" s="40"/>
      <c r="K67" s="232"/>
    </row>
    <row r="68" spans="1:11" x14ac:dyDescent="0.25">
      <c r="A68" s="182"/>
      <c r="B68" s="182"/>
      <c r="C68" s="39"/>
      <c r="D68" s="39"/>
      <c r="E68" s="39"/>
      <c r="F68" s="121"/>
      <c r="G68" s="43"/>
      <c r="H68" s="43"/>
      <c r="I68" s="43"/>
      <c r="J68" s="40"/>
      <c r="K68" s="232"/>
    </row>
    <row r="69" spans="1:11" x14ac:dyDescent="0.25">
      <c r="A69" s="182"/>
      <c r="B69" s="182"/>
      <c r="C69" s="39"/>
      <c r="D69" s="39"/>
      <c r="E69" s="39"/>
      <c r="F69" s="121"/>
      <c r="G69" s="43"/>
      <c r="H69" s="43"/>
      <c r="I69" s="43"/>
      <c r="J69" s="40"/>
      <c r="K69" s="232"/>
    </row>
    <row r="70" spans="1:11" x14ac:dyDescent="0.25">
      <c r="A70" s="182"/>
      <c r="B70" s="182"/>
      <c r="C70" s="39"/>
      <c r="D70" s="39"/>
      <c r="E70" s="39"/>
      <c r="F70" s="121"/>
      <c r="G70" s="43"/>
      <c r="H70" s="43"/>
      <c r="I70" s="43"/>
      <c r="J70" s="40"/>
      <c r="K70" s="232"/>
    </row>
    <row r="71" spans="1:11" x14ac:dyDescent="0.25">
      <c r="A71" s="182"/>
      <c r="B71" s="182"/>
      <c r="C71" s="39"/>
      <c r="D71" s="39"/>
      <c r="E71" s="39"/>
      <c r="F71" s="121"/>
      <c r="G71" s="43"/>
      <c r="H71" s="43"/>
      <c r="I71" s="43"/>
      <c r="J71" s="40"/>
      <c r="K71" s="232"/>
    </row>
    <row r="72" spans="1:11" x14ac:dyDescent="0.25">
      <c r="A72" s="182"/>
      <c r="B72" s="182"/>
      <c r="C72" s="39"/>
      <c r="D72" s="39"/>
      <c r="E72" s="39"/>
      <c r="F72" s="121"/>
      <c r="G72" s="43"/>
      <c r="H72" s="43"/>
      <c r="I72" s="43"/>
      <c r="J72" s="40"/>
      <c r="K72" s="232"/>
    </row>
    <row r="73" spans="1:11" x14ac:dyDescent="0.25">
      <c r="A73" s="182"/>
      <c r="B73" s="182"/>
      <c r="C73" s="39"/>
      <c r="D73" s="39"/>
      <c r="E73" s="39"/>
      <c r="F73" s="121"/>
      <c r="G73" s="43"/>
      <c r="H73" s="43"/>
      <c r="I73" s="43"/>
      <c r="J73" s="40"/>
      <c r="K73" s="232"/>
    </row>
    <row r="74" spans="1:11" x14ac:dyDescent="0.25">
      <c r="A74" s="182"/>
      <c r="B74" s="182"/>
      <c r="C74" s="39"/>
      <c r="D74" s="39"/>
      <c r="E74" s="39"/>
      <c r="F74" s="121"/>
      <c r="G74" s="43"/>
      <c r="H74" s="43"/>
      <c r="I74" s="43"/>
      <c r="J74" s="40"/>
      <c r="K74" s="232"/>
    </row>
    <row r="75" spans="1:11" x14ac:dyDescent="0.25">
      <c r="A75" s="182"/>
      <c r="B75" s="182"/>
      <c r="C75" s="39"/>
      <c r="D75" s="39"/>
      <c r="E75" s="39"/>
      <c r="F75" s="121"/>
      <c r="G75" s="43"/>
      <c r="H75" s="43"/>
      <c r="I75" s="43"/>
      <c r="J75" s="40"/>
      <c r="K75" s="232"/>
    </row>
    <row r="76" spans="1:11" x14ac:dyDescent="0.25">
      <c r="A76" s="182"/>
      <c r="B76" s="182"/>
      <c r="C76" s="39"/>
      <c r="D76" s="39"/>
      <c r="E76" s="39"/>
      <c r="F76" s="121"/>
      <c r="G76" s="43"/>
      <c r="H76" s="43"/>
      <c r="I76" s="43"/>
      <c r="J76" s="40"/>
      <c r="K76" s="232"/>
    </row>
    <row r="77" spans="1:11" x14ac:dyDescent="0.25">
      <c r="A77" s="182"/>
      <c r="B77" s="182"/>
      <c r="C77" s="39"/>
      <c r="D77" s="39"/>
      <c r="E77" s="39"/>
      <c r="F77" s="121"/>
      <c r="G77" s="43"/>
      <c r="H77" s="43"/>
      <c r="I77" s="43"/>
      <c r="J77" s="40"/>
      <c r="K77" s="232"/>
    </row>
    <row r="78" spans="1:11" x14ac:dyDescent="0.25">
      <c r="A78" s="182"/>
      <c r="B78" s="182"/>
      <c r="C78" s="39"/>
      <c r="D78" s="39"/>
      <c r="E78" s="39"/>
      <c r="F78" s="121"/>
      <c r="G78" s="43"/>
      <c r="H78" s="43"/>
      <c r="I78" s="43"/>
      <c r="J78" s="40"/>
      <c r="K78" s="232"/>
    </row>
    <row r="79" spans="1:11" x14ac:dyDescent="0.25">
      <c r="A79" s="182"/>
      <c r="B79" s="182"/>
      <c r="C79" s="39"/>
      <c r="D79" s="39"/>
      <c r="E79" s="39"/>
      <c r="F79" s="121"/>
      <c r="G79" s="43"/>
      <c r="H79" s="43"/>
      <c r="I79" s="43"/>
      <c r="J79" s="40"/>
      <c r="K79" s="232"/>
    </row>
    <row r="80" spans="1:11" x14ac:dyDescent="0.25">
      <c r="A80" s="182"/>
      <c r="B80" s="182"/>
      <c r="C80" s="39"/>
      <c r="D80" s="39"/>
      <c r="E80" s="39"/>
      <c r="F80" s="121"/>
      <c r="G80" s="43"/>
      <c r="H80" s="43"/>
      <c r="I80" s="43"/>
      <c r="J80" s="40"/>
      <c r="K80" s="232"/>
    </row>
    <row r="81" spans="1:11" x14ac:dyDescent="0.25">
      <c r="A81" s="182"/>
      <c r="B81" s="182"/>
      <c r="C81" s="39"/>
      <c r="D81" s="39"/>
      <c r="E81" s="39"/>
      <c r="F81" s="121"/>
      <c r="G81" s="43"/>
      <c r="H81" s="43"/>
      <c r="I81" s="43"/>
      <c r="J81" s="40"/>
      <c r="K81" s="232"/>
    </row>
    <row r="82" spans="1:11" x14ac:dyDescent="0.25">
      <c r="A82" s="182"/>
      <c r="B82" s="182"/>
      <c r="C82" s="39"/>
      <c r="D82" s="39"/>
      <c r="E82" s="39"/>
      <c r="F82" s="121"/>
      <c r="G82" s="43"/>
      <c r="H82" s="43"/>
      <c r="I82" s="43"/>
      <c r="J82" s="40"/>
      <c r="K82" s="232"/>
    </row>
    <row r="83" spans="1:11" x14ac:dyDescent="0.25">
      <c r="A83" s="182"/>
      <c r="B83" s="182"/>
      <c r="C83" s="39"/>
      <c r="D83" s="39"/>
      <c r="E83" s="39"/>
      <c r="F83" s="121"/>
      <c r="G83" s="43"/>
      <c r="H83" s="43"/>
      <c r="I83" s="43"/>
      <c r="J83" s="40"/>
      <c r="K83" s="232"/>
    </row>
    <row r="84" spans="1:11" x14ac:dyDescent="0.25">
      <c r="A84" s="182"/>
      <c r="B84" s="182"/>
      <c r="C84" s="39"/>
      <c r="D84" s="39"/>
      <c r="E84" s="39"/>
      <c r="F84" s="121"/>
      <c r="G84" s="43"/>
      <c r="H84" s="43"/>
      <c r="I84" s="43"/>
      <c r="J84" s="40"/>
      <c r="K84" s="232"/>
    </row>
    <row r="85" spans="1:11" x14ac:dyDescent="0.25">
      <c r="A85" s="182"/>
      <c r="B85" s="182"/>
      <c r="C85" s="39"/>
      <c r="D85" s="39"/>
      <c r="E85" s="39"/>
      <c r="F85" s="121"/>
      <c r="G85" s="43"/>
      <c r="H85" s="43"/>
      <c r="I85" s="43"/>
      <c r="J85" s="40"/>
      <c r="K85" s="232"/>
    </row>
    <row r="86" spans="1:11" x14ac:dyDescent="0.25">
      <c r="A86" s="182"/>
      <c r="B86" s="182"/>
      <c r="C86" s="39"/>
      <c r="D86" s="39"/>
      <c r="E86" s="39"/>
      <c r="F86" s="121"/>
      <c r="G86" s="43"/>
      <c r="H86" s="43"/>
      <c r="I86" s="43"/>
      <c r="J86" s="40"/>
      <c r="K86" s="232"/>
    </row>
    <row r="87" spans="1:11" x14ac:dyDescent="0.25">
      <c r="A87" s="182"/>
      <c r="B87" s="182"/>
      <c r="C87" s="39"/>
      <c r="D87" s="39"/>
      <c r="E87" s="39"/>
      <c r="F87" s="121"/>
      <c r="G87" s="43"/>
      <c r="H87" s="43"/>
      <c r="I87" s="43"/>
      <c r="J87" s="40"/>
      <c r="K87" s="232"/>
    </row>
    <row r="88" spans="1:11" x14ac:dyDescent="0.25">
      <c r="A88" s="182"/>
      <c r="B88" s="182"/>
      <c r="C88" s="39"/>
      <c r="D88" s="39"/>
      <c r="E88" s="39"/>
      <c r="F88" s="121"/>
      <c r="G88" s="43"/>
      <c r="H88" s="43"/>
      <c r="I88" s="43"/>
      <c r="J88" s="40"/>
      <c r="K88" s="232"/>
    </row>
    <row r="89" spans="1:11" x14ac:dyDescent="0.25">
      <c r="A89" s="182"/>
      <c r="B89" s="182"/>
      <c r="C89" s="39"/>
      <c r="D89" s="39"/>
      <c r="E89" s="39"/>
      <c r="F89" s="121"/>
      <c r="G89" s="43"/>
      <c r="H89" s="43"/>
      <c r="I89" s="43"/>
      <c r="J89" s="40"/>
      <c r="K89" s="232"/>
    </row>
    <row r="90" spans="1:11" x14ac:dyDescent="0.25">
      <c r="A90" s="182"/>
      <c r="B90" s="182"/>
      <c r="C90" s="39"/>
      <c r="D90" s="39"/>
      <c r="E90" s="39"/>
      <c r="F90" s="121"/>
      <c r="G90" s="43"/>
      <c r="H90" s="43"/>
      <c r="I90" s="43"/>
      <c r="J90" s="40"/>
      <c r="K90" s="232"/>
    </row>
    <row r="91" spans="1:11" x14ac:dyDescent="0.25">
      <c r="A91" s="182"/>
      <c r="B91" s="182"/>
      <c r="C91" s="39"/>
      <c r="D91" s="39"/>
      <c r="E91" s="39"/>
      <c r="F91" s="121"/>
      <c r="G91" s="43"/>
      <c r="H91" s="43"/>
      <c r="I91" s="43"/>
      <c r="J91" s="40"/>
      <c r="K91" s="232"/>
    </row>
    <row r="92" spans="1:11" x14ac:dyDescent="0.25">
      <c r="A92" s="182"/>
      <c r="B92" s="182"/>
      <c r="C92" s="39"/>
      <c r="D92" s="39"/>
      <c r="E92" s="39"/>
      <c r="F92" s="121"/>
      <c r="G92" s="43"/>
      <c r="H92" s="43"/>
      <c r="I92" s="43"/>
      <c r="J92" s="40"/>
      <c r="K92" s="232"/>
    </row>
    <row r="93" spans="1:11" x14ac:dyDescent="0.25">
      <c r="A93" s="182"/>
      <c r="B93" s="182"/>
      <c r="C93" s="39"/>
      <c r="D93" s="39"/>
      <c r="E93" s="39"/>
      <c r="F93" s="121"/>
      <c r="G93" s="43"/>
      <c r="H93" s="43"/>
      <c r="I93" s="43"/>
      <c r="J93" s="40"/>
      <c r="K93" s="232"/>
    </row>
    <row r="94" spans="1:11" x14ac:dyDescent="0.25">
      <c r="A94" s="182"/>
      <c r="B94" s="182"/>
      <c r="C94" s="39"/>
      <c r="D94" s="39"/>
      <c r="E94" s="39"/>
      <c r="F94" s="121"/>
      <c r="G94" s="43"/>
      <c r="H94" s="43"/>
      <c r="I94" s="43"/>
      <c r="J94" s="40"/>
      <c r="K94" s="232"/>
    </row>
    <row r="95" spans="1:11" x14ac:dyDescent="0.25">
      <c r="A95" s="182"/>
      <c r="B95" s="182"/>
      <c r="C95" s="39"/>
      <c r="D95" s="39"/>
      <c r="E95" s="39"/>
      <c r="F95" s="121"/>
      <c r="G95" s="43"/>
      <c r="H95" s="43"/>
      <c r="I95" s="43"/>
      <c r="J95" s="40"/>
      <c r="K95" s="232"/>
    </row>
    <row r="96" spans="1:11" x14ac:dyDescent="0.25">
      <c r="A96" s="182"/>
      <c r="B96" s="182"/>
      <c r="C96" s="39"/>
      <c r="D96" s="39"/>
      <c r="E96" s="39"/>
      <c r="F96" s="121"/>
      <c r="G96" s="43"/>
      <c r="H96" s="43"/>
      <c r="I96" s="43"/>
      <c r="J96" s="40"/>
      <c r="K96" s="232"/>
    </row>
    <row r="97" spans="1:11" x14ac:dyDescent="0.25">
      <c r="A97" s="182"/>
      <c r="B97" s="182"/>
      <c r="C97" s="39"/>
      <c r="D97" s="39"/>
      <c r="E97" s="39"/>
      <c r="F97" s="121"/>
      <c r="G97" s="43"/>
      <c r="H97" s="43"/>
      <c r="I97" s="43"/>
      <c r="J97" s="40"/>
      <c r="K97" s="232"/>
    </row>
    <row r="98" spans="1:11" x14ac:dyDescent="0.25">
      <c r="A98" s="182"/>
      <c r="B98" s="182"/>
      <c r="C98" s="39"/>
      <c r="D98" s="39"/>
      <c r="E98" s="39"/>
      <c r="F98" s="121"/>
      <c r="G98" s="43"/>
      <c r="H98" s="43"/>
      <c r="I98" s="43"/>
      <c r="J98" s="40"/>
      <c r="K98" s="232"/>
    </row>
    <row r="99" spans="1:11" x14ac:dyDescent="0.25">
      <c r="A99" s="182"/>
      <c r="B99" s="182"/>
      <c r="C99" s="39"/>
      <c r="D99" s="39"/>
      <c r="E99" s="39"/>
      <c r="F99" s="121"/>
      <c r="G99" s="43"/>
      <c r="H99" s="43"/>
      <c r="I99" s="43"/>
      <c r="J99" s="40"/>
      <c r="K99" s="232"/>
    </row>
    <row r="100" spans="1:11" x14ac:dyDescent="0.25">
      <c r="A100" s="182"/>
      <c r="B100" s="182"/>
      <c r="C100" s="39"/>
      <c r="D100" s="39"/>
      <c r="E100" s="39"/>
      <c r="F100" s="121"/>
      <c r="G100" s="43"/>
      <c r="H100" s="43"/>
      <c r="I100" s="43"/>
      <c r="J100" s="40"/>
      <c r="K100" s="232"/>
    </row>
    <row r="101" spans="1:11" x14ac:dyDescent="0.25">
      <c r="A101" s="182"/>
      <c r="B101" s="182"/>
      <c r="C101" s="39"/>
      <c r="D101" s="39"/>
      <c r="E101" s="39"/>
      <c r="F101" s="121"/>
      <c r="G101" s="43"/>
      <c r="H101" s="43"/>
      <c r="I101" s="43"/>
      <c r="J101" s="40"/>
      <c r="K101" s="232"/>
    </row>
    <row r="102" spans="1:11" x14ac:dyDescent="0.25">
      <c r="A102" s="182"/>
      <c r="B102" s="182"/>
      <c r="C102" s="39"/>
      <c r="D102" s="39"/>
      <c r="E102" s="39"/>
      <c r="F102" s="121"/>
      <c r="G102" s="43"/>
      <c r="H102" s="43"/>
      <c r="I102" s="43"/>
      <c r="J102" s="40"/>
      <c r="K102" s="232"/>
    </row>
    <row r="103" spans="1:11" x14ac:dyDescent="0.25">
      <c r="A103" s="182"/>
      <c r="B103" s="182"/>
      <c r="C103" s="39"/>
      <c r="D103" s="39"/>
      <c r="E103" s="39"/>
      <c r="F103" s="121"/>
      <c r="G103" s="43"/>
      <c r="H103" s="43"/>
      <c r="I103" s="43"/>
      <c r="J103" s="40"/>
      <c r="K103" s="232"/>
    </row>
    <row r="104" spans="1:11" x14ac:dyDescent="0.25">
      <c r="A104" s="182"/>
      <c r="B104" s="182"/>
      <c r="C104" s="39"/>
      <c r="D104" s="39"/>
      <c r="E104" s="39"/>
      <c r="F104" s="121"/>
      <c r="G104" s="43"/>
      <c r="H104" s="43"/>
      <c r="I104" s="43"/>
      <c r="J104" s="40"/>
      <c r="K104" s="232"/>
    </row>
    <row r="105" spans="1:11" x14ac:dyDescent="0.25">
      <c r="A105" s="182"/>
      <c r="B105" s="182"/>
      <c r="C105" s="39"/>
      <c r="D105" s="39"/>
      <c r="E105" s="39"/>
      <c r="F105" s="121"/>
      <c r="G105" s="43"/>
      <c r="H105" s="43"/>
      <c r="I105" s="43"/>
      <c r="J105" s="40"/>
      <c r="K105" s="232"/>
    </row>
    <row r="106" spans="1:11" x14ac:dyDescent="0.25">
      <c r="A106" s="182"/>
      <c r="B106" s="182"/>
      <c r="C106" s="39"/>
      <c r="D106" s="39"/>
      <c r="E106" s="39"/>
      <c r="F106" s="121"/>
      <c r="G106" s="43"/>
      <c r="H106" s="43"/>
      <c r="I106" s="43"/>
      <c r="J106" s="40"/>
      <c r="K106" s="232"/>
    </row>
    <row r="107" spans="1:11" x14ac:dyDescent="0.25">
      <c r="A107" s="182"/>
      <c r="B107" s="182"/>
      <c r="C107" s="39"/>
      <c r="D107" s="39"/>
      <c r="E107" s="39"/>
      <c r="F107" s="121"/>
      <c r="G107" s="43"/>
      <c r="H107" s="43"/>
      <c r="I107" s="43"/>
      <c r="J107" s="40"/>
      <c r="K107" s="232"/>
    </row>
    <row r="108" spans="1:11" x14ac:dyDescent="0.25">
      <c r="A108" s="182"/>
      <c r="B108" s="182"/>
      <c r="C108" s="39"/>
      <c r="D108" s="39"/>
      <c r="E108" s="39"/>
      <c r="F108" s="121"/>
      <c r="G108" s="43"/>
      <c r="H108" s="43"/>
      <c r="I108" s="43"/>
      <c r="J108" s="40"/>
      <c r="K108" s="232"/>
    </row>
    <row r="109" spans="1:11" x14ac:dyDescent="0.25">
      <c r="A109" s="182"/>
      <c r="B109" s="182"/>
      <c r="C109" s="39"/>
      <c r="D109" s="39"/>
      <c r="E109" s="39"/>
      <c r="F109" s="121"/>
      <c r="G109" s="43"/>
      <c r="H109" s="43"/>
      <c r="I109" s="43"/>
      <c r="J109" s="40"/>
      <c r="K109" s="232"/>
    </row>
    <row r="110" spans="1:11" x14ac:dyDescent="0.25">
      <c r="A110" s="182"/>
      <c r="B110" s="182"/>
      <c r="C110" s="39"/>
      <c r="D110" s="39"/>
      <c r="E110" s="39"/>
      <c r="F110" s="121"/>
      <c r="G110" s="43"/>
      <c r="H110" s="43"/>
      <c r="I110" s="43"/>
      <c r="J110" s="40"/>
      <c r="K110" s="232"/>
    </row>
    <row r="111" spans="1:11" x14ac:dyDescent="0.25">
      <c r="A111" s="182"/>
      <c r="B111" s="182"/>
      <c r="C111" s="39"/>
      <c r="D111" s="39"/>
      <c r="E111" s="39"/>
      <c r="F111" s="121"/>
      <c r="G111" s="43"/>
      <c r="H111" s="43"/>
      <c r="I111" s="43"/>
      <c r="J111" s="40"/>
      <c r="K111" s="232"/>
    </row>
    <row r="112" spans="1:11" x14ac:dyDescent="0.25">
      <c r="A112" s="182"/>
      <c r="B112" s="182"/>
      <c r="C112" s="39"/>
      <c r="D112" s="39"/>
      <c r="E112" s="39"/>
      <c r="F112" s="121"/>
      <c r="G112" s="43"/>
      <c r="H112" s="43"/>
      <c r="I112" s="43"/>
      <c r="J112" s="40"/>
      <c r="K112" s="232"/>
    </row>
    <row r="113" spans="1:11" x14ac:dyDescent="0.25">
      <c r="A113" s="182"/>
      <c r="B113" s="182"/>
      <c r="C113" s="39"/>
      <c r="D113" s="39"/>
      <c r="E113" s="39"/>
      <c r="F113" s="121"/>
      <c r="G113" s="43"/>
      <c r="H113" s="43"/>
      <c r="I113" s="43"/>
      <c r="J113" s="40"/>
      <c r="K113" s="232"/>
    </row>
    <row r="114" spans="1:11" x14ac:dyDescent="0.25">
      <c r="A114" s="182"/>
      <c r="B114" s="182"/>
      <c r="C114" s="39"/>
      <c r="D114" s="39"/>
      <c r="E114" s="39"/>
      <c r="F114" s="121"/>
      <c r="G114" s="43"/>
      <c r="H114" s="43"/>
      <c r="I114" s="43"/>
      <c r="J114" s="40"/>
      <c r="K114" s="232"/>
    </row>
    <row r="115" spans="1:11" x14ac:dyDescent="0.25">
      <c r="A115" s="182"/>
      <c r="B115" s="182"/>
      <c r="C115" s="39"/>
      <c r="D115" s="39"/>
      <c r="E115" s="39"/>
      <c r="F115" s="121"/>
      <c r="G115" s="43"/>
      <c r="H115" s="43"/>
      <c r="I115" s="43"/>
      <c r="J115" s="40"/>
      <c r="K115" s="232"/>
    </row>
    <row r="116" spans="1:11" x14ac:dyDescent="0.25">
      <c r="A116" s="182"/>
      <c r="B116" s="182"/>
      <c r="C116" s="39"/>
      <c r="D116" s="39"/>
      <c r="E116" s="39"/>
      <c r="F116" s="121"/>
      <c r="G116" s="43"/>
      <c r="H116" s="43"/>
      <c r="I116" s="43"/>
      <c r="J116" s="40"/>
      <c r="K116" s="232"/>
    </row>
    <row r="117" spans="1:11" x14ac:dyDescent="0.25">
      <c r="A117" s="182"/>
      <c r="B117" s="182"/>
      <c r="C117" s="39"/>
      <c r="D117" s="39"/>
      <c r="E117" s="39"/>
      <c r="F117" s="121"/>
      <c r="G117" s="43"/>
      <c r="H117" s="43"/>
      <c r="I117" s="43"/>
      <c r="J117" s="40"/>
      <c r="K117" s="232"/>
    </row>
    <row r="118" spans="1:11" x14ac:dyDescent="0.25">
      <c r="A118" s="182"/>
      <c r="B118" s="182"/>
      <c r="C118" s="39"/>
      <c r="D118" s="39"/>
      <c r="E118" s="39"/>
      <c r="F118" s="121"/>
      <c r="G118" s="43"/>
      <c r="H118" s="43"/>
      <c r="I118" s="43"/>
      <c r="J118" s="40"/>
      <c r="K118" s="232"/>
    </row>
    <row r="119" spans="1:11" x14ac:dyDescent="0.25">
      <c r="A119" s="182"/>
      <c r="B119" s="182"/>
      <c r="C119" s="39"/>
      <c r="D119" s="39"/>
      <c r="E119" s="39"/>
      <c r="F119" s="121"/>
      <c r="G119" s="43"/>
      <c r="H119" s="43"/>
      <c r="I119" s="43"/>
      <c r="J119" s="40"/>
      <c r="K119" s="232"/>
    </row>
    <row r="120" spans="1:11" x14ac:dyDescent="0.25">
      <c r="A120" s="182"/>
      <c r="B120" s="182"/>
      <c r="C120" s="39"/>
      <c r="D120" s="39"/>
      <c r="E120" s="39"/>
      <c r="F120" s="121"/>
      <c r="G120" s="43"/>
      <c r="H120" s="43"/>
      <c r="I120" s="43"/>
      <c r="J120" s="40"/>
      <c r="K120" s="232"/>
    </row>
    <row r="121" spans="1:11" x14ac:dyDescent="0.25">
      <c r="A121" s="182"/>
      <c r="B121" s="182"/>
      <c r="C121" s="39"/>
      <c r="D121" s="39"/>
      <c r="E121" s="39"/>
      <c r="F121" s="121"/>
      <c r="G121" s="43"/>
      <c r="H121" s="43"/>
      <c r="I121" s="43"/>
      <c r="J121" s="40"/>
      <c r="K121" s="232"/>
    </row>
    <row r="122" spans="1:11" x14ac:dyDescent="0.25">
      <c r="A122" s="182"/>
      <c r="B122" s="182"/>
      <c r="C122" s="39"/>
      <c r="D122" s="39"/>
      <c r="E122" s="39"/>
      <c r="F122" s="121"/>
      <c r="G122" s="43"/>
      <c r="H122" s="43"/>
      <c r="I122" s="43"/>
      <c r="J122" s="40"/>
      <c r="K122" s="232"/>
    </row>
    <row r="123" spans="1:11" x14ac:dyDescent="0.25">
      <c r="A123" s="182"/>
      <c r="B123" s="182"/>
      <c r="C123" s="39"/>
      <c r="D123" s="39"/>
      <c r="E123" s="39"/>
      <c r="F123" s="121"/>
      <c r="G123" s="43"/>
      <c r="H123" s="43"/>
      <c r="I123" s="43"/>
      <c r="J123" s="40"/>
      <c r="K123" s="232"/>
    </row>
    <row r="124" spans="1:11" x14ac:dyDescent="0.25">
      <c r="A124" s="182"/>
      <c r="B124" s="182"/>
      <c r="C124" s="39"/>
      <c r="D124" s="39"/>
      <c r="E124" s="39"/>
      <c r="F124" s="121"/>
      <c r="G124" s="43"/>
      <c r="H124" s="43"/>
      <c r="I124" s="43"/>
      <c r="J124" s="40"/>
      <c r="K124" s="232"/>
    </row>
    <row r="125" spans="1:11" x14ac:dyDescent="0.25">
      <c r="A125" s="182"/>
      <c r="B125" s="182"/>
      <c r="C125" s="39"/>
      <c r="D125" s="39"/>
      <c r="E125" s="39"/>
      <c r="F125" s="121"/>
      <c r="G125" s="43"/>
      <c r="H125" s="43"/>
      <c r="I125" s="43"/>
      <c r="J125" s="40"/>
      <c r="K125" s="232"/>
    </row>
    <row r="126" spans="1:11" x14ac:dyDescent="0.25">
      <c r="A126" s="182"/>
      <c r="B126" s="182"/>
      <c r="C126" s="39"/>
      <c r="D126" s="39"/>
      <c r="E126" s="39"/>
      <c r="F126" s="121"/>
      <c r="G126" s="43"/>
      <c r="H126" s="43"/>
      <c r="I126" s="43"/>
      <c r="J126" s="40"/>
      <c r="K126" s="232"/>
    </row>
    <row r="127" spans="1:11" x14ac:dyDescent="0.25">
      <c r="A127" s="182"/>
      <c r="B127" s="182"/>
      <c r="C127" s="39"/>
      <c r="D127" s="39"/>
      <c r="E127" s="39"/>
      <c r="F127" s="121"/>
      <c r="G127" s="43"/>
      <c r="H127" s="43"/>
      <c r="I127" s="43"/>
      <c r="J127" s="40"/>
      <c r="K127" s="232"/>
    </row>
    <row r="128" spans="1:11" x14ac:dyDescent="0.25">
      <c r="A128" s="182"/>
      <c r="B128" s="182"/>
      <c r="C128" s="39"/>
      <c r="D128" s="39"/>
      <c r="E128" s="39"/>
      <c r="F128" s="121"/>
      <c r="G128" s="43"/>
      <c r="H128" s="43"/>
      <c r="I128" s="43"/>
      <c r="J128" s="40"/>
      <c r="K128" s="232"/>
    </row>
    <row r="129" spans="1:11" x14ac:dyDescent="0.25">
      <c r="A129" s="182"/>
      <c r="B129" s="182"/>
      <c r="C129" s="39"/>
      <c r="D129" s="39"/>
      <c r="E129" s="39"/>
      <c r="F129" s="121"/>
      <c r="G129" s="43"/>
      <c r="H129" s="43"/>
      <c r="I129" s="43"/>
      <c r="J129" s="40"/>
      <c r="K129" s="232"/>
    </row>
    <row r="130" spans="1:11" x14ac:dyDescent="0.25">
      <c r="A130" s="182"/>
      <c r="B130" s="182"/>
      <c r="C130" s="39"/>
      <c r="D130" s="39"/>
      <c r="E130" s="39"/>
      <c r="F130" s="121"/>
      <c r="G130" s="43"/>
      <c r="H130" s="43"/>
      <c r="I130" s="43"/>
      <c r="J130" s="40"/>
      <c r="K130" s="232"/>
    </row>
    <row r="131" spans="1:11" x14ac:dyDescent="0.25">
      <c r="A131" s="182"/>
      <c r="B131" s="182"/>
      <c r="C131" s="39"/>
      <c r="D131" s="39"/>
      <c r="E131" s="39"/>
      <c r="F131" s="121"/>
      <c r="G131" s="43"/>
      <c r="H131" s="43"/>
      <c r="I131" s="43"/>
      <c r="J131" s="40"/>
      <c r="K131" s="232"/>
    </row>
    <row r="132" spans="1:11" x14ac:dyDescent="0.25">
      <c r="A132" s="182"/>
      <c r="B132" s="182"/>
      <c r="C132" s="39"/>
      <c r="D132" s="39"/>
      <c r="E132" s="39"/>
      <c r="F132" s="121"/>
      <c r="G132" s="43"/>
      <c r="H132" s="43"/>
      <c r="I132" s="43"/>
      <c r="J132" s="40"/>
      <c r="K132" s="232"/>
    </row>
    <row r="133" spans="1:11" x14ac:dyDescent="0.25">
      <c r="A133" s="182"/>
      <c r="B133" s="182"/>
      <c r="C133" s="39"/>
      <c r="D133" s="39"/>
      <c r="E133" s="39"/>
      <c r="F133" s="121"/>
      <c r="G133" s="43"/>
      <c r="H133" s="43"/>
      <c r="I133" s="43"/>
      <c r="J133" s="40"/>
      <c r="K133" s="232"/>
    </row>
    <row r="134" spans="1:11" x14ac:dyDescent="0.25">
      <c r="A134" s="182"/>
      <c r="B134" s="182"/>
      <c r="C134" s="39"/>
      <c r="D134" s="39"/>
      <c r="E134" s="39"/>
      <c r="F134" s="121"/>
      <c r="G134" s="43"/>
      <c r="H134" s="43"/>
      <c r="I134" s="43"/>
      <c r="J134" s="40"/>
      <c r="K134" s="232"/>
    </row>
    <row r="135" spans="1:11" x14ac:dyDescent="0.25">
      <c r="A135" s="182"/>
      <c r="B135" s="182"/>
      <c r="C135" s="39"/>
      <c r="D135" s="39"/>
      <c r="E135" s="39"/>
      <c r="F135" s="121"/>
      <c r="G135" s="43"/>
      <c r="H135" s="43"/>
      <c r="I135" s="43"/>
      <c r="J135" s="40"/>
      <c r="K135" s="232"/>
    </row>
    <row r="136" spans="1:11" x14ac:dyDescent="0.25">
      <c r="A136" s="182"/>
      <c r="B136" s="182"/>
      <c r="C136" s="39"/>
      <c r="D136" s="39"/>
      <c r="E136" s="39"/>
      <c r="F136" s="121"/>
      <c r="G136" s="43"/>
      <c r="H136" s="43"/>
      <c r="I136" s="43"/>
      <c r="J136" s="40"/>
      <c r="K136" s="232"/>
    </row>
    <row r="137" spans="1:11" x14ac:dyDescent="0.25">
      <c r="A137" s="182"/>
      <c r="B137" s="182"/>
      <c r="C137" s="39"/>
      <c r="D137" s="39"/>
      <c r="E137" s="39"/>
      <c r="F137" s="121"/>
      <c r="G137" s="43"/>
      <c r="H137" s="43"/>
      <c r="I137" s="43"/>
      <c r="J137" s="40"/>
      <c r="K137" s="232"/>
    </row>
    <row r="138" spans="1:11" x14ac:dyDescent="0.25">
      <c r="A138" s="182"/>
      <c r="B138" s="182"/>
      <c r="C138" s="39"/>
      <c r="D138" s="39"/>
      <c r="E138" s="39"/>
      <c r="F138" s="121"/>
      <c r="G138" s="43"/>
      <c r="H138" s="43"/>
      <c r="I138" s="43"/>
      <c r="J138" s="40"/>
      <c r="K138" s="232"/>
    </row>
    <row r="139" spans="1:11" x14ac:dyDescent="0.25">
      <c r="A139" s="182"/>
      <c r="B139" s="182"/>
      <c r="C139" s="39"/>
      <c r="D139" s="39"/>
      <c r="E139" s="39"/>
      <c r="F139" s="121"/>
      <c r="G139" s="43"/>
      <c r="H139" s="43"/>
      <c r="I139" s="43"/>
      <c r="J139" s="40"/>
      <c r="K139" s="232"/>
    </row>
    <row r="140" spans="1:11" x14ac:dyDescent="0.25">
      <c r="A140" s="182"/>
      <c r="B140" s="182"/>
      <c r="C140" s="39"/>
      <c r="D140" s="39"/>
      <c r="E140" s="39"/>
      <c r="F140" s="121"/>
      <c r="G140" s="43"/>
      <c r="H140" s="43"/>
      <c r="I140" s="43"/>
      <c r="J140" s="40"/>
      <c r="K140" s="232"/>
    </row>
    <row r="141" spans="1:11" x14ac:dyDescent="0.25">
      <c r="A141" s="182"/>
      <c r="B141" s="182"/>
      <c r="C141" s="39"/>
      <c r="D141" s="39"/>
      <c r="E141" s="39"/>
      <c r="F141" s="121"/>
      <c r="G141" s="43"/>
      <c r="H141" s="43"/>
      <c r="I141" s="43"/>
      <c r="J141" s="40"/>
      <c r="K141" s="232"/>
    </row>
    <row r="142" spans="1:11" x14ac:dyDescent="0.25">
      <c r="A142" s="182"/>
      <c r="B142" s="182"/>
      <c r="C142" s="39"/>
      <c r="D142" s="39"/>
      <c r="E142" s="39"/>
      <c r="F142" s="121"/>
      <c r="G142" s="43"/>
      <c r="H142" s="43"/>
      <c r="I142" s="43"/>
      <c r="J142" s="40"/>
      <c r="K142" s="232"/>
    </row>
    <row r="143" spans="1:11" x14ac:dyDescent="0.25">
      <c r="A143" s="182"/>
      <c r="B143" s="182"/>
      <c r="C143" s="39"/>
      <c r="D143" s="39"/>
      <c r="E143" s="39"/>
      <c r="F143" s="121"/>
      <c r="G143" s="43"/>
      <c r="H143" s="43"/>
      <c r="I143" s="43"/>
      <c r="J143" s="40"/>
      <c r="K143" s="232"/>
    </row>
    <row r="144" spans="1:11" x14ac:dyDescent="0.25">
      <c r="A144" s="182"/>
      <c r="B144" s="182"/>
      <c r="C144" s="39"/>
      <c r="D144" s="39"/>
      <c r="E144" s="39"/>
      <c r="F144" s="121"/>
      <c r="G144" s="43"/>
      <c r="H144" s="43"/>
      <c r="I144" s="43"/>
      <c r="J144" s="40"/>
      <c r="K144" s="232"/>
    </row>
    <row r="145" spans="1:11" x14ac:dyDescent="0.25">
      <c r="A145" s="182"/>
      <c r="B145" s="182"/>
      <c r="C145" s="39"/>
      <c r="D145" s="39"/>
      <c r="E145" s="39"/>
      <c r="F145" s="121"/>
      <c r="G145" s="43"/>
      <c r="H145" s="43"/>
      <c r="I145" s="43"/>
      <c r="J145" s="40"/>
      <c r="K145" s="232"/>
    </row>
    <row r="146" spans="1:11" x14ac:dyDescent="0.25">
      <c r="A146" s="182"/>
      <c r="B146" s="182"/>
      <c r="C146" s="39"/>
      <c r="D146" s="39"/>
      <c r="E146" s="39"/>
      <c r="F146" s="121"/>
      <c r="G146" s="43"/>
      <c r="H146" s="43"/>
      <c r="I146" s="43"/>
      <c r="J146" s="40"/>
      <c r="K146" s="232"/>
    </row>
    <row r="147" spans="1:11" x14ac:dyDescent="0.25">
      <c r="A147" s="182"/>
      <c r="B147" s="182"/>
      <c r="C147" s="39"/>
      <c r="D147" s="39"/>
      <c r="E147" s="39"/>
      <c r="F147" s="121"/>
      <c r="G147" s="43"/>
      <c r="H147" s="43"/>
      <c r="I147" s="43"/>
      <c r="J147" s="40"/>
      <c r="K147" s="232"/>
    </row>
    <row r="148" spans="1:11" x14ac:dyDescent="0.25">
      <c r="A148" s="182"/>
      <c r="B148" s="182"/>
      <c r="C148" s="39"/>
      <c r="D148" s="39"/>
      <c r="E148" s="39"/>
      <c r="F148" s="121"/>
      <c r="G148" s="43"/>
      <c r="H148" s="43"/>
      <c r="I148" s="43"/>
      <c r="J148" s="40"/>
      <c r="K148" s="232"/>
    </row>
    <row r="149" spans="1:11" x14ac:dyDescent="0.25">
      <c r="A149" s="182"/>
      <c r="B149" s="182"/>
      <c r="C149" s="39"/>
      <c r="D149" s="39"/>
      <c r="E149" s="39"/>
      <c r="F149" s="121"/>
      <c r="G149" s="43"/>
      <c r="H149" s="43"/>
      <c r="I149" s="43"/>
      <c r="J149" s="40"/>
      <c r="K149" s="232"/>
    </row>
    <row r="150" spans="1:11" x14ac:dyDescent="0.25">
      <c r="A150" s="182"/>
      <c r="B150" s="182"/>
      <c r="C150" s="39"/>
      <c r="D150" s="39"/>
      <c r="E150" s="39"/>
      <c r="F150" s="121"/>
      <c r="G150" s="43"/>
      <c r="H150" s="43"/>
      <c r="I150" s="43"/>
      <c r="J150" s="40"/>
      <c r="K150" s="232"/>
    </row>
    <row r="151" spans="1:11" x14ac:dyDescent="0.25">
      <c r="A151" s="182"/>
      <c r="B151" s="182"/>
      <c r="C151" s="39"/>
      <c r="D151" s="39"/>
      <c r="E151" s="39"/>
      <c r="F151" s="121"/>
      <c r="G151" s="43"/>
      <c r="H151" s="43"/>
      <c r="I151" s="43"/>
      <c r="J151" s="40"/>
      <c r="K151" s="232"/>
    </row>
    <row r="152" spans="1:11" x14ac:dyDescent="0.25">
      <c r="A152" s="182"/>
      <c r="B152" s="182"/>
      <c r="C152" s="39"/>
      <c r="D152" s="39"/>
      <c r="E152" s="39"/>
      <c r="F152" s="121"/>
      <c r="G152" s="43"/>
      <c r="H152" s="43"/>
      <c r="I152" s="43"/>
      <c r="J152" s="40"/>
      <c r="K152" s="232"/>
    </row>
    <row r="153" spans="1:11" x14ac:dyDescent="0.25">
      <c r="A153" s="182"/>
      <c r="B153" s="182"/>
      <c r="C153" s="39"/>
      <c r="D153" s="39"/>
      <c r="E153" s="39"/>
      <c r="F153" s="121"/>
      <c r="G153" s="43"/>
      <c r="H153" s="43"/>
      <c r="I153" s="43"/>
      <c r="J153" s="40"/>
      <c r="K153" s="232"/>
    </row>
    <row r="154" spans="1:11" x14ac:dyDescent="0.25">
      <c r="A154" s="182"/>
      <c r="B154" s="182"/>
      <c r="C154" s="39"/>
      <c r="D154" s="39"/>
      <c r="E154" s="39"/>
      <c r="F154" s="121"/>
      <c r="G154" s="43"/>
      <c r="H154" s="43"/>
      <c r="I154" s="43"/>
      <c r="J154" s="40"/>
      <c r="K154" s="232"/>
    </row>
    <row r="155" spans="1:11" x14ac:dyDescent="0.25">
      <c r="A155" s="182"/>
      <c r="B155" s="182"/>
      <c r="C155" s="39"/>
      <c r="D155" s="39"/>
      <c r="E155" s="39"/>
      <c r="F155" s="121"/>
      <c r="G155" s="43"/>
      <c r="H155" s="43"/>
      <c r="I155" s="43"/>
      <c r="J155" s="40"/>
      <c r="K155" s="232"/>
    </row>
    <row r="156" spans="1:11" x14ac:dyDescent="0.25">
      <c r="A156" s="182"/>
      <c r="B156" s="182"/>
      <c r="C156" s="39"/>
      <c r="D156" s="39"/>
      <c r="E156" s="39"/>
      <c r="F156" s="121"/>
      <c r="G156" s="43"/>
      <c r="H156" s="43"/>
      <c r="I156" s="43"/>
      <c r="J156" s="40"/>
      <c r="K156" s="232"/>
    </row>
    <row r="157" spans="1:11" x14ac:dyDescent="0.25">
      <c r="A157" s="182"/>
      <c r="B157" s="182"/>
      <c r="C157" s="39"/>
      <c r="D157" s="39"/>
      <c r="E157" s="39"/>
      <c r="F157" s="121"/>
      <c r="G157" s="43"/>
      <c r="H157" s="43"/>
      <c r="I157" s="43"/>
      <c r="J157" s="40"/>
      <c r="K157" s="232"/>
    </row>
    <row r="158" spans="1:11" x14ac:dyDescent="0.25">
      <c r="A158" s="182"/>
      <c r="B158" s="182"/>
      <c r="C158" s="39"/>
      <c r="D158" s="39"/>
      <c r="E158" s="39"/>
      <c r="F158" s="121"/>
      <c r="G158" s="43"/>
      <c r="H158" s="43"/>
      <c r="I158" s="43"/>
      <c r="J158" s="40"/>
      <c r="K158" s="232"/>
    </row>
    <row r="159" spans="1:11" x14ac:dyDescent="0.25">
      <c r="A159" s="182"/>
      <c r="B159" s="182"/>
      <c r="C159" s="39"/>
      <c r="D159" s="39"/>
      <c r="E159" s="39"/>
      <c r="F159" s="121"/>
      <c r="G159" s="43"/>
      <c r="H159" s="43"/>
      <c r="I159" s="43"/>
      <c r="J159" s="40"/>
      <c r="K159" s="232"/>
    </row>
    <row r="160" spans="1:11" x14ac:dyDescent="0.25">
      <c r="A160" s="182"/>
      <c r="B160" s="182"/>
      <c r="C160" s="39"/>
      <c r="D160" s="39"/>
      <c r="E160" s="39"/>
      <c r="F160" s="121"/>
      <c r="G160" s="43"/>
      <c r="H160" s="43"/>
      <c r="I160" s="43"/>
      <c r="J160" s="40"/>
      <c r="K160" s="232"/>
    </row>
    <row r="161" spans="1:11" x14ac:dyDescent="0.25">
      <c r="A161" s="182"/>
      <c r="B161" s="182"/>
      <c r="C161" s="39"/>
      <c r="D161" s="39"/>
      <c r="E161" s="39"/>
      <c r="F161" s="121"/>
      <c r="G161" s="43"/>
      <c r="H161" s="43"/>
      <c r="I161" s="43"/>
      <c r="J161" s="40"/>
      <c r="K161" s="232"/>
    </row>
    <row r="162" spans="1:11" x14ac:dyDescent="0.25">
      <c r="A162" s="182"/>
      <c r="B162" s="182"/>
      <c r="C162" s="39"/>
      <c r="D162" s="39"/>
      <c r="E162" s="39"/>
      <c r="F162" s="121"/>
      <c r="G162" s="43"/>
      <c r="H162" s="43"/>
      <c r="I162" s="43"/>
      <c r="J162" s="40"/>
      <c r="K162" s="232"/>
    </row>
    <row r="163" spans="1:11" x14ac:dyDescent="0.25">
      <c r="A163" s="182"/>
      <c r="B163" s="182"/>
      <c r="C163" s="39"/>
      <c r="D163" s="39"/>
      <c r="E163" s="39"/>
      <c r="F163" s="121"/>
      <c r="G163" s="43"/>
      <c r="H163" s="43"/>
      <c r="I163" s="43"/>
      <c r="J163" s="40"/>
      <c r="K163" s="232"/>
    </row>
    <row r="164" spans="1:11" x14ac:dyDescent="0.25">
      <c r="A164" s="182"/>
      <c r="B164" s="182"/>
      <c r="C164" s="39"/>
      <c r="D164" s="39"/>
      <c r="E164" s="39"/>
      <c r="F164" s="121"/>
      <c r="G164" s="43"/>
      <c r="H164" s="43"/>
      <c r="I164" s="43"/>
      <c r="J164" s="40"/>
      <c r="K164" s="232"/>
    </row>
    <row r="165" spans="1:11" x14ac:dyDescent="0.25">
      <c r="A165" s="182"/>
      <c r="B165" s="182"/>
      <c r="C165" s="39"/>
      <c r="D165" s="39"/>
      <c r="E165" s="39"/>
      <c r="F165" s="121"/>
      <c r="G165" s="43"/>
      <c r="H165" s="43"/>
      <c r="I165" s="43"/>
      <c r="J165" s="40"/>
      <c r="K165" s="232"/>
    </row>
    <row r="166" spans="1:11" x14ac:dyDescent="0.25">
      <c r="A166" s="182"/>
      <c r="B166" s="182"/>
      <c r="C166" s="39"/>
      <c r="D166" s="39"/>
      <c r="E166" s="39"/>
      <c r="F166" s="121"/>
      <c r="G166" s="43"/>
      <c r="H166" s="43"/>
      <c r="I166" s="43"/>
      <c r="J166" s="40"/>
      <c r="K166" s="232"/>
    </row>
    <row r="167" spans="1:11" x14ac:dyDescent="0.25">
      <c r="A167" s="182"/>
      <c r="B167" s="182"/>
      <c r="C167" s="39"/>
      <c r="D167" s="39"/>
      <c r="E167" s="39"/>
      <c r="F167" s="121"/>
      <c r="G167" s="43"/>
      <c r="H167" s="43"/>
      <c r="I167" s="43"/>
      <c r="J167" s="40"/>
      <c r="K167" s="232"/>
    </row>
    <row r="168" spans="1:11" x14ac:dyDescent="0.25">
      <c r="A168" s="182"/>
      <c r="B168" s="182"/>
      <c r="C168" s="39"/>
      <c r="D168" s="39"/>
      <c r="E168" s="39"/>
      <c r="F168" s="121"/>
      <c r="G168" s="43"/>
      <c r="H168" s="43"/>
      <c r="I168" s="43"/>
      <c r="J168" s="40"/>
      <c r="K168" s="232"/>
    </row>
    <row r="169" spans="1:11" x14ac:dyDescent="0.25">
      <c r="A169" s="182"/>
      <c r="B169" s="182"/>
      <c r="C169" s="39"/>
      <c r="D169" s="39"/>
      <c r="E169" s="39"/>
      <c r="F169" s="121"/>
      <c r="G169" s="43"/>
      <c r="H169" s="43"/>
      <c r="I169" s="43"/>
      <c r="J169" s="40"/>
      <c r="K169" s="232"/>
    </row>
    <row r="170" spans="1:11" x14ac:dyDescent="0.25">
      <c r="A170" s="182"/>
      <c r="B170" s="182"/>
      <c r="C170" s="39"/>
      <c r="D170" s="39"/>
      <c r="E170" s="39"/>
      <c r="F170" s="121"/>
      <c r="G170" s="43"/>
      <c r="H170" s="43"/>
      <c r="I170" s="43"/>
      <c r="J170" s="40"/>
      <c r="K170" s="232"/>
    </row>
    <row r="171" spans="1:11" x14ac:dyDescent="0.25">
      <c r="A171" s="182"/>
      <c r="B171" s="182"/>
      <c r="C171" s="39"/>
      <c r="D171" s="39"/>
      <c r="E171" s="39"/>
      <c r="F171" s="121"/>
      <c r="G171" s="43"/>
      <c r="H171" s="43"/>
      <c r="I171" s="43"/>
      <c r="J171" s="40"/>
      <c r="K171" s="232"/>
    </row>
    <row r="172" spans="1:11" x14ac:dyDescent="0.25">
      <c r="A172" s="182"/>
      <c r="B172" s="182"/>
      <c r="C172" s="39"/>
      <c r="D172" s="39"/>
      <c r="E172" s="39"/>
      <c r="F172" s="121"/>
      <c r="G172" s="43"/>
      <c r="H172" s="43"/>
      <c r="I172" s="43"/>
      <c r="J172" s="40"/>
      <c r="K172" s="232"/>
    </row>
    <row r="173" spans="1:11" x14ac:dyDescent="0.25">
      <c r="A173" s="182"/>
      <c r="B173" s="182"/>
      <c r="C173" s="39"/>
      <c r="D173" s="39"/>
      <c r="E173" s="39"/>
      <c r="F173" s="121"/>
      <c r="G173" s="43"/>
      <c r="H173" s="43"/>
      <c r="I173" s="43"/>
      <c r="J173" s="40"/>
      <c r="K173" s="232"/>
    </row>
    <row r="174" spans="1:11" x14ac:dyDescent="0.25">
      <c r="A174" s="182"/>
      <c r="B174" s="182"/>
      <c r="C174" s="39"/>
      <c r="D174" s="39"/>
      <c r="E174" s="39"/>
      <c r="F174" s="121"/>
      <c r="G174" s="43"/>
      <c r="H174" s="43"/>
      <c r="I174" s="43"/>
      <c r="J174" s="40"/>
      <c r="K174" s="232"/>
    </row>
    <row r="175" spans="1:11" x14ac:dyDescent="0.25">
      <c r="A175" s="182"/>
      <c r="B175" s="182"/>
      <c r="C175" s="39"/>
      <c r="D175" s="39"/>
      <c r="E175" s="39"/>
      <c r="F175" s="121"/>
      <c r="G175" s="43"/>
      <c r="H175" s="43"/>
      <c r="I175" s="43"/>
      <c r="J175" s="40"/>
      <c r="K175" s="232"/>
    </row>
    <row r="176" spans="1:11" x14ac:dyDescent="0.25">
      <c r="A176" s="182"/>
      <c r="B176" s="182"/>
      <c r="C176" s="39"/>
      <c r="D176" s="39"/>
      <c r="E176" s="39"/>
      <c r="F176" s="121"/>
      <c r="G176" s="43"/>
      <c r="H176" s="43"/>
      <c r="I176" s="43"/>
      <c r="J176" s="40"/>
      <c r="K176" s="232"/>
    </row>
    <row r="177" spans="1:11" x14ac:dyDescent="0.25">
      <c r="A177" s="182"/>
      <c r="B177" s="182"/>
      <c r="C177" s="39"/>
      <c r="D177" s="39"/>
      <c r="E177" s="39"/>
      <c r="F177" s="121"/>
      <c r="G177" s="43"/>
      <c r="H177" s="43"/>
      <c r="I177" s="43"/>
      <c r="J177" s="40"/>
      <c r="K177" s="232"/>
    </row>
    <row r="178" spans="1:11" x14ac:dyDescent="0.25">
      <c r="A178" s="182"/>
      <c r="B178" s="182"/>
      <c r="C178" s="39"/>
      <c r="D178" s="39"/>
      <c r="E178" s="39"/>
      <c r="F178" s="121"/>
      <c r="G178" s="43"/>
      <c r="H178" s="43"/>
      <c r="I178" s="43"/>
      <c r="J178" s="40"/>
      <c r="K178" s="232"/>
    </row>
    <row r="179" spans="1:11" x14ac:dyDescent="0.25">
      <c r="A179" s="182"/>
      <c r="B179" s="182"/>
      <c r="C179" s="39"/>
      <c r="D179" s="39"/>
      <c r="E179" s="39"/>
      <c r="F179" s="121"/>
      <c r="G179" s="43"/>
      <c r="H179" s="43"/>
      <c r="I179" s="43"/>
      <c r="J179" s="40"/>
      <c r="K179" s="232"/>
    </row>
    <row r="180" spans="1:11" x14ac:dyDescent="0.25">
      <c r="A180" s="182"/>
      <c r="B180" s="182"/>
      <c r="C180" s="39"/>
      <c r="D180" s="39"/>
      <c r="E180" s="39"/>
      <c r="F180" s="121"/>
      <c r="G180" s="43"/>
      <c r="H180" s="43"/>
      <c r="I180" s="43"/>
      <c r="J180" s="40"/>
      <c r="K180" s="232"/>
    </row>
    <row r="181" spans="1:11" x14ac:dyDescent="0.25">
      <c r="A181" s="182"/>
      <c r="B181" s="182"/>
      <c r="C181" s="39"/>
      <c r="D181" s="39"/>
      <c r="E181" s="39"/>
      <c r="F181" s="121"/>
      <c r="G181" s="43"/>
      <c r="H181" s="43"/>
      <c r="I181" s="43"/>
      <c r="J181" s="40"/>
      <c r="K181" s="232"/>
    </row>
    <row r="182" spans="1:11" x14ac:dyDescent="0.25">
      <c r="A182" s="182"/>
      <c r="B182" s="182"/>
      <c r="C182" s="39"/>
      <c r="D182" s="39"/>
      <c r="E182" s="39"/>
      <c r="F182" s="121"/>
      <c r="G182" s="43"/>
      <c r="H182" s="43"/>
      <c r="I182" s="43"/>
      <c r="J182" s="40"/>
      <c r="K182" s="232"/>
    </row>
    <row r="183" spans="1:11" x14ac:dyDescent="0.25">
      <c r="A183" s="182"/>
      <c r="B183" s="182"/>
      <c r="C183" s="39"/>
      <c r="D183" s="39"/>
      <c r="E183" s="39"/>
      <c r="F183" s="121"/>
      <c r="G183" s="43"/>
      <c r="H183" s="43"/>
      <c r="I183" s="43"/>
      <c r="J183" s="40"/>
      <c r="K183" s="232"/>
    </row>
    <row r="184" spans="1:11" x14ac:dyDescent="0.25">
      <c r="A184" s="182"/>
      <c r="B184" s="182"/>
      <c r="C184" s="39"/>
      <c r="D184" s="39"/>
      <c r="E184" s="39"/>
      <c r="F184" s="121"/>
      <c r="G184" s="43"/>
      <c r="H184" s="43"/>
      <c r="I184" s="43"/>
      <c r="J184" s="40"/>
      <c r="K184" s="232"/>
    </row>
    <row r="185" spans="1:11" x14ac:dyDescent="0.25">
      <c r="A185" s="182"/>
      <c r="B185" s="182"/>
      <c r="C185" s="39"/>
      <c r="D185" s="39"/>
      <c r="E185" s="39"/>
      <c r="F185" s="121"/>
      <c r="G185" s="43"/>
      <c r="H185" s="43"/>
      <c r="I185" s="43"/>
      <c r="J185" s="40"/>
      <c r="K185" s="232"/>
    </row>
    <row r="186" spans="1:11" x14ac:dyDescent="0.25">
      <c r="A186" s="182"/>
      <c r="B186" s="182"/>
      <c r="C186" s="39"/>
      <c r="D186" s="39"/>
      <c r="E186" s="39"/>
      <c r="F186" s="121"/>
      <c r="G186" s="43"/>
      <c r="H186" s="43"/>
      <c r="I186" s="43"/>
      <c r="J186" s="40"/>
      <c r="K186" s="232"/>
    </row>
    <row r="187" spans="1:11" x14ac:dyDescent="0.25">
      <c r="A187" s="182"/>
      <c r="B187" s="182"/>
      <c r="C187" s="39"/>
      <c r="D187" s="39"/>
      <c r="E187" s="39"/>
      <c r="F187" s="121"/>
      <c r="G187" s="43"/>
      <c r="H187" s="43"/>
      <c r="I187" s="43"/>
      <c r="J187" s="40"/>
      <c r="K187" s="232"/>
    </row>
    <row r="188" spans="1:11" x14ac:dyDescent="0.25">
      <c r="A188" s="182"/>
      <c r="B188" s="182"/>
      <c r="C188" s="39"/>
      <c r="D188" s="39"/>
      <c r="E188" s="39"/>
      <c r="F188" s="121"/>
      <c r="G188" s="43"/>
      <c r="H188" s="43"/>
      <c r="I188" s="43"/>
      <c r="J188" s="40"/>
      <c r="K188" s="232"/>
    </row>
    <row r="189" spans="1:11" x14ac:dyDescent="0.25">
      <c r="A189" s="182"/>
      <c r="B189" s="182"/>
      <c r="C189" s="39"/>
      <c r="D189" s="39"/>
      <c r="E189" s="39"/>
      <c r="F189" s="121"/>
      <c r="G189" s="43"/>
      <c r="H189" s="43"/>
      <c r="I189" s="43"/>
      <c r="J189" s="40"/>
      <c r="K189" s="232"/>
    </row>
    <row r="190" spans="1:11" x14ac:dyDescent="0.25">
      <c r="A190" s="182"/>
      <c r="B190" s="182"/>
      <c r="C190" s="39"/>
      <c r="D190" s="39"/>
      <c r="E190" s="39"/>
      <c r="F190" s="121"/>
      <c r="G190" s="43"/>
      <c r="H190" s="43"/>
      <c r="I190" s="43"/>
      <c r="J190" s="40"/>
      <c r="K190" s="232"/>
    </row>
    <row r="191" spans="1:11" x14ac:dyDescent="0.25">
      <c r="A191" s="182"/>
      <c r="B191" s="182"/>
      <c r="C191" s="39"/>
      <c r="D191" s="39"/>
      <c r="E191" s="39"/>
      <c r="F191" s="121"/>
      <c r="G191" s="43"/>
      <c r="H191" s="43"/>
      <c r="I191" s="43"/>
      <c r="J191" s="40"/>
      <c r="K191" s="232"/>
    </row>
    <row r="192" spans="1:11" x14ac:dyDescent="0.25">
      <c r="A192" s="182"/>
      <c r="B192" s="182"/>
      <c r="C192" s="39"/>
      <c r="D192" s="39"/>
      <c r="E192" s="39"/>
      <c r="F192" s="121"/>
      <c r="G192" s="43"/>
      <c r="H192" s="43"/>
      <c r="I192" s="43"/>
      <c r="J192" s="40"/>
      <c r="K192" s="232"/>
    </row>
    <row r="193" spans="1:11" x14ac:dyDescent="0.25">
      <c r="A193" s="182"/>
      <c r="B193" s="182"/>
      <c r="C193" s="39"/>
      <c r="D193" s="39"/>
      <c r="E193" s="39"/>
      <c r="F193" s="121"/>
      <c r="G193" s="43"/>
      <c r="H193" s="43"/>
      <c r="I193" s="43"/>
      <c r="J193" s="40"/>
      <c r="K193" s="232"/>
    </row>
    <row r="194" spans="1:11" x14ac:dyDescent="0.25">
      <c r="A194" s="182"/>
      <c r="B194" s="182"/>
      <c r="C194" s="39"/>
      <c r="D194" s="39"/>
      <c r="E194" s="39"/>
      <c r="F194" s="121"/>
      <c r="G194" s="43"/>
      <c r="H194" s="43"/>
      <c r="I194" s="43"/>
      <c r="J194" s="40"/>
      <c r="K194" s="232"/>
    </row>
    <row r="195" spans="1:11" x14ac:dyDescent="0.25">
      <c r="A195" s="182"/>
      <c r="B195" s="182"/>
      <c r="C195" s="39"/>
      <c r="D195" s="39"/>
      <c r="E195" s="39"/>
      <c r="F195" s="121"/>
      <c r="G195" s="43"/>
      <c r="H195" s="43"/>
      <c r="I195" s="43"/>
      <c r="J195" s="40"/>
      <c r="K195" s="232"/>
    </row>
    <row r="196" spans="1:11" x14ac:dyDescent="0.25">
      <c r="A196" s="182"/>
      <c r="B196" s="182"/>
      <c r="C196" s="39"/>
      <c r="D196" s="39"/>
      <c r="E196" s="39"/>
      <c r="F196" s="121"/>
      <c r="G196" s="43"/>
      <c r="H196" s="43"/>
      <c r="I196" s="43"/>
      <c r="J196" s="40"/>
      <c r="K196" s="232"/>
    </row>
    <row r="197" spans="1:11" x14ac:dyDescent="0.25">
      <c r="A197" s="182"/>
      <c r="B197" s="182"/>
      <c r="C197" s="39"/>
      <c r="D197" s="39"/>
      <c r="E197" s="39"/>
      <c r="F197" s="121"/>
      <c r="G197" s="43"/>
      <c r="H197" s="43"/>
      <c r="I197" s="43"/>
      <c r="J197" s="40"/>
      <c r="K197" s="232"/>
    </row>
    <row r="198" spans="1:11" x14ac:dyDescent="0.25">
      <c r="A198" s="182"/>
      <c r="B198" s="182"/>
      <c r="C198" s="39"/>
      <c r="D198" s="39"/>
      <c r="E198" s="39"/>
      <c r="F198" s="121"/>
      <c r="G198" s="43"/>
      <c r="H198" s="43"/>
      <c r="I198" s="43"/>
      <c r="J198" s="40"/>
      <c r="K198" s="232"/>
    </row>
    <row r="199" spans="1:11" x14ac:dyDescent="0.25">
      <c r="A199" s="182"/>
      <c r="B199" s="182"/>
      <c r="C199" s="39"/>
      <c r="D199" s="39"/>
      <c r="E199" s="39"/>
      <c r="F199" s="121"/>
      <c r="G199" s="43"/>
      <c r="H199" s="43"/>
      <c r="I199" s="43"/>
      <c r="J199" s="40"/>
      <c r="K199" s="232"/>
    </row>
    <row r="200" spans="1:11" x14ac:dyDescent="0.25">
      <c r="A200" s="182"/>
      <c r="B200" s="182"/>
      <c r="C200" s="39"/>
      <c r="D200" s="39"/>
      <c r="E200" s="39"/>
      <c r="F200" s="121"/>
      <c r="G200" s="43"/>
      <c r="H200" s="43"/>
      <c r="I200" s="43"/>
      <c r="J200" s="40"/>
      <c r="K200" s="232"/>
    </row>
    <row r="201" spans="1:11" x14ac:dyDescent="0.25">
      <c r="A201" s="182"/>
      <c r="B201" s="182"/>
      <c r="C201" s="39"/>
      <c r="D201" s="39"/>
      <c r="E201" s="39"/>
      <c r="F201" s="121"/>
      <c r="G201" s="43"/>
      <c r="H201" s="43"/>
      <c r="I201" s="43"/>
      <c r="J201" s="40"/>
      <c r="K201" s="232"/>
    </row>
    <row r="202" spans="1:11" x14ac:dyDescent="0.25">
      <c r="A202" s="182"/>
      <c r="B202" s="182"/>
      <c r="C202" s="39"/>
      <c r="D202" s="39"/>
      <c r="E202" s="39"/>
      <c r="F202" s="121"/>
      <c r="G202" s="43"/>
      <c r="H202" s="43"/>
      <c r="I202" s="43"/>
      <c r="J202" s="40"/>
      <c r="K202" s="232"/>
    </row>
    <row r="203" spans="1:11" x14ac:dyDescent="0.25">
      <c r="A203" s="182"/>
      <c r="B203" s="182"/>
      <c r="C203" s="39"/>
      <c r="D203" s="39"/>
      <c r="E203" s="39"/>
      <c r="F203" s="121"/>
      <c r="G203" s="43"/>
      <c r="H203" s="43"/>
      <c r="I203" s="43"/>
      <c r="J203" s="40"/>
      <c r="K203" s="232"/>
    </row>
    <row r="204" spans="1:11" x14ac:dyDescent="0.25">
      <c r="A204" s="182"/>
      <c r="B204" s="182"/>
      <c r="C204" s="39"/>
      <c r="D204" s="39"/>
      <c r="E204" s="39"/>
      <c r="F204" s="121"/>
      <c r="G204" s="43"/>
      <c r="H204" s="43"/>
      <c r="I204" s="43"/>
      <c r="J204" s="40"/>
      <c r="K204" s="232"/>
    </row>
    <row r="205" spans="1:11" x14ac:dyDescent="0.25">
      <c r="A205" s="182"/>
      <c r="B205" s="182"/>
      <c r="C205" s="39"/>
      <c r="D205" s="39"/>
      <c r="E205" s="39"/>
      <c r="F205" s="121"/>
      <c r="G205" s="43"/>
      <c r="H205" s="43"/>
      <c r="I205" s="43"/>
      <c r="J205" s="40"/>
      <c r="K205" s="232"/>
    </row>
    <row r="206" spans="1:11" x14ac:dyDescent="0.25">
      <c r="A206" s="182"/>
      <c r="B206" s="182"/>
      <c r="C206" s="39"/>
      <c r="D206" s="39"/>
      <c r="E206" s="39"/>
      <c r="F206" s="121"/>
      <c r="G206" s="43"/>
      <c r="H206" s="43"/>
      <c r="I206" s="43"/>
      <c r="J206" s="40"/>
      <c r="K206" s="232"/>
    </row>
    <row r="207" spans="1:11" x14ac:dyDescent="0.25">
      <c r="A207" s="182"/>
      <c r="B207" s="182"/>
      <c r="C207" s="39"/>
      <c r="D207" s="39"/>
      <c r="E207" s="39"/>
      <c r="F207" s="121"/>
      <c r="G207" s="43"/>
      <c r="H207" s="43"/>
      <c r="I207" s="43"/>
      <c r="J207" s="40"/>
      <c r="K207" s="232"/>
    </row>
    <row r="208" spans="1:11" x14ac:dyDescent="0.25">
      <c r="A208" s="182"/>
      <c r="B208" s="182"/>
      <c r="C208" s="39"/>
      <c r="D208" s="39"/>
      <c r="E208" s="39"/>
      <c r="F208" s="121"/>
      <c r="G208" s="43"/>
      <c r="H208" s="43"/>
      <c r="I208" s="43"/>
      <c r="J208" s="40"/>
      <c r="K208" s="232"/>
    </row>
    <row r="209" spans="1:11" x14ac:dyDescent="0.25">
      <c r="A209" s="182"/>
      <c r="B209" s="182"/>
      <c r="C209" s="39"/>
      <c r="D209" s="39"/>
      <c r="E209" s="39"/>
      <c r="F209" s="121"/>
      <c r="G209" s="43"/>
      <c r="H209" s="43"/>
      <c r="I209" s="43"/>
      <c r="J209" s="40"/>
      <c r="K209" s="232"/>
    </row>
    <row r="210" spans="1:11" x14ac:dyDescent="0.25">
      <c r="A210" s="182"/>
      <c r="B210" s="182"/>
      <c r="C210" s="39"/>
      <c r="D210" s="39"/>
      <c r="E210" s="39"/>
      <c r="F210" s="121"/>
      <c r="G210" s="43"/>
      <c r="H210" s="43"/>
      <c r="I210" s="43"/>
      <c r="J210" s="40"/>
      <c r="K210" s="232"/>
    </row>
    <row r="211" spans="1:11" x14ac:dyDescent="0.25">
      <c r="A211" s="182"/>
      <c r="B211" s="182"/>
      <c r="C211" s="39"/>
      <c r="D211" s="39"/>
      <c r="E211" s="39"/>
      <c r="F211" s="121"/>
      <c r="G211" s="43"/>
      <c r="H211" s="43"/>
      <c r="I211" s="43"/>
      <c r="J211" s="40"/>
      <c r="K211" s="232"/>
    </row>
    <row r="212" spans="1:11" x14ac:dyDescent="0.25">
      <c r="A212" s="182"/>
      <c r="B212" s="182"/>
      <c r="C212" s="39"/>
      <c r="D212" s="39"/>
      <c r="E212" s="39"/>
      <c r="F212" s="121"/>
      <c r="G212" s="43"/>
      <c r="H212" s="43"/>
      <c r="I212" s="43"/>
      <c r="J212" s="40"/>
      <c r="K212" s="232"/>
    </row>
    <row r="213" spans="1:11" x14ac:dyDescent="0.25">
      <c r="A213" s="182"/>
      <c r="B213" s="182"/>
      <c r="C213" s="39"/>
      <c r="D213" s="39"/>
      <c r="E213" s="39"/>
      <c r="F213" s="121"/>
      <c r="G213" s="43"/>
      <c r="H213" s="43"/>
      <c r="I213" s="43"/>
      <c r="J213" s="40"/>
      <c r="K213" s="232"/>
    </row>
    <row r="214" spans="1:11" x14ac:dyDescent="0.25">
      <c r="A214" s="182"/>
      <c r="B214" s="182"/>
      <c r="C214" s="39"/>
      <c r="D214" s="39"/>
      <c r="E214" s="39"/>
      <c r="F214" s="121"/>
      <c r="G214" s="43"/>
      <c r="H214" s="43"/>
      <c r="I214" s="43"/>
      <c r="J214" s="40"/>
      <c r="K214" s="232"/>
    </row>
    <row r="215" spans="1:11" x14ac:dyDescent="0.25">
      <c r="A215" s="182"/>
      <c r="B215" s="182"/>
      <c r="C215" s="39"/>
      <c r="D215" s="39"/>
      <c r="E215" s="39"/>
      <c r="F215" s="121"/>
      <c r="G215" s="43"/>
      <c r="H215" s="43"/>
      <c r="I215" s="43"/>
      <c r="J215" s="40"/>
      <c r="K215" s="232"/>
    </row>
    <row r="216" spans="1:11" x14ac:dyDescent="0.25">
      <c r="A216" s="182"/>
      <c r="B216" s="182"/>
      <c r="C216" s="39"/>
      <c r="D216" s="39"/>
      <c r="E216" s="39"/>
      <c r="F216" s="121"/>
      <c r="G216" s="43"/>
      <c r="H216" s="43"/>
      <c r="I216" s="43"/>
      <c r="J216" s="40"/>
      <c r="K216" s="232"/>
    </row>
    <row r="217" spans="1:11" x14ac:dyDescent="0.25">
      <c r="A217" s="182"/>
      <c r="B217" s="182"/>
      <c r="C217" s="39"/>
      <c r="D217" s="39"/>
      <c r="E217" s="39"/>
      <c r="F217" s="121"/>
      <c r="G217" s="43"/>
      <c r="H217" s="43"/>
      <c r="I217" s="43"/>
      <c r="J217" s="40"/>
      <c r="K217" s="232"/>
    </row>
    <row r="218" spans="1:11" x14ac:dyDescent="0.25">
      <c r="A218" s="182"/>
      <c r="B218" s="182"/>
      <c r="C218" s="39"/>
      <c r="D218" s="39"/>
      <c r="E218" s="39"/>
      <c r="F218" s="121"/>
      <c r="G218" s="43"/>
      <c r="H218" s="43"/>
      <c r="I218" s="43"/>
      <c r="J218" s="40"/>
      <c r="K218" s="232"/>
    </row>
    <row r="219" spans="1:11" x14ac:dyDescent="0.25">
      <c r="A219" s="182"/>
      <c r="B219" s="182"/>
      <c r="C219" s="39"/>
      <c r="D219" s="39"/>
      <c r="E219" s="39"/>
      <c r="F219" s="121"/>
      <c r="G219" s="43"/>
      <c r="H219" s="43"/>
      <c r="I219" s="43"/>
      <c r="J219" s="40"/>
      <c r="K219" s="232"/>
    </row>
    <row r="220" spans="1:11" x14ac:dyDescent="0.25">
      <c r="A220" s="182"/>
      <c r="B220" s="182"/>
      <c r="C220" s="39"/>
      <c r="D220" s="39"/>
      <c r="E220" s="39"/>
      <c r="F220" s="121"/>
      <c r="G220" s="43"/>
      <c r="H220" s="43"/>
      <c r="I220" s="43"/>
      <c r="J220" s="40"/>
      <c r="K220" s="232"/>
    </row>
    <row r="221" spans="1:11" x14ac:dyDescent="0.25">
      <c r="A221" s="182"/>
      <c r="B221" s="182"/>
      <c r="C221" s="39"/>
      <c r="D221" s="39"/>
      <c r="E221" s="39"/>
      <c r="F221" s="121"/>
      <c r="G221" s="43"/>
      <c r="H221" s="43"/>
      <c r="I221" s="43"/>
      <c r="J221" s="40"/>
      <c r="K221" s="232"/>
    </row>
    <row r="222" spans="1:11" x14ac:dyDescent="0.25">
      <c r="A222" s="182"/>
      <c r="B222" s="182"/>
      <c r="C222" s="39"/>
      <c r="D222" s="39"/>
      <c r="E222" s="39"/>
      <c r="F222" s="121"/>
      <c r="G222" s="43"/>
      <c r="H222" s="43"/>
      <c r="I222" s="43"/>
      <c r="J222" s="40"/>
      <c r="K222" s="232"/>
    </row>
    <row r="223" spans="1:11" x14ac:dyDescent="0.25">
      <c r="A223" s="182"/>
      <c r="B223" s="182"/>
      <c r="C223" s="39"/>
      <c r="D223" s="39"/>
      <c r="E223" s="39"/>
      <c r="F223" s="121"/>
      <c r="G223" s="43"/>
      <c r="H223" s="43"/>
      <c r="I223" s="43"/>
      <c r="J223" s="40"/>
      <c r="K223" s="232"/>
    </row>
    <row r="224" spans="1:11" x14ac:dyDescent="0.25">
      <c r="A224" s="182"/>
      <c r="B224" s="182"/>
      <c r="C224" s="39"/>
      <c r="D224" s="39"/>
      <c r="E224" s="39"/>
      <c r="F224" s="121"/>
      <c r="G224" s="43"/>
      <c r="H224" s="43"/>
      <c r="I224" s="43"/>
      <c r="J224" s="40"/>
      <c r="K224" s="232"/>
    </row>
    <row r="225" spans="1:11" x14ac:dyDescent="0.25">
      <c r="A225" s="182"/>
      <c r="B225" s="182"/>
      <c r="C225" s="39"/>
      <c r="D225" s="39"/>
      <c r="E225" s="39"/>
      <c r="F225" s="121"/>
      <c r="G225" s="43"/>
      <c r="H225" s="43"/>
      <c r="I225" s="43"/>
      <c r="J225" s="40"/>
      <c r="K225" s="232"/>
    </row>
    <row r="226" spans="1:11" x14ac:dyDescent="0.25">
      <c r="A226" s="182"/>
      <c r="B226" s="182"/>
      <c r="C226" s="39"/>
      <c r="D226" s="39"/>
      <c r="E226" s="39"/>
      <c r="F226" s="121"/>
      <c r="G226" s="43"/>
      <c r="H226" s="43"/>
      <c r="I226" s="43"/>
      <c r="J226" s="40"/>
      <c r="K226" s="232"/>
    </row>
    <row r="227" spans="1:11" x14ac:dyDescent="0.25">
      <c r="A227" s="182"/>
      <c r="B227" s="182"/>
      <c r="C227" s="39"/>
      <c r="D227" s="39"/>
      <c r="E227" s="39"/>
      <c r="F227" s="121"/>
      <c r="G227" s="43"/>
      <c r="H227" s="43"/>
      <c r="I227" s="43"/>
      <c r="J227" s="40"/>
      <c r="K227" s="232"/>
    </row>
    <row r="228" spans="1:11" x14ac:dyDescent="0.25">
      <c r="A228" s="182"/>
      <c r="B228" s="182"/>
      <c r="C228" s="39"/>
      <c r="D228" s="39"/>
      <c r="E228" s="39"/>
      <c r="F228" s="121"/>
      <c r="G228" s="43"/>
      <c r="H228" s="43"/>
      <c r="I228" s="43"/>
      <c r="J228" s="40"/>
      <c r="K228" s="232"/>
    </row>
    <row r="229" spans="1:11" x14ac:dyDescent="0.25">
      <c r="A229" s="182"/>
      <c r="B229" s="182"/>
      <c r="C229" s="39"/>
      <c r="D229" s="39"/>
      <c r="E229" s="39"/>
      <c r="F229" s="121"/>
      <c r="G229" s="43"/>
      <c r="H229" s="43"/>
      <c r="I229" s="43"/>
      <c r="J229" s="40"/>
      <c r="K229" s="232"/>
    </row>
    <row r="230" spans="1:11" x14ac:dyDescent="0.25">
      <c r="A230" s="182"/>
      <c r="B230" s="182"/>
      <c r="C230" s="39"/>
      <c r="D230" s="39"/>
      <c r="E230" s="39"/>
      <c r="F230" s="121"/>
      <c r="G230" s="43"/>
      <c r="H230" s="43"/>
      <c r="I230" s="43"/>
      <c r="J230" s="40"/>
      <c r="K230" s="232"/>
    </row>
    <row r="231" spans="1:11" x14ac:dyDescent="0.25">
      <c r="A231" s="182"/>
      <c r="B231" s="182"/>
      <c r="C231" s="39"/>
      <c r="D231" s="39"/>
      <c r="E231" s="39"/>
      <c r="F231" s="121"/>
      <c r="G231" s="43"/>
      <c r="H231" s="43"/>
      <c r="I231" s="43"/>
      <c r="J231" s="40"/>
      <c r="K231" s="232"/>
    </row>
    <row r="232" spans="1:11" x14ac:dyDescent="0.25">
      <c r="A232" s="182"/>
      <c r="B232" s="182"/>
      <c r="C232" s="39"/>
      <c r="D232" s="39"/>
      <c r="E232" s="39"/>
      <c r="F232" s="121"/>
      <c r="G232" s="43"/>
      <c r="H232" s="43"/>
      <c r="I232" s="43"/>
      <c r="J232" s="40"/>
      <c r="K232" s="232"/>
    </row>
    <row r="233" spans="1:11" x14ac:dyDescent="0.25">
      <c r="A233" s="182"/>
      <c r="B233" s="182"/>
      <c r="C233" s="39"/>
      <c r="D233" s="39"/>
      <c r="E233" s="39"/>
      <c r="F233" s="121"/>
      <c r="G233" s="43"/>
      <c r="H233" s="43"/>
      <c r="I233" s="43"/>
      <c r="J233" s="40"/>
      <c r="K233" s="232"/>
    </row>
    <row r="234" spans="1:11" x14ac:dyDescent="0.25">
      <c r="A234" s="182"/>
      <c r="B234" s="182"/>
      <c r="C234" s="39"/>
      <c r="D234" s="39"/>
      <c r="E234" s="39"/>
      <c r="F234" s="121"/>
      <c r="G234" s="43"/>
      <c r="H234" s="43"/>
      <c r="I234" s="43"/>
      <c r="J234" s="40"/>
      <c r="K234" s="232"/>
    </row>
    <row r="235" spans="1:11" x14ac:dyDescent="0.25">
      <c r="A235" s="182"/>
      <c r="B235" s="182"/>
      <c r="C235" s="39"/>
      <c r="D235" s="39"/>
      <c r="E235" s="39"/>
      <c r="F235" s="121"/>
      <c r="G235" s="43"/>
      <c r="H235" s="43"/>
      <c r="I235" s="43"/>
      <c r="J235" s="40"/>
      <c r="K235" s="232"/>
    </row>
    <row r="236" spans="1:11" x14ac:dyDescent="0.25">
      <c r="A236" s="182"/>
      <c r="B236" s="182"/>
      <c r="C236" s="39"/>
      <c r="D236" s="39"/>
      <c r="E236" s="39"/>
      <c r="F236" s="121"/>
      <c r="G236" s="43"/>
      <c r="H236" s="43"/>
      <c r="I236" s="43"/>
      <c r="J236" s="40"/>
      <c r="K236" s="232"/>
    </row>
    <row r="237" spans="1:11" x14ac:dyDescent="0.25">
      <c r="A237" s="182"/>
      <c r="B237" s="182"/>
      <c r="C237" s="39"/>
      <c r="D237" s="39"/>
      <c r="E237" s="39"/>
      <c r="F237" s="121"/>
      <c r="G237" s="43"/>
      <c r="H237" s="43"/>
      <c r="I237" s="43"/>
      <c r="J237" s="40"/>
      <c r="K237" s="232"/>
    </row>
    <row r="238" spans="1:11" x14ac:dyDescent="0.25">
      <c r="A238" s="182"/>
      <c r="B238" s="182"/>
      <c r="C238" s="39"/>
      <c r="D238" s="39"/>
      <c r="E238" s="39"/>
      <c r="F238" s="121"/>
      <c r="G238" s="43"/>
      <c r="H238" s="43"/>
      <c r="I238" s="43"/>
      <c r="J238" s="40"/>
      <c r="K238" s="232"/>
    </row>
    <row r="239" spans="1:11" x14ac:dyDescent="0.25">
      <c r="A239" s="182"/>
      <c r="B239" s="182"/>
      <c r="C239" s="39"/>
      <c r="D239" s="39"/>
      <c r="E239" s="39"/>
      <c r="F239" s="121"/>
      <c r="G239" s="43"/>
      <c r="H239" s="43"/>
      <c r="I239" s="43"/>
      <c r="J239" s="40"/>
      <c r="K239" s="232"/>
    </row>
    <row r="240" spans="1:11" x14ac:dyDescent="0.25">
      <c r="A240" s="182"/>
      <c r="B240" s="182"/>
      <c r="C240" s="39"/>
      <c r="D240" s="39"/>
      <c r="E240" s="39"/>
      <c r="F240" s="121"/>
      <c r="G240" s="43"/>
      <c r="H240" s="43"/>
      <c r="I240" s="43"/>
      <c r="J240" s="40"/>
      <c r="K240" s="232"/>
    </row>
    <row r="241" spans="1:11" x14ac:dyDescent="0.25">
      <c r="A241" s="182"/>
      <c r="B241" s="182"/>
      <c r="C241" s="39"/>
      <c r="D241" s="39"/>
      <c r="E241" s="39"/>
      <c r="F241" s="121"/>
      <c r="G241" s="43"/>
      <c r="H241" s="43"/>
      <c r="I241" s="43"/>
      <c r="J241" s="40"/>
      <c r="K241" s="232"/>
    </row>
    <row r="242" spans="1:11" x14ac:dyDescent="0.25">
      <c r="A242" s="182"/>
      <c r="B242" s="182"/>
      <c r="C242" s="39"/>
      <c r="D242" s="39"/>
      <c r="E242" s="39"/>
      <c r="F242" s="121"/>
      <c r="G242" s="43"/>
      <c r="H242" s="43"/>
      <c r="I242" s="43"/>
      <c r="J242" s="40"/>
      <c r="K242" s="232"/>
    </row>
    <row r="243" spans="1:11" x14ac:dyDescent="0.25">
      <c r="A243" s="182"/>
      <c r="B243" s="182"/>
      <c r="C243" s="39"/>
      <c r="D243" s="39"/>
      <c r="E243" s="39"/>
      <c r="F243" s="121"/>
      <c r="G243" s="43"/>
      <c r="H243" s="43"/>
      <c r="I243" s="43"/>
      <c r="J243" s="40"/>
      <c r="K243" s="232"/>
    </row>
    <row r="244" spans="1:11" x14ac:dyDescent="0.25">
      <c r="A244" s="182"/>
      <c r="B244" s="182"/>
      <c r="C244" s="39"/>
      <c r="D244" s="39"/>
      <c r="E244" s="39"/>
      <c r="F244" s="121"/>
      <c r="G244" s="43"/>
      <c r="H244" s="43"/>
      <c r="I244" s="43"/>
      <c r="J244" s="40"/>
      <c r="K244" s="232"/>
    </row>
    <row r="245" spans="1:11" x14ac:dyDescent="0.25">
      <c r="A245" s="182"/>
      <c r="B245" s="182"/>
      <c r="C245" s="39"/>
      <c r="D245" s="39"/>
      <c r="E245" s="39"/>
      <c r="F245" s="121"/>
      <c r="G245" s="43"/>
      <c r="H245" s="43"/>
      <c r="I245" s="43"/>
      <c r="J245" s="40"/>
      <c r="K245" s="232"/>
    </row>
    <row r="246" spans="1:11" x14ac:dyDescent="0.25">
      <c r="A246" s="182"/>
      <c r="B246" s="182"/>
      <c r="C246" s="39"/>
      <c r="D246" s="39"/>
      <c r="E246" s="39"/>
      <c r="F246" s="121"/>
      <c r="G246" s="43"/>
      <c r="H246" s="43"/>
      <c r="I246" s="43"/>
      <c r="J246" s="40"/>
      <c r="K246" s="232"/>
    </row>
    <row r="247" spans="1:11" x14ac:dyDescent="0.25">
      <c r="A247" s="182"/>
      <c r="B247" s="182"/>
      <c r="C247" s="39"/>
      <c r="D247" s="39"/>
      <c r="E247" s="39"/>
      <c r="F247" s="121"/>
      <c r="G247" s="43"/>
      <c r="H247" s="43"/>
      <c r="I247" s="43"/>
      <c r="J247" s="40"/>
      <c r="K247" s="232"/>
    </row>
    <row r="248" spans="1:11" x14ac:dyDescent="0.25">
      <c r="A248" s="182"/>
      <c r="B248" s="182"/>
      <c r="C248" s="39"/>
      <c r="D248" s="39"/>
      <c r="E248" s="39"/>
      <c r="F248" s="121"/>
      <c r="G248" s="43"/>
      <c r="H248" s="43"/>
      <c r="I248" s="43"/>
      <c r="J248" s="40"/>
      <c r="K248" s="232"/>
    </row>
    <row r="249" spans="1:11" x14ac:dyDescent="0.25">
      <c r="A249" s="182"/>
      <c r="B249" s="182"/>
      <c r="C249" s="39"/>
      <c r="D249" s="39"/>
      <c r="E249" s="39"/>
      <c r="F249" s="121"/>
      <c r="G249" s="43"/>
      <c r="H249" s="43"/>
      <c r="I249" s="43"/>
      <c r="J249" s="40"/>
      <c r="K249" s="232"/>
    </row>
    <row r="250" spans="1:11" x14ac:dyDescent="0.25">
      <c r="A250" s="182"/>
      <c r="B250" s="182"/>
      <c r="C250" s="39"/>
      <c r="D250" s="39"/>
      <c r="E250" s="39"/>
      <c r="F250" s="121"/>
      <c r="G250" s="43"/>
      <c r="H250" s="43"/>
      <c r="I250" s="43"/>
      <c r="J250" s="40"/>
      <c r="K250" s="232"/>
    </row>
    <row r="251" spans="1:11" x14ac:dyDescent="0.25">
      <c r="A251" s="182"/>
      <c r="B251" s="182"/>
      <c r="C251" s="39"/>
      <c r="D251" s="39"/>
      <c r="E251" s="39"/>
      <c r="F251" s="121"/>
      <c r="G251" s="43"/>
      <c r="H251" s="43"/>
      <c r="I251" s="43"/>
      <c r="J251" s="40"/>
      <c r="K251" s="232"/>
    </row>
    <row r="252" spans="1:11" x14ac:dyDescent="0.25">
      <c r="A252" s="182"/>
      <c r="B252" s="182"/>
      <c r="C252" s="39"/>
      <c r="D252" s="39"/>
      <c r="E252" s="39"/>
      <c r="F252" s="121"/>
      <c r="G252" s="43"/>
      <c r="H252" s="43"/>
      <c r="I252" s="43"/>
      <c r="J252" s="40"/>
      <c r="K252" s="232"/>
    </row>
    <row r="253" spans="1:11" x14ac:dyDescent="0.25">
      <c r="A253" s="182"/>
      <c r="B253" s="182"/>
      <c r="C253" s="39"/>
      <c r="D253" s="39"/>
      <c r="E253" s="39"/>
      <c r="F253" s="121"/>
      <c r="G253" s="43"/>
      <c r="H253" s="43"/>
      <c r="I253" s="43"/>
      <c r="J253" s="40"/>
      <c r="K253" s="232"/>
    </row>
    <row r="254" spans="1:11" x14ac:dyDescent="0.25">
      <c r="A254" s="182"/>
      <c r="B254" s="182"/>
      <c r="C254" s="39"/>
      <c r="D254" s="39"/>
      <c r="E254" s="39"/>
      <c r="F254" s="121"/>
      <c r="G254" s="43"/>
      <c r="H254" s="43"/>
      <c r="I254" s="43"/>
      <c r="J254" s="40"/>
      <c r="K254" s="232"/>
    </row>
    <row r="255" spans="1:11" x14ac:dyDescent="0.25">
      <c r="A255" s="182"/>
      <c r="B255" s="182"/>
      <c r="C255" s="39"/>
      <c r="D255" s="39"/>
      <c r="E255" s="39"/>
      <c r="F255" s="121"/>
      <c r="G255" s="43"/>
      <c r="H255" s="43"/>
      <c r="I255" s="43"/>
      <c r="J255" s="40"/>
      <c r="K255" s="232"/>
    </row>
    <row r="256" spans="1:11" x14ac:dyDescent="0.25">
      <c r="A256" s="182"/>
      <c r="B256" s="182"/>
      <c r="C256" s="39"/>
      <c r="D256" s="39"/>
      <c r="E256" s="39"/>
      <c r="F256" s="121"/>
      <c r="G256" s="43"/>
      <c r="H256" s="43"/>
      <c r="I256" s="43"/>
      <c r="J256" s="40"/>
      <c r="K256" s="232"/>
    </row>
    <row r="257" spans="1:11" x14ac:dyDescent="0.25">
      <c r="A257" s="182"/>
      <c r="B257" s="182"/>
      <c r="C257" s="39"/>
      <c r="D257" s="39"/>
      <c r="E257" s="39"/>
      <c r="F257" s="121"/>
      <c r="G257" s="43"/>
      <c r="H257" s="43"/>
      <c r="I257" s="43"/>
      <c r="J257" s="40"/>
      <c r="K257" s="232"/>
    </row>
    <row r="258" spans="1:11" x14ac:dyDescent="0.25">
      <c r="A258" s="182"/>
      <c r="B258" s="182"/>
      <c r="C258" s="39"/>
      <c r="D258" s="39"/>
      <c r="E258" s="39"/>
      <c r="F258" s="121"/>
      <c r="G258" s="43"/>
      <c r="H258" s="43"/>
      <c r="I258" s="43"/>
      <c r="J258" s="40"/>
      <c r="K258" s="232"/>
    </row>
    <row r="259" spans="1:11" x14ac:dyDescent="0.25">
      <c r="A259" s="182"/>
      <c r="B259" s="182"/>
      <c r="C259" s="39"/>
      <c r="D259" s="39"/>
      <c r="E259" s="39"/>
      <c r="F259" s="121"/>
      <c r="G259" s="43"/>
      <c r="H259" s="43"/>
      <c r="I259" s="43"/>
      <c r="J259" s="40"/>
      <c r="K259" s="232"/>
    </row>
    <row r="260" spans="1:11" x14ac:dyDescent="0.25">
      <c r="A260" s="182"/>
      <c r="B260" s="182"/>
      <c r="C260" s="39"/>
      <c r="D260" s="39"/>
      <c r="E260" s="39"/>
      <c r="F260" s="121"/>
      <c r="G260" s="43"/>
      <c r="H260" s="43"/>
      <c r="I260" s="43"/>
      <c r="J260" s="40"/>
      <c r="K260" s="232"/>
    </row>
    <row r="261" spans="1:11" x14ac:dyDescent="0.25">
      <c r="A261" s="182"/>
      <c r="B261" s="182"/>
      <c r="C261" s="39"/>
      <c r="D261" s="39"/>
      <c r="E261" s="39"/>
      <c r="F261" s="121"/>
      <c r="G261" s="43"/>
      <c r="H261" s="43"/>
      <c r="I261" s="43"/>
      <c r="J261" s="40"/>
      <c r="K261" s="232"/>
    </row>
    <row r="262" spans="1:11" x14ac:dyDescent="0.25">
      <c r="A262" s="182"/>
      <c r="B262" s="182"/>
      <c r="C262" s="39"/>
      <c r="D262" s="39"/>
      <c r="E262" s="39"/>
      <c r="F262" s="121"/>
      <c r="G262" s="43"/>
      <c r="H262" s="43"/>
      <c r="I262" s="43"/>
      <c r="J262" s="40"/>
      <c r="K262" s="232"/>
    </row>
    <row r="263" spans="1:11" x14ac:dyDescent="0.25">
      <c r="A263" s="182"/>
      <c r="B263" s="182"/>
      <c r="C263" s="39"/>
      <c r="D263" s="39"/>
      <c r="E263" s="39"/>
      <c r="F263" s="121"/>
      <c r="G263" s="43"/>
      <c r="H263" s="43"/>
      <c r="I263" s="43"/>
      <c r="J263" s="40"/>
      <c r="K263" s="232"/>
    </row>
    <row r="264" spans="1:11" x14ac:dyDescent="0.25">
      <c r="A264" s="182"/>
      <c r="B264" s="182"/>
      <c r="C264" s="39"/>
      <c r="D264" s="39"/>
      <c r="E264" s="39"/>
      <c r="F264" s="121"/>
      <c r="G264" s="43"/>
      <c r="H264" s="43"/>
      <c r="I264" s="43"/>
      <c r="J264" s="40"/>
      <c r="K264" s="232"/>
    </row>
    <row r="265" spans="1:11" x14ac:dyDescent="0.25">
      <c r="A265" s="182"/>
      <c r="B265" s="182"/>
      <c r="C265" s="39"/>
      <c r="D265" s="39"/>
      <c r="E265" s="39"/>
      <c r="F265" s="121"/>
      <c r="G265" s="43"/>
      <c r="H265" s="43"/>
      <c r="I265" s="43"/>
      <c r="J265" s="40"/>
      <c r="K265" s="232"/>
    </row>
    <row r="266" spans="1:11" x14ac:dyDescent="0.25">
      <c r="A266" s="182"/>
      <c r="B266" s="182"/>
      <c r="C266" s="39"/>
      <c r="D266" s="39"/>
      <c r="E266" s="39"/>
      <c r="F266" s="121"/>
      <c r="G266" s="43"/>
      <c r="H266" s="43"/>
      <c r="I266" s="43"/>
      <c r="J266" s="40"/>
      <c r="K266" s="232"/>
    </row>
    <row r="267" spans="1:11" x14ac:dyDescent="0.25">
      <c r="A267" s="182"/>
      <c r="B267" s="182"/>
      <c r="C267" s="39"/>
      <c r="D267" s="39"/>
      <c r="E267" s="39"/>
      <c r="F267" s="121"/>
      <c r="G267" s="43"/>
      <c r="H267" s="43"/>
      <c r="I267" s="43"/>
      <c r="J267" s="40"/>
      <c r="K267" s="232"/>
    </row>
    <row r="268" spans="1:11" x14ac:dyDescent="0.25">
      <c r="A268" s="182"/>
      <c r="B268" s="182"/>
      <c r="C268" s="39"/>
      <c r="D268" s="39"/>
      <c r="E268" s="39"/>
      <c r="F268" s="121"/>
      <c r="G268" s="43"/>
      <c r="H268" s="43"/>
      <c r="I268" s="43"/>
      <c r="J268" s="40"/>
      <c r="K268" s="232"/>
    </row>
    <row r="269" spans="1:11" x14ac:dyDescent="0.25">
      <c r="A269" s="182"/>
      <c r="B269" s="182"/>
      <c r="C269" s="39"/>
      <c r="D269" s="39"/>
      <c r="E269" s="39"/>
      <c r="F269" s="121"/>
      <c r="G269" s="43"/>
      <c r="H269" s="43"/>
      <c r="I269" s="43"/>
      <c r="J269" s="40"/>
      <c r="K269" s="232"/>
    </row>
    <row r="270" spans="1:11" x14ac:dyDescent="0.25">
      <c r="A270" s="182"/>
      <c r="B270" s="182"/>
      <c r="C270" s="39"/>
      <c r="D270" s="39"/>
      <c r="E270" s="39"/>
      <c r="F270" s="121"/>
      <c r="G270" s="43"/>
      <c r="H270" s="43"/>
      <c r="I270" s="43"/>
      <c r="J270" s="40"/>
      <c r="K270" s="232"/>
    </row>
    <row r="271" spans="1:11" x14ac:dyDescent="0.25">
      <c r="A271" s="182"/>
      <c r="B271" s="182"/>
      <c r="C271" s="39"/>
      <c r="D271" s="39"/>
      <c r="E271" s="39"/>
      <c r="F271" s="121"/>
      <c r="G271" s="43"/>
      <c r="H271" s="43"/>
      <c r="I271" s="43"/>
      <c r="J271" s="40"/>
      <c r="K271" s="232"/>
    </row>
    <row r="272" spans="1:11" x14ac:dyDescent="0.25">
      <c r="A272" s="182"/>
      <c r="B272" s="182"/>
      <c r="C272" s="39"/>
      <c r="D272" s="39"/>
      <c r="E272" s="39"/>
      <c r="F272" s="121"/>
      <c r="G272" s="43"/>
      <c r="H272" s="43"/>
      <c r="I272" s="43"/>
      <c r="J272" s="40"/>
      <c r="K272" s="232"/>
    </row>
    <row r="273" spans="1:11" x14ac:dyDescent="0.25">
      <c r="A273" s="182"/>
      <c r="B273" s="182"/>
      <c r="C273" s="39"/>
      <c r="D273" s="39"/>
      <c r="E273" s="39"/>
      <c r="F273" s="121"/>
      <c r="G273" s="43"/>
      <c r="H273" s="43"/>
      <c r="I273" s="43"/>
      <c r="J273" s="40"/>
      <c r="K273" s="232"/>
    </row>
    <row r="274" spans="1:11" x14ac:dyDescent="0.25">
      <c r="A274" s="182"/>
      <c r="B274" s="182"/>
      <c r="C274" s="39"/>
      <c r="D274" s="39"/>
      <c r="E274" s="39"/>
      <c r="F274" s="121"/>
      <c r="G274" s="43"/>
      <c r="H274" s="43"/>
      <c r="I274" s="43"/>
      <c r="J274" s="40"/>
      <c r="K274" s="232"/>
    </row>
    <row r="275" spans="1:11" x14ac:dyDescent="0.25">
      <c r="A275" s="182"/>
      <c r="B275" s="182"/>
      <c r="C275" s="39"/>
      <c r="D275" s="39"/>
      <c r="E275" s="39"/>
      <c r="F275" s="121"/>
      <c r="G275" s="43"/>
      <c r="H275" s="43"/>
      <c r="I275" s="43"/>
      <c r="J275" s="40"/>
      <c r="K275" s="232"/>
    </row>
    <row r="276" spans="1:11" x14ac:dyDescent="0.25">
      <c r="A276" s="182"/>
      <c r="B276" s="182"/>
      <c r="C276" s="39"/>
      <c r="D276" s="39"/>
      <c r="E276" s="39"/>
      <c r="F276" s="121"/>
      <c r="G276" s="43"/>
      <c r="H276" s="43"/>
      <c r="I276" s="43"/>
      <c r="J276" s="40"/>
      <c r="K276" s="232"/>
    </row>
    <row r="277" spans="1:11" x14ac:dyDescent="0.25">
      <c r="A277" s="182"/>
      <c r="B277" s="182"/>
      <c r="C277" s="39"/>
      <c r="D277" s="39"/>
      <c r="E277" s="39"/>
      <c r="F277" s="121"/>
      <c r="G277" s="43"/>
      <c r="H277" s="43"/>
      <c r="I277" s="43"/>
      <c r="J277" s="40"/>
      <c r="K277" s="232"/>
    </row>
    <row r="278" spans="1:11" x14ac:dyDescent="0.25">
      <c r="A278" s="182"/>
      <c r="B278" s="182"/>
      <c r="C278" s="39"/>
      <c r="D278" s="39"/>
      <c r="E278" s="39"/>
      <c r="F278" s="121"/>
      <c r="G278" s="43"/>
      <c r="H278" s="43"/>
      <c r="I278" s="43"/>
      <c r="J278" s="40"/>
      <c r="K278" s="232"/>
    </row>
    <row r="279" spans="1:11" x14ac:dyDescent="0.25">
      <c r="A279" s="182"/>
      <c r="B279" s="182"/>
      <c r="C279" s="39"/>
      <c r="D279" s="39"/>
      <c r="E279" s="39"/>
      <c r="F279" s="121"/>
      <c r="G279" s="43"/>
      <c r="H279" s="43"/>
      <c r="I279" s="43"/>
      <c r="J279" s="40"/>
      <c r="K279" s="232"/>
    </row>
    <row r="280" spans="1:11" x14ac:dyDescent="0.25">
      <c r="A280" s="182"/>
      <c r="B280" s="182"/>
      <c r="C280" s="39"/>
      <c r="D280" s="39"/>
      <c r="E280" s="39"/>
      <c r="F280" s="121"/>
      <c r="G280" s="43"/>
      <c r="H280" s="43"/>
      <c r="I280" s="43"/>
      <c r="J280" s="40"/>
      <c r="K280" s="232"/>
    </row>
    <row r="281" spans="1:11" x14ac:dyDescent="0.25">
      <c r="A281" s="182"/>
      <c r="B281" s="182"/>
      <c r="C281" s="39"/>
      <c r="D281" s="39"/>
      <c r="E281" s="39"/>
      <c r="F281" s="121"/>
      <c r="G281" s="43"/>
      <c r="H281" s="43"/>
      <c r="I281" s="43"/>
      <c r="J281" s="40"/>
      <c r="K281" s="232"/>
    </row>
    <row r="282" spans="1:11" x14ac:dyDescent="0.25">
      <c r="A282" s="182"/>
      <c r="B282" s="182"/>
      <c r="C282" s="39"/>
      <c r="D282" s="39"/>
      <c r="E282" s="39"/>
      <c r="F282" s="121"/>
      <c r="G282" s="43"/>
      <c r="H282" s="43"/>
      <c r="I282" s="43"/>
      <c r="J282" s="40"/>
      <c r="K282" s="232"/>
    </row>
    <row r="283" spans="1:11" x14ac:dyDescent="0.25">
      <c r="A283" s="182"/>
      <c r="B283" s="182"/>
      <c r="C283" s="39"/>
      <c r="D283" s="39"/>
      <c r="E283" s="39"/>
      <c r="F283" s="121"/>
      <c r="G283" s="43"/>
      <c r="H283" s="43"/>
      <c r="I283" s="43"/>
      <c r="J283" s="40"/>
      <c r="K283" s="232"/>
    </row>
    <row r="284" spans="1:11" x14ac:dyDescent="0.25">
      <c r="A284" s="182"/>
      <c r="B284" s="182"/>
      <c r="C284" s="39"/>
      <c r="D284" s="39"/>
      <c r="E284" s="39"/>
      <c r="F284" s="121"/>
      <c r="G284" s="43"/>
      <c r="H284" s="43"/>
      <c r="I284" s="43"/>
      <c r="J284" s="40"/>
      <c r="K284" s="232"/>
    </row>
    <row r="285" spans="1:11" x14ac:dyDescent="0.25">
      <c r="A285" s="182"/>
      <c r="B285" s="182"/>
      <c r="C285" s="39"/>
      <c r="D285" s="39"/>
      <c r="E285" s="39"/>
      <c r="F285" s="121"/>
      <c r="G285" s="43"/>
      <c r="H285" s="43"/>
      <c r="I285" s="43"/>
      <c r="J285" s="40"/>
      <c r="K285" s="232"/>
    </row>
    <row r="286" spans="1:11" x14ac:dyDescent="0.25">
      <c r="A286" s="182"/>
      <c r="B286" s="182"/>
      <c r="C286" s="39"/>
      <c r="D286" s="39"/>
      <c r="E286" s="39"/>
      <c r="F286" s="121"/>
      <c r="G286" s="43"/>
      <c r="H286" s="43"/>
      <c r="I286" s="43"/>
      <c r="J286" s="40"/>
      <c r="K286" s="232"/>
    </row>
    <row r="287" spans="1:11" x14ac:dyDescent="0.25">
      <c r="A287" s="182"/>
      <c r="B287" s="182"/>
      <c r="C287" s="39"/>
      <c r="D287" s="39"/>
      <c r="E287" s="39"/>
      <c r="F287" s="121"/>
      <c r="G287" s="43"/>
      <c r="H287" s="43"/>
      <c r="I287" s="43"/>
      <c r="J287" s="40"/>
      <c r="K287" s="232"/>
    </row>
    <row r="288" spans="1:11" x14ac:dyDescent="0.25">
      <c r="A288" s="182"/>
      <c r="B288" s="182"/>
      <c r="C288" s="39"/>
      <c r="D288" s="39"/>
      <c r="E288" s="39"/>
      <c r="F288" s="121"/>
      <c r="G288" s="43"/>
      <c r="H288" s="43"/>
      <c r="I288" s="43"/>
      <c r="J288" s="40"/>
      <c r="K288" s="232"/>
    </row>
    <row r="289" spans="1:11" x14ac:dyDescent="0.25">
      <c r="A289" s="182"/>
      <c r="B289" s="182"/>
      <c r="C289" s="39"/>
      <c r="D289" s="39"/>
      <c r="E289" s="39"/>
      <c r="F289" s="121"/>
      <c r="G289" s="43"/>
      <c r="H289" s="43"/>
      <c r="I289" s="43"/>
      <c r="J289" s="40"/>
      <c r="K289" s="232"/>
    </row>
    <row r="290" spans="1:11" x14ac:dyDescent="0.25">
      <c r="A290" s="182"/>
      <c r="B290" s="182"/>
      <c r="C290" s="39"/>
      <c r="D290" s="39"/>
      <c r="E290" s="39"/>
      <c r="F290" s="121"/>
      <c r="G290" s="43"/>
      <c r="H290" s="43"/>
      <c r="I290" s="43"/>
      <c r="J290" s="40"/>
      <c r="K290" s="232"/>
    </row>
    <row r="291" spans="1:11" x14ac:dyDescent="0.25">
      <c r="A291" s="182"/>
      <c r="B291" s="182"/>
      <c r="C291" s="39"/>
      <c r="D291" s="39"/>
      <c r="E291" s="39"/>
      <c r="F291" s="121"/>
      <c r="G291" s="43"/>
      <c r="H291" s="43"/>
      <c r="I291" s="43"/>
      <c r="J291" s="40"/>
      <c r="K291" s="232"/>
    </row>
    <row r="292" spans="1:11" x14ac:dyDescent="0.25">
      <c r="A292" s="182"/>
      <c r="B292" s="182"/>
      <c r="C292" s="39"/>
      <c r="D292" s="39"/>
      <c r="E292" s="39"/>
      <c r="F292" s="121"/>
      <c r="G292" s="43"/>
      <c r="H292" s="43"/>
      <c r="I292" s="43"/>
      <c r="J292" s="40"/>
      <c r="K292" s="232"/>
    </row>
    <row r="293" spans="1:11" x14ac:dyDescent="0.25">
      <c r="A293" s="182"/>
      <c r="B293" s="182"/>
      <c r="C293" s="39"/>
      <c r="D293" s="39"/>
      <c r="E293" s="39"/>
      <c r="F293" s="121"/>
      <c r="G293" s="43"/>
      <c r="H293" s="43"/>
      <c r="I293" s="43"/>
      <c r="J293" s="40"/>
      <c r="K293" s="232"/>
    </row>
    <row r="294" spans="1:11" x14ac:dyDescent="0.25">
      <c r="A294" s="182"/>
      <c r="B294" s="182"/>
      <c r="C294" s="39"/>
      <c r="D294" s="39"/>
      <c r="E294" s="39"/>
      <c r="F294" s="121"/>
      <c r="G294" s="43"/>
      <c r="H294" s="43"/>
      <c r="I294" s="43"/>
      <c r="J294" s="40"/>
      <c r="K294" s="232"/>
    </row>
    <row r="295" spans="1:11" x14ac:dyDescent="0.25">
      <c r="A295" s="182"/>
      <c r="B295" s="182"/>
      <c r="C295" s="39"/>
      <c r="D295" s="39"/>
      <c r="E295" s="39"/>
      <c r="F295" s="121"/>
      <c r="G295" s="43"/>
      <c r="H295" s="43"/>
      <c r="I295" s="43"/>
      <c r="J295" s="40"/>
      <c r="K295" s="232"/>
    </row>
    <row r="296" spans="1:11" x14ac:dyDescent="0.25">
      <c r="A296" s="182"/>
      <c r="B296" s="182"/>
      <c r="C296" s="39"/>
      <c r="D296" s="39"/>
      <c r="E296" s="39"/>
      <c r="F296" s="121"/>
      <c r="G296" s="43"/>
      <c r="H296" s="43"/>
      <c r="I296" s="43"/>
      <c r="J296" s="40"/>
      <c r="K296" s="232"/>
    </row>
    <row r="297" spans="1:11" x14ac:dyDescent="0.25">
      <c r="A297" s="182"/>
      <c r="B297" s="182"/>
      <c r="C297" s="39"/>
      <c r="D297" s="39"/>
      <c r="E297" s="39"/>
      <c r="F297" s="121"/>
      <c r="G297" s="43"/>
      <c r="H297" s="43"/>
      <c r="I297" s="43"/>
      <c r="J297" s="40"/>
      <c r="K297" s="232"/>
    </row>
    <row r="298" spans="1:11" x14ac:dyDescent="0.25">
      <c r="A298" s="182"/>
      <c r="B298" s="182"/>
      <c r="C298" s="39"/>
      <c r="D298" s="39"/>
      <c r="E298" s="39"/>
      <c r="F298" s="121"/>
      <c r="G298" s="43"/>
      <c r="H298" s="43"/>
      <c r="I298" s="43"/>
      <c r="J298" s="40"/>
      <c r="K298" s="232"/>
    </row>
    <row r="299" spans="1:11" x14ac:dyDescent="0.25">
      <c r="A299" s="182"/>
      <c r="B299" s="182"/>
      <c r="C299" s="39"/>
      <c r="D299" s="39"/>
      <c r="E299" s="39"/>
      <c r="F299" s="121"/>
      <c r="G299" s="43"/>
      <c r="H299" s="43"/>
      <c r="I299" s="43"/>
      <c r="J299" s="40"/>
      <c r="K299" s="232"/>
    </row>
    <row r="300" spans="1:11" x14ac:dyDescent="0.25">
      <c r="A300" s="182"/>
      <c r="B300" s="182"/>
      <c r="C300" s="39"/>
      <c r="D300" s="39"/>
      <c r="E300" s="39"/>
      <c r="F300" s="121"/>
      <c r="G300" s="43"/>
      <c r="H300" s="43"/>
      <c r="I300" s="43"/>
      <c r="J300" s="40"/>
      <c r="K300" s="232"/>
    </row>
    <row r="301" spans="1:11" x14ac:dyDescent="0.25">
      <c r="A301" s="182"/>
      <c r="B301" s="182"/>
      <c r="C301" s="39"/>
      <c r="D301" s="39"/>
      <c r="E301" s="39"/>
      <c r="F301" s="121"/>
      <c r="G301" s="43"/>
      <c r="H301" s="43"/>
      <c r="I301" s="43"/>
      <c r="J301" s="40"/>
      <c r="K301" s="232"/>
    </row>
    <row r="302" spans="1:11" x14ac:dyDescent="0.25">
      <c r="A302" s="182"/>
      <c r="B302" s="182"/>
      <c r="C302" s="39"/>
      <c r="D302" s="39"/>
      <c r="E302" s="39"/>
      <c r="F302" s="121"/>
      <c r="G302" s="43"/>
      <c r="H302" s="43"/>
      <c r="I302" s="43"/>
      <c r="J302" s="40"/>
      <c r="K302" s="232"/>
    </row>
    <row r="303" spans="1:11" x14ac:dyDescent="0.25">
      <c r="A303" s="182"/>
      <c r="B303" s="182"/>
      <c r="C303" s="39"/>
      <c r="D303" s="39"/>
      <c r="E303" s="39"/>
      <c r="F303" s="121"/>
      <c r="G303" s="43"/>
      <c r="H303" s="43"/>
      <c r="I303" s="43"/>
      <c r="J303" s="40"/>
      <c r="K303" s="232"/>
    </row>
    <row r="304" spans="1:11" x14ac:dyDescent="0.25">
      <c r="A304" s="182"/>
      <c r="B304" s="182"/>
      <c r="C304" s="39"/>
      <c r="D304" s="39"/>
      <c r="E304" s="39"/>
      <c r="F304" s="121"/>
      <c r="G304" s="43"/>
      <c r="H304" s="43"/>
      <c r="I304" s="43"/>
      <c r="J304" s="40"/>
      <c r="K304" s="232"/>
    </row>
    <row r="305" spans="1:11" x14ac:dyDescent="0.25">
      <c r="A305" s="182"/>
      <c r="B305" s="182"/>
      <c r="C305" s="39"/>
      <c r="D305" s="39"/>
      <c r="E305" s="39"/>
      <c r="F305" s="121"/>
      <c r="G305" s="43"/>
      <c r="H305" s="43"/>
      <c r="I305" s="43"/>
      <c r="J305" s="40"/>
      <c r="K305" s="232"/>
    </row>
    <row r="306" spans="1:11" x14ac:dyDescent="0.25">
      <c r="A306" s="182"/>
      <c r="B306" s="182"/>
      <c r="C306" s="39"/>
      <c r="D306" s="39"/>
      <c r="E306" s="39"/>
      <c r="F306" s="121"/>
      <c r="G306" s="43"/>
      <c r="H306" s="43"/>
      <c r="I306" s="43"/>
      <c r="J306" s="40"/>
      <c r="K306" s="232"/>
    </row>
    <row r="307" spans="1:11" x14ac:dyDescent="0.25">
      <c r="A307" s="182"/>
      <c r="B307" s="182"/>
      <c r="C307" s="39"/>
      <c r="D307" s="39"/>
      <c r="E307" s="39"/>
      <c r="F307" s="121"/>
      <c r="G307" s="43"/>
      <c r="H307" s="43"/>
      <c r="I307" s="43"/>
      <c r="J307" s="40"/>
      <c r="K307" s="232"/>
    </row>
    <row r="308" spans="1:11" x14ac:dyDescent="0.25">
      <c r="A308" s="182"/>
      <c r="B308" s="182"/>
      <c r="C308" s="39"/>
      <c r="D308" s="39"/>
      <c r="E308" s="39"/>
      <c r="F308" s="121"/>
      <c r="G308" s="43"/>
      <c r="H308" s="43"/>
      <c r="I308" s="43"/>
      <c r="J308" s="40"/>
      <c r="K308" s="232"/>
    </row>
    <row r="309" spans="1:11" x14ac:dyDescent="0.25">
      <c r="A309" s="182"/>
      <c r="B309" s="182"/>
      <c r="C309" s="39"/>
      <c r="D309" s="39"/>
      <c r="E309" s="39"/>
      <c r="F309" s="121"/>
      <c r="G309" s="43"/>
      <c r="H309" s="43"/>
      <c r="I309" s="43"/>
      <c r="J309" s="40"/>
      <c r="K309" s="232"/>
    </row>
    <row r="310" spans="1:11" x14ac:dyDescent="0.25">
      <c r="A310" s="182"/>
      <c r="B310" s="182"/>
      <c r="C310" s="39"/>
      <c r="D310" s="39"/>
      <c r="E310" s="39"/>
      <c r="F310" s="121"/>
      <c r="G310" s="43"/>
      <c r="H310" s="43"/>
      <c r="I310" s="43"/>
      <c r="J310" s="40"/>
      <c r="K310" s="232"/>
    </row>
    <row r="311" spans="1:11" x14ac:dyDescent="0.25">
      <c r="A311" s="182"/>
      <c r="B311" s="182"/>
      <c r="C311" s="39"/>
      <c r="D311" s="39"/>
      <c r="E311" s="39"/>
      <c r="F311" s="121"/>
      <c r="G311" s="43"/>
      <c r="H311" s="43"/>
      <c r="I311" s="43"/>
      <c r="J311" s="40"/>
      <c r="K311" s="232"/>
    </row>
    <row r="312" spans="1:11" x14ac:dyDescent="0.25">
      <c r="A312" s="182"/>
      <c r="B312" s="182"/>
      <c r="C312" s="39"/>
      <c r="D312" s="39"/>
      <c r="E312" s="39"/>
      <c r="F312" s="121"/>
      <c r="G312" s="43"/>
      <c r="H312" s="43"/>
      <c r="I312" s="43"/>
      <c r="J312" s="40"/>
      <c r="K312" s="232"/>
    </row>
    <row r="313" spans="1:11" x14ac:dyDescent="0.25">
      <c r="A313" s="182"/>
      <c r="B313" s="182"/>
      <c r="C313" s="39"/>
      <c r="D313" s="39"/>
      <c r="E313" s="39"/>
      <c r="F313" s="121"/>
      <c r="G313" s="43"/>
      <c r="H313" s="43"/>
      <c r="I313" s="43"/>
      <c r="J313" s="40"/>
      <c r="K313" s="232"/>
    </row>
    <row r="314" spans="1:11" x14ac:dyDescent="0.25">
      <c r="A314" s="182"/>
      <c r="B314" s="182"/>
      <c r="C314" s="39"/>
      <c r="D314" s="39"/>
      <c r="E314" s="39"/>
      <c r="F314" s="121"/>
      <c r="G314" s="43"/>
      <c r="H314" s="43"/>
      <c r="I314" s="43"/>
      <c r="J314" s="40"/>
      <c r="K314" s="232"/>
    </row>
    <row r="315" spans="1:11" x14ac:dyDescent="0.25">
      <c r="A315" s="182"/>
      <c r="B315" s="182"/>
      <c r="C315" s="39"/>
      <c r="D315" s="39"/>
      <c r="E315" s="39"/>
      <c r="F315" s="121"/>
      <c r="G315" s="43"/>
      <c r="H315" s="43"/>
      <c r="I315" s="43"/>
      <c r="J315" s="40"/>
      <c r="K315" s="232"/>
    </row>
    <row r="316" spans="1:11" x14ac:dyDescent="0.25">
      <c r="A316" s="182"/>
      <c r="B316" s="182"/>
      <c r="C316" s="39"/>
      <c r="D316" s="39"/>
      <c r="E316" s="39"/>
      <c r="F316" s="121"/>
      <c r="G316" s="43"/>
      <c r="H316" s="43"/>
      <c r="I316" s="43"/>
      <c r="J316" s="40"/>
      <c r="K316" s="232"/>
    </row>
    <row r="317" spans="1:11" x14ac:dyDescent="0.25">
      <c r="A317" s="182"/>
      <c r="B317" s="182"/>
      <c r="C317" s="39"/>
      <c r="D317" s="39"/>
      <c r="E317" s="39"/>
      <c r="F317" s="121"/>
      <c r="G317" s="43"/>
      <c r="H317" s="43"/>
      <c r="I317" s="43"/>
      <c r="J317" s="40"/>
      <c r="K317" s="232"/>
    </row>
    <row r="318" spans="1:11" x14ac:dyDescent="0.25">
      <c r="A318" s="182"/>
      <c r="B318" s="182"/>
      <c r="C318" s="39"/>
      <c r="D318" s="39"/>
      <c r="E318" s="39"/>
      <c r="F318" s="121"/>
      <c r="G318" s="43"/>
      <c r="H318" s="43"/>
      <c r="I318" s="43"/>
      <c r="J318" s="40"/>
      <c r="K318" s="232"/>
    </row>
    <row r="319" spans="1:11" x14ac:dyDescent="0.25">
      <c r="A319" s="182"/>
      <c r="B319" s="182"/>
      <c r="C319" s="39"/>
      <c r="D319" s="39"/>
      <c r="E319" s="39"/>
      <c r="F319" s="121"/>
      <c r="G319" s="43"/>
      <c r="H319" s="43"/>
      <c r="I319" s="43"/>
      <c r="J319" s="40"/>
      <c r="K319" s="232"/>
    </row>
    <row r="320" spans="1:11" x14ac:dyDescent="0.25">
      <c r="A320" s="182"/>
      <c r="B320" s="182"/>
      <c r="C320" s="39"/>
      <c r="D320" s="39"/>
      <c r="E320" s="39"/>
      <c r="F320" s="121"/>
      <c r="G320" s="43"/>
      <c r="H320" s="43"/>
      <c r="I320" s="43"/>
      <c r="J320" s="40"/>
      <c r="K320" s="232"/>
    </row>
    <row r="321" spans="1:11" x14ac:dyDescent="0.25">
      <c r="A321" s="182"/>
      <c r="B321" s="182"/>
      <c r="C321" s="39"/>
      <c r="D321" s="39"/>
      <c r="E321" s="39"/>
      <c r="F321" s="121"/>
      <c r="G321" s="43"/>
      <c r="H321" s="43"/>
      <c r="I321" s="43"/>
      <c r="J321" s="40"/>
      <c r="K321" s="232"/>
    </row>
    <row r="322" spans="1:11" x14ac:dyDescent="0.25">
      <c r="A322" s="182"/>
      <c r="B322" s="182"/>
      <c r="C322" s="39"/>
      <c r="D322" s="39"/>
      <c r="E322" s="39"/>
      <c r="F322" s="121"/>
      <c r="G322" s="43"/>
      <c r="H322" s="43"/>
      <c r="I322" s="43"/>
      <c r="J322" s="40"/>
      <c r="K322" s="232"/>
    </row>
    <row r="323" spans="1:11" x14ac:dyDescent="0.25">
      <c r="A323" s="182"/>
      <c r="B323" s="182"/>
      <c r="C323" s="39"/>
      <c r="D323" s="39"/>
      <c r="E323" s="39"/>
      <c r="F323" s="121"/>
      <c r="G323" s="43"/>
      <c r="H323" s="43"/>
      <c r="I323" s="43"/>
      <c r="J323" s="40"/>
      <c r="K323" s="232"/>
    </row>
    <row r="324" spans="1:11" x14ac:dyDescent="0.25">
      <c r="A324" s="182"/>
      <c r="B324" s="182"/>
      <c r="C324" s="39"/>
      <c r="D324" s="39"/>
      <c r="E324" s="39"/>
      <c r="F324" s="121"/>
      <c r="G324" s="43"/>
      <c r="H324" s="43"/>
      <c r="I324" s="43"/>
      <c r="J324" s="40"/>
      <c r="K324" s="232"/>
    </row>
    <row r="325" spans="1:11" x14ac:dyDescent="0.25">
      <c r="A325" s="182"/>
      <c r="B325" s="182"/>
      <c r="C325" s="39"/>
      <c r="D325" s="39"/>
      <c r="E325" s="39"/>
      <c r="F325" s="121"/>
      <c r="G325" s="43"/>
      <c r="H325" s="43"/>
      <c r="I325" s="43"/>
      <c r="J325" s="40"/>
      <c r="K325" s="232"/>
    </row>
    <row r="326" spans="1:11" x14ac:dyDescent="0.25">
      <c r="A326" s="182"/>
      <c r="B326" s="182"/>
      <c r="C326" s="39"/>
      <c r="D326" s="39"/>
      <c r="E326" s="39"/>
      <c r="F326" s="121"/>
      <c r="G326" s="43"/>
      <c r="H326" s="43"/>
      <c r="I326" s="43"/>
      <c r="J326" s="40"/>
      <c r="K326" s="232"/>
    </row>
    <row r="327" spans="1:11" x14ac:dyDescent="0.25">
      <c r="A327" s="182"/>
      <c r="B327" s="182"/>
      <c r="C327" s="39"/>
      <c r="D327" s="39"/>
      <c r="E327" s="39"/>
      <c r="F327" s="121"/>
      <c r="G327" s="43"/>
      <c r="H327" s="43"/>
      <c r="I327" s="43"/>
      <c r="J327" s="40"/>
      <c r="K327" s="232"/>
    </row>
    <row r="328" spans="1:11" x14ac:dyDescent="0.25">
      <c r="A328" s="182"/>
      <c r="B328" s="182"/>
      <c r="C328" s="39"/>
      <c r="D328" s="39"/>
      <c r="E328" s="39"/>
      <c r="F328" s="121"/>
      <c r="G328" s="43"/>
      <c r="H328" s="43"/>
      <c r="I328" s="43"/>
      <c r="J328" s="40"/>
      <c r="K328" s="232"/>
    </row>
    <row r="329" spans="1:11" x14ac:dyDescent="0.25">
      <c r="A329" s="182"/>
      <c r="B329" s="182"/>
      <c r="C329" s="39"/>
      <c r="D329" s="39"/>
      <c r="E329" s="39"/>
      <c r="F329" s="121"/>
      <c r="G329" s="43"/>
      <c r="H329" s="43"/>
      <c r="I329" s="43"/>
      <c r="J329" s="40"/>
      <c r="K329" s="232"/>
    </row>
    <row r="330" spans="1:11" x14ac:dyDescent="0.25">
      <c r="A330" s="182"/>
      <c r="B330" s="182"/>
      <c r="C330" s="39"/>
      <c r="D330" s="39"/>
      <c r="E330" s="39"/>
      <c r="F330" s="121"/>
      <c r="G330" s="43"/>
      <c r="H330" s="43"/>
      <c r="I330" s="43"/>
      <c r="J330" s="40"/>
      <c r="K330" s="232"/>
    </row>
    <row r="331" spans="1:11" x14ac:dyDescent="0.25">
      <c r="A331" s="182"/>
      <c r="B331" s="182"/>
      <c r="C331" s="39"/>
      <c r="D331" s="39"/>
      <c r="E331" s="39"/>
      <c r="F331" s="121"/>
      <c r="G331" s="43"/>
      <c r="H331" s="43"/>
      <c r="I331" s="43"/>
      <c r="J331" s="40"/>
      <c r="K331" s="232"/>
    </row>
    <row r="332" spans="1:11" x14ac:dyDescent="0.25">
      <c r="A332" s="182"/>
      <c r="B332" s="182"/>
      <c r="C332" s="39"/>
      <c r="D332" s="39"/>
      <c r="E332" s="39"/>
      <c r="F332" s="121"/>
      <c r="G332" s="43"/>
      <c r="H332" s="43"/>
      <c r="I332" s="43"/>
      <c r="J332" s="40"/>
      <c r="K332" s="232"/>
    </row>
    <row r="333" spans="1:11" x14ac:dyDescent="0.25">
      <c r="A333" s="182"/>
      <c r="B333" s="182"/>
      <c r="C333" s="39"/>
      <c r="D333" s="39"/>
      <c r="E333" s="39"/>
      <c r="F333" s="121"/>
      <c r="G333" s="43"/>
      <c r="H333" s="43"/>
      <c r="I333" s="43"/>
      <c r="J333" s="40"/>
      <c r="K333" s="232"/>
    </row>
    <row r="334" spans="1:11" x14ac:dyDescent="0.25">
      <c r="A334" s="182"/>
      <c r="B334" s="182"/>
      <c r="C334" s="39"/>
      <c r="D334" s="39"/>
      <c r="E334" s="39"/>
      <c r="F334" s="121"/>
      <c r="G334" s="43"/>
      <c r="H334" s="43"/>
      <c r="I334" s="43"/>
      <c r="J334" s="40"/>
      <c r="K334" s="232"/>
    </row>
    <row r="335" spans="1:11" x14ac:dyDescent="0.25">
      <c r="A335" s="182"/>
      <c r="B335" s="182"/>
      <c r="C335" s="39"/>
      <c r="D335" s="39"/>
      <c r="E335" s="39"/>
      <c r="F335" s="121"/>
      <c r="G335" s="43"/>
      <c r="H335" s="43"/>
      <c r="I335" s="43"/>
      <c r="J335" s="40"/>
      <c r="K335" s="232"/>
    </row>
    <row r="336" spans="1:11" x14ac:dyDescent="0.25">
      <c r="A336" s="182"/>
      <c r="B336" s="182"/>
      <c r="C336" s="39"/>
      <c r="D336" s="39"/>
      <c r="E336" s="39"/>
      <c r="F336" s="121"/>
      <c r="G336" s="43"/>
      <c r="H336" s="43"/>
      <c r="I336" s="43"/>
      <c r="J336" s="40"/>
      <c r="K336" s="232"/>
    </row>
    <row r="337" spans="1:11" x14ac:dyDescent="0.25">
      <c r="A337" s="182"/>
      <c r="B337" s="182"/>
      <c r="C337" s="39"/>
      <c r="D337" s="39"/>
      <c r="E337" s="39"/>
      <c r="F337" s="121"/>
      <c r="G337" s="43"/>
      <c r="H337" s="43"/>
      <c r="I337" s="43"/>
      <c r="J337" s="40"/>
      <c r="K337" s="232"/>
    </row>
    <row r="338" spans="1:11" x14ac:dyDescent="0.25">
      <c r="A338" s="182"/>
      <c r="B338" s="182"/>
      <c r="C338" s="39"/>
      <c r="D338" s="39"/>
      <c r="E338" s="39"/>
      <c r="F338" s="121"/>
      <c r="G338" s="43"/>
      <c r="H338" s="43"/>
      <c r="I338" s="43"/>
      <c r="J338" s="40"/>
      <c r="K338" s="232"/>
    </row>
    <row r="339" spans="1:11" x14ac:dyDescent="0.25">
      <c r="A339" s="182"/>
      <c r="B339" s="182"/>
      <c r="C339" s="39"/>
      <c r="D339" s="39"/>
      <c r="E339" s="39"/>
      <c r="F339" s="121"/>
      <c r="G339" s="43"/>
      <c r="H339" s="43"/>
      <c r="I339" s="43"/>
      <c r="J339" s="40"/>
      <c r="K339" s="232"/>
    </row>
    <row r="340" spans="1:11" x14ac:dyDescent="0.25">
      <c r="A340" s="182"/>
      <c r="B340" s="182"/>
      <c r="C340" s="39"/>
      <c r="D340" s="39"/>
      <c r="E340" s="39"/>
      <c r="F340" s="121"/>
      <c r="G340" s="43"/>
      <c r="H340" s="43"/>
      <c r="I340" s="43"/>
      <c r="J340" s="40"/>
      <c r="K340" s="232"/>
    </row>
    <row r="341" spans="1:11" x14ac:dyDescent="0.25">
      <c r="A341" s="182"/>
      <c r="B341" s="182"/>
      <c r="C341" s="39"/>
      <c r="D341" s="39"/>
      <c r="E341" s="39"/>
      <c r="F341" s="121"/>
      <c r="G341" s="43"/>
      <c r="H341" s="43"/>
      <c r="I341" s="43"/>
      <c r="J341" s="40"/>
      <c r="K341" s="232"/>
    </row>
    <row r="342" spans="1:11" x14ac:dyDescent="0.25">
      <c r="A342" s="182"/>
      <c r="B342" s="182"/>
      <c r="C342" s="39"/>
      <c r="D342" s="39"/>
      <c r="E342" s="39"/>
      <c r="F342" s="121"/>
      <c r="G342" s="43"/>
      <c r="H342" s="43"/>
      <c r="I342" s="43"/>
      <c r="J342" s="40"/>
      <c r="K342" s="232"/>
    </row>
    <row r="343" spans="1:11" x14ac:dyDescent="0.25">
      <c r="A343" s="182"/>
      <c r="B343" s="182"/>
      <c r="C343" s="39"/>
      <c r="D343" s="39"/>
      <c r="E343" s="39"/>
      <c r="F343" s="121"/>
      <c r="G343" s="43"/>
      <c r="H343" s="43"/>
      <c r="I343" s="43"/>
      <c r="J343" s="40"/>
      <c r="K343" s="232"/>
    </row>
    <row r="344" spans="1:11" x14ac:dyDescent="0.25">
      <c r="A344" s="182"/>
      <c r="B344" s="182"/>
      <c r="C344" s="39"/>
      <c r="D344" s="39"/>
      <c r="E344" s="39"/>
      <c r="F344" s="121"/>
      <c r="G344" s="43"/>
      <c r="H344" s="43"/>
      <c r="I344" s="43"/>
      <c r="J344" s="40"/>
      <c r="K344" s="232"/>
    </row>
    <row r="345" spans="1:11" x14ac:dyDescent="0.25">
      <c r="A345" s="182"/>
      <c r="B345" s="182"/>
      <c r="C345" s="39"/>
      <c r="D345" s="39"/>
      <c r="E345" s="39"/>
      <c r="F345" s="121"/>
      <c r="G345" s="43"/>
      <c r="H345" s="43"/>
      <c r="I345" s="43"/>
      <c r="J345" s="40"/>
      <c r="K345" s="232"/>
    </row>
    <row r="346" spans="1:11" x14ac:dyDescent="0.25">
      <c r="A346" s="182"/>
      <c r="B346" s="182"/>
      <c r="C346" s="39"/>
      <c r="D346" s="39"/>
      <c r="E346" s="39"/>
      <c r="F346" s="121"/>
      <c r="G346" s="43"/>
      <c r="H346" s="43"/>
      <c r="I346" s="43"/>
      <c r="J346" s="40"/>
      <c r="K346" s="232"/>
    </row>
    <row r="347" spans="1:11" x14ac:dyDescent="0.25">
      <c r="A347" s="182"/>
      <c r="B347" s="182"/>
      <c r="C347" s="39"/>
      <c r="D347" s="39"/>
      <c r="E347" s="39"/>
      <c r="F347" s="121"/>
      <c r="G347" s="43"/>
      <c r="H347" s="43"/>
      <c r="I347" s="43"/>
      <c r="J347" s="40"/>
      <c r="K347" s="232"/>
    </row>
    <row r="348" spans="1:11" x14ac:dyDescent="0.25">
      <c r="A348" s="182"/>
      <c r="B348" s="182"/>
      <c r="C348" s="39"/>
      <c r="D348" s="39"/>
      <c r="E348" s="39"/>
      <c r="F348" s="121"/>
      <c r="G348" s="43"/>
      <c r="H348" s="43"/>
      <c r="I348" s="43"/>
      <c r="J348" s="40"/>
      <c r="K348" s="232"/>
    </row>
    <row r="349" spans="1:11" x14ac:dyDescent="0.25">
      <c r="A349" s="182"/>
      <c r="B349" s="182"/>
      <c r="C349" s="39"/>
      <c r="D349" s="39"/>
      <c r="E349" s="39"/>
      <c r="F349" s="121"/>
      <c r="G349" s="43"/>
      <c r="H349" s="43"/>
      <c r="I349" s="43"/>
      <c r="J349" s="40"/>
      <c r="K349" s="232"/>
    </row>
    <row r="350" spans="1:11" x14ac:dyDescent="0.25">
      <c r="A350" s="182"/>
      <c r="B350" s="182"/>
      <c r="C350" s="39"/>
      <c r="D350" s="39"/>
      <c r="E350" s="39"/>
      <c r="F350" s="121"/>
      <c r="G350" s="43"/>
      <c r="H350" s="43"/>
      <c r="I350" s="43"/>
      <c r="J350" s="40"/>
      <c r="K350" s="232"/>
    </row>
    <row r="351" spans="1:11" x14ac:dyDescent="0.25">
      <c r="A351" s="182"/>
      <c r="B351" s="182"/>
      <c r="C351" s="39"/>
      <c r="D351" s="39"/>
      <c r="E351" s="39"/>
      <c r="F351" s="121"/>
      <c r="G351" s="43"/>
      <c r="H351" s="43"/>
      <c r="I351" s="43"/>
      <c r="J351" s="40"/>
      <c r="K351" s="232"/>
    </row>
    <row r="352" spans="1:11" x14ac:dyDescent="0.25">
      <c r="A352" s="182"/>
      <c r="B352" s="182"/>
      <c r="C352" s="39"/>
      <c r="D352" s="39"/>
      <c r="E352" s="39"/>
      <c r="F352" s="121"/>
      <c r="G352" s="43"/>
      <c r="H352" s="43"/>
      <c r="I352" s="43"/>
      <c r="J352" s="40"/>
      <c r="K352" s="232"/>
    </row>
    <row r="353" spans="1:11" x14ac:dyDescent="0.25">
      <c r="A353" s="182"/>
      <c r="B353" s="182"/>
      <c r="C353" s="39"/>
      <c r="D353" s="39"/>
      <c r="E353" s="39"/>
      <c r="F353" s="121"/>
      <c r="G353" s="43"/>
      <c r="H353" s="43"/>
      <c r="I353" s="43"/>
      <c r="J353" s="40"/>
      <c r="K353" s="232"/>
    </row>
    <row r="354" spans="1:11" x14ac:dyDescent="0.25">
      <c r="A354" s="182"/>
      <c r="B354" s="182"/>
      <c r="C354" s="39"/>
      <c r="D354" s="39"/>
      <c r="E354" s="39"/>
      <c r="F354" s="121"/>
      <c r="G354" s="43"/>
      <c r="H354" s="43"/>
      <c r="I354" s="43"/>
      <c r="J354" s="40"/>
      <c r="K354" s="232"/>
    </row>
    <row r="355" spans="1:11" x14ac:dyDescent="0.25">
      <c r="A355" s="182"/>
      <c r="B355" s="182"/>
      <c r="C355" s="39"/>
      <c r="D355" s="39"/>
      <c r="E355" s="39"/>
      <c r="F355" s="121"/>
      <c r="G355" s="43"/>
      <c r="H355" s="43"/>
      <c r="I355" s="43"/>
      <c r="J355" s="40"/>
      <c r="K355" s="232"/>
    </row>
    <row r="356" spans="1:11" x14ac:dyDescent="0.25">
      <c r="A356" s="182"/>
      <c r="B356" s="182"/>
      <c r="C356" s="39"/>
      <c r="D356" s="39"/>
      <c r="E356" s="39"/>
      <c r="F356" s="121"/>
      <c r="G356" s="43"/>
      <c r="H356" s="43"/>
      <c r="I356" s="43"/>
      <c r="J356" s="40"/>
      <c r="K356" s="232"/>
    </row>
    <row r="357" spans="1:11" x14ac:dyDescent="0.25">
      <c r="A357" s="182"/>
      <c r="B357" s="182"/>
      <c r="C357" s="39"/>
      <c r="D357" s="39"/>
      <c r="E357" s="39"/>
      <c r="F357" s="121"/>
      <c r="G357" s="43"/>
      <c r="H357" s="43"/>
      <c r="I357" s="43"/>
      <c r="J357" s="40"/>
      <c r="K357" s="232"/>
    </row>
    <row r="358" spans="1:11" x14ac:dyDescent="0.25">
      <c r="A358" s="182"/>
      <c r="B358" s="182"/>
      <c r="C358" s="39"/>
      <c r="D358" s="39"/>
      <c r="E358" s="39"/>
      <c r="F358" s="121"/>
      <c r="G358" s="43"/>
      <c r="H358" s="43"/>
      <c r="I358" s="43"/>
      <c r="J358" s="40"/>
      <c r="K358" s="232"/>
    </row>
    <row r="359" spans="1:11" x14ac:dyDescent="0.25">
      <c r="A359" s="182"/>
      <c r="B359" s="182"/>
      <c r="C359" s="39"/>
      <c r="D359" s="39"/>
      <c r="E359" s="39"/>
      <c r="F359" s="121"/>
      <c r="G359" s="43"/>
      <c r="H359" s="43"/>
      <c r="I359" s="43"/>
      <c r="J359" s="40"/>
      <c r="K359" s="232"/>
    </row>
    <row r="360" spans="1:11" x14ac:dyDescent="0.25">
      <c r="A360" s="182"/>
      <c r="B360" s="182"/>
      <c r="C360" s="39"/>
      <c r="D360" s="39"/>
      <c r="E360" s="39"/>
      <c r="F360" s="121"/>
      <c r="G360" s="43"/>
      <c r="H360" s="43"/>
      <c r="I360" s="43"/>
      <c r="J360" s="40"/>
      <c r="K360" s="232"/>
    </row>
    <row r="361" spans="1:11" x14ac:dyDescent="0.25">
      <c r="A361" s="182"/>
      <c r="B361" s="182"/>
      <c r="C361" s="39"/>
      <c r="D361" s="39"/>
      <c r="E361" s="39"/>
      <c r="F361" s="121"/>
      <c r="G361" s="43"/>
      <c r="H361" s="43"/>
      <c r="I361" s="43"/>
      <c r="J361" s="40"/>
      <c r="K361" s="232"/>
    </row>
    <row r="362" spans="1:11" x14ac:dyDescent="0.25">
      <c r="A362" s="182"/>
      <c r="B362" s="182"/>
      <c r="C362" s="39"/>
      <c r="D362" s="39"/>
      <c r="E362" s="39"/>
      <c r="F362" s="121"/>
      <c r="G362" s="43"/>
      <c r="H362" s="43"/>
      <c r="I362" s="43"/>
      <c r="J362" s="40"/>
      <c r="K362" s="232"/>
    </row>
    <row r="363" spans="1:11" x14ac:dyDescent="0.25">
      <c r="A363" s="182"/>
      <c r="B363" s="182"/>
      <c r="C363" s="39"/>
      <c r="D363" s="39"/>
      <c r="E363" s="39"/>
      <c r="F363" s="121"/>
      <c r="G363" s="43"/>
      <c r="H363" s="43"/>
      <c r="I363" s="43"/>
      <c r="J363" s="40"/>
      <c r="K363" s="232"/>
    </row>
    <row r="364" spans="1:11" x14ac:dyDescent="0.25">
      <c r="A364" s="182"/>
      <c r="B364" s="182"/>
      <c r="C364" s="39"/>
      <c r="D364" s="39"/>
      <c r="E364" s="39"/>
      <c r="F364" s="121"/>
      <c r="G364" s="43"/>
      <c r="H364" s="43"/>
      <c r="I364" s="43"/>
      <c r="J364" s="40"/>
      <c r="K364" s="232"/>
    </row>
    <row r="365" spans="1:11" x14ac:dyDescent="0.25">
      <c r="A365" s="182"/>
      <c r="B365" s="182"/>
      <c r="C365" s="39"/>
      <c r="D365" s="39"/>
      <c r="E365" s="39"/>
      <c r="F365" s="121"/>
      <c r="G365" s="43"/>
      <c r="H365" s="43"/>
      <c r="I365" s="43"/>
      <c r="J365" s="40"/>
      <c r="K365" s="232"/>
    </row>
    <row r="366" spans="1:11" x14ac:dyDescent="0.25">
      <c r="A366" s="182"/>
      <c r="B366" s="182"/>
      <c r="C366" s="39"/>
      <c r="D366" s="39"/>
      <c r="E366" s="39"/>
      <c r="F366" s="121"/>
      <c r="G366" s="43"/>
      <c r="H366" s="43"/>
      <c r="I366" s="43"/>
      <c r="J366" s="40"/>
      <c r="K366" s="232"/>
    </row>
    <row r="367" spans="1:11" x14ac:dyDescent="0.25">
      <c r="A367" s="182"/>
      <c r="B367" s="182"/>
      <c r="C367" s="39"/>
      <c r="D367" s="39"/>
      <c r="E367" s="39"/>
      <c r="F367" s="121"/>
      <c r="G367" s="43"/>
      <c r="H367" s="43"/>
      <c r="I367" s="43"/>
      <c r="J367" s="40"/>
      <c r="K367" s="232"/>
    </row>
    <row r="368" spans="1:11" x14ac:dyDescent="0.25">
      <c r="A368" s="182"/>
      <c r="B368" s="182"/>
      <c r="C368" s="39"/>
      <c r="D368" s="39"/>
      <c r="E368" s="39"/>
      <c r="F368" s="121"/>
      <c r="G368" s="43"/>
      <c r="H368" s="43"/>
      <c r="I368" s="43"/>
      <c r="J368" s="40"/>
      <c r="K368" s="232"/>
    </row>
    <row r="369" spans="1:11" x14ac:dyDescent="0.25">
      <c r="A369" s="182"/>
      <c r="B369" s="182"/>
      <c r="C369" s="39"/>
      <c r="D369" s="39"/>
      <c r="E369" s="39"/>
      <c r="F369" s="121"/>
      <c r="G369" s="43"/>
      <c r="H369" s="43"/>
      <c r="I369" s="43"/>
      <c r="J369" s="40"/>
      <c r="K369" s="232"/>
    </row>
    <row r="370" spans="1:11" x14ac:dyDescent="0.25">
      <c r="A370" s="182"/>
      <c r="B370" s="182"/>
      <c r="C370" s="39"/>
      <c r="D370" s="39"/>
      <c r="E370" s="39"/>
      <c r="F370" s="121"/>
      <c r="G370" s="43"/>
      <c r="H370" s="43"/>
      <c r="I370" s="43"/>
      <c r="J370" s="40"/>
      <c r="K370" s="232"/>
    </row>
    <row r="371" spans="1:11" x14ac:dyDescent="0.25">
      <c r="A371" s="182"/>
      <c r="B371" s="182"/>
      <c r="C371" s="39"/>
      <c r="D371" s="39"/>
      <c r="E371" s="39"/>
      <c r="F371" s="121"/>
      <c r="G371" s="43"/>
      <c r="H371" s="43"/>
      <c r="I371" s="43"/>
      <c r="J371" s="40"/>
      <c r="K371" s="232"/>
    </row>
    <row r="372" spans="1:11" x14ac:dyDescent="0.25">
      <c r="A372" s="182"/>
      <c r="B372" s="182"/>
      <c r="C372" s="39"/>
      <c r="D372" s="39"/>
      <c r="E372" s="39"/>
      <c r="F372" s="121"/>
      <c r="G372" s="43"/>
      <c r="H372" s="43"/>
      <c r="I372" s="43"/>
      <c r="J372" s="40"/>
      <c r="K372" s="232"/>
    </row>
    <row r="373" spans="1:11" x14ac:dyDescent="0.25">
      <c r="A373" s="182"/>
      <c r="B373" s="182"/>
      <c r="C373" s="39"/>
      <c r="D373" s="39"/>
      <c r="E373" s="39"/>
      <c r="F373" s="121"/>
      <c r="G373" s="43"/>
      <c r="H373" s="43"/>
      <c r="I373" s="43"/>
      <c r="J373" s="40"/>
      <c r="K373" s="232"/>
    </row>
    <row r="374" spans="1:11" x14ac:dyDescent="0.25">
      <c r="A374" s="182"/>
      <c r="B374" s="182"/>
      <c r="C374" s="39"/>
      <c r="D374" s="39"/>
      <c r="E374" s="39"/>
      <c r="F374" s="121"/>
      <c r="G374" s="43"/>
      <c r="H374" s="43"/>
      <c r="I374" s="43"/>
      <c r="J374" s="40"/>
      <c r="K374" s="232"/>
    </row>
    <row r="375" spans="1:11" x14ac:dyDescent="0.25">
      <c r="A375" s="182"/>
      <c r="B375" s="182"/>
      <c r="C375" s="39"/>
      <c r="D375" s="39"/>
      <c r="E375" s="39"/>
      <c r="F375" s="121"/>
      <c r="G375" s="43"/>
      <c r="H375" s="43"/>
      <c r="I375" s="43"/>
      <c r="J375" s="40"/>
      <c r="K375" s="232"/>
    </row>
    <row r="376" spans="1:11" x14ac:dyDescent="0.25">
      <c r="A376" s="182"/>
      <c r="B376" s="182"/>
      <c r="C376" s="39"/>
      <c r="D376" s="39"/>
      <c r="E376" s="39"/>
      <c r="F376" s="121"/>
      <c r="G376" s="43"/>
      <c r="H376" s="43"/>
      <c r="I376" s="43"/>
      <c r="J376" s="40"/>
      <c r="K376" s="232"/>
    </row>
    <row r="377" spans="1:11" x14ac:dyDescent="0.25">
      <c r="A377" s="182"/>
      <c r="B377" s="182"/>
      <c r="C377" s="39"/>
      <c r="D377" s="39"/>
      <c r="E377" s="39"/>
      <c r="F377" s="121"/>
      <c r="G377" s="43"/>
      <c r="H377" s="43"/>
      <c r="I377" s="43"/>
      <c r="J377" s="40"/>
      <c r="K377" s="232"/>
    </row>
    <row r="378" spans="1:11" x14ac:dyDescent="0.25">
      <c r="A378" s="182"/>
      <c r="B378" s="182"/>
      <c r="C378" s="39"/>
      <c r="D378" s="39"/>
      <c r="E378" s="39"/>
      <c r="F378" s="121"/>
      <c r="G378" s="43"/>
      <c r="H378" s="43"/>
      <c r="I378" s="43"/>
      <c r="J378" s="40"/>
      <c r="K378" s="232"/>
    </row>
    <row r="379" spans="1:11" x14ac:dyDescent="0.25">
      <c r="A379" s="182"/>
      <c r="B379" s="182"/>
      <c r="C379" s="39"/>
      <c r="D379" s="39"/>
      <c r="E379" s="39"/>
      <c r="F379" s="121"/>
      <c r="G379" s="43"/>
      <c r="H379" s="43"/>
      <c r="I379" s="43"/>
      <c r="J379" s="40"/>
      <c r="K379" s="232"/>
    </row>
    <row r="380" spans="1:11" x14ac:dyDescent="0.25">
      <c r="A380" s="182"/>
      <c r="B380" s="182"/>
      <c r="C380" s="39"/>
      <c r="D380" s="39"/>
      <c r="E380" s="39"/>
      <c r="F380" s="121"/>
      <c r="G380" s="43"/>
      <c r="H380" s="43"/>
      <c r="I380" s="43"/>
      <c r="J380" s="40"/>
      <c r="K380" s="232"/>
    </row>
    <row r="381" spans="1:11" x14ac:dyDescent="0.25">
      <c r="A381" s="182"/>
      <c r="B381" s="182"/>
      <c r="C381" s="39"/>
      <c r="D381" s="39"/>
      <c r="E381" s="39"/>
      <c r="F381" s="121"/>
      <c r="G381" s="43"/>
      <c r="H381" s="43"/>
      <c r="I381" s="43"/>
      <c r="J381" s="40"/>
      <c r="K381" s="232"/>
    </row>
    <row r="382" spans="1:11" x14ac:dyDescent="0.25">
      <c r="A382" s="182"/>
      <c r="B382" s="182"/>
      <c r="C382" s="39"/>
      <c r="D382" s="39"/>
      <c r="E382" s="39"/>
      <c r="F382" s="121"/>
      <c r="G382" s="43"/>
      <c r="H382" s="43"/>
      <c r="I382" s="43"/>
      <c r="J382" s="40"/>
      <c r="K382" s="232"/>
    </row>
    <row r="383" spans="1:11" x14ac:dyDescent="0.25">
      <c r="A383" s="182"/>
      <c r="B383" s="182"/>
      <c r="C383" s="39"/>
      <c r="D383" s="39"/>
      <c r="E383" s="39"/>
      <c r="F383" s="121"/>
      <c r="G383" s="43"/>
      <c r="H383" s="43"/>
      <c r="I383" s="43"/>
      <c r="J383" s="40"/>
      <c r="K383" s="232"/>
    </row>
    <row r="384" spans="1:11" x14ac:dyDescent="0.25">
      <c r="A384" s="182"/>
      <c r="B384" s="182"/>
      <c r="C384" s="39"/>
      <c r="D384" s="39"/>
      <c r="E384" s="39"/>
      <c r="F384" s="121"/>
      <c r="G384" s="43"/>
      <c r="H384" s="43"/>
      <c r="I384" s="43"/>
      <c r="J384" s="40"/>
      <c r="K384" s="232"/>
    </row>
    <row r="385" spans="1:11" x14ac:dyDescent="0.25">
      <c r="A385" s="182"/>
      <c r="B385" s="182"/>
      <c r="C385" s="39"/>
      <c r="D385" s="39"/>
      <c r="E385" s="39"/>
      <c r="F385" s="121"/>
      <c r="G385" s="43"/>
      <c r="H385" s="43"/>
      <c r="I385" s="43"/>
      <c r="J385" s="40"/>
      <c r="K385" s="232"/>
    </row>
    <row r="386" spans="1:11" x14ac:dyDescent="0.25">
      <c r="A386" s="182"/>
      <c r="B386" s="182"/>
      <c r="C386" s="39"/>
      <c r="D386" s="39"/>
      <c r="E386" s="39"/>
      <c r="F386" s="121"/>
      <c r="G386" s="43"/>
      <c r="H386" s="43"/>
      <c r="I386" s="43"/>
      <c r="J386" s="40"/>
      <c r="K386" s="232"/>
    </row>
    <row r="387" spans="1:11" x14ac:dyDescent="0.25">
      <c r="A387" s="182"/>
      <c r="B387" s="182"/>
      <c r="C387" s="39"/>
      <c r="D387" s="39"/>
      <c r="E387" s="39"/>
      <c r="F387" s="121"/>
      <c r="G387" s="43"/>
      <c r="H387" s="43"/>
      <c r="I387" s="43"/>
      <c r="J387" s="40"/>
      <c r="K387" s="232"/>
    </row>
    <row r="388" spans="1:11" x14ac:dyDescent="0.25">
      <c r="A388" s="182"/>
      <c r="B388" s="182"/>
      <c r="C388" s="39"/>
      <c r="D388" s="39"/>
      <c r="E388" s="39"/>
      <c r="F388" s="121"/>
      <c r="G388" s="43"/>
      <c r="H388" s="43"/>
      <c r="I388" s="43"/>
      <c r="J388" s="40"/>
      <c r="K388" s="232"/>
    </row>
    <row r="389" spans="1:11" x14ac:dyDescent="0.25">
      <c r="A389" s="182"/>
      <c r="B389" s="182"/>
      <c r="C389" s="39"/>
      <c r="D389" s="39"/>
      <c r="E389" s="39"/>
      <c r="F389" s="121"/>
      <c r="G389" s="43"/>
      <c r="H389" s="43"/>
      <c r="I389" s="43"/>
      <c r="J389" s="40"/>
      <c r="K389" s="232"/>
    </row>
    <row r="390" spans="1:11" x14ac:dyDescent="0.25">
      <c r="A390" s="182"/>
      <c r="B390" s="182"/>
      <c r="C390" s="39"/>
      <c r="D390" s="39"/>
      <c r="E390" s="39"/>
      <c r="F390" s="121"/>
      <c r="G390" s="43"/>
      <c r="H390" s="43"/>
      <c r="I390" s="43"/>
      <c r="J390" s="40"/>
      <c r="K390" s="232"/>
    </row>
    <row r="391" spans="1:11" x14ac:dyDescent="0.25">
      <c r="A391" s="182"/>
      <c r="B391" s="182"/>
      <c r="C391" s="39"/>
      <c r="D391" s="39"/>
      <c r="E391" s="39"/>
      <c r="F391" s="121"/>
      <c r="G391" s="43"/>
      <c r="H391" s="43"/>
      <c r="I391" s="43"/>
      <c r="J391" s="40"/>
      <c r="K391" s="232"/>
    </row>
    <row r="392" spans="1:11" x14ac:dyDescent="0.25">
      <c r="A392" s="182"/>
      <c r="B392" s="182"/>
      <c r="C392" s="39"/>
      <c r="D392" s="39"/>
      <c r="E392" s="39"/>
      <c r="F392" s="121"/>
      <c r="G392" s="43"/>
      <c r="H392" s="43"/>
      <c r="I392" s="43"/>
      <c r="J392" s="40"/>
      <c r="K392" s="232"/>
    </row>
    <row r="393" spans="1:11" x14ac:dyDescent="0.25">
      <c r="A393" s="182"/>
      <c r="B393" s="182"/>
      <c r="C393" s="39"/>
      <c r="D393" s="39"/>
      <c r="E393" s="39"/>
      <c r="F393" s="121"/>
      <c r="G393" s="43"/>
      <c r="H393" s="43"/>
      <c r="I393" s="43"/>
      <c r="J393" s="40"/>
      <c r="K393" s="232"/>
    </row>
    <row r="394" spans="1:11" x14ac:dyDescent="0.25">
      <c r="A394" s="182"/>
      <c r="B394" s="182"/>
      <c r="C394" s="39"/>
      <c r="D394" s="39"/>
      <c r="E394" s="39"/>
      <c r="F394" s="121"/>
      <c r="G394" s="43"/>
      <c r="H394" s="43"/>
      <c r="I394" s="43"/>
      <c r="J394" s="40"/>
      <c r="K394" s="232"/>
    </row>
    <row r="395" spans="1:11" x14ac:dyDescent="0.25">
      <c r="A395" s="182"/>
      <c r="B395" s="182"/>
      <c r="C395" s="39"/>
      <c r="D395" s="39"/>
      <c r="E395" s="39"/>
      <c r="F395" s="121"/>
      <c r="G395" s="43"/>
      <c r="H395" s="43"/>
      <c r="I395" s="43"/>
      <c r="J395" s="40"/>
      <c r="K395" s="232"/>
    </row>
    <row r="396" spans="1:11" x14ac:dyDescent="0.25">
      <c r="A396" s="182"/>
      <c r="B396" s="182"/>
      <c r="C396" s="39"/>
      <c r="D396" s="39"/>
      <c r="E396" s="39"/>
      <c r="F396" s="121"/>
      <c r="G396" s="43"/>
      <c r="H396" s="43"/>
      <c r="I396" s="43"/>
      <c r="J396" s="40"/>
      <c r="K396" s="232"/>
    </row>
    <row r="397" spans="1:11" x14ac:dyDescent="0.25">
      <c r="A397" s="182"/>
      <c r="B397" s="182"/>
      <c r="C397" s="39"/>
      <c r="D397" s="39"/>
      <c r="E397" s="39"/>
      <c r="F397" s="121"/>
      <c r="G397" s="43"/>
      <c r="H397" s="43"/>
      <c r="I397" s="43"/>
      <c r="J397" s="40"/>
      <c r="K397" s="232"/>
    </row>
    <row r="398" spans="1:11" x14ac:dyDescent="0.25">
      <c r="A398" s="182"/>
      <c r="B398" s="182"/>
      <c r="C398" s="39"/>
      <c r="D398" s="39"/>
      <c r="E398" s="39"/>
      <c r="F398" s="121"/>
      <c r="G398" s="43"/>
      <c r="H398" s="43"/>
      <c r="I398" s="43"/>
      <c r="J398" s="40"/>
      <c r="K398" s="232"/>
    </row>
    <row r="399" spans="1:11" x14ac:dyDescent="0.25">
      <c r="A399" s="182"/>
      <c r="B399" s="182"/>
      <c r="C399" s="39"/>
      <c r="D399" s="39"/>
      <c r="E399" s="39"/>
      <c r="F399" s="121"/>
      <c r="G399" s="43"/>
      <c r="H399" s="43"/>
      <c r="I399" s="43"/>
      <c r="J399" s="40"/>
      <c r="K399" s="232"/>
    </row>
    <row r="400" spans="1:11" x14ac:dyDescent="0.25">
      <c r="A400" s="182"/>
      <c r="B400" s="182"/>
      <c r="C400" s="39"/>
      <c r="D400" s="39"/>
      <c r="E400" s="39"/>
      <c r="F400" s="121"/>
      <c r="G400" s="43"/>
      <c r="H400" s="43"/>
      <c r="I400" s="43"/>
      <c r="J400" s="40"/>
      <c r="K400" s="232"/>
    </row>
    <row r="401" spans="1:11" x14ac:dyDescent="0.25">
      <c r="A401" s="182"/>
      <c r="B401" s="182"/>
      <c r="C401" s="39"/>
      <c r="D401" s="39"/>
      <c r="E401" s="39"/>
      <c r="F401" s="121"/>
      <c r="G401" s="43"/>
      <c r="H401" s="43"/>
      <c r="I401" s="43"/>
      <c r="J401" s="40"/>
      <c r="K401" s="232"/>
    </row>
    <row r="402" spans="1:11" x14ac:dyDescent="0.25">
      <c r="A402" s="182"/>
      <c r="B402" s="182"/>
      <c r="C402" s="39"/>
      <c r="D402" s="39"/>
      <c r="E402" s="39"/>
      <c r="F402" s="121"/>
      <c r="G402" s="43"/>
      <c r="H402" s="43"/>
      <c r="I402" s="43"/>
      <c r="J402" s="40"/>
      <c r="K402" s="232"/>
    </row>
    <row r="403" spans="1:11" x14ac:dyDescent="0.25">
      <c r="A403" s="182"/>
      <c r="B403" s="182"/>
      <c r="C403" s="39"/>
      <c r="D403" s="39"/>
      <c r="E403" s="39"/>
      <c r="F403" s="121"/>
      <c r="G403" s="43"/>
      <c r="H403" s="43"/>
      <c r="I403" s="43"/>
      <c r="J403" s="40"/>
      <c r="K403" s="232"/>
    </row>
    <row r="404" spans="1:11" x14ac:dyDescent="0.25">
      <c r="A404" s="182"/>
      <c r="B404" s="182"/>
      <c r="C404" s="39"/>
      <c r="D404" s="39"/>
      <c r="E404" s="39"/>
      <c r="F404" s="121"/>
      <c r="G404" s="43"/>
      <c r="H404" s="43"/>
      <c r="I404" s="43"/>
      <c r="J404" s="40"/>
      <c r="K404" s="232"/>
    </row>
    <row r="405" spans="1:11" x14ac:dyDescent="0.25">
      <c r="A405" s="182"/>
      <c r="B405" s="182"/>
      <c r="C405" s="39"/>
      <c r="D405" s="39"/>
      <c r="E405" s="39"/>
      <c r="F405" s="121"/>
      <c r="G405" s="43"/>
      <c r="H405" s="43"/>
      <c r="I405" s="43"/>
      <c r="J405" s="40"/>
      <c r="K405" s="232"/>
    </row>
    <row r="406" spans="1:11" x14ac:dyDescent="0.25">
      <c r="A406" s="182"/>
      <c r="B406" s="182"/>
      <c r="C406" s="39"/>
      <c r="D406" s="39"/>
      <c r="E406" s="39"/>
      <c r="F406" s="121"/>
      <c r="G406" s="43"/>
      <c r="H406" s="43"/>
      <c r="I406" s="43"/>
      <c r="J406" s="40"/>
      <c r="K406" s="232"/>
    </row>
    <row r="407" spans="1:11" x14ac:dyDescent="0.25">
      <c r="A407" s="182"/>
      <c r="B407" s="182"/>
      <c r="C407" s="39"/>
      <c r="D407" s="39"/>
      <c r="E407" s="39"/>
      <c r="F407" s="121"/>
      <c r="G407" s="43"/>
      <c r="H407" s="43"/>
      <c r="I407" s="43"/>
      <c r="J407" s="40"/>
      <c r="K407" s="232"/>
    </row>
    <row r="408" spans="1:11" x14ac:dyDescent="0.25">
      <c r="A408" s="182"/>
      <c r="B408" s="182"/>
      <c r="C408" s="39"/>
      <c r="D408" s="39"/>
      <c r="E408" s="39"/>
      <c r="F408" s="121"/>
      <c r="G408" s="43"/>
      <c r="H408" s="43"/>
      <c r="I408" s="43"/>
      <c r="J408" s="40"/>
      <c r="K408" s="232"/>
    </row>
    <row r="409" spans="1:11" x14ac:dyDescent="0.25">
      <c r="A409" s="182"/>
      <c r="B409" s="182"/>
      <c r="C409" s="39"/>
      <c r="D409" s="39"/>
      <c r="E409" s="39"/>
      <c r="F409" s="121"/>
      <c r="G409" s="43"/>
      <c r="H409" s="43"/>
      <c r="I409" s="43"/>
      <c r="J409" s="40"/>
      <c r="K409" s="232"/>
    </row>
    <row r="410" spans="1:11" x14ac:dyDescent="0.25">
      <c r="A410" s="182"/>
      <c r="B410" s="182"/>
      <c r="C410" s="39"/>
      <c r="D410" s="39"/>
      <c r="E410" s="39"/>
      <c r="F410" s="121"/>
      <c r="G410" s="43"/>
      <c r="H410" s="43"/>
      <c r="I410" s="43"/>
      <c r="J410" s="40"/>
      <c r="K410" s="232"/>
    </row>
    <row r="411" spans="1:11" x14ac:dyDescent="0.25">
      <c r="A411" s="182"/>
      <c r="B411" s="182"/>
      <c r="C411" s="39"/>
      <c r="D411" s="39"/>
      <c r="E411" s="39"/>
      <c r="F411" s="121"/>
      <c r="G411" s="43"/>
      <c r="H411" s="43"/>
      <c r="I411" s="43"/>
      <c r="J411" s="40"/>
      <c r="K411" s="232"/>
    </row>
    <row r="412" spans="1:11" x14ac:dyDescent="0.25">
      <c r="A412" s="182"/>
      <c r="B412" s="182"/>
      <c r="C412" s="39"/>
      <c r="D412" s="39"/>
      <c r="E412" s="39"/>
      <c r="F412" s="121"/>
      <c r="G412" s="43"/>
      <c r="H412" s="43"/>
      <c r="I412" s="43"/>
      <c r="J412" s="40"/>
      <c r="K412" s="232"/>
    </row>
    <row r="413" spans="1:11" x14ac:dyDescent="0.25">
      <c r="A413" s="182"/>
      <c r="B413" s="182"/>
      <c r="C413" s="39"/>
      <c r="D413" s="39"/>
      <c r="E413" s="39"/>
      <c r="F413" s="121"/>
      <c r="G413" s="43"/>
      <c r="H413" s="43"/>
      <c r="I413" s="43"/>
      <c r="J413" s="40"/>
      <c r="K413" s="232"/>
    </row>
    <row r="414" spans="1:11" x14ac:dyDescent="0.25">
      <c r="A414" s="182"/>
      <c r="B414" s="182"/>
      <c r="C414" s="39"/>
      <c r="D414" s="39"/>
      <c r="E414" s="39"/>
      <c r="F414" s="121"/>
      <c r="G414" s="43"/>
      <c r="H414" s="43"/>
      <c r="I414" s="43"/>
      <c r="J414" s="40"/>
      <c r="K414" s="232"/>
    </row>
    <row r="415" spans="1:11" x14ac:dyDescent="0.25">
      <c r="A415" s="182"/>
      <c r="B415" s="182"/>
      <c r="C415" s="39"/>
      <c r="D415" s="39"/>
      <c r="E415" s="39"/>
      <c r="F415" s="121"/>
      <c r="G415" s="43"/>
      <c r="H415" s="43"/>
      <c r="I415" s="43"/>
      <c r="J415" s="40"/>
      <c r="K415" s="232"/>
    </row>
    <row r="416" spans="1:11" x14ac:dyDescent="0.25">
      <c r="A416" s="182"/>
      <c r="B416" s="182"/>
      <c r="C416" s="39"/>
      <c r="D416" s="39"/>
      <c r="E416" s="39"/>
      <c r="F416" s="121"/>
      <c r="G416" s="43"/>
      <c r="H416" s="43"/>
      <c r="I416" s="43"/>
      <c r="J416" s="40"/>
      <c r="K416" s="232"/>
    </row>
    <row r="417" spans="1:11" x14ac:dyDescent="0.25">
      <c r="A417" s="182"/>
      <c r="B417" s="182"/>
      <c r="C417" s="39"/>
      <c r="D417" s="39"/>
      <c r="E417" s="39"/>
      <c r="F417" s="121"/>
      <c r="G417" s="43"/>
      <c r="H417" s="43"/>
      <c r="I417" s="43"/>
      <c r="J417" s="40"/>
      <c r="K417" s="232"/>
    </row>
    <row r="418" spans="1:11" x14ac:dyDescent="0.25">
      <c r="A418" s="182"/>
      <c r="B418" s="182"/>
      <c r="C418" s="39"/>
      <c r="D418" s="39"/>
      <c r="E418" s="39"/>
      <c r="F418" s="121"/>
      <c r="G418" s="43"/>
      <c r="H418" s="43"/>
      <c r="I418" s="43"/>
      <c r="J418" s="40"/>
      <c r="K418" s="232"/>
    </row>
    <row r="419" spans="1:11" x14ac:dyDescent="0.25">
      <c r="A419" s="182"/>
      <c r="B419" s="182"/>
      <c r="C419" s="39"/>
      <c r="D419" s="39"/>
      <c r="E419" s="39"/>
      <c r="F419" s="121"/>
      <c r="G419" s="43"/>
      <c r="H419" s="43"/>
      <c r="I419" s="43"/>
      <c r="J419" s="40"/>
      <c r="K419" s="232"/>
    </row>
    <row r="420" spans="1:11" x14ac:dyDescent="0.25">
      <c r="A420" s="182"/>
      <c r="B420" s="182"/>
      <c r="C420" s="39"/>
      <c r="D420" s="39"/>
      <c r="E420" s="39"/>
      <c r="F420" s="121"/>
      <c r="G420" s="43"/>
      <c r="H420" s="43"/>
      <c r="I420" s="43"/>
      <c r="J420" s="40"/>
      <c r="K420" s="232"/>
    </row>
    <row r="421" spans="1:11" x14ac:dyDescent="0.25">
      <c r="A421" s="182"/>
      <c r="B421" s="182"/>
      <c r="C421" s="39"/>
      <c r="D421" s="39"/>
      <c r="E421" s="39"/>
      <c r="F421" s="121"/>
      <c r="G421" s="43"/>
      <c r="H421" s="43"/>
      <c r="I421" s="43"/>
      <c r="J421" s="40"/>
      <c r="K421" s="232"/>
    </row>
    <row r="422" spans="1:11" x14ac:dyDescent="0.25">
      <c r="A422" s="182"/>
      <c r="B422" s="182"/>
      <c r="C422" s="39"/>
      <c r="D422" s="39"/>
      <c r="E422" s="39"/>
      <c r="F422" s="121"/>
      <c r="G422" s="43"/>
      <c r="H422" s="43"/>
      <c r="I422" s="43"/>
      <c r="J422" s="40"/>
      <c r="K422" s="232"/>
    </row>
    <row r="423" spans="1:11" x14ac:dyDescent="0.25">
      <c r="A423" s="182"/>
      <c r="B423" s="182"/>
      <c r="C423" s="39"/>
      <c r="D423" s="39"/>
      <c r="E423" s="39"/>
      <c r="F423" s="121"/>
      <c r="G423" s="43"/>
      <c r="H423" s="43"/>
      <c r="I423" s="43"/>
      <c r="J423" s="40"/>
      <c r="K423" s="232"/>
    </row>
    <row r="424" spans="1:11" x14ac:dyDescent="0.25">
      <c r="A424" s="182"/>
      <c r="B424" s="182"/>
      <c r="C424" s="39"/>
      <c r="D424" s="39"/>
      <c r="E424" s="39"/>
      <c r="F424" s="121"/>
      <c r="G424" s="43"/>
      <c r="H424" s="43"/>
      <c r="I424" s="43"/>
      <c r="J424" s="40"/>
      <c r="K424" s="232"/>
    </row>
    <row r="425" spans="1:11" x14ac:dyDescent="0.25">
      <c r="A425" s="182"/>
      <c r="B425" s="182"/>
      <c r="C425" s="39"/>
      <c r="D425" s="39"/>
      <c r="E425" s="39"/>
      <c r="F425" s="121"/>
      <c r="G425" s="43"/>
      <c r="H425" s="43"/>
      <c r="I425" s="43"/>
      <c r="J425" s="40"/>
      <c r="K425" s="232"/>
    </row>
    <row r="426" spans="1:11" x14ac:dyDescent="0.25">
      <c r="A426" s="182"/>
      <c r="B426" s="182"/>
      <c r="C426" s="39"/>
      <c r="D426" s="39"/>
      <c r="E426" s="39"/>
      <c r="F426" s="121"/>
      <c r="G426" s="43"/>
      <c r="H426" s="43"/>
      <c r="I426" s="43"/>
      <c r="J426" s="40"/>
      <c r="K426" s="232"/>
    </row>
    <row r="427" spans="1:11" x14ac:dyDescent="0.25">
      <c r="A427" s="182"/>
      <c r="B427" s="182"/>
      <c r="C427" s="39"/>
      <c r="D427" s="39"/>
      <c r="E427" s="39"/>
      <c r="F427" s="121"/>
      <c r="G427" s="43"/>
      <c r="H427" s="43"/>
      <c r="I427" s="43"/>
      <c r="J427" s="40"/>
      <c r="K427" s="232"/>
    </row>
    <row r="428" spans="1:11" x14ac:dyDescent="0.25">
      <c r="A428" s="182"/>
      <c r="B428" s="182"/>
      <c r="C428" s="39"/>
      <c r="D428" s="39"/>
      <c r="E428" s="39"/>
      <c r="F428" s="121"/>
      <c r="G428" s="43"/>
      <c r="H428" s="43"/>
      <c r="I428" s="43"/>
      <c r="J428" s="40"/>
      <c r="K428" s="232"/>
    </row>
    <row r="429" spans="1:11" x14ac:dyDescent="0.25">
      <c r="A429" s="182"/>
      <c r="B429" s="182"/>
      <c r="C429" s="39"/>
      <c r="D429" s="39"/>
      <c r="E429" s="39"/>
      <c r="F429" s="121"/>
      <c r="G429" s="43"/>
      <c r="H429" s="43"/>
      <c r="I429" s="43"/>
      <c r="J429" s="40"/>
      <c r="K429" s="232"/>
    </row>
    <row r="430" spans="1:11" x14ac:dyDescent="0.25">
      <c r="A430" s="182"/>
      <c r="B430" s="182"/>
      <c r="C430" s="39"/>
      <c r="D430" s="39"/>
      <c r="E430" s="39"/>
      <c r="F430" s="121"/>
      <c r="G430" s="43"/>
      <c r="H430" s="43"/>
      <c r="I430" s="43"/>
      <c r="J430" s="40"/>
      <c r="K430" s="232"/>
    </row>
    <row r="431" spans="1:11" x14ac:dyDescent="0.25">
      <c r="A431" s="182"/>
      <c r="B431" s="182"/>
      <c r="C431" s="39"/>
      <c r="D431" s="39"/>
      <c r="E431" s="39"/>
      <c r="F431" s="121"/>
      <c r="G431" s="43"/>
      <c r="H431" s="43"/>
      <c r="I431" s="43"/>
      <c r="J431" s="40"/>
      <c r="K431" s="232"/>
    </row>
    <row r="432" spans="1:11" x14ac:dyDescent="0.25">
      <c r="A432" s="182"/>
      <c r="B432" s="182"/>
      <c r="C432" s="39"/>
      <c r="D432" s="39"/>
      <c r="E432" s="39"/>
      <c r="F432" s="121"/>
      <c r="G432" s="43"/>
      <c r="H432" s="43"/>
      <c r="I432" s="43"/>
      <c r="J432" s="40"/>
      <c r="K432" s="232"/>
    </row>
    <row r="433" spans="1:11" x14ac:dyDescent="0.25">
      <c r="A433" s="182"/>
      <c r="B433" s="182"/>
      <c r="C433" s="39"/>
      <c r="D433" s="39"/>
      <c r="E433" s="39"/>
      <c r="F433" s="121"/>
      <c r="G433" s="43"/>
      <c r="H433" s="43"/>
      <c r="I433" s="43"/>
      <c r="J433" s="40"/>
      <c r="K433" s="232"/>
    </row>
    <row r="434" spans="1:11" x14ac:dyDescent="0.25">
      <c r="A434" s="182"/>
      <c r="B434" s="182"/>
      <c r="C434" s="39"/>
      <c r="D434" s="39"/>
      <c r="E434" s="39"/>
      <c r="F434" s="121"/>
      <c r="G434" s="43"/>
      <c r="H434" s="43"/>
      <c r="I434" s="43"/>
      <c r="J434" s="40"/>
      <c r="K434" s="232"/>
    </row>
    <row r="435" spans="1:11" x14ac:dyDescent="0.25">
      <c r="A435" s="182"/>
      <c r="B435" s="182"/>
      <c r="C435" s="39"/>
      <c r="D435" s="39"/>
      <c r="E435" s="39"/>
      <c r="F435" s="121"/>
      <c r="G435" s="43"/>
      <c r="H435" s="43"/>
      <c r="I435" s="43"/>
      <c r="J435" s="40"/>
      <c r="K435" s="232"/>
    </row>
    <row r="436" spans="1:11" x14ac:dyDescent="0.25">
      <c r="A436" s="182"/>
      <c r="B436" s="182"/>
      <c r="C436" s="39"/>
      <c r="D436" s="39"/>
      <c r="E436" s="39"/>
      <c r="F436" s="121"/>
      <c r="G436" s="43"/>
      <c r="H436" s="43"/>
      <c r="I436" s="43"/>
      <c r="J436" s="40"/>
      <c r="K436" s="232"/>
    </row>
    <row r="437" spans="1:11" x14ac:dyDescent="0.25">
      <c r="A437" s="182"/>
      <c r="B437" s="182"/>
      <c r="C437" s="39"/>
      <c r="D437" s="39"/>
      <c r="E437" s="39"/>
      <c r="F437" s="121"/>
      <c r="G437" s="43"/>
      <c r="H437" s="43"/>
      <c r="I437" s="43"/>
      <c r="J437" s="40"/>
      <c r="K437" s="232"/>
    </row>
    <row r="438" spans="1:11" x14ac:dyDescent="0.25">
      <c r="A438" s="182"/>
      <c r="B438" s="182"/>
      <c r="C438" s="39"/>
      <c r="D438" s="39"/>
      <c r="E438" s="39"/>
      <c r="F438" s="121"/>
      <c r="G438" s="43"/>
      <c r="H438" s="43"/>
      <c r="I438" s="43"/>
      <c r="J438" s="40"/>
      <c r="K438" s="232"/>
    </row>
    <row r="439" spans="1:11" x14ac:dyDescent="0.25">
      <c r="A439" s="182"/>
      <c r="B439" s="182"/>
      <c r="C439" s="39"/>
      <c r="D439" s="39"/>
      <c r="E439" s="39"/>
      <c r="F439" s="121"/>
      <c r="G439" s="43"/>
      <c r="H439" s="43"/>
      <c r="I439" s="43"/>
      <c r="J439" s="40"/>
      <c r="K439" s="232"/>
    </row>
    <row r="440" spans="1:11" x14ac:dyDescent="0.25">
      <c r="A440" s="182"/>
      <c r="B440" s="182"/>
      <c r="C440" s="39"/>
      <c r="D440" s="39"/>
      <c r="E440" s="39"/>
      <c r="F440" s="121"/>
      <c r="G440" s="43"/>
      <c r="H440" s="43"/>
      <c r="I440" s="43"/>
      <c r="J440" s="40"/>
      <c r="K440" s="232"/>
    </row>
    <row r="441" spans="1:11" x14ac:dyDescent="0.25">
      <c r="A441" s="182"/>
      <c r="B441" s="182"/>
      <c r="C441" s="39"/>
      <c r="D441" s="39"/>
      <c r="E441" s="39"/>
      <c r="F441" s="121"/>
      <c r="G441" s="43"/>
      <c r="H441" s="43"/>
      <c r="I441" s="43"/>
      <c r="J441" s="40"/>
      <c r="K441" s="232"/>
    </row>
    <row r="442" spans="1:11" x14ac:dyDescent="0.25">
      <c r="A442" s="182"/>
      <c r="B442" s="182"/>
      <c r="C442" s="39"/>
      <c r="D442" s="39"/>
      <c r="E442" s="39"/>
      <c r="F442" s="121"/>
      <c r="G442" s="43"/>
      <c r="H442" s="43"/>
      <c r="I442" s="43"/>
      <c r="J442" s="40"/>
      <c r="K442" s="232"/>
    </row>
    <row r="443" spans="1:11" x14ac:dyDescent="0.25">
      <c r="A443" s="182"/>
      <c r="B443" s="182"/>
      <c r="C443" s="39"/>
      <c r="D443" s="39"/>
      <c r="E443" s="39"/>
      <c r="F443" s="121"/>
      <c r="G443" s="43"/>
      <c r="H443" s="43"/>
      <c r="I443" s="43"/>
      <c r="J443" s="40"/>
      <c r="K443" s="232"/>
    </row>
    <row r="444" spans="1:11" x14ac:dyDescent="0.25">
      <c r="A444" s="182"/>
      <c r="B444" s="182"/>
      <c r="C444" s="39"/>
      <c r="D444" s="39"/>
      <c r="E444" s="39"/>
      <c r="F444" s="121"/>
      <c r="G444" s="43"/>
      <c r="H444" s="43"/>
      <c r="I444" s="43"/>
      <c r="J444" s="40"/>
      <c r="K444" s="232"/>
    </row>
    <row r="445" spans="1:11" x14ac:dyDescent="0.25">
      <c r="A445" s="182"/>
      <c r="B445" s="182"/>
      <c r="C445" s="39"/>
      <c r="D445" s="39"/>
      <c r="E445" s="39"/>
      <c r="F445" s="121"/>
      <c r="G445" s="43"/>
      <c r="H445" s="43"/>
      <c r="I445" s="43"/>
      <c r="J445" s="40"/>
      <c r="K445" s="232"/>
    </row>
    <row r="446" spans="1:11" x14ac:dyDescent="0.25">
      <c r="A446" s="182"/>
      <c r="B446" s="182"/>
      <c r="C446" s="39"/>
      <c r="D446" s="39"/>
      <c r="E446" s="39"/>
      <c r="F446" s="121"/>
      <c r="G446" s="43"/>
      <c r="H446" s="43"/>
      <c r="I446" s="43"/>
      <c r="J446" s="40"/>
      <c r="K446" s="232"/>
    </row>
    <row r="447" spans="1:11" x14ac:dyDescent="0.25">
      <c r="A447" s="182"/>
      <c r="B447" s="182"/>
      <c r="C447" s="39"/>
      <c r="D447" s="39"/>
      <c r="E447" s="39"/>
      <c r="F447" s="121"/>
      <c r="G447" s="43"/>
      <c r="H447" s="43"/>
      <c r="I447" s="43"/>
      <c r="J447" s="40"/>
      <c r="K447" s="232"/>
    </row>
    <row r="448" spans="1:11" x14ac:dyDescent="0.25">
      <c r="A448" s="182"/>
      <c r="B448" s="182"/>
      <c r="C448" s="39"/>
      <c r="D448" s="39"/>
      <c r="E448" s="39"/>
      <c r="F448" s="121"/>
      <c r="G448" s="43"/>
      <c r="H448" s="43"/>
      <c r="I448" s="43"/>
      <c r="J448" s="40"/>
      <c r="K448" s="232"/>
    </row>
    <row r="449" spans="1:11" x14ac:dyDescent="0.25">
      <c r="A449" s="182"/>
      <c r="B449" s="182"/>
      <c r="C449" s="39"/>
      <c r="D449" s="39"/>
      <c r="E449" s="39"/>
      <c r="F449" s="121"/>
      <c r="G449" s="43"/>
      <c r="H449" s="43"/>
      <c r="I449" s="43"/>
      <c r="J449" s="40"/>
      <c r="K449" s="232"/>
    </row>
    <row r="450" spans="1:11" x14ac:dyDescent="0.25">
      <c r="A450" s="182"/>
      <c r="B450" s="182"/>
      <c r="C450" s="39"/>
      <c r="D450" s="39"/>
      <c r="E450" s="39"/>
      <c r="F450" s="121"/>
      <c r="G450" s="43"/>
      <c r="H450" s="43"/>
      <c r="I450" s="43"/>
      <c r="J450" s="40"/>
      <c r="K450" s="232"/>
    </row>
    <row r="451" spans="1:11" x14ac:dyDescent="0.25">
      <c r="A451" s="182"/>
      <c r="B451" s="182"/>
      <c r="C451" s="39"/>
      <c r="D451" s="39"/>
      <c r="E451" s="39"/>
      <c r="F451" s="121"/>
      <c r="G451" s="43"/>
      <c r="H451" s="43"/>
      <c r="I451" s="43"/>
      <c r="J451" s="40"/>
      <c r="K451" s="232"/>
    </row>
    <row r="452" spans="1:11" x14ac:dyDescent="0.25">
      <c r="A452" s="182"/>
      <c r="B452" s="182"/>
      <c r="C452" s="39"/>
      <c r="D452" s="39"/>
      <c r="E452" s="39"/>
      <c r="F452" s="121"/>
      <c r="G452" s="43"/>
      <c r="H452" s="43"/>
      <c r="I452" s="43"/>
      <c r="J452" s="40"/>
      <c r="K452" s="232"/>
    </row>
    <row r="453" spans="1:11" x14ac:dyDescent="0.25">
      <c r="A453" s="182"/>
      <c r="B453" s="182"/>
      <c r="C453" s="39"/>
      <c r="D453" s="39"/>
      <c r="E453" s="39"/>
      <c r="F453" s="121"/>
      <c r="G453" s="43"/>
      <c r="H453" s="43"/>
      <c r="I453" s="43"/>
      <c r="J453" s="40"/>
      <c r="K453" s="232"/>
    </row>
    <row r="454" spans="1:11" x14ac:dyDescent="0.25">
      <c r="A454" s="182"/>
      <c r="B454" s="182"/>
      <c r="C454" s="39"/>
      <c r="D454" s="39"/>
      <c r="E454" s="39"/>
      <c r="F454" s="121"/>
      <c r="G454" s="43"/>
      <c r="H454" s="43"/>
      <c r="I454" s="43"/>
      <c r="J454" s="40"/>
      <c r="K454" s="232"/>
    </row>
    <row r="455" spans="1:11" x14ac:dyDescent="0.25">
      <c r="A455" s="182"/>
      <c r="B455" s="182"/>
      <c r="C455" s="39"/>
      <c r="D455" s="39"/>
      <c r="E455" s="39"/>
      <c r="F455" s="121"/>
      <c r="G455" s="43"/>
      <c r="H455" s="43"/>
      <c r="I455" s="43"/>
      <c r="J455" s="40"/>
      <c r="K455" s="232"/>
    </row>
    <row r="456" spans="1:11" x14ac:dyDescent="0.25">
      <c r="A456" s="182"/>
      <c r="B456" s="182"/>
      <c r="C456" s="39"/>
      <c r="D456" s="39"/>
      <c r="E456" s="39"/>
      <c r="F456" s="121"/>
      <c r="G456" s="43"/>
      <c r="H456" s="43"/>
      <c r="I456" s="43"/>
      <c r="J456" s="40"/>
      <c r="K456" s="232"/>
    </row>
    <row r="457" spans="1:11" x14ac:dyDescent="0.25">
      <c r="A457" s="182"/>
      <c r="B457" s="182"/>
      <c r="C457" s="39"/>
      <c r="D457" s="39"/>
      <c r="E457" s="39"/>
      <c r="F457" s="121"/>
      <c r="G457" s="43"/>
      <c r="H457" s="43"/>
      <c r="I457" s="43"/>
      <c r="J457" s="40"/>
      <c r="K457" s="232"/>
    </row>
    <row r="458" spans="1:11" x14ac:dyDescent="0.25">
      <c r="A458" s="182"/>
      <c r="B458" s="182"/>
      <c r="C458" s="39"/>
      <c r="D458" s="39"/>
      <c r="E458" s="39"/>
      <c r="F458" s="121"/>
      <c r="G458" s="43"/>
      <c r="H458" s="43"/>
      <c r="I458" s="43"/>
      <c r="J458" s="40"/>
      <c r="K458" s="232"/>
    </row>
    <row r="459" spans="1:11" x14ac:dyDescent="0.25">
      <c r="A459" s="182"/>
      <c r="B459" s="182"/>
      <c r="C459" s="39"/>
      <c r="D459" s="39"/>
      <c r="E459" s="39"/>
      <c r="F459" s="121"/>
      <c r="G459" s="43"/>
      <c r="H459" s="43"/>
      <c r="I459" s="43"/>
      <c r="J459" s="40"/>
      <c r="K459" s="232"/>
    </row>
    <row r="460" spans="1:11" x14ac:dyDescent="0.25">
      <c r="A460" s="182"/>
      <c r="B460" s="182"/>
      <c r="C460" s="39"/>
      <c r="D460" s="39"/>
      <c r="E460" s="39"/>
      <c r="F460" s="121"/>
      <c r="G460" s="43"/>
      <c r="H460" s="43"/>
      <c r="I460" s="43"/>
      <c r="J460" s="40"/>
      <c r="K460" s="232"/>
    </row>
    <row r="461" spans="1:11" x14ac:dyDescent="0.25">
      <c r="A461" s="182"/>
      <c r="B461" s="182"/>
      <c r="C461" s="39"/>
      <c r="D461" s="39"/>
      <c r="E461" s="39"/>
      <c r="F461" s="121"/>
      <c r="G461" s="43"/>
      <c r="H461" s="43"/>
      <c r="I461" s="43"/>
      <c r="J461" s="40"/>
      <c r="K461" s="232"/>
    </row>
    <row r="462" spans="1:11" x14ac:dyDescent="0.25">
      <c r="A462" s="182"/>
      <c r="B462" s="182"/>
      <c r="C462" s="39"/>
      <c r="D462" s="39"/>
      <c r="E462" s="39"/>
      <c r="F462" s="121"/>
      <c r="G462" s="43"/>
      <c r="H462" s="43"/>
      <c r="I462" s="43"/>
      <c r="J462" s="40"/>
      <c r="K462" s="232"/>
    </row>
    <row r="463" spans="1:11" x14ac:dyDescent="0.25">
      <c r="A463" s="182"/>
      <c r="B463" s="182"/>
      <c r="C463" s="39"/>
      <c r="D463" s="39"/>
      <c r="E463" s="39"/>
      <c r="F463" s="121"/>
      <c r="G463" s="43"/>
      <c r="H463" s="43"/>
      <c r="I463" s="43"/>
      <c r="J463" s="40"/>
      <c r="K463" s="232"/>
    </row>
    <row r="464" spans="1:11" x14ac:dyDescent="0.25">
      <c r="A464" s="182"/>
      <c r="B464" s="182"/>
      <c r="C464" s="39"/>
      <c r="D464" s="39"/>
      <c r="E464" s="39"/>
      <c r="F464" s="121"/>
      <c r="G464" s="43"/>
      <c r="H464" s="43"/>
      <c r="I464" s="43"/>
      <c r="J464" s="40"/>
      <c r="K464" s="232"/>
    </row>
    <row r="465" spans="1:11" x14ac:dyDescent="0.25">
      <c r="A465" s="182"/>
      <c r="B465" s="182"/>
      <c r="C465" s="39"/>
      <c r="D465" s="39"/>
      <c r="E465" s="39"/>
      <c r="F465" s="121"/>
      <c r="G465" s="43"/>
      <c r="H465" s="43"/>
      <c r="I465" s="43"/>
      <c r="J465" s="40"/>
      <c r="K465" s="232"/>
    </row>
    <row r="466" spans="1:11" x14ac:dyDescent="0.25">
      <c r="A466" s="182"/>
      <c r="B466" s="182"/>
      <c r="C466" s="39"/>
      <c r="D466" s="39"/>
      <c r="E466" s="39"/>
      <c r="F466" s="121"/>
      <c r="G466" s="43"/>
      <c r="H466" s="43"/>
      <c r="I466" s="43"/>
      <c r="J466" s="40"/>
      <c r="K466" s="232"/>
    </row>
    <row r="467" spans="1:11" x14ac:dyDescent="0.25">
      <c r="A467" s="182"/>
      <c r="B467" s="182"/>
      <c r="C467" s="39"/>
      <c r="D467" s="39"/>
      <c r="E467" s="39"/>
      <c r="F467" s="121"/>
      <c r="G467" s="43"/>
      <c r="H467" s="43"/>
      <c r="I467" s="43"/>
      <c r="J467" s="40"/>
      <c r="K467" s="232"/>
    </row>
    <row r="468" spans="1:11" x14ac:dyDescent="0.25">
      <c r="A468" s="182"/>
      <c r="B468" s="182"/>
      <c r="C468" s="39"/>
      <c r="D468" s="39"/>
      <c r="E468" s="39"/>
      <c r="F468" s="121"/>
      <c r="G468" s="43"/>
      <c r="H468" s="43"/>
      <c r="I468" s="43"/>
      <c r="J468" s="40"/>
      <c r="K468" s="232"/>
    </row>
    <row r="469" spans="1:11" x14ac:dyDescent="0.25">
      <c r="A469" s="182"/>
      <c r="B469" s="182"/>
      <c r="C469" s="39"/>
      <c r="D469" s="39"/>
      <c r="E469" s="39"/>
      <c r="F469" s="121"/>
      <c r="G469" s="43"/>
      <c r="H469" s="43"/>
      <c r="I469" s="43"/>
      <c r="J469" s="40"/>
      <c r="K469" s="232"/>
    </row>
    <row r="470" spans="1:11" x14ac:dyDescent="0.25">
      <c r="A470" s="182"/>
      <c r="B470" s="182"/>
      <c r="C470" s="39"/>
      <c r="D470" s="39"/>
      <c r="E470" s="39"/>
      <c r="F470" s="121"/>
      <c r="G470" s="43"/>
      <c r="H470" s="43"/>
      <c r="I470" s="43"/>
      <c r="J470" s="40"/>
      <c r="K470" s="232"/>
    </row>
    <row r="471" spans="1:11" x14ac:dyDescent="0.25">
      <c r="A471" s="182"/>
      <c r="B471" s="182"/>
      <c r="C471" s="39"/>
      <c r="D471" s="39"/>
      <c r="E471" s="39"/>
      <c r="F471" s="121"/>
      <c r="G471" s="43"/>
      <c r="H471" s="43"/>
      <c r="I471" s="43"/>
      <c r="J471" s="40"/>
      <c r="K471" s="232"/>
    </row>
    <row r="472" spans="1:11" x14ac:dyDescent="0.25">
      <c r="A472" s="182"/>
      <c r="B472" s="182"/>
      <c r="C472" s="39"/>
      <c r="D472" s="39"/>
      <c r="E472" s="39"/>
      <c r="F472" s="121"/>
      <c r="G472" s="43"/>
      <c r="H472" s="43"/>
      <c r="I472" s="43"/>
      <c r="J472" s="40"/>
      <c r="K472" s="232"/>
    </row>
    <row r="473" spans="1:11" x14ac:dyDescent="0.25">
      <c r="A473" s="182"/>
      <c r="B473" s="182"/>
      <c r="C473" s="39"/>
      <c r="D473" s="39"/>
      <c r="E473" s="39"/>
      <c r="F473" s="121"/>
      <c r="G473" s="43"/>
      <c r="H473" s="43"/>
      <c r="I473" s="43"/>
      <c r="J473" s="40"/>
      <c r="K473" s="232"/>
    </row>
    <row r="474" spans="1:11" x14ac:dyDescent="0.25">
      <c r="A474" s="182"/>
      <c r="B474" s="182"/>
      <c r="C474" s="39"/>
      <c r="D474" s="39"/>
      <c r="E474" s="39"/>
      <c r="F474" s="121"/>
      <c r="G474" s="43"/>
      <c r="H474" s="43"/>
      <c r="I474" s="43"/>
      <c r="J474" s="40"/>
      <c r="K474" s="232"/>
    </row>
    <row r="475" spans="1:11" x14ac:dyDescent="0.25">
      <c r="A475" s="182"/>
      <c r="B475" s="182"/>
      <c r="C475" s="39"/>
      <c r="D475" s="39"/>
      <c r="E475" s="39"/>
      <c r="F475" s="121"/>
      <c r="G475" s="43"/>
      <c r="H475" s="43"/>
      <c r="I475" s="43"/>
      <c r="J475" s="40"/>
      <c r="K475" s="232"/>
    </row>
    <row r="476" spans="1:11" x14ac:dyDescent="0.25">
      <c r="A476" s="182"/>
      <c r="B476" s="182"/>
      <c r="C476" s="39"/>
      <c r="D476" s="39"/>
      <c r="E476" s="39"/>
      <c r="F476" s="121"/>
      <c r="G476" s="43"/>
      <c r="H476" s="43"/>
      <c r="I476" s="43"/>
      <c r="J476" s="40"/>
      <c r="K476" s="232"/>
    </row>
    <row r="477" spans="1:11" x14ac:dyDescent="0.25">
      <c r="A477" s="182"/>
      <c r="B477" s="182"/>
      <c r="C477" s="39"/>
      <c r="D477" s="39"/>
      <c r="E477" s="39"/>
      <c r="F477" s="121"/>
      <c r="G477" s="43"/>
      <c r="H477" s="43"/>
      <c r="I477" s="43"/>
      <c r="J477" s="40"/>
      <c r="K477" s="232"/>
    </row>
    <row r="478" spans="1:11" x14ac:dyDescent="0.25">
      <c r="A478" s="182"/>
      <c r="B478" s="182"/>
      <c r="C478" s="39"/>
      <c r="D478" s="39"/>
      <c r="E478" s="39"/>
      <c r="F478" s="121"/>
      <c r="G478" s="43"/>
      <c r="H478" s="43"/>
      <c r="I478" s="43"/>
      <c r="J478" s="40"/>
      <c r="K478" s="232"/>
    </row>
    <row r="479" spans="1:11" x14ac:dyDescent="0.25">
      <c r="A479" s="182"/>
      <c r="B479" s="182"/>
      <c r="C479" s="39"/>
      <c r="D479" s="39"/>
      <c r="E479" s="39"/>
      <c r="F479" s="121"/>
      <c r="G479" s="43"/>
      <c r="H479" s="43"/>
      <c r="I479" s="43"/>
      <c r="J479" s="40"/>
      <c r="K479" s="232"/>
    </row>
    <row r="480" spans="1:11" x14ac:dyDescent="0.25">
      <c r="A480" s="182"/>
      <c r="B480" s="182"/>
      <c r="C480" s="39"/>
      <c r="D480" s="39"/>
      <c r="E480" s="39"/>
      <c r="F480" s="121"/>
      <c r="G480" s="43"/>
      <c r="H480" s="43"/>
      <c r="I480" s="43"/>
      <c r="J480" s="40"/>
      <c r="K480" s="232"/>
    </row>
    <row r="481" spans="1:11" x14ac:dyDescent="0.25">
      <c r="A481" s="182"/>
      <c r="B481" s="182"/>
      <c r="C481" s="39"/>
      <c r="D481" s="39"/>
      <c r="E481" s="39"/>
      <c r="F481" s="121"/>
      <c r="G481" s="43"/>
      <c r="H481" s="43"/>
      <c r="I481" s="43"/>
      <c r="J481" s="40"/>
      <c r="K481" s="232"/>
    </row>
    <row r="482" spans="1:11" x14ac:dyDescent="0.25">
      <c r="A482" s="182"/>
      <c r="B482" s="182"/>
      <c r="C482" s="39"/>
      <c r="D482" s="39"/>
      <c r="E482" s="39"/>
      <c r="F482" s="121"/>
      <c r="G482" s="43"/>
      <c r="H482" s="43"/>
      <c r="I482" s="43"/>
      <c r="J482" s="40"/>
      <c r="K482" s="232"/>
    </row>
    <row r="483" spans="1:11" x14ac:dyDescent="0.25">
      <c r="A483" s="182"/>
      <c r="B483" s="182"/>
      <c r="C483" s="39"/>
      <c r="D483" s="39"/>
      <c r="E483" s="39"/>
      <c r="F483" s="121"/>
      <c r="G483" s="43"/>
      <c r="H483" s="43"/>
      <c r="I483" s="43"/>
      <c r="J483" s="40"/>
      <c r="K483" s="232"/>
    </row>
    <row r="484" spans="1:11" x14ac:dyDescent="0.25">
      <c r="A484" s="182"/>
      <c r="B484" s="182"/>
      <c r="C484" s="39"/>
      <c r="D484" s="39"/>
      <c r="E484" s="39"/>
      <c r="F484" s="121"/>
      <c r="G484" s="43"/>
      <c r="H484" s="43"/>
      <c r="I484" s="43"/>
      <c r="J484" s="40"/>
      <c r="K484" s="232"/>
    </row>
    <row r="485" spans="1:11" x14ac:dyDescent="0.25">
      <c r="A485" s="182"/>
      <c r="B485" s="182"/>
      <c r="C485" s="39"/>
      <c r="D485" s="39"/>
      <c r="E485" s="39"/>
      <c r="F485" s="121"/>
      <c r="G485" s="43"/>
      <c r="H485" s="43"/>
      <c r="I485" s="43"/>
      <c r="J485" s="40"/>
      <c r="K485" s="232"/>
    </row>
    <row r="486" spans="1:11" x14ac:dyDescent="0.25">
      <c r="A486" s="182"/>
      <c r="B486" s="182"/>
      <c r="C486" s="39"/>
      <c r="D486" s="39"/>
      <c r="E486" s="39"/>
      <c r="F486" s="121"/>
      <c r="G486" s="43"/>
      <c r="H486" s="43"/>
      <c r="I486" s="43"/>
      <c r="J486" s="40"/>
      <c r="K486" s="232"/>
    </row>
    <row r="487" spans="1:11" x14ac:dyDescent="0.25">
      <c r="A487" s="182"/>
      <c r="B487" s="182"/>
      <c r="C487" s="39"/>
      <c r="D487" s="39"/>
      <c r="E487" s="39"/>
      <c r="F487" s="121"/>
      <c r="G487" s="43"/>
      <c r="H487" s="43"/>
      <c r="I487" s="43"/>
      <c r="J487" s="40"/>
      <c r="K487" s="232"/>
    </row>
    <row r="488" spans="1:11" x14ac:dyDescent="0.25">
      <c r="A488" s="182"/>
      <c r="B488" s="182"/>
      <c r="C488" s="39"/>
      <c r="D488" s="39"/>
      <c r="E488" s="39"/>
      <c r="F488" s="121"/>
      <c r="G488" s="43"/>
      <c r="H488" s="43"/>
      <c r="I488" s="43"/>
      <c r="J488" s="40"/>
      <c r="K488" s="232"/>
    </row>
    <row r="489" spans="1:11" x14ac:dyDescent="0.25">
      <c r="A489" s="182"/>
      <c r="B489" s="182"/>
      <c r="C489" s="39"/>
      <c r="D489" s="39"/>
      <c r="E489" s="39"/>
      <c r="F489" s="121"/>
      <c r="G489" s="43"/>
      <c r="H489" s="43"/>
      <c r="I489" s="43"/>
      <c r="J489" s="40"/>
      <c r="K489" s="232"/>
    </row>
    <row r="490" spans="1:11" x14ac:dyDescent="0.25">
      <c r="A490" s="182"/>
      <c r="B490" s="182"/>
      <c r="C490" s="39"/>
      <c r="D490" s="39"/>
      <c r="E490" s="39"/>
      <c r="F490" s="121"/>
      <c r="G490" s="43"/>
      <c r="H490" s="43"/>
      <c r="I490" s="43"/>
      <c r="J490" s="40"/>
      <c r="K490" s="232"/>
    </row>
    <row r="491" spans="1:11" x14ac:dyDescent="0.25">
      <c r="A491" s="182"/>
      <c r="B491" s="182"/>
      <c r="C491" s="39"/>
      <c r="D491" s="39"/>
      <c r="E491" s="39"/>
      <c r="F491" s="121"/>
      <c r="G491" s="43"/>
      <c r="H491" s="43"/>
      <c r="I491" s="43"/>
      <c r="J491" s="40"/>
      <c r="K491" s="232"/>
    </row>
    <row r="492" spans="1:11" x14ac:dyDescent="0.25">
      <c r="A492" s="182"/>
      <c r="B492" s="182"/>
      <c r="C492" s="39"/>
      <c r="D492" s="39"/>
      <c r="E492" s="39"/>
      <c r="F492" s="121"/>
      <c r="G492" s="43"/>
      <c r="H492" s="43"/>
      <c r="I492" s="43"/>
      <c r="J492" s="40"/>
      <c r="K492" s="232"/>
    </row>
    <row r="493" spans="1:11" x14ac:dyDescent="0.25">
      <c r="A493" s="182"/>
      <c r="B493" s="182"/>
      <c r="C493" s="39"/>
      <c r="D493" s="39"/>
      <c r="E493" s="39"/>
      <c r="F493" s="121"/>
      <c r="G493" s="43"/>
      <c r="H493" s="43"/>
      <c r="I493" s="43"/>
      <c r="J493" s="40"/>
      <c r="K493" s="232"/>
    </row>
    <row r="494" spans="1:11" x14ac:dyDescent="0.25">
      <c r="A494" s="182"/>
      <c r="B494" s="182"/>
      <c r="C494" s="39"/>
      <c r="D494" s="39"/>
      <c r="E494" s="39"/>
      <c r="F494" s="121"/>
      <c r="G494" s="43"/>
      <c r="H494" s="43"/>
      <c r="I494" s="43"/>
      <c r="J494" s="40"/>
      <c r="K494" s="232"/>
    </row>
    <row r="495" spans="1:11" x14ac:dyDescent="0.25">
      <c r="A495" s="182"/>
      <c r="B495" s="182"/>
      <c r="C495" s="39"/>
      <c r="D495" s="39"/>
      <c r="E495" s="39"/>
      <c r="F495" s="121"/>
      <c r="G495" s="43"/>
      <c r="H495" s="43"/>
      <c r="I495" s="43"/>
      <c r="J495" s="40"/>
      <c r="K495" s="232"/>
    </row>
    <row r="496" spans="1:11" x14ac:dyDescent="0.25">
      <c r="A496" s="182"/>
      <c r="B496" s="182"/>
      <c r="C496" s="39"/>
      <c r="D496" s="39"/>
      <c r="E496" s="39"/>
      <c r="F496" s="121"/>
      <c r="G496" s="43"/>
      <c r="H496" s="43"/>
      <c r="I496" s="43"/>
      <c r="J496" s="40"/>
      <c r="K496" s="232"/>
    </row>
    <row r="497" spans="1:11" x14ac:dyDescent="0.25">
      <c r="A497" s="182"/>
      <c r="B497" s="182"/>
      <c r="C497" s="39"/>
      <c r="D497" s="39"/>
      <c r="E497" s="39"/>
      <c r="F497" s="121"/>
      <c r="G497" s="43"/>
      <c r="H497" s="43"/>
      <c r="I497" s="43"/>
      <c r="J497" s="40"/>
      <c r="K497" s="232"/>
    </row>
    <row r="498" spans="1:11" x14ac:dyDescent="0.25">
      <c r="A498" s="182"/>
      <c r="B498" s="182"/>
      <c r="C498" s="39"/>
      <c r="D498" s="39"/>
      <c r="E498" s="39"/>
      <c r="F498" s="121"/>
      <c r="G498" s="43"/>
      <c r="H498" s="43"/>
      <c r="I498" s="43"/>
      <c r="J498" s="40"/>
      <c r="K498" s="232"/>
    </row>
    <row r="499" spans="1:11" x14ac:dyDescent="0.25">
      <c r="A499" s="182"/>
      <c r="B499" s="182"/>
      <c r="C499" s="39"/>
      <c r="D499" s="39"/>
      <c r="E499" s="39"/>
      <c r="F499" s="121"/>
      <c r="G499" s="43"/>
      <c r="H499" s="43"/>
      <c r="I499" s="43"/>
      <c r="J499" s="40"/>
      <c r="K499" s="232"/>
    </row>
    <row r="500" spans="1:11" x14ac:dyDescent="0.25">
      <c r="A500" s="182"/>
      <c r="B500" s="182"/>
      <c r="C500" s="39"/>
      <c r="D500" s="39"/>
      <c r="E500" s="39"/>
      <c r="F500" s="121"/>
      <c r="G500" s="43"/>
      <c r="H500" s="43"/>
      <c r="I500" s="43"/>
      <c r="J500" s="40"/>
      <c r="K500" s="232"/>
    </row>
    <row r="501" spans="1:11" x14ac:dyDescent="0.25">
      <c r="A501" s="187"/>
      <c r="B501" s="187"/>
      <c r="C501" s="188"/>
      <c r="D501" s="188"/>
      <c r="E501" s="188"/>
      <c r="F501" s="189"/>
      <c r="G501" s="191"/>
      <c r="H501" s="191"/>
      <c r="I501" s="191"/>
      <c r="J501" s="190"/>
      <c r="K501" s="232"/>
    </row>
    <row r="502" spans="1:11" x14ac:dyDescent="0.25">
      <c r="A502" s="197"/>
      <c r="B502" s="197"/>
      <c r="C502" s="198"/>
      <c r="D502" s="198"/>
      <c r="E502" s="198"/>
      <c r="F502" s="199"/>
      <c r="G502" s="201"/>
      <c r="H502" s="201"/>
      <c r="I502" s="201"/>
      <c r="J502" s="200"/>
      <c r="K502" s="232"/>
    </row>
    <row r="503" spans="1:11" x14ac:dyDescent="0.25">
      <c r="A503" s="192"/>
      <c r="B503" s="192"/>
      <c r="C503" s="193"/>
      <c r="D503" s="193"/>
      <c r="E503" s="193"/>
      <c r="F503" s="194"/>
      <c r="G503" s="196"/>
      <c r="H503" s="196"/>
      <c r="I503" s="196"/>
      <c r="J503" s="195"/>
      <c r="K503" s="232"/>
    </row>
    <row r="504" spans="1:11" x14ac:dyDescent="0.25">
      <c r="A504" s="192"/>
      <c r="B504" s="192"/>
      <c r="C504" s="193"/>
      <c r="D504" s="193"/>
      <c r="E504" s="193"/>
      <c r="F504" s="194"/>
      <c r="G504" s="196"/>
      <c r="H504" s="196"/>
      <c r="I504" s="196"/>
      <c r="J504" s="195"/>
      <c r="K504" s="232"/>
    </row>
    <row r="505" spans="1:11" x14ac:dyDescent="0.25">
      <c r="A505" s="192"/>
      <c r="B505" s="192"/>
      <c r="C505" s="193"/>
      <c r="D505" s="193"/>
      <c r="E505" s="193"/>
      <c r="F505" s="194"/>
      <c r="G505" s="196"/>
      <c r="H505" s="196"/>
      <c r="I505" s="196"/>
      <c r="J505" s="195"/>
      <c r="K505" s="232"/>
    </row>
    <row r="506" spans="1:11" x14ac:dyDescent="0.25">
      <c r="A506" s="192"/>
      <c r="B506" s="192"/>
      <c r="C506" s="193"/>
      <c r="D506" s="193"/>
      <c r="E506" s="193"/>
      <c r="F506" s="194"/>
      <c r="G506" s="196"/>
      <c r="H506" s="196"/>
      <c r="I506" s="196"/>
      <c r="J506" s="195"/>
      <c r="K506" s="232"/>
    </row>
    <row r="507" spans="1:11" x14ac:dyDescent="0.25">
      <c r="A507" s="192"/>
      <c r="B507" s="192"/>
      <c r="C507" s="193"/>
      <c r="D507" s="193"/>
      <c r="E507" s="193"/>
      <c r="F507" s="194"/>
      <c r="G507" s="196"/>
      <c r="H507" s="196"/>
      <c r="I507" s="196"/>
      <c r="J507" s="195"/>
      <c r="K507" s="232"/>
    </row>
    <row r="508" spans="1:11" x14ac:dyDescent="0.25">
      <c r="A508" s="192"/>
      <c r="B508" s="192"/>
      <c r="C508" s="193"/>
      <c r="D508" s="193"/>
      <c r="E508" s="193"/>
      <c r="F508" s="194"/>
      <c r="G508" s="196"/>
      <c r="H508" s="196"/>
      <c r="I508" s="196"/>
      <c r="J508" s="195"/>
      <c r="K508" s="232"/>
    </row>
    <row r="509" spans="1:11" x14ac:dyDescent="0.25">
      <c r="A509" s="192"/>
      <c r="B509" s="192"/>
      <c r="C509" s="193"/>
      <c r="D509" s="193"/>
      <c r="E509" s="193"/>
      <c r="F509" s="194"/>
      <c r="G509" s="196"/>
      <c r="H509" s="196"/>
      <c r="I509" s="196"/>
      <c r="J509" s="195"/>
      <c r="K509" s="232"/>
    </row>
    <row r="510" spans="1:11" x14ac:dyDescent="0.25">
      <c r="A510" s="192"/>
      <c r="B510" s="192"/>
      <c r="C510" s="193"/>
      <c r="D510" s="193"/>
      <c r="E510" s="193"/>
      <c r="F510" s="194"/>
      <c r="G510" s="196"/>
      <c r="H510" s="196"/>
      <c r="I510" s="196"/>
      <c r="J510" s="195"/>
      <c r="K510" s="232"/>
    </row>
    <row r="511" spans="1:11" x14ac:dyDescent="0.25">
      <c r="A511" s="192"/>
      <c r="B511" s="192"/>
      <c r="C511" s="193"/>
      <c r="D511" s="193"/>
      <c r="E511" s="193"/>
      <c r="F511" s="194"/>
      <c r="G511" s="196"/>
      <c r="H511" s="196"/>
      <c r="I511" s="196"/>
      <c r="J511" s="195"/>
      <c r="K511" s="232"/>
    </row>
    <row r="512" spans="1:11" x14ac:dyDescent="0.25">
      <c r="A512" s="192"/>
      <c r="B512" s="192"/>
      <c r="C512" s="193"/>
      <c r="D512" s="193"/>
      <c r="E512" s="193"/>
      <c r="F512" s="194"/>
      <c r="G512" s="196"/>
      <c r="H512" s="196"/>
      <c r="I512" s="196"/>
      <c r="J512" s="195"/>
      <c r="K512" s="232"/>
    </row>
    <row r="513" spans="1:11" x14ac:dyDescent="0.25">
      <c r="A513" s="192"/>
      <c r="B513" s="192"/>
      <c r="C513" s="193"/>
      <c r="D513" s="193"/>
      <c r="E513" s="193"/>
      <c r="F513" s="194"/>
      <c r="G513" s="196"/>
      <c r="H513" s="196"/>
      <c r="I513" s="196"/>
      <c r="J513" s="195"/>
      <c r="K513" s="232"/>
    </row>
    <row r="514" spans="1:11" x14ac:dyDescent="0.25">
      <c r="A514" s="192"/>
      <c r="B514" s="192"/>
      <c r="C514" s="193"/>
      <c r="D514" s="193"/>
      <c r="E514" s="193"/>
      <c r="F514" s="194"/>
      <c r="G514" s="196"/>
      <c r="H514" s="196"/>
      <c r="I514" s="196"/>
      <c r="J514" s="195"/>
      <c r="K514" s="232"/>
    </row>
    <row r="515" spans="1:11" x14ac:dyDescent="0.25">
      <c r="A515" s="192"/>
      <c r="B515" s="192"/>
      <c r="C515" s="193"/>
      <c r="D515" s="193"/>
      <c r="E515" s="193"/>
      <c r="F515" s="194"/>
      <c r="G515" s="196"/>
      <c r="H515" s="196"/>
      <c r="I515" s="196"/>
      <c r="J515" s="195"/>
      <c r="K515" s="232"/>
    </row>
    <row r="516" spans="1:11" x14ac:dyDescent="0.25">
      <c r="A516" s="192"/>
      <c r="B516" s="192"/>
      <c r="C516" s="193"/>
      <c r="D516" s="193"/>
      <c r="E516" s="193"/>
      <c r="F516" s="194"/>
      <c r="G516" s="196"/>
      <c r="H516" s="196"/>
      <c r="I516" s="196"/>
      <c r="J516" s="195"/>
      <c r="K516" s="232"/>
    </row>
    <row r="517" spans="1:11" x14ac:dyDescent="0.25">
      <c r="A517" s="192"/>
      <c r="B517" s="192"/>
      <c r="C517" s="193"/>
      <c r="D517" s="193"/>
      <c r="E517" s="193"/>
      <c r="F517" s="194"/>
      <c r="G517" s="196"/>
      <c r="H517" s="196"/>
      <c r="I517" s="196"/>
      <c r="J517" s="195"/>
      <c r="K517" s="232"/>
    </row>
    <row r="518" spans="1:11" x14ac:dyDescent="0.25">
      <c r="A518" s="192"/>
      <c r="B518" s="192"/>
      <c r="C518" s="193"/>
      <c r="D518" s="193"/>
      <c r="E518" s="193"/>
      <c r="F518" s="194"/>
      <c r="G518" s="196"/>
      <c r="H518" s="196"/>
      <c r="I518" s="196"/>
      <c r="J518" s="195"/>
      <c r="K518" s="232"/>
    </row>
    <row r="519" spans="1:11" x14ac:dyDescent="0.25">
      <c r="A519" s="192"/>
      <c r="B519" s="192"/>
      <c r="C519" s="193"/>
      <c r="D519" s="193"/>
      <c r="E519" s="193"/>
      <c r="F519" s="194"/>
      <c r="G519" s="196"/>
      <c r="H519" s="196"/>
      <c r="I519" s="196"/>
      <c r="J519" s="195"/>
      <c r="K519" s="232"/>
    </row>
    <row r="520" spans="1:11" x14ac:dyDescent="0.25">
      <c r="A520" s="192"/>
      <c r="B520" s="192"/>
      <c r="C520" s="193"/>
      <c r="D520" s="193"/>
      <c r="E520" s="193"/>
      <c r="F520" s="194"/>
      <c r="G520" s="196"/>
      <c r="H520" s="196"/>
      <c r="I520" s="196"/>
      <c r="J520" s="195"/>
      <c r="K520" s="232"/>
    </row>
    <row r="521" spans="1:11" x14ac:dyDescent="0.25">
      <c r="A521" s="192"/>
      <c r="B521" s="192"/>
      <c r="C521" s="193"/>
      <c r="D521" s="193"/>
      <c r="E521" s="193"/>
      <c r="F521" s="194"/>
      <c r="G521" s="196"/>
      <c r="H521" s="196"/>
      <c r="I521" s="196"/>
      <c r="J521" s="195"/>
      <c r="K521" s="232"/>
    </row>
    <row r="522" spans="1:11" x14ac:dyDescent="0.25">
      <c r="A522" s="192"/>
      <c r="B522" s="192"/>
      <c r="C522" s="193"/>
      <c r="D522" s="193"/>
      <c r="E522" s="193"/>
      <c r="F522" s="194"/>
      <c r="G522" s="196"/>
      <c r="H522" s="196"/>
      <c r="I522" s="196"/>
      <c r="J522" s="195"/>
      <c r="K522" s="232"/>
    </row>
    <row r="523" spans="1:11" x14ac:dyDescent="0.25">
      <c r="A523" s="192"/>
      <c r="B523" s="192"/>
      <c r="C523" s="193"/>
      <c r="D523" s="193"/>
      <c r="E523" s="193"/>
      <c r="F523" s="194"/>
      <c r="G523" s="196"/>
      <c r="H523" s="196"/>
      <c r="I523" s="196"/>
      <c r="J523" s="195"/>
      <c r="K523" s="232"/>
    </row>
    <row r="524" spans="1:11" x14ac:dyDescent="0.25">
      <c r="A524" s="192"/>
      <c r="B524" s="192"/>
      <c r="C524" s="193"/>
      <c r="D524" s="193"/>
      <c r="E524" s="193"/>
      <c r="F524" s="194"/>
      <c r="G524" s="196"/>
      <c r="H524" s="196"/>
      <c r="I524" s="196"/>
      <c r="J524" s="195"/>
      <c r="K524" s="232"/>
    </row>
    <row r="525" spans="1:11" x14ac:dyDescent="0.25">
      <c r="A525" s="192"/>
      <c r="B525" s="192"/>
      <c r="C525" s="193"/>
      <c r="D525" s="193"/>
      <c r="E525" s="193"/>
      <c r="F525" s="194"/>
      <c r="G525" s="196"/>
      <c r="H525" s="196"/>
      <c r="I525" s="196"/>
      <c r="J525" s="195"/>
      <c r="K525" s="232"/>
    </row>
    <row r="526" spans="1:11" x14ac:dyDescent="0.25">
      <c r="A526" s="192"/>
      <c r="B526" s="192"/>
      <c r="C526" s="193"/>
      <c r="D526" s="193"/>
      <c r="E526" s="193"/>
      <c r="F526" s="194"/>
      <c r="G526" s="196"/>
      <c r="H526" s="196"/>
      <c r="I526" s="196"/>
      <c r="J526" s="195"/>
      <c r="K526" s="232"/>
    </row>
    <row r="527" spans="1:11" x14ac:dyDescent="0.25">
      <c r="A527" s="192"/>
      <c r="B527" s="192"/>
      <c r="C527" s="193"/>
      <c r="D527" s="193"/>
      <c r="E527" s="193"/>
      <c r="F527" s="194"/>
      <c r="G527" s="196"/>
      <c r="H527" s="196"/>
      <c r="I527" s="196"/>
      <c r="J527" s="195"/>
      <c r="K527" s="232"/>
    </row>
    <row r="528" spans="1:11" x14ac:dyDescent="0.25">
      <c r="A528" s="192"/>
      <c r="B528" s="192"/>
      <c r="C528" s="193"/>
      <c r="D528" s="193"/>
      <c r="E528" s="193"/>
      <c r="F528" s="194"/>
      <c r="G528" s="196"/>
      <c r="H528" s="196"/>
      <c r="I528" s="196"/>
      <c r="J528" s="195"/>
      <c r="K528" s="232"/>
    </row>
    <row r="529" spans="1:11" x14ac:dyDescent="0.25">
      <c r="A529" s="192"/>
      <c r="B529" s="192"/>
      <c r="C529" s="193"/>
      <c r="D529" s="193"/>
      <c r="E529" s="193"/>
      <c r="F529" s="194"/>
      <c r="G529" s="196"/>
      <c r="H529" s="196"/>
      <c r="I529" s="196"/>
      <c r="J529" s="195"/>
      <c r="K529" s="232"/>
    </row>
    <row r="530" spans="1:11" x14ac:dyDescent="0.25">
      <c r="A530" s="192"/>
      <c r="B530" s="192"/>
      <c r="C530" s="193"/>
      <c r="D530" s="193"/>
      <c r="E530" s="193"/>
      <c r="F530" s="194"/>
      <c r="G530" s="196"/>
      <c r="H530" s="196"/>
      <c r="I530" s="196"/>
      <c r="J530" s="195"/>
      <c r="K530" s="232"/>
    </row>
    <row r="531" spans="1:11" x14ac:dyDescent="0.25">
      <c r="A531" s="192"/>
      <c r="B531" s="192"/>
      <c r="C531" s="193"/>
      <c r="D531" s="193"/>
      <c r="E531" s="193"/>
      <c r="F531" s="194"/>
      <c r="G531" s="196"/>
      <c r="H531" s="196"/>
      <c r="I531" s="196"/>
      <c r="J531" s="195"/>
      <c r="K531" s="232"/>
    </row>
    <row r="532" spans="1:11" x14ac:dyDescent="0.25">
      <c r="A532" s="192"/>
      <c r="B532" s="192"/>
      <c r="C532" s="193"/>
      <c r="D532" s="193"/>
      <c r="E532" s="193"/>
      <c r="F532" s="194"/>
      <c r="G532" s="196"/>
      <c r="H532" s="196"/>
      <c r="I532" s="196"/>
      <c r="J532" s="195"/>
      <c r="K532" s="232"/>
    </row>
    <row r="533" spans="1:11" x14ac:dyDescent="0.25">
      <c r="A533" s="192"/>
      <c r="B533" s="192"/>
      <c r="C533" s="193"/>
      <c r="D533" s="193"/>
      <c r="E533" s="193"/>
      <c r="F533" s="194"/>
      <c r="G533" s="196"/>
      <c r="H533" s="196"/>
      <c r="I533" s="196"/>
      <c r="J533" s="195"/>
      <c r="K533" s="232"/>
    </row>
    <row r="534" spans="1:11" x14ac:dyDescent="0.25">
      <c r="A534" s="192"/>
      <c r="B534" s="192"/>
      <c r="C534" s="193"/>
      <c r="D534" s="193"/>
      <c r="E534" s="193"/>
      <c r="F534" s="194"/>
      <c r="G534" s="196"/>
      <c r="H534" s="196"/>
      <c r="I534" s="196"/>
      <c r="J534" s="195"/>
      <c r="K534" s="232"/>
    </row>
    <row r="535" spans="1:11" x14ac:dyDescent="0.25">
      <c r="A535" s="192"/>
      <c r="B535" s="192"/>
      <c r="C535" s="193"/>
      <c r="D535" s="193"/>
      <c r="E535" s="193"/>
      <c r="F535" s="194"/>
      <c r="G535" s="196"/>
      <c r="H535" s="196"/>
      <c r="I535" s="196"/>
      <c r="J535" s="195"/>
      <c r="K535" s="232"/>
    </row>
    <row r="536" spans="1:11" x14ac:dyDescent="0.25">
      <c r="A536" s="192"/>
      <c r="B536" s="192"/>
      <c r="C536" s="193"/>
      <c r="D536" s="193"/>
      <c r="E536" s="193"/>
      <c r="F536" s="194"/>
      <c r="G536" s="196"/>
      <c r="H536" s="196"/>
      <c r="I536" s="196"/>
      <c r="J536" s="195"/>
      <c r="K536" s="232"/>
    </row>
    <row r="537" spans="1:11" x14ac:dyDescent="0.25">
      <c r="A537" s="192"/>
      <c r="B537" s="192"/>
      <c r="C537" s="193"/>
      <c r="D537" s="193"/>
      <c r="E537" s="193"/>
      <c r="F537" s="194"/>
      <c r="G537" s="196"/>
      <c r="H537" s="196"/>
      <c r="I537" s="196"/>
      <c r="J537" s="195"/>
      <c r="K537" s="232"/>
    </row>
    <row r="538" spans="1:11" x14ac:dyDescent="0.25">
      <c r="A538" s="192"/>
      <c r="B538" s="192"/>
      <c r="C538" s="193"/>
      <c r="D538" s="193"/>
      <c r="E538" s="193"/>
      <c r="F538" s="194"/>
      <c r="G538" s="196"/>
      <c r="H538" s="196"/>
      <c r="I538" s="196"/>
      <c r="J538" s="195"/>
      <c r="K538" s="232"/>
    </row>
    <row r="539" spans="1:11" x14ac:dyDescent="0.25">
      <c r="A539" s="192"/>
      <c r="B539" s="192"/>
      <c r="C539" s="193"/>
      <c r="D539" s="193"/>
      <c r="E539" s="193"/>
      <c r="F539" s="194"/>
      <c r="G539" s="196"/>
      <c r="H539" s="196"/>
      <c r="I539" s="196"/>
      <c r="J539" s="195"/>
      <c r="K539" s="232"/>
    </row>
    <row r="540" spans="1:11" x14ac:dyDescent="0.25">
      <c r="A540" s="192"/>
      <c r="B540" s="192"/>
      <c r="C540" s="193"/>
      <c r="D540" s="193"/>
      <c r="E540" s="193"/>
      <c r="F540" s="194"/>
      <c r="G540" s="196"/>
      <c r="H540" s="196"/>
      <c r="I540" s="196"/>
      <c r="J540" s="195"/>
      <c r="K540" s="232"/>
    </row>
    <row r="541" spans="1:11" x14ac:dyDescent="0.25">
      <c r="A541" s="192"/>
      <c r="B541" s="192"/>
      <c r="C541" s="193"/>
      <c r="D541" s="193"/>
      <c r="E541" s="193"/>
      <c r="F541" s="194"/>
      <c r="G541" s="196"/>
      <c r="H541" s="196"/>
      <c r="I541" s="196"/>
      <c r="J541" s="195"/>
      <c r="K541" s="232"/>
    </row>
    <row r="542" spans="1:11" x14ac:dyDescent="0.25">
      <c r="A542" s="192"/>
      <c r="B542" s="192"/>
      <c r="C542" s="193"/>
      <c r="D542" s="193"/>
      <c r="E542" s="193"/>
      <c r="F542" s="194"/>
      <c r="G542" s="196"/>
      <c r="H542" s="196"/>
      <c r="I542" s="196"/>
      <c r="J542" s="195"/>
      <c r="K542" s="232"/>
    </row>
    <row r="543" spans="1:11" x14ac:dyDescent="0.25">
      <c r="A543" s="192"/>
      <c r="B543" s="192"/>
      <c r="C543" s="193"/>
      <c r="D543" s="193"/>
      <c r="E543" s="193"/>
      <c r="F543" s="194"/>
      <c r="G543" s="196"/>
      <c r="H543" s="196"/>
      <c r="I543" s="196"/>
      <c r="J543" s="195"/>
      <c r="K543" s="232"/>
    </row>
    <row r="544" spans="1:11" x14ac:dyDescent="0.25">
      <c r="A544" s="192"/>
      <c r="B544" s="192"/>
      <c r="C544" s="193"/>
      <c r="D544" s="193"/>
      <c r="E544" s="193"/>
      <c r="F544" s="194"/>
      <c r="G544" s="196"/>
      <c r="H544" s="196"/>
      <c r="I544" s="196"/>
      <c r="J544" s="195"/>
      <c r="K544" s="232"/>
    </row>
    <row r="545" spans="1:11" x14ac:dyDescent="0.25">
      <c r="A545" s="192"/>
      <c r="B545" s="192"/>
      <c r="C545" s="193"/>
      <c r="D545" s="193"/>
      <c r="E545" s="193"/>
      <c r="F545" s="194"/>
      <c r="G545" s="196"/>
      <c r="H545" s="196"/>
      <c r="I545" s="196"/>
      <c r="J545" s="195"/>
      <c r="K545" s="232"/>
    </row>
    <row r="546" spans="1:11" x14ac:dyDescent="0.25">
      <c r="A546" s="192"/>
      <c r="B546" s="192"/>
      <c r="C546" s="193"/>
      <c r="D546" s="193"/>
      <c r="E546" s="193"/>
      <c r="F546" s="194"/>
      <c r="G546" s="196"/>
      <c r="H546" s="196"/>
      <c r="I546" s="196"/>
      <c r="J546" s="195"/>
      <c r="K546" s="232"/>
    </row>
    <row r="547" spans="1:11" x14ac:dyDescent="0.25">
      <c r="A547" s="192"/>
      <c r="B547" s="192"/>
      <c r="C547" s="193"/>
      <c r="D547" s="193"/>
      <c r="E547" s="193"/>
      <c r="F547" s="194"/>
      <c r="G547" s="196"/>
      <c r="H547" s="196"/>
      <c r="I547" s="196"/>
      <c r="J547" s="195"/>
      <c r="K547" s="232"/>
    </row>
    <row r="548" spans="1:11" x14ac:dyDescent="0.25">
      <c r="A548" s="192"/>
      <c r="B548" s="192"/>
      <c r="C548" s="193"/>
      <c r="D548" s="193"/>
      <c r="E548" s="193"/>
      <c r="F548" s="194"/>
      <c r="G548" s="196"/>
      <c r="H548" s="196"/>
      <c r="I548" s="196"/>
      <c r="J548" s="195"/>
      <c r="K548" s="232"/>
    </row>
    <row r="549" spans="1:11" x14ac:dyDescent="0.25">
      <c r="A549" s="192"/>
      <c r="B549" s="192"/>
      <c r="C549" s="193"/>
      <c r="D549" s="193"/>
      <c r="E549" s="193"/>
      <c r="F549" s="194"/>
      <c r="G549" s="196"/>
      <c r="H549" s="196"/>
      <c r="I549" s="196"/>
      <c r="J549" s="195"/>
      <c r="K549" s="232"/>
    </row>
    <row r="550" spans="1:11" x14ac:dyDescent="0.25">
      <c r="A550" s="192"/>
      <c r="B550" s="192"/>
      <c r="C550" s="193"/>
      <c r="D550" s="193"/>
      <c r="E550" s="193"/>
      <c r="F550" s="194"/>
      <c r="G550" s="196"/>
      <c r="H550" s="196"/>
      <c r="I550" s="196"/>
      <c r="J550" s="195"/>
      <c r="K550" s="232"/>
    </row>
    <row r="551" spans="1:11" x14ac:dyDescent="0.25">
      <c r="A551" s="192"/>
      <c r="B551" s="192"/>
      <c r="C551" s="193"/>
      <c r="D551" s="193"/>
      <c r="E551" s="193"/>
      <c r="F551" s="194"/>
      <c r="G551" s="196"/>
      <c r="H551" s="196"/>
      <c r="I551" s="196"/>
      <c r="J551" s="195"/>
      <c r="K551" s="232"/>
    </row>
    <row r="552" spans="1:11" x14ac:dyDescent="0.25">
      <c r="A552" s="192"/>
      <c r="B552" s="192"/>
      <c r="C552" s="193"/>
      <c r="D552" s="193"/>
      <c r="E552" s="193"/>
      <c r="F552" s="194"/>
      <c r="G552" s="196"/>
      <c r="H552" s="196"/>
      <c r="I552" s="196"/>
      <c r="J552" s="195"/>
      <c r="K552" s="232"/>
    </row>
    <row r="553" spans="1:11" x14ac:dyDescent="0.25">
      <c r="A553" s="192"/>
      <c r="B553" s="192"/>
      <c r="C553" s="193"/>
      <c r="D553" s="193"/>
      <c r="E553" s="193"/>
      <c r="F553" s="194"/>
      <c r="G553" s="196"/>
      <c r="H553" s="196"/>
      <c r="I553" s="196"/>
      <c r="J553" s="195"/>
      <c r="K553" s="232"/>
    </row>
    <row r="554" spans="1:11" x14ac:dyDescent="0.25">
      <c r="A554" s="192"/>
      <c r="B554" s="192"/>
      <c r="C554" s="193"/>
      <c r="D554" s="193"/>
      <c r="E554" s="193"/>
      <c r="F554" s="194"/>
      <c r="G554" s="196"/>
      <c r="H554" s="196"/>
      <c r="I554" s="196"/>
      <c r="J554" s="195"/>
      <c r="K554" s="232"/>
    </row>
    <row r="555" spans="1:11" x14ac:dyDescent="0.25">
      <c r="A555" s="192"/>
      <c r="B555" s="192"/>
      <c r="C555" s="193"/>
      <c r="D555" s="193"/>
      <c r="E555" s="193"/>
      <c r="F555" s="194"/>
      <c r="G555" s="196"/>
      <c r="H555" s="196"/>
      <c r="I555" s="196"/>
      <c r="J555" s="195"/>
      <c r="K555" s="232"/>
    </row>
    <row r="556" spans="1:11" x14ac:dyDescent="0.25">
      <c r="A556" s="192"/>
      <c r="B556" s="192"/>
      <c r="C556" s="193"/>
      <c r="D556" s="193"/>
      <c r="E556" s="193"/>
      <c r="F556" s="194"/>
      <c r="G556" s="196"/>
      <c r="H556" s="196"/>
      <c r="I556" s="196"/>
      <c r="J556" s="195"/>
      <c r="K556" s="232"/>
    </row>
    <row r="557" spans="1:11" x14ac:dyDescent="0.25">
      <c r="A557" s="192"/>
      <c r="B557" s="192"/>
      <c r="C557" s="193"/>
      <c r="D557" s="193"/>
      <c r="E557" s="193"/>
      <c r="F557" s="194"/>
      <c r="G557" s="196"/>
      <c r="H557" s="196"/>
      <c r="I557" s="196"/>
      <c r="J557" s="195"/>
      <c r="K557" s="232"/>
    </row>
    <row r="558" spans="1:11" x14ac:dyDescent="0.25">
      <c r="A558" s="192"/>
      <c r="B558" s="192"/>
      <c r="C558" s="193"/>
      <c r="D558" s="193"/>
      <c r="E558" s="193"/>
      <c r="F558" s="194"/>
      <c r="G558" s="196"/>
      <c r="H558" s="196"/>
      <c r="I558" s="196"/>
      <c r="J558" s="195"/>
      <c r="K558" s="232"/>
    </row>
    <row r="559" spans="1:11" x14ac:dyDescent="0.25">
      <c r="A559" s="192"/>
      <c r="B559" s="192"/>
      <c r="C559" s="193"/>
      <c r="D559" s="193"/>
      <c r="E559" s="193"/>
      <c r="F559" s="194"/>
      <c r="G559" s="196"/>
      <c r="H559" s="196"/>
      <c r="I559" s="196"/>
      <c r="J559" s="195"/>
      <c r="K559" s="232"/>
    </row>
    <row r="560" spans="1:11" x14ac:dyDescent="0.25">
      <c r="A560" s="192"/>
      <c r="B560" s="192"/>
      <c r="C560" s="193"/>
      <c r="D560" s="193"/>
      <c r="E560" s="193"/>
      <c r="F560" s="194"/>
      <c r="G560" s="196"/>
      <c r="H560" s="196"/>
      <c r="I560" s="196"/>
      <c r="J560" s="195"/>
      <c r="K560" s="232"/>
    </row>
    <row r="561" spans="1:11" x14ac:dyDescent="0.25">
      <c r="A561" s="192"/>
      <c r="B561" s="192"/>
      <c r="C561" s="193"/>
      <c r="D561" s="193"/>
      <c r="E561" s="193"/>
      <c r="F561" s="194"/>
      <c r="G561" s="196"/>
      <c r="H561" s="196"/>
      <c r="I561" s="196"/>
      <c r="J561" s="195"/>
      <c r="K561" s="232"/>
    </row>
    <row r="562" spans="1:11" x14ac:dyDescent="0.25">
      <c r="A562" s="192"/>
      <c r="B562" s="192"/>
      <c r="C562" s="193"/>
      <c r="D562" s="193"/>
      <c r="E562" s="193"/>
      <c r="F562" s="194"/>
      <c r="G562" s="196"/>
      <c r="H562" s="196"/>
      <c r="I562" s="196"/>
      <c r="J562" s="195"/>
      <c r="K562" s="232"/>
    </row>
    <row r="563" spans="1:11" x14ac:dyDescent="0.25">
      <c r="A563" s="192"/>
      <c r="B563" s="192"/>
      <c r="C563" s="193"/>
      <c r="D563" s="193"/>
      <c r="E563" s="193"/>
      <c r="F563" s="194"/>
      <c r="G563" s="196"/>
      <c r="H563" s="196"/>
      <c r="I563" s="196"/>
      <c r="J563" s="195"/>
      <c r="K563" s="232"/>
    </row>
    <row r="564" spans="1:11" x14ac:dyDescent="0.25">
      <c r="A564" s="192"/>
      <c r="B564" s="192"/>
      <c r="C564" s="193"/>
      <c r="D564" s="193"/>
      <c r="E564" s="193"/>
      <c r="F564" s="194"/>
      <c r="G564" s="196"/>
      <c r="H564" s="196"/>
      <c r="I564" s="196"/>
      <c r="J564" s="195"/>
      <c r="K564" s="232"/>
    </row>
    <row r="565" spans="1:11" x14ac:dyDescent="0.25">
      <c r="A565" s="192"/>
      <c r="B565" s="192"/>
      <c r="C565" s="193"/>
      <c r="D565" s="193"/>
      <c r="E565" s="193"/>
      <c r="F565" s="194"/>
      <c r="G565" s="196"/>
      <c r="H565" s="196"/>
      <c r="I565" s="196"/>
      <c r="J565" s="195"/>
      <c r="K565" s="232"/>
    </row>
    <row r="566" spans="1:11" x14ac:dyDescent="0.25">
      <c r="A566" s="192"/>
      <c r="B566" s="192"/>
      <c r="C566" s="193"/>
      <c r="D566" s="193"/>
      <c r="E566" s="193"/>
      <c r="F566" s="194"/>
      <c r="G566" s="196"/>
      <c r="H566" s="196"/>
      <c r="I566" s="196"/>
      <c r="J566" s="195"/>
      <c r="K566" s="232"/>
    </row>
    <row r="567" spans="1:11" x14ac:dyDescent="0.25">
      <c r="A567" s="192"/>
      <c r="B567" s="192"/>
      <c r="C567" s="193"/>
      <c r="D567" s="193"/>
      <c r="E567" s="193"/>
      <c r="F567" s="194"/>
      <c r="G567" s="196"/>
      <c r="H567" s="196"/>
      <c r="I567" s="196"/>
      <c r="J567" s="195"/>
      <c r="K567" s="232"/>
    </row>
    <row r="568" spans="1:11" x14ac:dyDescent="0.25">
      <c r="A568" s="192"/>
      <c r="B568" s="192"/>
      <c r="C568" s="193"/>
      <c r="D568" s="193"/>
      <c r="E568" s="193"/>
      <c r="F568" s="194"/>
      <c r="G568" s="196"/>
      <c r="H568" s="196"/>
      <c r="I568" s="196"/>
      <c r="J568" s="195"/>
      <c r="K568" s="232"/>
    </row>
    <row r="569" spans="1:11" x14ac:dyDescent="0.25">
      <c r="A569" s="192"/>
      <c r="B569" s="192"/>
      <c r="C569" s="193"/>
      <c r="D569" s="193"/>
      <c r="E569" s="193"/>
      <c r="F569" s="194"/>
      <c r="G569" s="196"/>
      <c r="H569" s="196"/>
      <c r="I569" s="196"/>
      <c r="J569" s="195"/>
      <c r="K569" s="232"/>
    </row>
    <row r="570" spans="1:11" x14ac:dyDescent="0.25">
      <c r="A570" s="192"/>
      <c r="B570" s="192"/>
      <c r="C570" s="193"/>
      <c r="D570" s="193"/>
      <c r="E570" s="193"/>
      <c r="F570" s="194"/>
      <c r="G570" s="196"/>
      <c r="H570" s="196"/>
      <c r="I570" s="196"/>
      <c r="J570" s="195"/>
      <c r="K570" s="232"/>
    </row>
    <row r="571" spans="1:11" x14ac:dyDescent="0.25">
      <c r="A571" s="192"/>
      <c r="B571" s="192"/>
      <c r="C571" s="193"/>
      <c r="D571" s="193"/>
      <c r="E571" s="193"/>
      <c r="F571" s="194"/>
      <c r="G571" s="196"/>
      <c r="H571" s="196"/>
      <c r="I571" s="196"/>
      <c r="J571" s="195"/>
      <c r="K571" s="232"/>
    </row>
    <row r="572" spans="1:11" x14ac:dyDescent="0.25">
      <c r="A572" s="192"/>
      <c r="B572" s="192"/>
      <c r="C572" s="193"/>
      <c r="D572" s="193"/>
      <c r="E572" s="193"/>
      <c r="F572" s="194"/>
      <c r="G572" s="196"/>
      <c r="H572" s="196"/>
      <c r="I572" s="196"/>
      <c r="J572" s="195"/>
      <c r="K572" s="232"/>
    </row>
    <row r="573" spans="1:11" x14ac:dyDescent="0.25">
      <c r="A573" s="192"/>
      <c r="B573" s="192"/>
      <c r="C573" s="193"/>
      <c r="D573" s="193"/>
      <c r="E573" s="193"/>
      <c r="F573" s="194"/>
      <c r="G573" s="196"/>
      <c r="H573" s="196"/>
      <c r="I573" s="196"/>
      <c r="J573" s="195"/>
      <c r="K573" s="232"/>
    </row>
    <row r="574" spans="1:11" x14ac:dyDescent="0.25">
      <c r="A574" s="192"/>
      <c r="B574" s="192"/>
      <c r="C574" s="193"/>
      <c r="D574" s="193"/>
      <c r="E574" s="193"/>
      <c r="F574" s="194"/>
      <c r="G574" s="196"/>
      <c r="H574" s="196"/>
      <c r="I574" s="196"/>
      <c r="J574" s="195"/>
      <c r="K574" s="232"/>
    </row>
    <row r="575" spans="1:11" x14ac:dyDescent="0.25">
      <c r="A575" s="192"/>
      <c r="B575" s="192"/>
      <c r="C575" s="193"/>
      <c r="D575" s="193"/>
      <c r="E575" s="193"/>
      <c r="F575" s="194"/>
      <c r="G575" s="196"/>
      <c r="H575" s="196"/>
      <c r="I575" s="196"/>
      <c r="J575" s="195"/>
      <c r="K575" s="232"/>
    </row>
    <row r="576" spans="1:11" x14ac:dyDescent="0.25">
      <c r="A576" s="192"/>
      <c r="B576" s="192"/>
      <c r="C576" s="193"/>
      <c r="D576" s="193"/>
      <c r="E576" s="193"/>
      <c r="F576" s="194"/>
      <c r="G576" s="196"/>
      <c r="H576" s="196"/>
      <c r="I576" s="196"/>
      <c r="J576" s="195"/>
      <c r="K576" s="232"/>
    </row>
    <row r="577" spans="1:11" x14ac:dyDescent="0.25">
      <c r="A577" s="192"/>
      <c r="B577" s="192"/>
      <c r="C577" s="193"/>
      <c r="D577" s="193"/>
      <c r="E577" s="193"/>
      <c r="F577" s="194"/>
      <c r="G577" s="196"/>
      <c r="H577" s="196"/>
      <c r="I577" s="196"/>
      <c r="J577" s="195"/>
      <c r="K577" s="232"/>
    </row>
    <row r="578" spans="1:11" x14ac:dyDescent="0.25">
      <c r="A578" s="192"/>
      <c r="B578" s="192"/>
      <c r="C578" s="193"/>
      <c r="D578" s="193"/>
      <c r="E578" s="193"/>
      <c r="F578" s="194"/>
      <c r="G578" s="196"/>
      <c r="H578" s="196"/>
      <c r="I578" s="196"/>
      <c r="J578" s="195"/>
      <c r="K578" s="232"/>
    </row>
    <row r="579" spans="1:11" x14ac:dyDescent="0.25">
      <c r="A579" s="192"/>
      <c r="B579" s="192"/>
      <c r="C579" s="193"/>
      <c r="D579" s="193"/>
      <c r="E579" s="193"/>
      <c r="F579" s="194"/>
      <c r="G579" s="196"/>
      <c r="H579" s="196"/>
      <c r="I579" s="196"/>
      <c r="J579" s="195"/>
      <c r="K579" s="232"/>
    </row>
    <row r="580" spans="1:11" x14ac:dyDescent="0.25">
      <c r="A580" s="192"/>
      <c r="B580" s="192"/>
      <c r="C580" s="193"/>
      <c r="D580" s="193"/>
      <c r="E580" s="193"/>
      <c r="F580" s="194"/>
      <c r="G580" s="196"/>
      <c r="H580" s="196"/>
      <c r="I580" s="196"/>
      <c r="J580" s="195"/>
      <c r="K580" s="232"/>
    </row>
    <row r="581" spans="1:11" x14ac:dyDescent="0.25">
      <c r="A581" s="192"/>
      <c r="B581" s="192"/>
      <c r="C581" s="193"/>
      <c r="D581" s="193"/>
      <c r="E581" s="193"/>
      <c r="F581" s="194"/>
      <c r="G581" s="196"/>
      <c r="H581" s="196"/>
      <c r="I581" s="196"/>
      <c r="J581" s="195"/>
      <c r="K581" s="232"/>
    </row>
    <row r="582" spans="1:11" x14ac:dyDescent="0.25">
      <c r="A582" s="192"/>
      <c r="B582" s="192"/>
      <c r="C582" s="193"/>
      <c r="D582" s="193"/>
      <c r="E582" s="193"/>
      <c r="F582" s="194"/>
      <c r="G582" s="196"/>
      <c r="H582" s="196"/>
      <c r="I582" s="196"/>
      <c r="J582" s="195"/>
      <c r="K582" s="232"/>
    </row>
    <row r="583" spans="1:11" x14ac:dyDescent="0.25">
      <c r="A583" s="192"/>
      <c r="B583" s="192"/>
      <c r="C583" s="193"/>
      <c r="D583" s="193"/>
      <c r="E583" s="193"/>
      <c r="F583" s="194"/>
      <c r="G583" s="196"/>
      <c r="H583" s="196"/>
      <c r="I583" s="196"/>
      <c r="J583" s="195"/>
      <c r="K583" s="232"/>
    </row>
    <row r="584" spans="1:11" x14ac:dyDescent="0.25">
      <c r="A584" s="192"/>
      <c r="B584" s="192"/>
      <c r="C584" s="193"/>
      <c r="D584" s="193"/>
      <c r="E584" s="193"/>
      <c r="F584" s="194"/>
      <c r="G584" s="196"/>
      <c r="H584" s="196"/>
      <c r="I584" s="196"/>
      <c r="J584" s="195"/>
      <c r="K584" s="232"/>
    </row>
    <row r="585" spans="1:11" x14ac:dyDescent="0.25">
      <c r="A585" s="192"/>
      <c r="B585" s="192"/>
      <c r="C585" s="193"/>
      <c r="D585" s="193"/>
      <c r="E585" s="193"/>
      <c r="F585" s="194"/>
      <c r="G585" s="196"/>
      <c r="H585" s="196"/>
      <c r="I585" s="196"/>
      <c r="J585" s="195"/>
      <c r="K585" s="232"/>
    </row>
    <row r="586" spans="1:11" x14ac:dyDescent="0.25">
      <c r="A586" s="192"/>
      <c r="B586" s="192"/>
      <c r="C586" s="193"/>
      <c r="D586" s="193"/>
      <c r="E586" s="193"/>
      <c r="F586" s="194"/>
      <c r="G586" s="196"/>
      <c r="H586" s="196"/>
      <c r="I586" s="196"/>
      <c r="J586" s="195"/>
      <c r="K586" s="232"/>
    </row>
    <row r="587" spans="1:11" x14ac:dyDescent="0.25">
      <c r="A587" s="192"/>
      <c r="B587" s="192"/>
      <c r="C587" s="193"/>
      <c r="D587" s="193"/>
      <c r="E587" s="193"/>
      <c r="F587" s="194"/>
      <c r="G587" s="196"/>
      <c r="H587" s="196"/>
      <c r="I587" s="196"/>
      <c r="J587" s="195"/>
      <c r="K587" s="232"/>
    </row>
    <row r="588" spans="1:11" x14ac:dyDescent="0.25">
      <c r="A588" s="192"/>
      <c r="B588" s="192"/>
      <c r="C588" s="193"/>
      <c r="D588" s="193"/>
      <c r="E588" s="193"/>
      <c r="F588" s="194"/>
      <c r="G588" s="196"/>
      <c r="H588" s="196"/>
      <c r="I588" s="196"/>
      <c r="J588" s="195"/>
      <c r="K588" s="232"/>
    </row>
    <row r="589" spans="1:11" x14ac:dyDescent="0.25">
      <c r="A589" s="192"/>
      <c r="B589" s="192"/>
      <c r="C589" s="193"/>
      <c r="D589" s="193"/>
      <c r="E589" s="193"/>
      <c r="F589" s="194"/>
      <c r="G589" s="196"/>
      <c r="H589" s="196"/>
      <c r="I589" s="196"/>
      <c r="J589" s="195"/>
      <c r="K589" s="232"/>
    </row>
    <row r="590" spans="1:11" x14ac:dyDescent="0.25">
      <c r="A590" s="192"/>
      <c r="B590" s="192"/>
      <c r="C590" s="193"/>
      <c r="D590" s="193"/>
      <c r="E590" s="193"/>
      <c r="F590" s="194"/>
      <c r="G590" s="196"/>
      <c r="H590" s="196"/>
      <c r="I590" s="196"/>
      <c r="J590" s="195"/>
      <c r="K590" s="232"/>
    </row>
    <row r="591" spans="1:11" x14ac:dyDescent="0.25">
      <c r="A591" s="192"/>
      <c r="B591" s="192"/>
      <c r="C591" s="193"/>
      <c r="D591" s="193"/>
      <c r="E591" s="193"/>
      <c r="F591" s="194"/>
      <c r="G591" s="196"/>
      <c r="H591" s="196"/>
      <c r="I591" s="196"/>
      <c r="J591" s="195"/>
      <c r="K591" s="232"/>
    </row>
    <row r="592" spans="1:11" x14ac:dyDescent="0.25">
      <c r="A592" s="192"/>
      <c r="B592" s="192"/>
      <c r="C592" s="193"/>
      <c r="D592" s="193"/>
      <c r="E592" s="193"/>
      <c r="F592" s="194"/>
      <c r="G592" s="196"/>
      <c r="H592" s="196"/>
      <c r="I592" s="196"/>
      <c r="J592" s="195"/>
      <c r="K592" s="232"/>
    </row>
    <row r="593" spans="1:11" x14ac:dyDescent="0.25">
      <c r="A593" s="192"/>
      <c r="B593" s="192"/>
      <c r="C593" s="193"/>
      <c r="D593" s="193"/>
      <c r="E593" s="193"/>
      <c r="F593" s="194"/>
      <c r="G593" s="196"/>
      <c r="H593" s="196"/>
      <c r="I593" s="196"/>
      <c r="J593" s="195"/>
      <c r="K593" s="232"/>
    </row>
    <row r="594" spans="1:11" x14ac:dyDescent="0.25">
      <c r="A594" s="192"/>
      <c r="B594" s="192"/>
      <c r="C594" s="193"/>
      <c r="D594" s="193"/>
      <c r="E594" s="193"/>
      <c r="F594" s="194"/>
      <c r="G594" s="196"/>
      <c r="H594" s="196"/>
      <c r="I594" s="196"/>
      <c r="J594" s="195"/>
      <c r="K594" s="232"/>
    </row>
    <row r="595" spans="1:11" x14ac:dyDescent="0.25">
      <c r="A595" s="192"/>
      <c r="B595" s="192"/>
      <c r="C595" s="193"/>
      <c r="D595" s="193"/>
      <c r="E595" s="193"/>
      <c r="F595" s="194"/>
      <c r="G595" s="196"/>
      <c r="H595" s="196"/>
      <c r="I595" s="196"/>
      <c r="J595" s="195"/>
      <c r="K595" s="232"/>
    </row>
    <row r="596" spans="1:11" x14ac:dyDescent="0.25">
      <c r="A596" s="192"/>
      <c r="B596" s="192"/>
      <c r="C596" s="193"/>
      <c r="D596" s="193"/>
      <c r="E596" s="193"/>
      <c r="F596" s="194"/>
      <c r="G596" s="196"/>
      <c r="H596" s="196"/>
      <c r="I596" s="196"/>
      <c r="J596" s="195"/>
      <c r="K596" s="232"/>
    </row>
    <row r="597" spans="1:11" x14ac:dyDescent="0.25">
      <c r="A597" s="192"/>
      <c r="B597" s="192"/>
      <c r="C597" s="193"/>
      <c r="D597" s="193"/>
      <c r="E597" s="193"/>
      <c r="F597" s="194"/>
      <c r="G597" s="196"/>
      <c r="H597" s="196"/>
      <c r="I597" s="196"/>
      <c r="J597" s="195"/>
      <c r="K597" s="232"/>
    </row>
    <row r="598" spans="1:11" x14ac:dyDescent="0.25">
      <c r="A598" s="192"/>
      <c r="B598" s="192"/>
      <c r="C598" s="193"/>
      <c r="D598" s="193"/>
      <c r="E598" s="193"/>
      <c r="F598" s="194"/>
      <c r="G598" s="196"/>
      <c r="H598" s="196"/>
      <c r="I598" s="196"/>
      <c r="J598" s="195"/>
      <c r="K598" s="232"/>
    </row>
    <row r="599" spans="1:11" x14ac:dyDescent="0.25">
      <c r="A599" s="192"/>
      <c r="B599" s="192"/>
      <c r="C599" s="193"/>
      <c r="D599" s="193"/>
      <c r="E599" s="193"/>
      <c r="F599" s="194"/>
      <c r="G599" s="196"/>
      <c r="H599" s="196"/>
      <c r="I599" s="196"/>
      <c r="J599" s="195"/>
      <c r="K599" s="232"/>
    </row>
    <row r="600" spans="1:11" x14ac:dyDescent="0.25">
      <c r="A600" s="192"/>
      <c r="B600" s="192"/>
      <c r="C600" s="193"/>
      <c r="D600" s="193"/>
      <c r="E600" s="193"/>
      <c r="F600" s="194"/>
      <c r="G600" s="196"/>
      <c r="H600" s="196"/>
      <c r="I600" s="196"/>
      <c r="J600" s="195"/>
      <c r="K600" s="232"/>
    </row>
    <row r="601" spans="1:11" x14ac:dyDescent="0.25">
      <c r="A601" s="192"/>
      <c r="B601" s="192"/>
      <c r="C601" s="193"/>
      <c r="D601" s="193"/>
      <c r="E601" s="193"/>
      <c r="F601" s="194"/>
      <c r="G601" s="196"/>
      <c r="H601" s="196"/>
      <c r="I601" s="196"/>
      <c r="J601" s="195"/>
      <c r="K601" s="232"/>
    </row>
    <row r="602" spans="1:11" x14ac:dyDescent="0.25">
      <c r="A602" s="192"/>
      <c r="B602" s="192"/>
      <c r="C602" s="193"/>
      <c r="D602" s="193"/>
      <c r="E602" s="193"/>
      <c r="F602" s="194"/>
      <c r="G602" s="196"/>
      <c r="H602" s="196"/>
      <c r="I602" s="196"/>
      <c r="J602" s="195"/>
      <c r="K602" s="232"/>
    </row>
    <row r="603" spans="1:11" x14ac:dyDescent="0.25">
      <c r="A603" s="192"/>
      <c r="B603" s="192"/>
      <c r="C603" s="193"/>
      <c r="D603" s="193"/>
      <c r="E603" s="193"/>
      <c r="F603" s="194"/>
      <c r="G603" s="196"/>
      <c r="H603" s="196"/>
      <c r="I603" s="196"/>
      <c r="J603" s="195"/>
      <c r="K603" s="232"/>
    </row>
    <row r="604" spans="1:11" x14ac:dyDescent="0.25">
      <c r="A604" s="192"/>
      <c r="B604" s="192"/>
      <c r="C604" s="193"/>
      <c r="D604" s="193"/>
      <c r="E604" s="193"/>
      <c r="F604" s="194"/>
      <c r="G604" s="196"/>
      <c r="H604" s="196"/>
      <c r="I604" s="196"/>
      <c r="J604" s="195"/>
      <c r="K604" s="232"/>
    </row>
    <row r="605" spans="1:11" x14ac:dyDescent="0.25">
      <c r="A605" s="192"/>
      <c r="B605" s="192"/>
      <c r="C605" s="193"/>
      <c r="D605" s="193"/>
      <c r="E605" s="193"/>
      <c r="F605" s="194"/>
      <c r="G605" s="196"/>
      <c r="H605" s="196"/>
      <c r="I605" s="196"/>
      <c r="J605" s="195"/>
      <c r="K605" s="232"/>
    </row>
    <row r="606" spans="1:11" x14ac:dyDescent="0.25">
      <c r="A606" s="192"/>
      <c r="B606" s="192"/>
      <c r="C606" s="193"/>
      <c r="D606" s="193"/>
      <c r="E606" s="193"/>
      <c r="F606" s="194"/>
      <c r="G606" s="196"/>
      <c r="H606" s="196"/>
      <c r="I606" s="196"/>
      <c r="J606" s="195"/>
      <c r="K606" s="232"/>
    </row>
    <row r="607" spans="1:11" x14ac:dyDescent="0.25">
      <c r="A607" s="192"/>
      <c r="B607" s="192"/>
      <c r="C607" s="193"/>
      <c r="D607" s="193"/>
      <c r="E607" s="193"/>
      <c r="F607" s="194"/>
      <c r="G607" s="196"/>
      <c r="H607" s="196"/>
      <c r="I607" s="196"/>
      <c r="J607" s="195"/>
      <c r="K607" s="232"/>
    </row>
    <row r="608" spans="1:11" x14ac:dyDescent="0.25">
      <c r="A608" s="192"/>
      <c r="B608" s="192"/>
      <c r="C608" s="193"/>
      <c r="D608" s="193"/>
      <c r="E608" s="193"/>
      <c r="F608" s="194"/>
      <c r="G608" s="196"/>
      <c r="H608" s="196"/>
      <c r="I608" s="196"/>
      <c r="J608" s="195"/>
      <c r="K608" s="232"/>
    </row>
    <row r="609" spans="1:11" x14ac:dyDescent="0.25">
      <c r="A609" s="192"/>
      <c r="B609" s="192"/>
      <c r="C609" s="193"/>
      <c r="D609" s="193"/>
      <c r="E609" s="193"/>
      <c r="F609" s="194"/>
      <c r="G609" s="196"/>
      <c r="H609" s="196"/>
      <c r="I609" s="196"/>
      <c r="J609" s="195"/>
      <c r="K609" s="232"/>
    </row>
    <row r="610" spans="1:11" x14ac:dyDescent="0.25">
      <c r="A610" s="192"/>
      <c r="B610" s="192"/>
      <c r="C610" s="193"/>
      <c r="D610" s="193"/>
      <c r="E610" s="193"/>
      <c r="F610" s="194"/>
      <c r="G610" s="196"/>
      <c r="H610" s="196"/>
      <c r="I610" s="196"/>
      <c r="J610" s="195"/>
      <c r="K610" s="232"/>
    </row>
    <row r="611" spans="1:11" x14ac:dyDescent="0.25">
      <c r="A611" s="192"/>
      <c r="B611" s="192"/>
      <c r="C611" s="193"/>
      <c r="D611" s="193"/>
      <c r="E611" s="193"/>
      <c r="F611" s="194"/>
      <c r="G611" s="196"/>
      <c r="H611" s="196"/>
      <c r="I611" s="196"/>
      <c r="J611" s="195"/>
      <c r="K611" s="232"/>
    </row>
    <row r="612" spans="1:11" x14ac:dyDescent="0.25">
      <c r="A612" s="192"/>
      <c r="B612" s="192"/>
      <c r="C612" s="193"/>
      <c r="D612" s="193"/>
      <c r="E612" s="193"/>
      <c r="F612" s="194"/>
      <c r="G612" s="196"/>
      <c r="H612" s="196"/>
      <c r="I612" s="196"/>
      <c r="J612" s="195"/>
      <c r="K612" s="232"/>
    </row>
    <row r="613" spans="1:11" x14ac:dyDescent="0.25">
      <c r="A613" s="192"/>
      <c r="B613" s="192"/>
      <c r="C613" s="193"/>
      <c r="D613" s="193"/>
      <c r="E613" s="193"/>
      <c r="F613" s="194"/>
      <c r="G613" s="196"/>
      <c r="H613" s="196"/>
      <c r="I613" s="196"/>
      <c r="J613" s="195"/>
      <c r="K613" s="232"/>
    </row>
    <row r="614" spans="1:11" x14ac:dyDescent="0.25">
      <c r="A614" s="192"/>
      <c r="B614" s="192"/>
      <c r="C614" s="193"/>
      <c r="D614" s="193"/>
      <c r="E614" s="193"/>
      <c r="F614" s="194"/>
      <c r="G614" s="196"/>
      <c r="H614" s="196"/>
      <c r="I614" s="196"/>
      <c r="J614" s="195"/>
      <c r="K614" s="232"/>
    </row>
    <row r="615" spans="1:11" x14ac:dyDescent="0.25">
      <c r="A615" s="192"/>
      <c r="B615" s="192"/>
      <c r="C615" s="193"/>
      <c r="D615" s="193"/>
      <c r="E615" s="193"/>
      <c r="F615" s="194"/>
      <c r="G615" s="196"/>
      <c r="H615" s="196"/>
      <c r="I615" s="196"/>
      <c r="J615" s="195"/>
      <c r="K615" s="232"/>
    </row>
    <row r="616" spans="1:11" x14ac:dyDescent="0.25">
      <c r="A616" s="192"/>
      <c r="B616" s="192"/>
      <c r="C616" s="193"/>
      <c r="D616" s="193"/>
      <c r="E616" s="193"/>
      <c r="F616" s="194"/>
      <c r="G616" s="196"/>
      <c r="H616" s="196"/>
      <c r="I616" s="196"/>
      <c r="J616" s="195"/>
      <c r="K616" s="232"/>
    </row>
    <row r="617" spans="1:11" x14ac:dyDescent="0.25">
      <c r="A617" s="192"/>
      <c r="B617" s="192"/>
      <c r="C617" s="193"/>
      <c r="D617" s="193"/>
      <c r="E617" s="193"/>
      <c r="F617" s="194"/>
      <c r="G617" s="196"/>
      <c r="H617" s="196"/>
      <c r="I617" s="196"/>
      <c r="J617" s="195"/>
      <c r="K617" s="232"/>
    </row>
    <row r="618" spans="1:11" x14ac:dyDescent="0.25">
      <c r="A618" s="192"/>
      <c r="B618" s="192"/>
      <c r="C618" s="193"/>
      <c r="D618" s="193"/>
      <c r="E618" s="193"/>
      <c r="F618" s="194"/>
      <c r="G618" s="196"/>
      <c r="H618" s="196"/>
      <c r="I618" s="196"/>
      <c r="J618" s="195"/>
      <c r="K618" s="232"/>
    </row>
    <row r="619" spans="1:11" x14ac:dyDescent="0.25">
      <c r="A619" s="192"/>
      <c r="B619" s="192"/>
      <c r="C619" s="193"/>
      <c r="D619" s="193"/>
      <c r="E619" s="193"/>
      <c r="F619" s="194"/>
      <c r="G619" s="196"/>
      <c r="H619" s="196"/>
      <c r="I619" s="196"/>
      <c r="J619" s="195"/>
      <c r="K619" s="232"/>
    </row>
    <row r="620" spans="1:11" x14ac:dyDescent="0.25">
      <c r="A620" s="192"/>
      <c r="B620" s="192"/>
      <c r="C620" s="193"/>
      <c r="D620" s="193"/>
      <c r="E620" s="193"/>
      <c r="F620" s="194"/>
      <c r="G620" s="196"/>
      <c r="H620" s="196"/>
      <c r="I620" s="196"/>
      <c r="J620" s="195"/>
      <c r="K620" s="232"/>
    </row>
    <row r="621" spans="1:11" x14ac:dyDescent="0.25">
      <c r="A621" s="192"/>
      <c r="B621" s="192"/>
      <c r="C621" s="193"/>
      <c r="D621" s="193"/>
      <c r="E621" s="193"/>
      <c r="F621" s="194"/>
      <c r="G621" s="196"/>
      <c r="H621" s="196"/>
      <c r="I621" s="196"/>
      <c r="J621" s="195"/>
      <c r="K621" s="232"/>
    </row>
    <row r="622" spans="1:11" x14ac:dyDescent="0.25">
      <c r="A622" s="192"/>
      <c r="B622" s="192"/>
      <c r="C622" s="193"/>
      <c r="D622" s="193"/>
      <c r="E622" s="193"/>
      <c r="F622" s="194"/>
      <c r="G622" s="196"/>
      <c r="H622" s="196"/>
      <c r="I622" s="196"/>
      <c r="J622" s="195"/>
      <c r="K622" s="232"/>
    </row>
    <row r="623" spans="1:11" x14ac:dyDescent="0.25">
      <c r="A623" s="192"/>
      <c r="B623" s="192"/>
      <c r="C623" s="193"/>
      <c r="D623" s="193"/>
      <c r="E623" s="193"/>
      <c r="F623" s="194"/>
      <c r="G623" s="196"/>
      <c r="H623" s="196"/>
      <c r="I623" s="196"/>
      <c r="J623" s="195"/>
      <c r="K623" s="232"/>
    </row>
    <row r="624" spans="1:11" x14ac:dyDescent="0.25">
      <c r="A624" s="192"/>
      <c r="B624" s="192"/>
      <c r="C624" s="193"/>
      <c r="D624" s="193"/>
      <c r="E624" s="193"/>
      <c r="F624" s="194"/>
      <c r="G624" s="196"/>
      <c r="H624" s="196"/>
      <c r="I624" s="196"/>
      <c r="J624" s="195"/>
      <c r="K624" s="232"/>
    </row>
    <row r="625" spans="1:11" x14ac:dyDescent="0.25">
      <c r="A625" s="192"/>
      <c r="B625" s="192"/>
      <c r="C625" s="193"/>
      <c r="D625" s="193"/>
      <c r="E625" s="193"/>
      <c r="F625" s="194"/>
      <c r="G625" s="196"/>
      <c r="H625" s="196"/>
      <c r="I625" s="196"/>
      <c r="J625" s="195"/>
      <c r="K625" s="232"/>
    </row>
    <row r="626" spans="1:11" x14ac:dyDescent="0.25">
      <c r="A626" s="192"/>
      <c r="B626" s="192"/>
      <c r="C626" s="193"/>
      <c r="D626" s="193"/>
      <c r="E626" s="193"/>
      <c r="F626" s="194"/>
      <c r="G626" s="196"/>
      <c r="H626" s="196"/>
      <c r="I626" s="196"/>
      <c r="J626" s="195"/>
      <c r="K626" s="232"/>
    </row>
    <row r="627" spans="1:11" x14ac:dyDescent="0.25">
      <c r="A627" s="192"/>
      <c r="B627" s="192"/>
      <c r="C627" s="193"/>
      <c r="D627" s="193"/>
      <c r="E627" s="193"/>
      <c r="F627" s="194"/>
      <c r="G627" s="196"/>
      <c r="H627" s="196"/>
      <c r="I627" s="196"/>
      <c r="J627" s="195"/>
      <c r="K627" s="232"/>
    </row>
    <row r="628" spans="1:11" x14ac:dyDescent="0.25">
      <c r="A628" s="192"/>
      <c r="B628" s="192"/>
      <c r="C628" s="193"/>
      <c r="D628" s="193"/>
      <c r="E628" s="193"/>
      <c r="F628" s="194"/>
      <c r="G628" s="196"/>
      <c r="H628" s="196"/>
      <c r="I628" s="196"/>
      <c r="J628" s="195"/>
      <c r="K628" s="232"/>
    </row>
    <row r="629" spans="1:11" x14ac:dyDescent="0.25">
      <c r="A629" s="192"/>
      <c r="B629" s="192"/>
      <c r="C629" s="193"/>
      <c r="D629" s="193"/>
      <c r="E629" s="193"/>
      <c r="F629" s="194"/>
      <c r="G629" s="196"/>
      <c r="H629" s="196"/>
      <c r="I629" s="196"/>
      <c r="J629" s="195"/>
      <c r="K629" s="232"/>
    </row>
    <row r="630" spans="1:11" x14ac:dyDescent="0.25">
      <c r="A630" s="192"/>
      <c r="B630" s="192"/>
      <c r="C630" s="193"/>
      <c r="D630" s="193"/>
      <c r="E630" s="193"/>
      <c r="F630" s="194"/>
      <c r="G630" s="196"/>
      <c r="H630" s="196"/>
      <c r="I630" s="196"/>
      <c r="J630" s="195"/>
      <c r="K630" s="232"/>
    </row>
    <row r="631" spans="1:11" x14ac:dyDescent="0.25">
      <c r="A631" s="192"/>
      <c r="B631" s="192"/>
      <c r="C631" s="193"/>
      <c r="D631" s="193"/>
      <c r="E631" s="193"/>
      <c r="F631" s="194"/>
      <c r="G631" s="196"/>
      <c r="H631" s="196"/>
      <c r="I631" s="196"/>
      <c r="J631" s="195"/>
      <c r="K631" s="232"/>
    </row>
    <row r="632" spans="1:11" x14ac:dyDescent="0.25">
      <c r="A632" s="192"/>
      <c r="B632" s="192"/>
      <c r="C632" s="193"/>
      <c r="D632" s="193"/>
      <c r="E632" s="193"/>
      <c r="F632" s="194"/>
      <c r="G632" s="196"/>
      <c r="H632" s="196"/>
      <c r="I632" s="196"/>
      <c r="J632" s="195"/>
      <c r="K632" s="232"/>
    </row>
    <row r="633" spans="1:11" x14ac:dyDescent="0.25">
      <c r="A633" s="192"/>
      <c r="B633" s="192"/>
      <c r="C633" s="193"/>
      <c r="D633" s="193"/>
      <c r="E633" s="193"/>
      <c r="F633" s="194"/>
      <c r="G633" s="196"/>
      <c r="H633" s="196"/>
      <c r="I633" s="196"/>
      <c r="J633" s="195"/>
      <c r="K633" s="232"/>
    </row>
    <row r="634" spans="1:11" x14ac:dyDescent="0.25">
      <c r="A634" s="192"/>
      <c r="B634" s="192"/>
      <c r="C634" s="193"/>
      <c r="D634" s="193"/>
      <c r="E634" s="193"/>
      <c r="F634" s="194"/>
      <c r="G634" s="196"/>
      <c r="H634" s="196"/>
      <c r="I634" s="196"/>
      <c r="J634" s="195"/>
      <c r="K634" s="232"/>
    </row>
    <row r="635" spans="1:11" x14ac:dyDescent="0.25">
      <c r="A635" s="192"/>
      <c r="B635" s="192"/>
      <c r="C635" s="193"/>
      <c r="D635" s="193"/>
      <c r="E635" s="193"/>
      <c r="F635" s="194"/>
      <c r="G635" s="196"/>
      <c r="H635" s="196"/>
      <c r="I635" s="196"/>
      <c r="J635" s="195"/>
      <c r="K635" s="232"/>
    </row>
    <row r="636" spans="1:11" x14ac:dyDescent="0.25">
      <c r="A636" s="192"/>
      <c r="B636" s="192"/>
      <c r="C636" s="193"/>
      <c r="D636" s="193"/>
      <c r="E636" s="193"/>
      <c r="F636" s="194"/>
      <c r="G636" s="196"/>
      <c r="H636" s="196"/>
      <c r="I636" s="196"/>
      <c r="J636" s="195"/>
      <c r="K636" s="232"/>
    </row>
    <row r="637" spans="1:11" x14ac:dyDescent="0.25">
      <c r="A637" s="192"/>
      <c r="B637" s="192"/>
      <c r="C637" s="193"/>
      <c r="D637" s="193"/>
      <c r="E637" s="193"/>
      <c r="F637" s="194"/>
      <c r="G637" s="196"/>
      <c r="H637" s="196"/>
      <c r="I637" s="196"/>
      <c r="J637" s="195"/>
      <c r="K637" s="232"/>
    </row>
    <row r="638" spans="1:11" x14ac:dyDescent="0.25">
      <c r="A638" s="192"/>
      <c r="B638" s="192"/>
      <c r="C638" s="193"/>
      <c r="D638" s="193"/>
      <c r="E638" s="193"/>
      <c r="F638" s="194"/>
      <c r="G638" s="196"/>
      <c r="H638" s="196"/>
      <c r="I638" s="196"/>
      <c r="J638" s="195"/>
      <c r="K638" s="232"/>
    </row>
    <row r="639" spans="1:11" x14ac:dyDescent="0.25">
      <c r="A639" s="192"/>
      <c r="B639" s="192"/>
      <c r="C639" s="193"/>
      <c r="D639" s="193"/>
      <c r="E639" s="193"/>
      <c r="F639" s="194"/>
      <c r="G639" s="196"/>
      <c r="H639" s="196"/>
      <c r="I639" s="196"/>
      <c r="J639" s="195"/>
      <c r="K639" s="232"/>
    </row>
    <row r="640" spans="1:11" x14ac:dyDescent="0.25">
      <c r="A640" s="192"/>
      <c r="B640" s="192"/>
      <c r="C640" s="193"/>
      <c r="D640" s="193"/>
      <c r="E640" s="193"/>
      <c r="F640" s="194"/>
      <c r="G640" s="196"/>
      <c r="H640" s="196"/>
      <c r="I640" s="196"/>
      <c r="J640" s="195"/>
      <c r="K640" s="232"/>
    </row>
    <row r="641" spans="1:11" x14ac:dyDescent="0.25">
      <c r="A641" s="192"/>
      <c r="B641" s="192"/>
      <c r="C641" s="193"/>
      <c r="D641" s="193"/>
      <c r="E641" s="193"/>
      <c r="F641" s="194"/>
      <c r="G641" s="196"/>
      <c r="H641" s="196"/>
      <c r="I641" s="196"/>
      <c r="J641" s="195"/>
      <c r="K641" s="232"/>
    </row>
    <row r="642" spans="1:11" x14ac:dyDescent="0.25">
      <c r="A642" s="192"/>
      <c r="B642" s="192"/>
      <c r="C642" s="193"/>
      <c r="D642" s="193"/>
      <c r="E642" s="193"/>
      <c r="F642" s="194"/>
      <c r="G642" s="196"/>
      <c r="H642" s="196"/>
      <c r="I642" s="196"/>
      <c r="J642" s="195"/>
      <c r="K642" s="232"/>
    </row>
    <row r="643" spans="1:11" x14ac:dyDescent="0.25">
      <c r="A643" s="192"/>
      <c r="B643" s="192"/>
      <c r="C643" s="193"/>
      <c r="D643" s="193"/>
      <c r="E643" s="193"/>
      <c r="F643" s="194"/>
      <c r="G643" s="196"/>
      <c r="H643" s="196"/>
      <c r="I643" s="196"/>
      <c r="J643" s="195"/>
      <c r="K643" s="232"/>
    </row>
    <row r="644" spans="1:11" x14ac:dyDescent="0.25">
      <c r="A644" s="192"/>
      <c r="B644" s="192"/>
      <c r="C644" s="193"/>
      <c r="D644" s="193"/>
      <c r="E644" s="193"/>
      <c r="F644" s="194"/>
      <c r="G644" s="196"/>
      <c r="H644" s="196"/>
      <c r="I644" s="196"/>
      <c r="J644" s="195"/>
      <c r="K644" s="232"/>
    </row>
    <row r="645" spans="1:11" x14ac:dyDescent="0.25">
      <c r="A645" s="192"/>
      <c r="B645" s="192"/>
      <c r="C645" s="193"/>
      <c r="D645" s="193"/>
      <c r="E645" s="193"/>
      <c r="F645" s="194"/>
      <c r="G645" s="196"/>
      <c r="H645" s="196"/>
      <c r="I645" s="196"/>
      <c r="J645" s="195"/>
      <c r="K645" s="232"/>
    </row>
    <row r="646" spans="1:11" x14ac:dyDescent="0.25">
      <c r="A646" s="192"/>
      <c r="B646" s="192"/>
      <c r="C646" s="193"/>
      <c r="D646" s="193"/>
      <c r="E646" s="193"/>
      <c r="F646" s="194"/>
      <c r="G646" s="196"/>
      <c r="H646" s="196"/>
      <c r="I646" s="196"/>
      <c r="J646" s="195"/>
      <c r="K646" s="232"/>
    </row>
    <row r="647" spans="1:11" x14ac:dyDescent="0.25">
      <c r="A647" s="192"/>
      <c r="B647" s="192"/>
      <c r="C647" s="193"/>
      <c r="D647" s="193"/>
      <c r="E647" s="193"/>
      <c r="F647" s="194"/>
      <c r="G647" s="196"/>
      <c r="H647" s="196"/>
      <c r="I647" s="196"/>
      <c r="J647" s="195"/>
      <c r="K647" s="232"/>
    </row>
    <row r="648" spans="1:11" x14ac:dyDescent="0.25">
      <c r="A648" s="192"/>
      <c r="B648" s="192"/>
      <c r="C648" s="193"/>
      <c r="D648" s="193"/>
      <c r="E648" s="193"/>
      <c r="F648" s="194"/>
      <c r="G648" s="196"/>
      <c r="H648" s="196"/>
      <c r="I648" s="196"/>
      <c r="J648" s="195"/>
      <c r="K648" s="232"/>
    </row>
    <row r="649" spans="1:11" x14ac:dyDescent="0.25">
      <c r="A649" s="192"/>
      <c r="B649" s="192"/>
      <c r="C649" s="193"/>
      <c r="D649" s="193"/>
      <c r="E649" s="193"/>
      <c r="F649" s="194"/>
      <c r="G649" s="196"/>
      <c r="H649" s="196"/>
      <c r="I649" s="196"/>
      <c r="J649" s="195"/>
      <c r="K649" s="232"/>
    </row>
    <row r="650" spans="1:11" x14ac:dyDescent="0.25">
      <c r="A650" s="192"/>
      <c r="B650" s="192"/>
      <c r="C650" s="193"/>
      <c r="D650" s="193"/>
      <c r="E650" s="193"/>
      <c r="F650" s="194"/>
      <c r="G650" s="196"/>
      <c r="H650" s="196"/>
      <c r="I650" s="196"/>
      <c r="J650" s="195"/>
      <c r="K650" s="232"/>
    </row>
    <row r="651" spans="1:11" x14ac:dyDescent="0.25">
      <c r="A651" s="192"/>
      <c r="B651" s="192"/>
      <c r="C651" s="193"/>
      <c r="D651" s="193"/>
      <c r="E651" s="193"/>
      <c r="F651" s="194"/>
      <c r="G651" s="196"/>
      <c r="H651" s="196"/>
      <c r="I651" s="196"/>
      <c r="J651" s="195"/>
      <c r="K651" s="232"/>
    </row>
    <row r="652" spans="1:11" x14ac:dyDescent="0.25">
      <c r="A652" s="192"/>
      <c r="B652" s="192"/>
      <c r="C652" s="193"/>
      <c r="D652" s="193"/>
      <c r="E652" s="193"/>
      <c r="F652" s="194"/>
      <c r="G652" s="196"/>
      <c r="H652" s="196"/>
      <c r="I652" s="196"/>
      <c r="J652" s="195"/>
      <c r="K652" s="232"/>
    </row>
    <row r="653" spans="1:11" x14ac:dyDescent="0.25">
      <c r="A653" s="192"/>
      <c r="B653" s="192"/>
      <c r="C653" s="193"/>
      <c r="D653" s="193"/>
      <c r="E653" s="193"/>
      <c r="F653" s="194"/>
      <c r="G653" s="196"/>
      <c r="H653" s="196"/>
      <c r="I653" s="196"/>
      <c r="J653" s="195"/>
      <c r="K653" s="232"/>
    </row>
    <row r="654" spans="1:11" x14ac:dyDescent="0.25">
      <c r="A654" s="192"/>
      <c r="B654" s="192"/>
      <c r="C654" s="193"/>
      <c r="D654" s="193"/>
      <c r="E654" s="193"/>
      <c r="F654" s="194"/>
      <c r="G654" s="196"/>
      <c r="H654" s="196"/>
      <c r="I654" s="196"/>
      <c r="J654" s="195"/>
      <c r="K654" s="232"/>
    </row>
    <row r="655" spans="1:11" x14ac:dyDescent="0.25">
      <c r="A655" s="192"/>
      <c r="B655" s="192"/>
      <c r="C655" s="193"/>
      <c r="D655" s="193"/>
      <c r="E655" s="193"/>
      <c r="F655" s="194"/>
      <c r="G655" s="196"/>
      <c r="H655" s="196"/>
      <c r="I655" s="196"/>
      <c r="J655" s="195"/>
      <c r="K655" s="232"/>
    </row>
    <row r="656" spans="1:11" x14ac:dyDescent="0.25">
      <c r="A656" s="192"/>
      <c r="B656" s="192"/>
      <c r="C656" s="193"/>
      <c r="D656" s="193"/>
      <c r="E656" s="193"/>
      <c r="F656" s="194"/>
      <c r="G656" s="196"/>
      <c r="H656" s="196"/>
      <c r="I656" s="196"/>
      <c r="J656" s="195"/>
      <c r="K656" s="232"/>
    </row>
    <row r="657" spans="1:11" x14ac:dyDescent="0.25">
      <c r="A657" s="192"/>
      <c r="B657" s="192"/>
      <c r="C657" s="193"/>
      <c r="D657" s="193"/>
      <c r="E657" s="193"/>
      <c r="F657" s="194"/>
      <c r="G657" s="196"/>
      <c r="H657" s="196"/>
      <c r="I657" s="196"/>
      <c r="J657" s="195"/>
      <c r="K657" s="232"/>
    </row>
    <row r="658" spans="1:11" x14ac:dyDescent="0.25">
      <c r="A658" s="192"/>
      <c r="B658" s="192"/>
      <c r="C658" s="193"/>
      <c r="D658" s="193"/>
      <c r="E658" s="193"/>
      <c r="F658" s="194"/>
      <c r="G658" s="196"/>
      <c r="H658" s="196"/>
      <c r="I658" s="196"/>
      <c r="J658" s="195"/>
      <c r="K658" s="232"/>
    </row>
  </sheetData>
  <dataValidations count="29">
    <dataValidation type="list" allowBlank="1" showInputMessage="1" showErrorMessage="1" sqref="M2 V2">
      <formula1>SKU_DomesticMC</formula1>
    </dataValidation>
    <dataValidation type="list" allowBlank="1" showInputMessage="1" showErrorMessage="1" sqref="M3 V3">
      <formula1>SKU_DomesticPNT</formula1>
    </dataValidation>
    <dataValidation type="list" allowBlank="1" showInputMessage="1" showErrorMessage="1" sqref="J2">
      <formula1>$T$1:$T$2</formula1>
    </dataValidation>
    <dataValidation type="list" allowBlank="1" showInputMessage="1" showErrorMessage="1" sqref="M4">
      <formula1>SKU_01</formula1>
    </dataValidation>
    <dataValidation type="list" allowBlank="1" showInputMessage="1" showErrorMessage="1" sqref="V4">
      <formula1>SKU_01</formula1>
    </dataValidation>
    <dataValidation type="list" allowBlank="1" showInputMessage="1" showErrorMessage="1" sqref="M5">
      <formula1>SKU_02</formula1>
    </dataValidation>
    <dataValidation type="list" allowBlank="1" showInputMessage="1" showErrorMessage="1" sqref="V5">
      <formula1>SKU_02</formula1>
    </dataValidation>
    <dataValidation type="list" allowBlank="1" showInputMessage="1" showErrorMessage="1" sqref="M6">
      <formula1>SKU_03</formula1>
    </dataValidation>
    <dataValidation type="list" allowBlank="1" showInputMessage="1" showErrorMessage="1" sqref="V6">
      <formula1>SKU_03</formula1>
    </dataValidation>
    <dataValidation type="list" allowBlank="1" showInputMessage="1" showErrorMessage="1" sqref="M7">
      <formula1>SKU_04</formula1>
    </dataValidation>
    <dataValidation type="list" allowBlank="1" showInputMessage="1" showErrorMessage="1" sqref="V7">
      <formula1>SKU_04</formula1>
    </dataValidation>
    <dataValidation type="list" allowBlank="1" showInputMessage="1" showErrorMessage="1" sqref="M8">
      <formula1>SKU_05</formula1>
    </dataValidation>
    <dataValidation type="list" allowBlank="1" showInputMessage="1" showErrorMessage="1" sqref="V8">
      <formula1>SKU_05</formula1>
    </dataValidation>
    <dataValidation type="list" allowBlank="1" showInputMessage="1" showErrorMessage="1" sqref="M9">
      <formula1>SKU_06</formula1>
    </dataValidation>
    <dataValidation type="list" allowBlank="1" showInputMessage="1" showErrorMessage="1" sqref="V9">
      <formula1>SKU_06</formula1>
    </dataValidation>
    <dataValidation type="list" allowBlank="1" showInputMessage="1" showErrorMessage="1" sqref="M10">
      <formula1>SKU_07</formula1>
    </dataValidation>
    <dataValidation type="list" allowBlank="1" showInputMessage="1" showErrorMessage="1" sqref="V10">
      <formula1>SKU_07</formula1>
    </dataValidation>
    <dataValidation type="list" allowBlank="1" showInputMessage="1" showErrorMessage="1" sqref="M11">
      <formula1>SKU_08</formula1>
    </dataValidation>
    <dataValidation type="list" allowBlank="1" showInputMessage="1" showErrorMessage="1" sqref="V11">
      <formula1>SKU_08</formula1>
    </dataValidation>
    <dataValidation type="list" allowBlank="1" showInputMessage="1" showErrorMessage="1" sqref="M12">
      <formula1>SKU_09</formula1>
    </dataValidation>
    <dataValidation type="list" allowBlank="1" showInputMessage="1" showErrorMessage="1" sqref="V12">
      <formula1>SKU_09</formula1>
    </dataValidation>
    <dataValidation type="list" allowBlank="1" showInputMessage="1" showErrorMessage="1" sqref="M13">
      <formula1>SKU_10</formula1>
    </dataValidation>
    <dataValidation type="list" allowBlank="1" showInputMessage="1" showErrorMessage="1" sqref="V13">
      <formula1>SKU_10</formula1>
    </dataValidation>
    <dataValidation type="list" allowBlank="1" showInputMessage="1" showErrorMessage="1" sqref="M14">
      <formula1>SKU_11</formula1>
    </dataValidation>
    <dataValidation type="list" allowBlank="1" showInputMessage="1" showErrorMessage="1" sqref="V14">
      <formula1>SKU_11</formula1>
    </dataValidation>
    <dataValidation type="list" allowBlank="1" showInputMessage="1" showErrorMessage="1" sqref="M15">
      <formula1>SKU_12</formula1>
    </dataValidation>
    <dataValidation type="list" allowBlank="1" showInputMessage="1" showErrorMessage="1" sqref="V15">
      <formula1>SKU_12</formula1>
    </dataValidation>
    <dataValidation type="list" allowBlank="1" showInputMessage="1" showErrorMessage="1" sqref="M16">
      <formula1>SKU_13</formula1>
    </dataValidation>
    <dataValidation type="list" allowBlank="1" showInputMessage="1" showErrorMessage="1" sqref="V16">
      <formula1>SKU_13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NewSKUForm">
                <anchor moveWithCells="1" sizeWithCells="1">
                  <from>
                    <xdr:col>22</xdr:col>
                    <xdr:colOff>323850</xdr:colOff>
                    <xdr:row>0</xdr:row>
                    <xdr:rowOff>828675</xdr:rowOff>
                  </from>
                  <to>
                    <xdr:col>24</xdr:col>
                    <xdr:colOff>266700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NewSchedule">
                <anchor moveWithCells="1" sizeWithCells="1">
                  <from>
                    <xdr:col>24</xdr:col>
                    <xdr:colOff>361950</xdr:colOff>
                    <xdr:row>0</xdr:row>
                    <xdr:rowOff>828675</xdr:rowOff>
                  </from>
                  <to>
                    <xdr:col>25</xdr:col>
                    <xdr:colOff>352425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Module2.EditDomesticDemand">
                <anchor moveWithCells="1" sizeWithCells="1">
                  <from>
                    <xdr:col>22</xdr:col>
                    <xdr:colOff>323850</xdr:colOff>
                    <xdr:row>4</xdr:row>
                    <xdr:rowOff>9525</xdr:rowOff>
                  </from>
                  <to>
                    <xdr:col>24</xdr:col>
                    <xdr:colOff>266700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7" name="Button 9">
              <controlPr defaultSize="0" print="0" autoFill="0" autoPict="0" macro="[0]!ManageDemandOptions">
                <anchor moveWithCells="1" sizeWithCells="1">
                  <from>
                    <xdr:col>24</xdr:col>
                    <xdr:colOff>361950</xdr:colOff>
                    <xdr:row>4</xdr:row>
                    <xdr:rowOff>9525</xdr:rowOff>
                  </from>
                  <to>
                    <xdr:col>25</xdr:col>
                    <xdr:colOff>352425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8" name="Button 10">
              <controlPr defaultSize="0" print="0" autoFill="0" autoPict="0" macro="[0]!InsertIncludedInputs">
                <anchor moveWithCells="1" sizeWithCells="1">
                  <from>
                    <xdr:col>22</xdr:col>
                    <xdr:colOff>323850</xdr:colOff>
                    <xdr:row>0</xdr:row>
                    <xdr:rowOff>228600</xdr:rowOff>
                  </from>
                  <to>
                    <xdr:col>25</xdr:col>
                    <xdr:colOff>352425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9" name="Button 21">
              <controlPr defaultSize="0" print="0" autoFill="0" autoPict="0" macro="[0]!GenerateA">
                <anchor moveWithCells="1" sizeWithCells="1">
                  <from>
                    <xdr:col>22</xdr:col>
                    <xdr:colOff>323850</xdr:colOff>
                    <xdr:row>8</xdr:row>
                    <xdr:rowOff>0</xdr:rowOff>
                  </from>
                  <to>
                    <xdr:col>24</xdr:col>
                    <xdr:colOff>266700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0" name="Button 22">
              <controlPr defaultSize="0" print="0" autoFill="0" autoPict="0" macro="[0]!GenerateB">
                <anchor moveWithCells="1" sizeWithCells="1">
                  <from>
                    <xdr:col>24</xdr:col>
                    <xdr:colOff>361950</xdr:colOff>
                    <xdr:row>8</xdr:row>
                    <xdr:rowOff>0</xdr:rowOff>
                  </from>
                  <to>
                    <xdr:col>25</xdr:col>
                    <xdr:colOff>352425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1" name="Button 23">
              <controlPr defaultSize="0" print="0" autoFill="0" autoPict="0" macro="[0]!GenerateC">
                <anchor moveWithCells="1" sizeWithCells="1">
                  <from>
                    <xdr:col>22</xdr:col>
                    <xdr:colOff>323850</xdr:colOff>
                    <xdr:row>11</xdr:row>
                    <xdr:rowOff>180975</xdr:rowOff>
                  </from>
                  <to>
                    <xdr:col>24</xdr:col>
                    <xdr:colOff>266700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2" name="Button 24">
              <controlPr defaultSize="0" print="0" autoFill="0" autoPict="0" macro="[0]!GenerateD">
                <anchor moveWithCells="1" sizeWithCells="1">
                  <from>
                    <xdr:col>24</xdr:col>
                    <xdr:colOff>361950</xdr:colOff>
                    <xdr:row>11</xdr:row>
                    <xdr:rowOff>171450</xdr:rowOff>
                  </from>
                  <to>
                    <xdr:col>25</xdr:col>
                    <xdr:colOff>352425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13" name="Button 25">
              <controlPr defaultSize="0" print="0" autoFill="0" autoPict="0" macro="[0]!AssignProbs">
                <anchor moveWithCells="1" sizeWithCells="1">
                  <from>
                    <xdr:col>22</xdr:col>
                    <xdr:colOff>323850</xdr:colOff>
                    <xdr:row>16</xdr:row>
                    <xdr:rowOff>9525</xdr:rowOff>
                  </from>
                  <to>
                    <xdr:col>25</xdr:col>
                    <xdr:colOff>352425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zoomScale="80" zoomScaleNormal="80" workbookViewId="0"/>
  </sheetViews>
  <sheetFormatPr defaultRowHeight="15" x14ac:dyDescent="0.25"/>
  <cols>
    <col min="1" max="1" width="11.140625" customWidth="1"/>
    <col min="3" max="3" width="12.42578125" customWidth="1"/>
    <col min="5" max="5" width="15.28515625" customWidth="1"/>
    <col min="7" max="7" width="14.7109375" customWidth="1"/>
    <col min="9" max="9" width="10.140625" customWidth="1"/>
    <col min="10" max="10" width="11.42578125" customWidth="1"/>
    <col min="12" max="12" width="17.42578125" customWidth="1"/>
    <col min="14" max="14" width="17.42578125" customWidth="1"/>
    <col min="16" max="16" width="17.42578125" customWidth="1"/>
    <col min="18" max="18" width="17.42578125" customWidth="1"/>
  </cols>
  <sheetData>
    <row r="1" spans="1:19" ht="72.75" customHeight="1" thickBot="1" x14ac:dyDescent="0.3">
      <c r="A1" s="241" t="s">
        <v>80</v>
      </c>
      <c r="B1" s="78">
        <v>65</v>
      </c>
      <c r="C1" s="241" t="s">
        <v>81</v>
      </c>
      <c r="D1" s="78">
        <v>40</v>
      </c>
      <c r="E1" s="241" t="s">
        <v>82</v>
      </c>
      <c r="F1" s="78">
        <v>40</v>
      </c>
      <c r="G1" s="241" t="s">
        <v>83</v>
      </c>
      <c r="H1" s="78">
        <v>80</v>
      </c>
      <c r="I1" s="70" t="s">
        <v>96</v>
      </c>
      <c r="J1" s="71">
        <v>3</v>
      </c>
      <c r="K1" s="239"/>
      <c r="L1" s="281" t="s">
        <v>141</v>
      </c>
      <c r="M1" s="282"/>
      <c r="N1" s="281" t="s">
        <v>142</v>
      </c>
      <c r="O1" s="282"/>
      <c r="P1" s="281" t="s">
        <v>143</v>
      </c>
      <c r="Q1" s="282"/>
      <c r="R1" s="281" t="s">
        <v>144</v>
      </c>
      <c r="S1" s="282"/>
    </row>
    <row r="2" spans="1:19" x14ac:dyDescent="0.25">
      <c r="A2" s="242" t="s">
        <v>72</v>
      </c>
      <c r="B2" s="172">
        <v>70</v>
      </c>
      <c r="C2" s="242" t="s">
        <v>72</v>
      </c>
      <c r="D2" s="243">
        <v>66</v>
      </c>
      <c r="E2" s="242" t="s">
        <v>72</v>
      </c>
      <c r="F2" s="243">
        <v>72</v>
      </c>
      <c r="G2" s="242" t="s">
        <v>72</v>
      </c>
      <c r="H2" s="243">
        <v>60</v>
      </c>
      <c r="I2" s="195"/>
      <c r="J2" s="195"/>
      <c r="K2" s="244"/>
      <c r="L2" s="242" t="s">
        <v>72</v>
      </c>
      <c r="M2" s="242">
        <f>B2*$B$1</f>
        <v>4550</v>
      </c>
      <c r="N2" s="242" t="s">
        <v>72</v>
      </c>
      <c r="O2" s="242">
        <f>D2*$D$1</f>
        <v>2640</v>
      </c>
      <c r="P2" s="242" t="s">
        <v>72</v>
      </c>
      <c r="Q2" s="242">
        <f>F2*$F$1</f>
        <v>2880</v>
      </c>
      <c r="R2" s="242" t="s">
        <v>72</v>
      </c>
      <c r="S2" s="242">
        <f>H2*$H$1</f>
        <v>4800</v>
      </c>
    </row>
    <row r="3" spans="1:19" x14ac:dyDescent="0.25">
      <c r="A3" s="40" t="s">
        <v>73</v>
      </c>
      <c r="B3" s="172">
        <v>45</v>
      </c>
      <c r="C3" s="40" t="s">
        <v>73</v>
      </c>
      <c r="D3" s="243">
        <v>50</v>
      </c>
      <c r="E3" s="40" t="s">
        <v>73</v>
      </c>
      <c r="F3" s="243">
        <v>74</v>
      </c>
      <c r="G3" s="40" t="s">
        <v>73</v>
      </c>
      <c r="H3" s="243">
        <v>64</v>
      </c>
      <c r="I3" s="195"/>
      <c r="J3" s="195"/>
      <c r="K3" s="244"/>
      <c r="L3" s="40" t="s">
        <v>73</v>
      </c>
      <c r="M3" s="40">
        <f t="shared" ref="M3:M10" si="0">B3*$B$1</f>
        <v>2925</v>
      </c>
      <c r="N3" s="40" t="s">
        <v>73</v>
      </c>
      <c r="O3" s="242">
        <f t="shared" ref="O3:O10" si="1">D3*$D$1</f>
        <v>2000</v>
      </c>
      <c r="P3" s="40" t="s">
        <v>73</v>
      </c>
      <c r="Q3" s="242">
        <f t="shared" ref="Q3:Q10" si="2">F3*$F$1</f>
        <v>2960</v>
      </c>
      <c r="R3" s="40" t="s">
        <v>73</v>
      </c>
      <c r="S3" s="242">
        <f t="shared" ref="S3:S10" si="3">H3*$H$1</f>
        <v>5120</v>
      </c>
    </row>
    <row r="4" spans="1:19" x14ac:dyDescent="0.25">
      <c r="A4" s="40" t="s">
        <v>74</v>
      </c>
      <c r="B4" s="172">
        <v>70</v>
      </c>
      <c r="C4" s="40" t="s">
        <v>74</v>
      </c>
      <c r="D4" s="243">
        <v>62</v>
      </c>
      <c r="E4" s="40" t="s">
        <v>74</v>
      </c>
      <c r="F4" s="243">
        <v>75</v>
      </c>
      <c r="G4" s="40" t="s">
        <v>74</v>
      </c>
      <c r="H4" s="243">
        <v>60</v>
      </c>
      <c r="I4" s="195"/>
      <c r="J4" s="195"/>
      <c r="K4" s="195"/>
      <c r="L4" s="40" t="s">
        <v>74</v>
      </c>
      <c r="M4" s="40">
        <f t="shared" si="0"/>
        <v>4550</v>
      </c>
      <c r="N4" s="40" t="s">
        <v>74</v>
      </c>
      <c r="O4" s="242">
        <f t="shared" si="1"/>
        <v>2480</v>
      </c>
      <c r="P4" s="40" t="s">
        <v>74</v>
      </c>
      <c r="Q4" s="242">
        <f t="shared" si="2"/>
        <v>3000</v>
      </c>
      <c r="R4" s="40" t="s">
        <v>74</v>
      </c>
      <c r="S4" s="242">
        <f t="shared" si="3"/>
        <v>4800</v>
      </c>
    </row>
    <row r="5" spans="1:19" x14ac:dyDescent="0.25">
      <c r="A5" s="40" t="s">
        <v>75</v>
      </c>
      <c r="B5" s="172">
        <v>66</v>
      </c>
      <c r="C5" s="40" t="s">
        <v>75</v>
      </c>
      <c r="D5" s="243">
        <v>65</v>
      </c>
      <c r="E5" s="40" t="s">
        <v>75</v>
      </c>
      <c r="F5" s="243">
        <v>67</v>
      </c>
      <c r="G5" s="40" t="s">
        <v>75</v>
      </c>
      <c r="H5" s="243">
        <v>60</v>
      </c>
      <c r="I5" s="195"/>
      <c r="J5" s="195"/>
      <c r="K5" s="195"/>
      <c r="L5" s="40" t="s">
        <v>75</v>
      </c>
      <c r="M5" s="40">
        <f t="shared" si="0"/>
        <v>4290</v>
      </c>
      <c r="N5" s="40" t="s">
        <v>75</v>
      </c>
      <c r="O5" s="242">
        <f t="shared" si="1"/>
        <v>2600</v>
      </c>
      <c r="P5" s="40" t="s">
        <v>75</v>
      </c>
      <c r="Q5" s="242">
        <f t="shared" si="2"/>
        <v>2680</v>
      </c>
      <c r="R5" s="40" t="s">
        <v>75</v>
      </c>
      <c r="S5" s="242">
        <f t="shared" si="3"/>
        <v>4800</v>
      </c>
    </row>
    <row r="6" spans="1:19" x14ac:dyDescent="0.25">
      <c r="A6" s="40" t="s">
        <v>76</v>
      </c>
      <c r="B6" s="172">
        <v>65</v>
      </c>
      <c r="C6" s="40" t="s">
        <v>76</v>
      </c>
      <c r="D6" s="243">
        <v>60</v>
      </c>
      <c r="E6" s="40" t="s">
        <v>76</v>
      </c>
      <c r="F6" s="243">
        <v>51</v>
      </c>
      <c r="G6" s="40" t="s">
        <v>76</v>
      </c>
      <c r="H6" s="243">
        <v>59</v>
      </c>
      <c r="I6" s="195"/>
      <c r="J6" s="195"/>
      <c r="K6" s="195"/>
      <c r="L6" s="40" t="s">
        <v>76</v>
      </c>
      <c r="M6" s="40">
        <f t="shared" si="0"/>
        <v>4225</v>
      </c>
      <c r="N6" s="40" t="s">
        <v>76</v>
      </c>
      <c r="O6" s="242">
        <f t="shared" si="1"/>
        <v>2400</v>
      </c>
      <c r="P6" s="40" t="s">
        <v>76</v>
      </c>
      <c r="Q6" s="242">
        <f t="shared" si="2"/>
        <v>2040</v>
      </c>
      <c r="R6" s="40" t="s">
        <v>76</v>
      </c>
      <c r="S6" s="242">
        <f t="shared" si="3"/>
        <v>4720</v>
      </c>
    </row>
    <row r="7" spans="1:19" x14ac:dyDescent="0.25">
      <c r="A7" s="40" t="s">
        <v>77</v>
      </c>
      <c r="B7" s="172">
        <v>69</v>
      </c>
      <c r="C7" s="40" t="s">
        <v>77</v>
      </c>
      <c r="D7" s="243">
        <v>78</v>
      </c>
      <c r="E7" s="40" t="s">
        <v>77</v>
      </c>
      <c r="F7" s="243">
        <v>69</v>
      </c>
      <c r="G7" s="40" t="s">
        <v>77</v>
      </c>
      <c r="H7" s="243">
        <v>62</v>
      </c>
      <c r="I7" s="195"/>
      <c r="J7" s="195"/>
      <c r="K7" s="195"/>
      <c r="L7" s="40" t="s">
        <v>77</v>
      </c>
      <c r="M7" s="40">
        <f t="shared" si="0"/>
        <v>4485</v>
      </c>
      <c r="N7" s="40" t="s">
        <v>77</v>
      </c>
      <c r="O7" s="242">
        <f t="shared" si="1"/>
        <v>3120</v>
      </c>
      <c r="P7" s="40" t="s">
        <v>77</v>
      </c>
      <c r="Q7" s="242">
        <f t="shared" si="2"/>
        <v>2760</v>
      </c>
      <c r="R7" s="40" t="s">
        <v>77</v>
      </c>
      <c r="S7" s="242">
        <f t="shared" si="3"/>
        <v>4960</v>
      </c>
    </row>
    <row r="8" spans="1:19" x14ac:dyDescent="0.25">
      <c r="A8" s="40" t="s">
        <v>78</v>
      </c>
      <c r="B8" s="172">
        <v>66</v>
      </c>
      <c r="C8" s="40" t="s">
        <v>78</v>
      </c>
      <c r="D8" s="243">
        <v>69</v>
      </c>
      <c r="E8" s="40" t="s">
        <v>78</v>
      </c>
      <c r="F8" s="243">
        <v>65</v>
      </c>
      <c r="G8" s="40" t="s">
        <v>78</v>
      </c>
      <c r="H8" s="243">
        <v>58</v>
      </c>
      <c r="I8" s="195"/>
      <c r="J8" s="195"/>
      <c r="K8" s="195"/>
      <c r="L8" s="40" t="s">
        <v>78</v>
      </c>
      <c r="M8" s="40">
        <f t="shared" si="0"/>
        <v>4290</v>
      </c>
      <c r="N8" s="40" t="s">
        <v>78</v>
      </c>
      <c r="O8" s="242">
        <f t="shared" si="1"/>
        <v>2760</v>
      </c>
      <c r="P8" s="40" t="s">
        <v>78</v>
      </c>
      <c r="Q8" s="242">
        <f t="shared" si="2"/>
        <v>2600</v>
      </c>
      <c r="R8" s="40" t="s">
        <v>78</v>
      </c>
      <c r="S8" s="242">
        <f t="shared" si="3"/>
        <v>4640</v>
      </c>
    </row>
    <row r="9" spans="1:19" x14ac:dyDescent="0.25">
      <c r="A9" s="40" t="s">
        <v>79</v>
      </c>
      <c r="B9" s="172">
        <v>69</v>
      </c>
      <c r="C9" s="40" t="s">
        <v>79</v>
      </c>
      <c r="D9" s="243">
        <v>71</v>
      </c>
      <c r="E9" s="40" t="s">
        <v>79</v>
      </c>
      <c r="F9" s="243">
        <v>69</v>
      </c>
      <c r="G9" s="40" t="s">
        <v>79</v>
      </c>
      <c r="H9" s="243">
        <v>55</v>
      </c>
      <c r="I9" s="195"/>
      <c r="J9" s="195"/>
      <c r="K9" s="195"/>
      <c r="L9" s="40" t="s">
        <v>79</v>
      </c>
      <c r="M9" s="40">
        <f t="shared" si="0"/>
        <v>4485</v>
      </c>
      <c r="N9" s="40" t="s">
        <v>79</v>
      </c>
      <c r="O9" s="242">
        <f t="shared" si="1"/>
        <v>2840</v>
      </c>
      <c r="P9" s="40" t="s">
        <v>79</v>
      </c>
      <c r="Q9" s="242">
        <f t="shared" si="2"/>
        <v>2760</v>
      </c>
      <c r="R9" s="40" t="s">
        <v>79</v>
      </c>
      <c r="S9" s="242">
        <f t="shared" si="3"/>
        <v>4400</v>
      </c>
    </row>
    <row r="10" spans="1:19" x14ac:dyDescent="0.25">
      <c r="A10" s="40" t="s">
        <v>113</v>
      </c>
      <c r="B10" s="172">
        <v>52</v>
      </c>
      <c r="C10" s="40" t="s">
        <v>113</v>
      </c>
      <c r="D10" s="243">
        <v>55</v>
      </c>
      <c r="E10" s="40" t="s">
        <v>113</v>
      </c>
      <c r="F10" s="243">
        <v>70</v>
      </c>
      <c r="G10" s="40" t="s">
        <v>113</v>
      </c>
      <c r="H10" s="243">
        <v>61</v>
      </c>
      <c r="I10" s="239"/>
      <c r="J10" s="239"/>
      <c r="K10" s="239"/>
      <c r="L10" s="40" t="s">
        <v>113</v>
      </c>
      <c r="M10" s="40">
        <f t="shared" si="0"/>
        <v>3380</v>
      </c>
      <c r="N10" s="40" t="s">
        <v>113</v>
      </c>
      <c r="O10" s="242">
        <f t="shared" si="1"/>
        <v>2200</v>
      </c>
      <c r="P10" s="40" t="s">
        <v>113</v>
      </c>
      <c r="Q10" s="242">
        <f t="shared" si="2"/>
        <v>2800</v>
      </c>
      <c r="R10" s="40" t="s">
        <v>113</v>
      </c>
      <c r="S10" s="242">
        <f t="shared" si="3"/>
        <v>4880</v>
      </c>
    </row>
    <row r="11" spans="1:19" x14ac:dyDescent="0.25">
      <c r="A11" s="239"/>
      <c r="B11" s="239"/>
      <c r="C11" s="239"/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</row>
  </sheetData>
  <mergeCells count="4">
    <mergeCell ref="L1:M1"/>
    <mergeCell ref="N1:O1"/>
    <mergeCell ref="P1:Q1"/>
    <mergeCell ref="R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opulateShifts">
                <anchor moveWithCells="1" sizeWithCells="1">
                  <from>
                    <xdr:col>2</xdr:col>
                    <xdr:colOff>485775</xdr:colOff>
                    <xdr:row>12</xdr:row>
                    <xdr:rowOff>19050</xdr:rowOff>
                  </from>
                  <to>
                    <xdr:col>4</xdr:col>
                    <xdr:colOff>628650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autoPageBreaks="0"/>
  </sheetPr>
  <dimension ref="A1:W77"/>
  <sheetViews>
    <sheetView zoomScale="70" zoomScaleNormal="70" workbookViewId="0"/>
  </sheetViews>
  <sheetFormatPr defaultColWidth="12.85546875" defaultRowHeight="15" x14ac:dyDescent="0.25"/>
  <cols>
    <col min="1" max="1" width="17.140625" style="170" bestFit="1" customWidth="1"/>
    <col min="2" max="6" width="12.85546875" style="170"/>
    <col min="7" max="9" width="17.7109375" style="170" customWidth="1"/>
    <col min="11" max="11" width="12.7109375" style="13" customWidth="1"/>
    <col min="12" max="12" width="8.28515625" style="13" customWidth="1"/>
    <col min="13" max="13" width="12.85546875" style="13"/>
    <col min="14" max="14" width="8" customWidth="1"/>
    <col min="15" max="15" width="14.7109375" style="13" customWidth="1"/>
    <col min="16" max="16" width="7.28515625" style="13" customWidth="1"/>
    <col min="17" max="17" width="13.85546875" style="13" customWidth="1"/>
    <col min="18" max="18" width="7.28515625" style="13" customWidth="1"/>
    <col min="19" max="19" width="12.85546875" style="13"/>
    <col min="20" max="20" width="14" style="13" customWidth="1"/>
    <col min="21" max="21" width="16.7109375" style="13" bestFit="1" customWidth="1"/>
    <col min="22" max="22" width="17.28515625" customWidth="1"/>
    <col min="23" max="23" width="12.85546875" customWidth="1"/>
  </cols>
  <sheetData>
    <row r="1" spans="1:23" s="60" customFormat="1" ht="75.75" thickBot="1" x14ac:dyDescent="0.3">
      <c r="A1" s="180" t="s">
        <v>30</v>
      </c>
      <c r="B1" s="180" t="s">
        <v>61</v>
      </c>
      <c r="C1" s="180" t="s">
        <v>41</v>
      </c>
      <c r="D1" s="180" t="s">
        <v>58</v>
      </c>
      <c r="E1" s="180" t="s">
        <v>57</v>
      </c>
      <c r="F1" s="180" t="s">
        <v>42</v>
      </c>
      <c r="G1" s="180" t="s">
        <v>25</v>
      </c>
      <c r="H1" s="180" t="s">
        <v>27</v>
      </c>
      <c r="I1" s="180" t="s">
        <v>26</v>
      </c>
      <c r="J1" s="59"/>
      <c r="K1" s="76" t="s">
        <v>80</v>
      </c>
      <c r="L1" s="78">
        <v>65</v>
      </c>
      <c r="M1" s="76" t="s">
        <v>81</v>
      </c>
      <c r="N1" s="78">
        <v>40</v>
      </c>
      <c r="O1" s="76" t="s">
        <v>82</v>
      </c>
      <c r="P1" s="78">
        <v>40</v>
      </c>
      <c r="Q1" s="76" t="s">
        <v>83</v>
      </c>
      <c r="R1" s="78">
        <v>80</v>
      </c>
      <c r="S1" s="70" t="s">
        <v>96</v>
      </c>
      <c r="T1" s="71">
        <v>3</v>
      </c>
      <c r="V1" s="42"/>
      <c r="W1" s="42"/>
    </row>
    <row r="2" spans="1:23" ht="15" customHeight="1" x14ac:dyDescent="0.25">
      <c r="A2" s="182" t="s">
        <v>88</v>
      </c>
      <c r="B2" s="182" t="s">
        <v>62</v>
      </c>
      <c r="C2" s="39">
        <v>57437.19999999999</v>
      </c>
      <c r="D2" s="39" t="s">
        <v>55</v>
      </c>
      <c r="E2" s="39" t="s">
        <v>55</v>
      </c>
      <c r="F2" s="173">
        <v>6975.18</v>
      </c>
      <c r="G2" s="43">
        <v>0.3</v>
      </c>
      <c r="H2" s="43">
        <v>0.3</v>
      </c>
      <c r="I2" s="43">
        <v>1</v>
      </c>
      <c r="J2" s="19"/>
      <c r="K2" s="17" t="s">
        <v>72</v>
      </c>
      <c r="L2" s="77">
        <v>70</v>
      </c>
      <c r="M2" s="17" t="s">
        <v>72</v>
      </c>
      <c r="N2" s="17">
        <v>66</v>
      </c>
      <c r="O2" s="17" t="s">
        <v>72</v>
      </c>
      <c r="P2" s="17">
        <v>72</v>
      </c>
      <c r="Q2" s="17" t="s">
        <v>72</v>
      </c>
      <c r="R2" s="17">
        <v>60</v>
      </c>
      <c r="S2" s="7"/>
      <c r="T2" s="7"/>
      <c r="U2" s="9"/>
      <c r="V2" s="13"/>
      <c r="W2" s="13"/>
    </row>
    <row r="3" spans="1:23" ht="15" customHeight="1" x14ac:dyDescent="0.25">
      <c r="A3" s="182" t="s">
        <v>89</v>
      </c>
      <c r="B3" s="182" t="s">
        <v>87</v>
      </c>
      <c r="C3" s="39">
        <v>64164.9</v>
      </c>
      <c r="D3" s="39" t="s">
        <v>55</v>
      </c>
      <c r="E3" s="39" t="s">
        <v>55</v>
      </c>
      <c r="F3" s="174">
        <v>7312.72</v>
      </c>
      <c r="G3" s="43">
        <v>0.3</v>
      </c>
      <c r="H3" s="43">
        <v>0.3</v>
      </c>
      <c r="I3" s="43">
        <v>1</v>
      </c>
      <c r="J3" s="19"/>
      <c r="K3" s="61" t="s">
        <v>73</v>
      </c>
      <c r="L3" s="77">
        <v>45</v>
      </c>
      <c r="M3" s="61" t="s">
        <v>73</v>
      </c>
      <c r="N3" s="17">
        <v>50</v>
      </c>
      <c r="O3" s="61" t="s">
        <v>73</v>
      </c>
      <c r="P3" s="17">
        <v>74</v>
      </c>
      <c r="Q3" s="61" t="s">
        <v>73</v>
      </c>
      <c r="R3" s="17">
        <v>64</v>
      </c>
      <c r="S3" s="7"/>
      <c r="T3" s="7"/>
      <c r="U3" s="9"/>
      <c r="V3" s="13"/>
      <c r="W3" s="13"/>
    </row>
    <row r="4" spans="1:23" ht="15" customHeight="1" x14ac:dyDescent="0.25">
      <c r="A4" s="182" t="s">
        <v>9</v>
      </c>
      <c r="B4" s="182" t="s">
        <v>62</v>
      </c>
      <c r="C4" s="39">
        <v>658.3155427338877</v>
      </c>
      <c r="D4" s="39" t="s">
        <v>55</v>
      </c>
      <c r="E4" s="39" t="s">
        <v>55</v>
      </c>
      <c r="F4" s="174">
        <v>6864.3</v>
      </c>
      <c r="G4" s="43">
        <v>0.3</v>
      </c>
      <c r="H4" s="43">
        <v>0.5</v>
      </c>
      <c r="I4" s="43">
        <v>1</v>
      </c>
      <c r="J4" s="19"/>
      <c r="K4" s="61" t="s">
        <v>74</v>
      </c>
      <c r="L4" s="77">
        <v>70</v>
      </c>
      <c r="M4" s="61" t="s">
        <v>74</v>
      </c>
      <c r="N4" s="17">
        <v>62</v>
      </c>
      <c r="O4" s="61" t="s">
        <v>74</v>
      </c>
      <c r="P4" s="17">
        <v>75</v>
      </c>
      <c r="Q4" s="61" t="s">
        <v>74</v>
      </c>
      <c r="R4" s="17">
        <v>60</v>
      </c>
      <c r="S4" s="7"/>
      <c r="T4" s="7"/>
      <c r="U4" s="7"/>
      <c r="V4" s="13"/>
    </row>
    <row r="5" spans="1:23" ht="15" customHeight="1" x14ac:dyDescent="0.25">
      <c r="A5" s="182" t="s">
        <v>10</v>
      </c>
      <c r="B5" s="182" t="s">
        <v>62</v>
      </c>
      <c r="C5" s="39">
        <v>426.40906924000001</v>
      </c>
      <c r="D5" s="39" t="s">
        <v>55</v>
      </c>
      <c r="E5" s="39" t="s">
        <v>55</v>
      </c>
      <c r="F5" s="174">
        <v>6861.06</v>
      </c>
      <c r="G5" s="43">
        <v>0.3</v>
      </c>
      <c r="H5" s="43">
        <v>0.5</v>
      </c>
      <c r="I5" s="43">
        <v>1</v>
      </c>
      <c r="J5" s="19"/>
      <c r="K5" s="61" t="s">
        <v>75</v>
      </c>
      <c r="L5" s="77">
        <v>66</v>
      </c>
      <c r="M5" s="61" t="s">
        <v>75</v>
      </c>
      <c r="N5" s="17">
        <v>65</v>
      </c>
      <c r="O5" s="61" t="s">
        <v>75</v>
      </c>
      <c r="P5" s="17">
        <v>67</v>
      </c>
      <c r="Q5" s="61" t="s">
        <v>75</v>
      </c>
      <c r="R5" s="17">
        <v>60</v>
      </c>
      <c r="S5" s="7"/>
      <c r="T5" s="7"/>
      <c r="U5" s="7"/>
      <c r="V5" s="13"/>
    </row>
    <row r="6" spans="1:23" ht="15" customHeight="1" x14ac:dyDescent="0.25">
      <c r="A6" s="182" t="s">
        <v>11</v>
      </c>
      <c r="B6" s="182" t="s">
        <v>62</v>
      </c>
      <c r="C6" s="39">
        <v>242.92557031683594</v>
      </c>
      <c r="D6" s="39" t="s">
        <v>55</v>
      </c>
      <c r="E6" s="39" t="s">
        <v>55</v>
      </c>
      <c r="F6" s="174">
        <v>8709.06</v>
      </c>
      <c r="G6" s="43">
        <v>0.3</v>
      </c>
      <c r="H6" s="43">
        <v>0.5</v>
      </c>
      <c r="I6" s="43">
        <v>1</v>
      </c>
      <c r="J6" s="19"/>
      <c r="K6" s="61" t="s">
        <v>76</v>
      </c>
      <c r="L6" s="77">
        <v>65</v>
      </c>
      <c r="M6" s="61" t="s">
        <v>76</v>
      </c>
      <c r="N6" s="17">
        <v>60</v>
      </c>
      <c r="O6" s="61" t="s">
        <v>76</v>
      </c>
      <c r="P6" s="17">
        <v>51</v>
      </c>
      <c r="Q6" s="61" t="s">
        <v>76</v>
      </c>
      <c r="R6" s="17">
        <v>59</v>
      </c>
      <c r="S6" s="7"/>
      <c r="T6" s="7"/>
      <c r="U6" s="7"/>
      <c r="V6" s="13"/>
    </row>
    <row r="7" spans="1:23" ht="15" customHeight="1" x14ac:dyDescent="0.25">
      <c r="A7" s="182" t="s">
        <v>12</v>
      </c>
      <c r="B7" s="182" t="s">
        <v>62</v>
      </c>
      <c r="C7" s="39">
        <v>240.81962240162409</v>
      </c>
      <c r="D7" s="39" t="s">
        <v>55</v>
      </c>
      <c r="E7" s="39" t="s">
        <v>55</v>
      </c>
      <c r="F7" s="174">
        <v>8709.36</v>
      </c>
      <c r="G7" s="43">
        <v>0.3</v>
      </c>
      <c r="H7" s="43">
        <v>0.5</v>
      </c>
      <c r="I7" s="43">
        <v>1</v>
      </c>
      <c r="J7" s="19"/>
      <c r="K7" s="61" t="s">
        <v>77</v>
      </c>
      <c r="L7" s="77">
        <v>69</v>
      </c>
      <c r="M7" s="61" t="s">
        <v>77</v>
      </c>
      <c r="N7" s="17">
        <v>78</v>
      </c>
      <c r="O7" s="61" t="s">
        <v>77</v>
      </c>
      <c r="P7" s="17">
        <v>69</v>
      </c>
      <c r="Q7" s="61" t="s">
        <v>77</v>
      </c>
      <c r="R7" s="17">
        <v>62</v>
      </c>
      <c r="S7" s="7"/>
      <c r="T7" s="7"/>
      <c r="U7" s="7"/>
      <c r="V7" s="13"/>
    </row>
    <row r="8" spans="1:23" ht="15" customHeight="1" x14ac:dyDescent="0.25">
      <c r="A8" s="182" t="s">
        <v>13</v>
      </c>
      <c r="B8" s="182" t="s">
        <v>62</v>
      </c>
      <c r="C8" s="39">
        <v>108.14458796882006</v>
      </c>
      <c r="D8" s="39" t="s">
        <v>55</v>
      </c>
      <c r="E8" s="39" t="s">
        <v>55</v>
      </c>
      <c r="F8" s="174">
        <v>7828.8</v>
      </c>
      <c r="G8" s="43">
        <v>0.3</v>
      </c>
      <c r="H8" s="43">
        <v>0.5</v>
      </c>
      <c r="I8" s="43">
        <v>1</v>
      </c>
      <c r="J8" s="19"/>
      <c r="K8" s="61" t="s">
        <v>78</v>
      </c>
      <c r="L8" s="77">
        <v>66</v>
      </c>
      <c r="M8" s="61" t="s">
        <v>78</v>
      </c>
      <c r="N8" s="17">
        <v>69</v>
      </c>
      <c r="O8" s="61" t="s">
        <v>78</v>
      </c>
      <c r="P8" s="17">
        <v>65</v>
      </c>
      <c r="Q8" s="61" t="s">
        <v>78</v>
      </c>
      <c r="R8" s="17">
        <v>58</v>
      </c>
      <c r="S8" s="7"/>
      <c r="T8" s="7"/>
      <c r="U8" s="7"/>
    </row>
    <row r="9" spans="1:23" ht="15" customHeight="1" x14ac:dyDescent="0.25">
      <c r="A9" s="182" t="s">
        <v>14</v>
      </c>
      <c r="B9" s="182" t="s">
        <v>62</v>
      </c>
      <c r="C9" s="39">
        <v>660.70706222049796</v>
      </c>
      <c r="D9" s="39" t="s">
        <v>55</v>
      </c>
      <c r="E9" s="39" t="s">
        <v>55</v>
      </c>
      <c r="F9" s="175">
        <v>7406.06</v>
      </c>
      <c r="G9" s="43">
        <v>0.3</v>
      </c>
      <c r="H9" s="43">
        <v>0.5</v>
      </c>
      <c r="I9" s="43">
        <v>1</v>
      </c>
      <c r="J9" s="19"/>
      <c r="K9" s="61" t="s">
        <v>79</v>
      </c>
      <c r="L9" s="77">
        <v>69</v>
      </c>
      <c r="M9" s="61" t="s">
        <v>79</v>
      </c>
      <c r="N9" s="17">
        <v>71</v>
      </c>
      <c r="O9" s="61" t="s">
        <v>79</v>
      </c>
      <c r="P9" s="17">
        <v>69</v>
      </c>
      <c r="Q9" s="61" t="s">
        <v>79</v>
      </c>
      <c r="R9" s="17">
        <v>55</v>
      </c>
      <c r="S9" s="7"/>
      <c r="T9" s="7"/>
      <c r="U9" s="7"/>
    </row>
    <row r="10" spans="1:23" ht="15" customHeight="1" x14ac:dyDescent="0.25">
      <c r="A10" s="182" t="s">
        <v>111</v>
      </c>
      <c r="B10" s="182" t="s">
        <v>62</v>
      </c>
      <c r="C10" s="39">
        <v>110.3</v>
      </c>
      <c r="D10" s="39" t="s">
        <v>55</v>
      </c>
      <c r="E10" s="39" t="s">
        <v>55</v>
      </c>
      <c r="F10" s="174">
        <v>6915.11</v>
      </c>
      <c r="G10" s="43">
        <v>0.3</v>
      </c>
      <c r="H10" s="43">
        <v>0.5</v>
      </c>
      <c r="I10" s="43">
        <v>1</v>
      </c>
      <c r="J10" s="19"/>
      <c r="K10" s="61" t="s">
        <v>113</v>
      </c>
      <c r="L10" s="77">
        <v>52</v>
      </c>
      <c r="M10" s="61" t="s">
        <v>113</v>
      </c>
      <c r="N10" s="17">
        <v>55</v>
      </c>
      <c r="O10" s="61" t="s">
        <v>113</v>
      </c>
      <c r="P10" s="17">
        <v>70</v>
      </c>
      <c r="Q10" s="61" t="s">
        <v>113</v>
      </c>
      <c r="R10" s="17">
        <v>61</v>
      </c>
    </row>
    <row r="11" spans="1:23" ht="15" customHeight="1" x14ac:dyDescent="0.25">
      <c r="A11" s="182" t="s">
        <v>22</v>
      </c>
      <c r="B11" s="182" t="s">
        <v>87</v>
      </c>
      <c r="C11" s="39">
        <v>584.4</v>
      </c>
      <c r="D11" s="39" t="s">
        <v>55</v>
      </c>
      <c r="E11" s="39" t="s">
        <v>55</v>
      </c>
      <c r="F11" s="174">
        <v>6864.3</v>
      </c>
      <c r="G11" s="43">
        <v>0.3</v>
      </c>
      <c r="H11" s="43">
        <v>0.5</v>
      </c>
      <c r="I11" s="43">
        <v>1</v>
      </c>
      <c r="J11" s="19"/>
      <c r="N11" s="13"/>
    </row>
    <row r="12" spans="1:23" ht="15" customHeight="1" x14ac:dyDescent="0.25">
      <c r="A12" s="182" t="s">
        <v>23</v>
      </c>
      <c r="B12" s="182" t="s">
        <v>87</v>
      </c>
      <c r="C12" s="39">
        <v>363</v>
      </c>
      <c r="D12" s="39" t="s">
        <v>55</v>
      </c>
      <c r="E12" s="39" t="s">
        <v>55</v>
      </c>
      <c r="F12" s="175">
        <v>6861.06</v>
      </c>
      <c r="G12" s="43">
        <v>0.3</v>
      </c>
      <c r="H12" s="43">
        <v>0.5</v>
      </c>
      <c r="I12" s="43">
        <v>1</v>
      </c>
      <c r="J12" s="19"/>
      <c r="N12" s="13"/>
      <c r="W12" s="4"/>
    </row>
    <row r="13" spans="1:23" ht="15" customHeight="1" x14ac:dyDescent="0.25">
      <c r="A13" s="182" t="s">
        <v>108</v>
      </c>
      <c r="B13" s="182" t="s">
        <v>87</v>
      </c>
      <c r="C13" s="39">
        <v>98.9</v>
      </c>
      <c r="D13" s="39" t="s">
        <v>55</v>
      </c>
      <c r="E13" s="39" t="s">
        <v>55</v>
      </c>
      <c r="F13" s="174">
        <v>8825.7800000000007</v>
      </c>
      <c r="G13" s="43">
        <v>0.3</v>
      </c>
      <c r="H13" s="43">
        <v>0.5</v>
      </c>
      <c r="I13" s="43">
        <v>1</v>
      </c>
      <c r="J13" s="19"/>
      <c r="N13" s="13"/>
    </row>
    <row r="14" spans="1:23" ht="15" customHeight="1" x14ac:dyDescent="0.25">
      <c r="A14" s="182" t="s">
        <v>24</v>
      </c>
      <c r="B14" s="182" t="s">
        <v>87</v>
      </c>
      <c r="C14" s="39">
        <v>167.89999999999998</v>
      </c>
      <c r="D14" s="39" t="s">
        <v>55</v>
      </c>
      <c r="E14" s="39" t="s">
        <v>55</v>
      </c>
      <c r="F14" s="175">
        <v>7252.57</v>
      </c>
      <c r="G14" s="43">
        <v>0.3</v>
      </c>
      <c r="H14" s="43">
        <v>0.5</v>
      </c>
      <c r="I14" s="43">
        <v>1</v>
      </c>
      <c r="J14" s="19"/>
      <c r="N14" s="13"/>
    </row>
    <row r="15" spans="1:23" ht="15" customHeight="1" x14ac:dyDescent="0.25">
      <c r="A15" s="182" t="s">
        <v>109</v>
      </c>
      <c r="B15" s="182" t="s">
        <v>87</v>
      </c>
      <c r="C15" s="39">
        <v>493.5</v>
      </c>
      <c r="D15" s="39" t="s">
        <v>55</v>
      </c>
      <c r="E15" s="39" t="s">
        <v>55</v>
      </c>
      <c r="F15" s="175">
        <v>6656.96</v>
      </c>
      <c r="G15" s="43">
        <v>0.3</v>
      </c>
      <c r="H15" s="43">
        <v>0.5</v>
      </c>
      <c r="I15" s="43">
        <v>1</v>
      </c>
      <c r="J15" s="19"/>
      <c r="N15" s="13"/>
    </row>
    <row r="16" spans="1:23" ht="15" customHeight="1" x14ac:dyDescent="0.25">
      <c r="A16" s="182" t="s">
        <v>110</v>
      </c>
      <c r="B16" s="182" t="s">
        <v>87</v>
      </c>
      <c r="C16" s="39">
        <v>137.6</v>
      </c>
      <c r="D16" s="39" t="s">
        <v>55</v>
      </c>
      <c r="E16" s="39" t="s">
        <v>55</v>
      </c>
      <c r="F16" s="173">
        <v>9137.35</v>
      </c>
      <c r="G16" s="43">
        <v>0.3</v>
      </c>
      <c r="H16" s="43">
        <v>0.5</v>
      </c>
      <c r="I16" s="43">
        <v>1</v>
      </c>
      <c r="J16" s="19"/>
      <c r="N16" s="13"/>
    </row>
    <row r="17" spans="1:20" ht="15" customHeight="1" x14ac:dyDescent="0.25">
      <c r="A17" s="40"/>
      <c r="B17" s="40"/>
      <c r="C17" s="40"/>
      <c r="D17" s="40"/>
      <c r="E17" s="40"/>
      <c r="F17" s="229"/>
      <c r="G17" s="40"/>
      <c r="H17" s="40"/>
      <c r="I17" s="40"/>
      <c r="J17" s="19"/>
      <c r="N17" s="13"/>
    </row>
    <row r="18" spans="1:20" ht="15" customHeight="1" x14ac:dyDescent="0.25">
      <c r="A18" s="40"/>
      <c r="B18" s="182"/>
      <c r="C18" s="39"/>
      <c r="D18" s="39"/>
      <c r="E18" s="39"/>
      <c r="F18" s="62"/>
      <c r="G18" s="43"/>
      <c r="H18" s="43"/>
      <c r="I18" s="43"/>
      <c r="J18" s="19"/>
      <c r="N18" s="13"/>
    </row>
    <row r="19" spans="1:20" ht="15" customHeight="1" x14ac:dyDescent="0.25">
      <c r="A19" s="40"/>
      <c r="B19" s="182"/>
      <c r="C19" s="39"/>
      <c r="D19" s="39"/>
      <c r="E19" s="39"/>
      <c r="F19" s="62"/>
      <c r="G19" s="43"/>
      <c r="H19" s="43"/>
      <c r="I19" s="43"/>
      <c r="J19" s="19"/>
      <c r="N19" s="13"/>
    </row>
    <row r="20" spans="1:20" ht="15" customHeight="1" x14ac:dyDescent="0.35">
      <c r="A20" s="40"/>
      <c r="B20" s="40"/>
      <c r="C20" s="40"/>
      <c r="D20" s="40"/>
      <c r="E20" s="40"/>
      <c r="F20" s="40"/>
      <c r="G20" s="40"/>
      <c r="H20" s="40"/>
      <c r="I20" s="40"/>
      <c r="J20" s="19"/>
      <c r="L20" s="280"/>
      <c r="M20" s="280"/>
      <c r="N20" s="280"/>
      <c r="O20" s="280"/>
    </row>
    <row r="21" spans="1:20" ht="15" customHeight="1" x14ac:dyDescent="0.35">
      <c r="A21" s="40"/>
      <c r="B21" s="182"/>
      <c r="C21" s="39"/>
      <c r="D21" s="39"/>
      <c r="E21" s="39"/>
      <c r="F21" s="62"/>
      <c r="G21" s="43"/>
      <c r="H21" s="43"/>
      <c r="I21" s="43"/>
      <c r="J21" s="19"/>
      <c r="L21" s="280"/>
      <c r="M21" s="280"/>
      <c r="N21" s="280"/>
      <c r="O21" s="280"/>
    </row>
    <row r="22" spans="1:20" ht="15" customHeight="1" x14ac:dyDescent="0.35">
      <c r="A22" s="40"/>
      <c r="B22" s="182"/>
      <c r="C22" s="39"/>
      <c r="D22" s="39"/>
      <c r="E22" s="39"/>
      <c r="F22" s="62"/>
      <c r="G22" s="43"/>
      <c r="H22" s="43"/>
      <c r="I22" s="43"/>
      <c r="J22" s="19"/>
      <c r="L22" s="280"/>
      <c r="M22" s="280"/>
      <c r="N22" s="280"/>
      <c r="O22" s="280"/>
    </row>
    <row r="23" spans="1:20" ht="15" customHeight="1" x14ac:dyDescent="0.35">
      <c r="A23" s="40"/>
      <c r="B23" s="182"/>
      <c r="C23" s="39"/>
      <c r="D23" s="39"/>
      <c r="E23" s="39"/>
      <c r="F23" s="62"/>
      <c r="G23" s="43"/>
      <c r="H23" s="43"/>
      <c r="I23" s="43"/>
      <c r="J23" s="19"/>
      <c r="L23" s="280"/>
      <c r="M23" s="280"/>
      <c r="N23" s="280"/>
      <c r="O23" s="280"/>
    </row>
    <row r="24" spans="1:20" ht="15" customHeight="1" x14ac:dyDescent="0.35">
      <c r="A24" s="40"/>
      <c r="B24" s="182"/>
      <c r="C24" s="39"/>
      <c r="D24" s="39"/>
      <c r="E24" s="39"/>
      <c r="F24" s="62"/>
      <c r="G24" s="43"/>
      <c r="H24" s="43"/>
      <c r="I24" s="43"/>
      <c r="J24" s="19"/>
      <c r="L24" s="171"/>
      <c r="M24" s="171"/>
      <c r="N24" s="13"/>
    </row>
    <row r="25" spans="1:20" ht="15" customHeight="1" x14ac:dyDescent="0.25">
      <c r="A25" s="40"/>
      <c r="B25" s="182"/>
      <c r="C25" s="39"/>
      <c r="D25" s="39"/>
      <c r="E25" s="39"/>
      <c r="F25" s="62"/>
      <c r="G25" s="43"/>
      <c r="H25" s="43"/>
      <c r="I25" s="43"/>
      <c r="J25" s="19"/>
    </row>
    <row r="26" spans="1:20" ht="15" customHeight="1" x14ac:dyDescent="0.25">
      <c r="A26" s="40"/>
      <c r="B26" s="182"/>
      <c r="C26" s="39"/>
      <c r="D26" s="39"/>
      <c r="E26" s="39"/>
      <c r="F26" s="62"/>
      <c r="G26" s="43"/>
      <c r="H26" s="43"/>
      <c r="I26" s="43"/>
      <c r="J26" s="19"/>
      <c r="P26" s="145"/>
      <c r="Q26" s="145"/>
      <c r="S26" s="145"/>
      <c r="T26" s="145"/>
    </row>
    <row r="27" spans="1:20" ht="15" customHeight="1" x14ac:dyDescent="0.25">
      <c r="A27" s="40"/>
      <c r="B27" s="182"/>
      <c r="C27" s="39"/>
      <c r="D27" s="39"/>
      <c r="E27" s="39"/>
      <c r="F27" s="62"/>
      <c r="G27" s="43"/>
      <c r="H27" s="43"/>
      <c r="I27" s="43"/>
      <c r="J27" s="19"/>
      <c r="P27" s="145"/>
      <c r="Q27" s="145"/>
      <c r="S27" s="145"/>
      <c r="T27" s="145"/>
    </row>
    <row r="28" spans="1:20" ht="15" customHeight="1" x14ac:dyDescent="0.25">
      <c r="A28" s="40"/>
      <c r="B28" s="182"/>
      <c r="C28" s="39"/>
      <c r="D28" s="39"/>
      <c r="E28" s="39"/>
      <c r="F28" s="62"/>
      <c r="G28" s="43"/>
      <c r="H28" s="43"/>
      <c r="I28" s="43"/>
      <c r="J28" s="19"/>
      <c r="P28" s="145"/>
      <c r="Q28" s="145"/>
      <c r="S28" s="145"/>
      <c r="T28" s="145"/>
    </row>
    <row r="29" spans="1:20" ht="15" customHeight="1" x14ac:dyDescent="0.25">
      <c r="A29" s="40"/>
      <c r="B29" s="182"/>
      <c r="C29" s="39"/>
      <c r="D29" s="39"/>
      <c r="E29" s="39"/>
      <c r="F29" s="62"/>
      <c r="G29" s="43"/>
      <c r="H29" s="43"/>
      <c r="I29" s="43"/>
      <c r="J29" s="19"/>
      <c r="P29" s="145"/>
      <c r="Q29" s="145"/>
      <c r="S29" s="145"/>
      <c r="T29" s="145"/>
    </row>
    <row r="30" spans="1:20" ht="15" customHeight="1" x14ac:dyDescent="0.25">
      <c r="A30" s="40"/>
      <c r="B30" s="182"/>
      <c r="C30" s="39"/>
      <c r="D30" s="39"/>
      <c r="E30" s="39"/>
      <c r="F30" s="62"/>
      <c r="G30" s="43"/>
      <c r="H30" s="43"/>
      <c r="I30" s="43"/>
      <c r="J30" s="19"/>
      <c r="N30" s="13"/>
      <c r="S30" s="145"/>
      <c r="T30" s="145"/>
    </row>
    <row r="31" spans="1:20" ht="15" customHeight="1" x14ac:dyDescent="0.25">
      <c r="A31" s="40"/>
      <c r="B31" s="182"/>
      <c r="C31" s="39"/>
      <c r="D31" s="39"/>
      <c r="E31" s="39"/>
      <c r="F31" s="62"/>
      <c r="G31" s="43"/>
      <c r="H31" s="43"/>
      <c r="I31" s="43"/>
      <c r="J31" s="19"/>
      <c r="N31" s="13"/>
      <c r="S31" s="145"/>
      <c r="T31" s="145"/>
    </row>
    <row r="32" spans="1:20" ht="15" customHeight="1" x14ac:dyDescent="0.25">
      <c r="A32" s="40"/>
      <c r="B32" s="182"/>
      <c r="C32" s="39"/>
      <c r="D32" s="39"/>
      <c r="E32" s="39"/>
      <c r="F32" s="62"/>
      <c r="G32" s="43"/>
      <c r="H32" s="43"/>
      <c r="I32" s="43"/>
      <c r="J32" s="19"/>
      <c r="N32" s="13"/>
    </row>
    <row r="33" spans="1:21" ht="15" customHeight="1" x14ac:dyDescent="0.25">
      <c r="A33" s="40"/>
      <c r="B33" s="182"/>
      <c r="C33" s="39"/>
      <c r="D33" s="39"/>
      <c r="E33" s="39"/>
      <c r="F33" s="62"/>
      <c r="G33" s="43"/>
      <c r="H33" s="43"/>
      <c r="I33" s="43"/>
      <c r="J33" s="19"/>
      <c r="K33"/>
      <c r="L33"/>
      <c r="M33"/>
      <c r="O33"/>
      <c r="P33"/>
      <c r="Q33"/>
      <c r="R33"/>
      <c r="S33"/>
      <c r="T33"/>
      <c r="U33"/>
    </row>
    <row r="34" spans="1:21" ht="15" customHeight="1" x14ac:dyDescent="0.25">
      <c r="A34" s="40"/>
      <c r="B34" s="182"/>
      <c r="C34" s="39"/>
      <c r="D34" s="39"/>
      <c r="E34" s="39"/>
      <c r="F34" s="62"/>
      <c r="G34" s="43"/>
      <c r="H34" s="43"/>
      <c r="I34" s="43"/>
      <c r="J34" s="19"/>
      <c r="K34"/>
      <c r="L34"/>
      <c r="M34"/>
      <c r="O34"/>
      <c r="P34"/>
      <c r="Q34"/>
      <c r="R34"/>
      <c r="S34"/>
      <c r="T34"/>
      <c r="U34"/>
    </row>
    <row r="35" spans="1:21" ht="15" customHeight="1" x14ac:dyDescent="0.25">
      <c r="A35" s="40"/>
      <c r="B35" s="182"/>
      <c r="C35" s="39"/>
      <c r="D35" s="39"/>
      <c r="E35" s="39"/>
      <c r="F35" s="62"/>
      <c r="G35" s="43"/>
      <c r="H35" s="43"/>
      <c r="I35" s="43"/>
      <c r="J35" s="19"/>
      <c r="K35"/>
      <c r="L35"/>
      <c r="M35"/>
      <c r="O35"/>
      <c r="P35"/>
      <c r="Q35"/>
      <c r="R35"/>
      <c r="S35"/>
      <c r="T35"/>
      <c r="U35"/>
    </row>
    <row r="36" spans="1:21" ht="15" customHeight="1" x14ac:dyDescent="0.25">
      <c r="A36" s="40"/>
      <c r="B36" s="182"/>
      <c r="C36" s="39"/>
      <c r="D36" s="39"/>
      <c r="E36" s="39"/>
      <c r="F36" s="62"/>
      <c r="G36" s="43"/>
      <c r="H36" s="43"/>
      <c r="I36" s="43"/>
      <c r="J36" s="19"/>
      <c r="K36"/>
      <c r="L36"/>
      <c r="M36"/>
      <c r="O36"/>
      <c r="P36"/>
      <c r="Q36"/>
      <c r="R36"/>
      <c r="S36"/>
      <c r="T36"/>
      <c r="U36"/>
    </row>
    <row r="37" spans="1:21" ht="15" customHeight="1" x14ac:dyDescent="0.25">
      <c r="A37" s="40"/>
      <c r="B37" s="182"/>
      <c r="C37" s="39"/>
      <c r="D37" s="39"/>
      <c r="E37" s="39"/>
      <c r="F37" s="62"/>
      <c r="G37" s="43"/>
      <c r="H37" s="43"/>
      <c r="I37" s="43"/>
      <c r="J37" s="19"/>
      <c r="K37"/>
      <c r="L37"/>
      <c r="M37"/>
      <c r="O37"/>
      <c r="P37"/>
      <c r="Q37"/>
      <c r="R37"/>
      <c r="S37"/>
      <c r="T37"/>
      <c r="U37"/>
    </row>
    <row r="38" spans="1:21" ht="15" customHeight="1" x14ac:dyDescent="0.25">
      <c r="A38" s="40"/>
      <c r="B38" s="182"/>
      <c r="C38" s="39"/>
      <c r="D38" s="39"/>
      <c r="E38" s="39"/>
      <c r="F38" s="62"/>
      <c r="G38" s="43"/>
      <c r="H38" s="43"/>
      <c r="I38" s="43"/>
      <c r="J38" s="19"/>
      <c r="K38"/>
      <c r="L38"/>
      <c r="M38"/>
      <c r="O38"/>
      <c r="P38"/>
      <c r="Q38"/>
      <c r="R38"/>
      <c r="S38"/>
      <c r="T38"/>
      <c r="U38"/>
    </row>
    <row r="39" spans="1:21" ht="15" customHeight="1" x14ac:dyDescent="0.25">
      <c r="A39" s="40"/>
      <c r="B39" s="182"/>
      <c r="C39" s="39"/>
      <c r="D39" s="39"/>
      <c r="E39" s="39"/>
      <c r="F39" s="62"/>
      <c r="G39" s="43"/>
      <c r="H39" s="43"/>
      <c r="I39" s="43"/>
      <c r="J39" s="19"/>
      <c r="K39"/>
      <c r="L39"/>
      <c r="M39"/>
      <c r="O39"/>
      <c r="P39"/>
      <c r="Q39"/>
      <c r="R39"/>
      <c r="S39"/>
      <c r="T39"/>
      <c r="U39"/>
    </row>
    <row r="40" spans="1:21" ht="15" customHeight="1" x14ac:dyDescent="0.25">
      <c r="A40" s="40"/>
      <c r="B40" s="182"/>
      <c r="C40" s="39"/>
      <c r="D40" s="39"/>
      <c r="E40" s="39"/>
      <c r="F40" s="62"/>
      <c r="G40" s="43"/>
      <c r="H40" s="43"/>
      <c r="I40" s="43"/>
      <c r="J40" s="19"/>
      <c r="K40"/>
      <c r="L40"/>
      <c r="M40"/>
      <c r="O40"/>
      <c r="P40"/>
      <c r="Q40"/>
      <c r="R40"/>
      <c r="S40"/>
      <c r="T40"/>
      <c r="U40"/>
    </row>
    <row r="41" spans="1:21" ht="15" customHeight="1" x14ac:dyDescent="0.25">
      <c r="A41" s="40"/>
      <c r="B41" s="182"/>
      <c r="C41" s="39"/>
      <c r="D41" s="39"/>
      <c r="E41" s="39"/>
      <c r="F41" s="62"/>
      <c r="G41" s="43"/>
      <c r="H41" s="43"/>
      <c r="I41" s="43"/>
      <c r="J41" s="19"/>
      <c r="K41"/>
      <c r="L41"/>
      <c r="M41"/>
      <c r="O41"/>
      <c r="P41"/>
      <c r="Q41"/>
      <c r="R41"/>
      <c r="S41"/>
      <c r="T41"/>
      <c r="U41"/>
    </row>
    <row r="42" spans="1:21" ht="15" customHeight="1" x14ac:dyDescent="0.25">
      <c r="A42" s="40"/>
      <c r="B42" s="182"/>
      <c r="C42" s="39"/>
      <c r="D42" s="39"/>
      <c r="E42" s="39"/>
      <c r="F42" s="62"/>
      <c r="G42" s="43"/>
      <c r="H42" s="43"/>
      <c r="I42" s="43"/>
      <c r="J42" s="19"/>
      <c r="K42"/>
      <c r="L42"/>
      <c r="M42"/>
      <c r="O42"/>
      <c r="P42"/>
      <c r="Q42"/>
      <c r="R42"/>
      <c r="S42"/>
      <c r="T42"/>
      <c r="U42"/>
    </row>
    <row r="43" spans="1:21" ht="15" customHeight="1" x14ac:dyDescent="0.25">
      <c r="A43" s="40"/>
      <c r="B43" s="182"/>
      <c r="C43" s="39"/>
      <c r="D43" s="39"/>
      <c r="E43" s="39"/>
      <c r="F43" s="62"/>
      <c r="G43" s="43"/>
      <c r="H43" s="43"/>
      <c r="I43" s="43"/>
      <c r="J43" s="19"/>
      <c r="K43"/>
      <c r="L43"/>
      <c r="M43"/>
      <c r="O43"/>
      <c r="P43"/>
      <c r="Q43"/>
      <c r="R43"/>
      <c r="S43"/>
      <c r="T43"/>
      <c r="U43"/>
    </row>
    <row r="44" spans="1:21" ht="15" customHeight="1" x14ac:dyDescent="0.25">
      <c r="A44" s="40"/>
      <c r="B44" s="182"/>
      <c r="C44" s="39"/>
      <c r="D44" s="39"/>
      <c r="E44" s="39"/>
      <c r="F44" s="62"/>
      <c r="G44" s="43"/>
      <c r="H44" s="43"/>
      <c r="I44" s="43"/>
      <c r="J44" s="19"/>
      <c r="K44"/>
      <c r="L44"/>
      <c r="M44"/>
      <c r="O44"/>
      <c r="P44"/>
      <c r="Q44"/>
      <c r="R44"/>
      <c r="S44"/>
      <c r="T44"/>
      <c r="U44"/>
    </row>
    <row r="45" spans="1:21" ht="15" customHeight="1" x14ac:dyDescent="0.25">
      <c r="A45" s="40"/>
      <c r="B45" s="182"/>
      <c r="C45" s="39"/>
      <c r="D45" s="39"/>
      <c r="E45" s="39"/>
      <c r="F45" s="62"/>
      <c r="G45" s="43"/>
      <c r="H45" s="43"/>
      <c r="I45" s="43"/>
      <c r="J45" s="19"/>
      <c r="K45"/>
      <c r="L45"/>
      <c r="M45"/>
      <c r="O45"/>
      <c r="P45"/>
      <c r="Q45"/>
      <c r="R45"/>
      <c r="S45"/>
      <c r="T45"/>
      <c r="U45"/>
    </row>
    <row r="46" spans="1:21" ht="15" customHeight="1" x14ac:dyDescent="0.25">
      <c r="A46" s="40"/>
      <c r="B46" s="182"/>
      <c r="C46" s="39"/>
      <c r="D46" s="39"/>
      <c r="E46" s="39"/>
      <c r="F46" s="62"/>
      <c r="G46" s="43"/>
      <c r="H46" s="43"/>
      <c r="I46" s="43"/>
      <c r="J46" s="19"/>
      <c r="K46"/>
      <c r="L46"/>
      <c r="M46"/>
      <c r="O46"/>
      <c r="P46"/>
      <c r="Q46"/>
      <c r="R46"/>
      <c r="S46"/>
      <c r="T46"/>
      <c r="U46"/>
    </row>
    <row r="47" spans="1:21" ht="15" customHeight="1" x14ac:dyDescent="0.25">
      <c r="A47" s="40"/>
      <c r="B47" s="182"/>
      <c r="C47" s="39"/>
      <c r="D47" s="39"/>
      <c r="E47" s="39"/>
      <c r="F47" s="62"/>
      <c r="G47" s="43"/>
      <c r="H47" s="43"/>
      <c r="I47" s="43"/>
      <c r="J47" s="19"/>
      <c r="K47"/>
      <c r="L47"/>
      <c r="M47"/>
      <c r="O47"/>
      <c r="P47"/>
      <c r="Q47"/>
      <c r="R47"/>
      <c r="S47"/>
      <c r="T47"/>
      <c r="U47"/>
    </row>
    <row r="48" spans="1:21" ht="15" customHeight="1" x14ac:dyDescent="0.25">
      <c r="A48" s="40"/>
      <c r="B48" s="182"/>
      <c r="C48" s="39"/>
      <c r="D48" s="39"/>
      <c r="E48" s="39"/>
      <c r="F48" s="62"/>
      <c r="G48" s="43"/>
      <c r="H48" s="43"/>
      <c r="I48" s="43"/>
      <c r="J48" s="19"/>
      <c r="K48"/>
      <c r="L48"/>
      <c r="M48"/>
      <c r="O48"/>
      <c r="P48"/>
      <c r="Q48"/>
      <c r="R48"/>
      <c r="S48"/>
      <c r="T48"/>
      <c r="U48"/>
    </row>
    <row r="49" spans="1:21" ht="15" customHeight="1" x14ac:dyDescent="0.25">
      <c r="A49" s="40"/>
      <c r="B49" s="182"/>
      <c r="C49" s="39"/>
      <c r="D49" s="39"/>
      <c r="E49" s="39"/>
      <c r="F49" s="62"/>
      <c r="G49" s="43"/>
      <c r="H49" s="43"/>
      <c r="I49" s="43"/>
      <c r="J49" s="19"/>
      <c r="O49"/>
      <c r="P49"/>
      <c r="Q49"/>
      <c r="R49"/>
      <c r="S49"/>
      <c r="T49"/>
      <c r="U49"/>
    </row>
    <row r="50" spans="1:21" ht="15" customHeight="1" x14ac:dyDescent="0.25">
      <c r="A50" s="40"/>
      <c r="B50" s="182"/>
      <c r="C50" s="39"/>
      <c r="D50" s="39"/>
      <c r="E50" s="39"/>
      <c r="F50" s="62"/>
      <c r="G50" s="43"/>
      <c r="H50" s="43"/>
      <c r="I50" s="43"/>
      <c r="J50" s="19"/>
      <c r="O50"/>
      <c r="P50"/>
      <c r="Q50"/>
      <c r="R50"/>
      <c r="S50"/>
      <c r="T50"/>
      <c r="U50"/>
    </row>
    <row r="51" spans="1:21" ht="15" customHeight="1" x14ac:dyDescent="0.25">
      <c r="A51" s="40"/>
      <c r="B51" s="182"/>
      <c r="C51" s="39"/>
      <c r="D51" s="39"/>
      <c r="E51" s="39"/>
      <c r="F51" s="62"/>
      <c r="G51" s="43"/>
      <c r="H51" s="43"/>
      <c r="I51" s="43"/>
      <c r="J51" s="19"/>
      <c r="O51"/>
      <c r="P51"/>
      <c r="Q51"/>
      <c r="R51"/>
      <c r="S51"/>
      <c r="T51"/>
      <c r="U51"/>
    </row>
    <row r="52" spans="1:21" s="23" customFormat="1" x14ac:dyDescent="0.25">
      <c r="A52" s="107"/>
      <c r="B52" s="221"/>
      <c r="C52" s="105"/>
      <c r="D52" s="105"/>
      <c r="E52" s="105"/>
      <c r="F52" s="106"/>
      <c r="G52" s="108"/>
      <c r="H52" s="108"/>
      <c r="I52" s="108"/>
      <c r="J52" s="19"/>
      <c r="K52" s="13"/>
      <c r="L52" s="13"/>
      <c r="M52" s="13"/>
    </row>
    <row r="53" spans="1:21" s="23" customFormat="1" x14ac:dyDescent="0.25">
      <c r="A53" s="222"/>
      <c r="B53" s="222"/>
      <c r="C53" s="222"/>
      <c r="D53" s="222"/>
      <c r="E53" s="222"/>
      <c r="F53" s="222"/>
      <c r="G53" s="222"/>
      <c r="H53" s="222"/>
      <c r="I53" s="222"/>
      <c r="J53" s="19"/>
      <c r="K53" s="13"/>
      <c r="L53" s="13"/>
      <c r="M53" s="13"/>
    </row>
    <row r="54" spans="1:21" s="23" customFormat="1" x14ac:dyDescent="0.25">
      <c r="A54" s="222"/>
      <c r="B54" s="222"/>
      <c r="C54" s="222"/>
      <c r="D54" s="222"/>
      <c r="E54" s="222"/>
      <c r="F54" s="222"/>
      <c r="G54" s="222"/>
      <c r="H54" s="222"/>
      <c r="I54" s="222"/>
      <c r="J54" s="19"/>
      <c r="K54" s="13"/>
      <c r="L54" s="13"/>
      <c r="M54" s="13"/>
    </row>
    <row r="55" spans="1:21" s="23" customFormat="1" x14ac:dyDescent="0.25">
      <c r="A55" s="222"/>
      <c r="B55" s="222"/>
      <c r="C55" s="222"/>
      <c r="D55" s="222"/>
      <c r="E55" s="222"/>
      <c r="F55" s="222"/>
      <c r="G55" s="222"/>
      <c r="H55" s="222"/>
      <c r="I55" s="222"/>
      <c r="J55" s="19"/>
      <c r="K55" s="13"/>
      <c r="L55" s="13"/>
      <c r="M55" s="13"/>
    </row>
    <row r="56" spans="1:21" s="23" customFormat="1" x14ac:dyDescent="0.25">
      <c r="A56" s="222"/>
      <c r="B56" s="222"/>
      <c r="C56" s="222"/>
      <c r="D56" s="222"/>
      <c r="E56" s="222"/>
      <c r="F56" s="222"/>
      <c r="G56" s="222"/>
      <c r="H56" s="222"/>
      <c r="I56" s="222"/>
      <c r="J56" s="19"/>
      <c r="K56" s="13"/>
      <c r="L56" s="13"/>
      <c r="M56" s="13"/>
    </row>
    <row r="57" spans="1:21" s="23" customFormat="1" x14ac:dyDescent="0.25">
      <c r="A57" s="222"/>
      <c r="B57" s="222"/>
      <c r="C57" s="222"/>
      <c r="D57" s="222"/>
      <c r="E57" s="222"/>
      <c r="F57" s="222"/>
      <c r="G57" s="222"/>
      <c r="H57" s="222"/>
      <c r="I57" s="222"/>
      <c r="J57" s="19"/>
      <c r="K57" s="13"/>
      <c r="L57" s="13"/>
      <c r="M57" s="13"/>
    </row>
    <row r="58" spans="1:21" s="23" customFormat="1" x14ac:dyDescent="0.25">
      <c r="A58" s="222"/>
      <c r="B58" s="222"/>
      <c r="C58" s="222"/>
      <c r="D58" s="222"/>
      <c r="E58" s="222"/>
      <c r="F58" s="222"/>
      <c r="G58" s="222"/>
      <c r="H58" s="222"/>
      <c r="I58" s="222"/>
      <c r="J58" s="19"/>
      <c r="K58" s="13"/>
      <c r="L58" s="13"/>
      <c r="M58" s="13"/>
    </row>
    <row r="59" spans="1:21" s="23" customFormat="1" x14ac:dyDescent="0.25">
      <c r="A59" s="222"/>
      <c r="B59" s="222"/>
      <c r="C59" s="222"/>
      <c r="D59" s="222"/>
      <c r="E59" s="222"/>
      <c r="F59" s="222"/>
      <c r="G59" s="222"/>
      <c r="H59" s="222"/>
      <c r="I59" s="222"/>
      <c r="J59" s="19"/>
      <c r="K59" s="13"/>
      <c r="L59" s="13"/>
      <c r="M59" s="13"/>
    </row>
    <row r="60" spans="1:21" s="23" customFormat="1" x14ac:dyDescent="0.25">
      <c r="A60" s="222"/>
      <c r="B60" s="222"/>
      <c r="C60" s="222"/>
      <c r="D60" s="222"/>
      <c r="E60" s="222"/>
      <c r="F60" s="222"/>
      <c r="G60" s="222"/>
      <c r="H60" s="222"/>
      <c r="I60" s="222"/>
      <c r="J60" s="19"/>
      <c r="K60" s="13"/>
      <c r="L60" s="13"/>
      <c r="M60" s="13"/>
    </row>
    <row r="61" spans="1:21" s="23" customFormat="1" x14ac:dyDescent="0.25">
      <c r="A61" s="222"/>
      <c r="B61" s="222"/>
      <c r="C61" s="222"/>
      <c r="D61" s="222"/>
      <c r="E61" s="222"/>
      <c r="F61" s="222"/>
      <c r="G61" s="222"/>
      <c r="H61" s="222"/>
      <c r="I61" s="222"/>
      <c r="J61" s="19"/>
      <c r="K61" s="13"/>
      <c r="L61" s="13"/>
      <c r="M61" s="13"/>
    </row>
    <row r="62" spans="1:21" s="23" customFormat="1" x14ac:dyDescent="0.25">
      <c r="A62" s="222"/>
      <c r="B62" s="222"/>
      <c r="C62" s="222"/>
      <c r="D62" s="222"/>
      <c r="E62" s="222"/>
      <c r="F62" s="222"/>
      <c r="G62" s="222"/>
      <c r="H62" s="222"/>
      <c r="I62" s="222"/>
      <c r="J62" s="19"/>
      <c r="K62" s="13"/>
      <c r="L62" s="13"/>
      <c r="M62" s="13"/>
    </row>
    <row r="63" spans="1:21" s="23" customFormat="1" x14ac:dyDescent="0.25">
      <c r="A63" s="222"/>
      <c r="B63" s="222"/>
      <c r="C63" s="222"/>
      <c r="D63" s="222"/>
      <c r="E63" s="222"/>
      <c r="F63" s="222"/>
      <c r="G63" s="222"/>
      <c r="H63" s="222"/>
      <c r="I63" s="222"/>
      <c r="J63" s="19"/>
      <c r="K63" s="13"/>
      <c r="L63" s="13"/>
      <c r="M63" s="13"/>
    </row>
    <row r="64" spans="1:21" s="23" customFormat="1" x14ac:dyDescent="0.25">
      <c r="A64" s="222"/>
      <c r="B64" s="222"/>
      <c r="C64" s="222"/>
      <c r="D64" s="222"/>
      <c r="E64" s="222"/>
      <c r="F64" s="222"/>
      <c r="G64" s="222"/>
      <c r="H64" s="222"/>
      <c r="I64" s="222"/>
      <c r="J64" s="19"/>
      <c r="K64" s="13"/>
      <c r="L64" s="13"/>
      <c r="M64" s="13"/>
    </row>
    <row r="65" spans="1:13" s="23" customFormat="1" x14ac:dyDescent="0.25">
      <c r="A65" s="222"/>
      <c r="B65" s="222"/>
      <c r="C65" s="222"/>
      <c r="D65" s="222"/>
      <c r="E65" s="222"/>
      <c r="F65" s="222"/>
      <c r="G65" s="222"/>
      <c r="H65" s="222"/>
      <c r="I65" s="222"/>
      <c r="J65" s="19"/>
      <c r="K65" s="13"/>
      <c r="L65" s="13"/>
      <c r="M65" s="13"/>
    </row>
    <row r="66" spans="1:13" s="23" customFormat="1" x14ac:dyDescent="0.25">
      <c r="A66" s="222"/>
      <c r="B66" s="222"/>
      <c r="C66" s="222"/>
      <c r="D66" s="222"/>
      <c r="E66" s="222"/>
      <c r="F66" s="222"/>
      <c r="G66" s="222"/>
      <c r="H66" s="222"/>
      <c r="I66" s="222"/>
      <c r="J66" s="19"/>
      <c r="K66" s="13"/>
      <c r="L66" s="13"/>
      <c r="M66" s="13"/>
    </row>
    <row r="67" spans="1:13" s="23" customFormat="1" x14ac:dyDescent="0.25">
      <c r="A67" s="222"/>
      <c r="B67" s="222"/>
      <c r="C67" s="222"/>
      <c r="D67" s="222"/>
      <c r="E67" s="222"/>
      <c r="F67" s="222"/>
      <c r="G67" s="222"/>
      <c r="H67" s="222"/>
      <c r="I67" s="222"/>
      <c r="J67" s="19"/>
      <c r="K67" s="13"/>
      <c r="L67" s="13"/>
      <c r="M67" s="13"/>
    </row>
    <row r="68" spans="1:13" s="23" customFormat="1" x14ac:dyDescent="0.25">
      <c r="A68" s="222"/>
      <c r="B68" s="222"/>
      <c r="C68" s="222"/>
      <c r="D68" s="222"/>
      <c r="E68" s="222"/>
      <c r="F68" s="222"/>
      <c r="G68" s="222"/>
      <c r="H68" s="222"/>
      <c r="I68" s="222"/>
      <c r="J68" s="19"/>
      <c r="K68" s="13"/>
      <c r="L68" s="13"/>
      <c r="M68" s="13"/>
    </row>
    <row r="69" spans="1:13" s="23" customFormat="1" x14ac:dyDescent="0.25">
      <c r="A69" s="222"/>
      <c r="B69" s="222"/>
      <c r="C69" s="222"/>
      <c r="D69" s="222"/>
      <c r="E69" s="222"/>
      <c r="F69" s="222"/>
      <c r="G69" s="222"/>
      <c r="H69" s="222"/>
      <c r="I69" s="222"/>
      <c r="J69" s="19"/>
      <c r="K69" s="13"/>
      <c r="L69" s="13"/>
      <c r="M69" s="13"/>
    </row>
    <row r="70" spans="1:13" s="23" customFormat="1" x14ac:dyDescent="0.25">
      <c r="A70" s="222"/>
      <c r="B70" s="222"/>
      <c r="C70" s="222"/>
      <c r="D70" s="222"/>
      <c r="E70" s="222"/>
      <c r="F70" s="222"/>
      <c r="G70" s="222"/>
      <c r="H70" s="222"/>
      <c r="I70" s="222"/>
      <c r="J70" s="19"/>
      <c r="K70" s="13"/>
      <c r="L70" s="13"/>
      <c r="M70" s="13"/>
    </row>
    <row r="71" spans="1:13" s="23" customFormat="1" x14ac:dyDescent="0.25">
      <c r="A71" s="222"/>
      <c r="B71" s="222"/>
      <c r="C71" s="222"/>
      <c r="D71" s="222"/>
      <c r="E71" s="222"/>
      <c r="F71" s="222"/>
      <c r="G71" s="222"/>
      <c r="H71" s="222"/>
      <c r="I71" s="222"/>
      <c r="J71" s="19"/>
      <c r="K71" s="13"/>
      <c r="L71" s="13"/>
      <c r="M71" s="13"/>
    </row>
    <row r="72" spans="1:13" s="23" customFormat="1" x14ac:dyDescent="0.25">
      <c r="A72" s="222"/>
      <c r="B72" s="222"/>
      <c r="C72" s="222"/>
      <c r="D72" s="222"/>
      <c r="E72" s="222"/>
      <c r="F72" s="222"/>
      <c r="G72" s="222"/>
      <c r="H72" s="222"/>
      <c r="I72" s="222"/>
      <c r="J72" s="19"/>
      <c r="K72" s="13"/>
      <c r="L72" s="13"/>
      <c r="M72" s="13"/>
    </row>
    <row r="73" spans="1:13" s="23" customFormat="1" x14ac:dyDescent="0.25">
      <c r="A73" s="222"/>
      <c r="B73" s="222"/>
      <c r="C73" s="222"/>
      <c r="D73" s="222"/>
      <c r="E73" s="222"/>
      <c r="F73" s="222"/>
      <c r="G73" s="222"/>
      <c r="H73" s="222"/>
      <c r="I73" s="222"/>
      <c r="J73" s="19"/>
      <c r="K73" s="13"/>
      <c r="L73" s="13"/>
      <c r="M73" s="13"/>
    </row>
    <row r="74" spans="1:13" s="23" customFormat="1" x14ac:dyDescent="0.25">
      <c r="A74" s="222"/>
      <c r="B74" s="222"/>
      <c r="C74" s="222"/>
      <c r="D74" s="222"/>
      <c r="E74" s="222"/>
      <c r="F74" s="222"/>
      <c r="G74" s="222"/>
      <c r="H74" s="222"/>
      <c r="I74" s="222"/>
      <c r="J74" s="19"/>
      <c r="K74" s="13"/>
      <c r="L74" s="13"/>
      <c r="M74" s="13"/>
    </row>
    <row r="75" spans="1:13" s="23" customFormat="1" x14ac:dyDescent="0.25">
      <c r="A75" s="222"/>
      <c r="B75" s="222"/>
      <c r="C75" s="222"/>
      <c r="D75" s="222"/>
      <c r="E75" s="222"/>
      <c r="F75" s="222"/>
      <c r="G75" s="222"/>
      <c r="H75" s="222"/>
      <c r="I75" s="222"/>
      <c r="J75" s="19"/>
      <c r="K75" s="13"/>
      <c r="L75" s="13"/>
      <c r="M75" s="13"/>
    </row>
    <row r="76" spans="1:13" s="23" customFormat="1" x14ac:dyDescent="0.25">
      <c r="A76" s="222"/>
      <c r="B76" s="222"/>
      <c r="C76" s="222"/>
      <c r="D76" s="222"/>
      <c r="E76" s="222"/>
      <c r="F76" s="222"/>
      <c r="G76" s="222"/>
      <c r="H76" s="222"/>
      <c r="I76" s="222"/>
      <c r="J76" s="19"/>
      <c r="K76" s="13"/>
      <c r="L76" s="13"/>
      <c r="M76" s="13"/>
    </row>
    <row r="77" spans="1:13" s="23" customFormat="1" x14ac:dyDescent="0.25">
      <c r="A77" s="170"/>
      <c r="B77" s="170"/>
      <c r="C77" s="170"/>
      <c r="D77" s="170"/>
      <c r="E77" s="170"/>
      <c r="F77" s="170"/>
      <c r="G77" s="170"/>
      <c r="H77" s="170"/>
      <c r="I77" s="170"/>
      <c r="J77"/>
      <c r="K77" s="13"/>
      <c r="L77" s="13"/>
      <c r="M77" s="13"/>
    </row>
  </sheetData>
  <sheetProtection sheet="1" objects="1" scenarios="1"/>
  <sortState ref="A2:I8">
    <sortCondition ref="A2:A8"/>
  </sortState>
  <conditionalFormatting sqref="A2:I75">
    <cfRule type="expression" dxfId="17" priority="1">
      <formula>ISBLANK($A2)</formula>
    </cfRule>
  </conditionalFormatting>
  <dataValidations count="1">
    <dataValidation type="list" allowBlank="1" showInputMessage="1" showErrorMessage="1" sqref="D21:E51 D18:E19">
      <formula1>$W$2:$W$3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9" r:id="rId4" name="Button 19">
              <controlPr defaultSize="0" print="0" autoFill="0" autoPict="0" macro="[0]!MonteCalcs">
                <anchor moveWithCells="1" sizeWithCells="1">
                  <from>
                    <xdr:col>10</xdr:col>
                    <xdr:colOff>800100</xdr:colOff>
                    <xdr:row>15</xdr:row>
                    <xdr:rowOff>28575</xdr:rowOff>
                  </from>
                  <to>
                    <xdr:col>13</xdr:col>
                    <xdr:colOff>419100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5" name="Button 21">
              <controlPr defaultSize="0" print="0" autoFill="0" autoPict="0" macro="[0]!ModelEval">
                <anchor moveWithCells="1" sizeWithCells="1">
                  <from>
                    <xdr:col>10</xdr:col>
                    <xdr:colOff>704850</xdr:colOff>
                    <xdr:row>11</xdr:row>
                    <xdr:rowOff>95250</xdr:rowOff>
                  </from>
                  <to>
                    <xdr:col>16</xdr:col>
                    <xdr:colOff>666750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6" name="Button 22">
              <controlPr defaultSize="0" print="0" autoFill="0" autoPict="0" macro="[0]!CreatePivotTables">
                <anchor moveWithCells="1" sizeWithCells="1">
                  <from>
                    <xdr:col>14</xdr:col>
                    <xdr:colOff>0</xdr:colOff>
                    <xdr:row>15</xdr:row>
                    <xdr:rowOff>9525</xdr:rowOff>
                  </from>
                  <to>
                    <xdr:col>16</xdr:col>
                    <xdr:colOff>533400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1"/>
  </sheetPr>
  <dimension ref="A1"/>
  <sheetViews>
    <sheetView workbookViewId="0"/>
  </sheetViews>
  <sheetFormatPr defaultRowHeight="15" x14ac:dyDescent="0.25"/>
  <cols>
    <col min="1" max="16384" width="9.140625" style="13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DU699"/>
  <sheetViews>
    <sheetView zoomScale="85" zoomScaleNormal="85" workbookViewId="0"/>
  </sheetViews>
  <sheetFormatPr defaultColWidth="11.42578125" defaultRowHeight="15" x14ac:dyDescent="0.25"/>
  <cols>
    <col min="1" max="1" width="17.42578125" style="23" bestFit="1" customWidth="1"/>
    <col min="2" max="2" width="26" style="23" customWidth="1"/>
    <col min="3" max="4" width="22.42578125" style="23" customWidth="1"/>
    <col min="5" max="5" width="11.42578125" style="23" bestFit="1" customWidth="1"/>
    <col min="6" max="6" width="4.7109375" style="9" customWidth="1"/>
    <col min="7" max="7" width="17.42578125" style="9" bestFit="1" customWidth="1"/>
    <col min="8" max="8" width="22.42578125" style="23" bestFit="1" customWidth="1"/>
    <col min="9" max="10" width="22.42578125" style="23" customWidth="1"/>
    <col min="11" max="11" width="11.42578125" style="23" bestFit="1" customWidth="1"/>
    <col min="12" max="12" width="3.28515625" style="23" customWidth="1"/>
    <col min="13" max="14" width="11.42578125" style="23" bestFit="1" customWidth="1"/>
    <col min="15" max="15" width="17.140625" style="23" bestFit="1" customWidth="1"/>
    <col min="16" max="16" width="28" style="23" customWidth="1"/>
    <col min="17" max="17" width="15.42578125" style="23" bestFit="1" customWidth="1"/>
    <col min="18" max="18" width="28.140625" style="23" bestFit="1" customWidth="1"/>
    <col min="19" max="19" width="28" style="23" customWidth="1"/>
    <col min="20" max="21" width="11.42578125" style="13"/>
    <col min="22" max="22" width="17" style="19" customWidth="1"/>
    <col min="23" max="25" width="17" customWidth="1"/>
    <col min="26" max="26" width="15.5703125" customWidth="1"/>
    <col min="27" max="27" width="17.42578125" customWidth="1"/>
    <col min="40" max="40" width="14.140625" bestFit="1" customWidth="1"/>
    <col min="43" max="43" width="11.42578125" style="19"/>
    <col min="61" max="61" width="13.7109375" bestFit="1" customWidth="1"/>
    <col min="64" max="64" width="11.42578125" style="19"/>
    <col min="82" max="82" width="13.140625" bestFit="1" customWidth="1"/>
    <col min="85" max="85" width="11.42578125" style="13"/>
    <col min="86" max="86" width="55.85546875" style="13" customWidth="1"/>
    <col min="87" max="88" width="27.85546875" style="13" customWidth="1"/>
    <col min="89" max="89" width="37.28515625" style="13" customWidth="1"/>
    <col min="90" max="96" width="43" style="13" customWidth="1"/>
    <col min="97" max="97" width="27.85546875" style="13" customWidth="1"/>
    <col min="98" max="98" width="8.85546875" style="3" customWidth="1"/>
    <col min="99" max="99" width="31.5703125" style="3" customWidth="1"/>
    <col min="100" max="100" width="27.85546875" style="3" customWidth="1"/>
    <col min="101" max="101" width="40" style="3" customWidth="1"/>
    <col min="102" max="103" width="27.85546875" style="3" customWidth="1"/>
    <col min="104" max="116" width="28" style="23" customWidth="1"/>
    <col min="117" max="117" width="28" style="13" customWidth="1"/>
    <col min="118" max="119" width="28" style="23" customWidth="1"/>
    <col min="120" max="120" width="18" customWidth="1"/>
    <col min="121" max="121" width="32.140625" customWidth="1"/>
    <col min="122" max="122" width="20.140625" customWidth="1"/>
    <col min="123" max="123" width="17.140625" style="18" customWidth="1"/>
    <col min="124" max="124" width="25" customWidth="1"/>
    <col min="125" max="125" width="17" style="7" customWidth="1"/>
  </cols>
  <sheetData>
    <row r="1" spans="1:125" ht="15.75" x14ac:dyDescent="0.25">
      <c r="A1" s="1" t="s">
        <v>0</v>
      </c>
      <c r="B1" s="236">
        <f>U1*SUM(R5:S454)+AP1*SUM(AN5:AO454)+BK1*SUM(BI5:BJ454)+CF1*SUM(CD5:CE454)</f>
        <v>19055497.26870022</v>
      </c>
      <c r="C1" s="4" t="s">
        <v>138</v>
      </c>
      <c r="D1" s="236">
        <f>U1*R1+AP1*AN1+BK1*BI1+CF1*CD1</f>
        <v>19055497.26870022</v>
      </c>
      <c r="E1"/>
      <c r="F1" s="86"/>
      <c r="G1" s="1"/>
      <c r="H1" s="2"/>
      <c r="I1" s="2"/>
      <c r="J1" s="2"/>
      <c r="K1" s="13"/>
      <c r="L1" s="19"/>
      <c r="M1"/>
      <c r="N1"/>
      <c r="O1" s="13"/>
      <c r="P1" s="19"/>
      <c r="Q1"/>
      <c r="R1" s="144">
        <f>SUM(R5:R454)</f>
        <v>17826074.592951354</v>
      </c>
      <c r="S1" s="144">
        <f>SUM(S5:S454)</f>
        <v>0</v>
      </c>
      <c r="U1" s="13">
        <v>0.25</v>
      </c>
      <c r="AN1" s="235">
        <f>SUM(AN5:AN454)</f>
        <v>25724363.589971278</v>
      </c>
      <c r="AO1" s="235">
        <f>SUM(AO5:AO454)</f>
        <v>0</v>
      </c>
      <c r="AP1">
        <v>0.25</v>
      </c>
      <c r="AZ1" s="13"/>
      <c r="BI1" s="235">
        <f>SUM(BI5:BI454)</f>
        <v>19465304.84791645</v>
      </c>
      <c r="BJ1" s="235">
        <f>SUM(BJ5:BJ454)</f>
        <v>0</v>
      </c>
      <c r="BK1">
        <v>0.25</v>
      </c>
      <c r="BU1" s="13"/>
      <c r="CD1" s="235">
        <f>SUM(CD5:CD454)</f>
        <v>13206246.043961793</v>
      </c>
      <c r="CE1" s="235">
        <f>SUM(CE5:CE454)</f>
        <v>0</v>
      </c>
      <c r="CF1">
        <v>0.25</v>
      </c>
      <c r="DU1"/>
    </row>
    <row r="2" spans="1:125" ht="31.5" x14ac:dyDescent="0.5">
      <c r="A2"/>
      <c r="B2" s="4"/>
      <c r="C2" s="23" t="s">
        <v>139</v>
      </c>
      <c r="D2" s="236">
        <f>U1*S1+AO1*AP1+BJ1*BK1+CE1*CF1</f>
        <v>0</v>
      </c>
      <c r="E2"/>
      <c r="F2" s="86"/>
      <c r="G2" s="13"/>
      <c r="H2" s="4"/>
      <c r="I2" s="4"/>
      <c r="J2" s="4"/>
      <c r="K2" s="13"/>
      <c r="L2" s="19"/>
      <c r="M2"/>
      <c r="N2"/>
      <c r="O2" s="13"/>
      <c r="P2" s="19"/>
      <c r="Q2"/>
      <c r="R2" s="13"/>
      <c r="S2" s="13"/>
      <c r="CH2" s="29" t="s">
        <v>43</v>
      </c>
      <c r="CI2" s="69"/>
      <c r="CJ2" s="283" t="s">
        <v>98</v>
      </c>
      <c r="CK2" s="283"/>
      <c r="CL2" s="283"/>
      <c r="CN2" s="284" t="s">
        <v>54</v>
      </c>
      <c r="CO2" s="284"/>
      <c r="CP2" s="284"/>
      <c r="CQ2" s="284"/>
      <c r="CR2" s="284"/>
      <c r="CT2"/>
      <c r="CU2"/>
      <c r="CV2"/>
      <c r="CW2"/>
      <c r="CX2"/>
      <c r="CY2"/>
      <c r="DA2" s="13"/>
      <c r="DB2" s="283" t="s">
        <v>85</v>
      </c>
      <c r="DC2" s="283"/>
      <c r="DD2" s="283"/>
      <c r="DE2" s="283"/>
      <c r="DF2" s="283"/>
      <c r="DG2" s="283" t="s">
        <v>86</v>
      </c>
      <c r="DH2" s="283"/>
      <c r="DI2" s="283"/>
      <c r="DJ2" s="283"/>
      <c r="DK2" s="283"/>
      <c r="DL2" s="13"/>
      <c r="DO2" s="284" t="s">
        <v>54</v>
      </c>
      <c r="DP2" s="284"/>
      <c r="DQ2" s="284"/>
      <c r="DS2" s="284" t="s">
        <v>54</v>
      </c>
      <c r="DT2" s="284"/>
      <c r="DU2" s="284"/>
    </row>
    <row r="3" spans="1:125" ht="15.75" thickBot="1" x14ac:dyDescent="0.3">
      <c r="A3"/>
      <c r="B3"/>
      <c r="C3" s="13"/>
      <c r="D3" s="13"/>
      <c r="E3"/>
      <c r="F3" s="86"/>
      <c r="G3" s="13"/>
      <c r="H3" s="13"/>
      <c r="I3" s="13"/>
      <c r="J3" s="13"/>
      <c r="K3" s="13"/>
      <c r="L3" s="19"/>
      <c r="M3"/>
      <c r="N3"/>
      <c r="O3" s="13"/>
      <c r="P3" s="19"/>
      <c r="Q3"/>
      <c r="R3" s="13"/>
      <c r="S3" s="13"/>
      <c r="V3" s="86"/>
      <c r="W3" s="7"/>
      <c r="X3" s="7"/>
      <c r="Y3" s="7"/>
      <c r="Z3" s="7"/>
      <c r="AA3" s="7"/>
      <c r="CT3"/>
      <c r="CU3"/>
      <c r="CV3"/>
      <c r="CW3"/>
      <c r="CX3"/>
      <c r="CY3"/>
      <c r="DT3" s="7"/>
    </row>
    <row r="4" spans="1:125" x14ac:dyDescent="0.25">
      <c r="A4" s="5" t="s">
        <v>38</v>
      </c>
      <c r="B4" s="46" t="s">
        <v>39</v>
      </c>
      <c r="C4" s="46" t="s">
        <v>61</v>
      </c>
      <c r="D4" s="47" t="s">
        <v>56</v>
      </c>
      <c r="E4" s="48" t="s">
        <v>1</v>
      </c>
      <c r="F4" s="20"/>
      <c r="G4" s="48" t="s">
        <v>38</v>
      </c>
      <c r="H4" s="46" t="s">
        <v>39</v>
      </c>
      <c r="I4" s="46" t="s">
        <v>61</v>
      </c>
      <c r="J4" s="47" t="s">
        <v>56</v>
      </c>
      <c r="K4" s="48" t="s">
        <v>1</v>
      </c>
      <c r="L4" s="49"/>
      <c r="M4" s="48" t="s">
        <v>2</v>
      </c>
      <c r="N4" s="48" t="s">
        <v>3</v>
      </c>
      <c r="O4" s="48" t="s">
        <v>59</v>
      </c>
      <c r="P4" s="50"/>
      <c r="Q4" s="51" t="s">
        <v>4</v>
      </c>
      <c r="R4" s="46" t="s">
        <v>5</v>
      </c>
      <c r="S4" s="52" t="s">
        <v>6</v>
      </c>
      <c r="T4" s="18"/>
      <c r="U4" s="94" t="s">
        <v>40</v>
      </c>
      <c r="V4" s="226"/>
      <c r="W4" s="5" t="s">
        <v>38</v>
      </c>
      <c r="X4" s="46" t="s">
        <v>39</v>
      </c>
      <c r="Y4" s="46" t="s">
        <v>61</v>
      </c>
      <c r="Z4" s="47" t="s">
        <v>56</v>
      </c>
      <c r="AA4" s="48" t="s">
        <v>1</v>
      </c>
      <c r="AB4" s="20"/>
      <c r="AC4" s="48" t="s">
        <v>38</v>
      </c>
      <c r="AD4" s="46" t="s">
        <v>39</v>
      </c>
      <c r="AE4" s="46" t="s">
        <v>61</v>
      </c>
      <c r="AF4" s="47" t="s">
        <v>56</v>
      </c>
      <c r="AG4" s="48" t="s">
        <v>1</v>
      </c>
      <c r="AH4" s="49"/>
      <c r="AI4" s="48" t="s">
        <v>2</v>
      </c>
      <c r="AJ4" s="48" t="s">
        <v>3</v>
      </c>
      <c r="AK4" s="48" t="s">
        <v>59</v>
      </c>
      <c r="AL4" s="50"/>
      <c r="AM4" s="51" t="s">
        <v>4</v>
      </c>
      <c r="AN4" s="46" t="s">
        <v>5</v>
      </c>
      <c r="AO4" s="52" t="s">
        <v>6</v>
      </c>
      <c r="AP4" s="94" t="s">
        <v>40</v>
      </c>
      <c r="AR4" s="5" t="s">
        <v>38</v>
      </c>
      <c r="AS4" s="46" t="s">
        <v>39</v>
      </c>
      <c r="AT4" s="46" t="s">
        <v>61</v>
      </c>
      <c r="AU4" s="47" t="s">
        <v>56</v>
      </c>
      <c r="AV4" s="48" t="s">
        <v>1</v>
      </c>
      <c r="AW4" s="20"/>
      <c r="AX4" s="48" t="s">
        <v>38</v>
      </c>
      <c r="AY4" s="46" t="s">
        <v>39</v>
      </c>
      <c r="AZ4" s="46" t="s">
        <v>61</v>
      </c>
      <c r="BA4" s="47" t="s">
        <v>56</v>
      </c>
      <c r="BB4" s="48" t="s">
        <v>1</v>
      </c>
      <c r="BC4" s="49"/>
      <c r="BD4" s="48" t="s">
        <v>2</v>
      </c>
      <c r="BE4" s="48" t="s">
        <v>3</v>
      </c>
      <c r="BF4" s="48" t="s">
        <v>59</v>
      </c>
      <c r="BG4" s="50"/>
      <c r="BH4" s="51" t="s">
        <v>4</v>
      </c>
      <c r="BI4" s="46" t="s">
        <v>5</v>
      </c>
      <c r="BJ4" s="52" t="s">
        <v>6</v>
      </c>
      <c r="BK4" s="94" t="s">
        <v>40</v>
      </c>
      <c r="BM4" s="5" t="s">
        <v>38</v>
      </c>
      <c r="BN4" s="46" t="s">
        <v>39</v>
      </c>
      <c r="BO4" s="46" t="s">
        <v>61</v>
      </c>
      <c r="BP4" s="47" t="s">
        <v>56</v>
      </c>
      <c r="BQ4" s="48" t="s">
        <v>1</v>
      </c>
      <c r="BR4" s="20"/>
      <c r="BS4" s="48" t="s">
        <v>38</v>
      </c>
      <c r="BT4" s="46" t="s">
        <v>39</v>
      </c>
      <c r="BU4" s="46" t="s">
        <v>61</v>
      </c>
      <c r="BV4" s="47" t="s">
        <v>56</v>
      </c>
      <c r="BW4" s="48" t="s">
        <v>1</v>
      </c>
      <c r="BX4" s="49"/>
      <c r="BY4" s="48" t="s">
        <v>2</v>
      </c>
      <c r="BZ4" s="48" t="s">
        <v>3</v>
      </c>
      <c r="CA4" s="48" t="s">
        <v>59</v>
      </c>
      <c r="CB4" s="50"/>
      <c r="CC4" s="51" t="s">
        <v>4</v>
      </c>
      <c r="CD4" s="46" t="s">
        <v>5</v>
      </c>
      <c r="CE4" s="52" t="s">
        <v>6</v>
      </c>
      <c r="CF4" s="94" t="s">
        <v>40</v>
      </c>
      <c r="CG4" s="30"/>
      <c r="CH4" s="30" t="s">
        <v>60</v>
      </c>
      <c r="CI4" s="30"/>
      <c r="CJ4" s="30"/>
      <c r="CK4" s="72" t="s">
        <v>99</v>
      </c>
      <c r="CL4" s="30" t="s">
        <v>97</v>
      </c>
      <c r="CM4" s="30"/>
      <c r="CN4" s="12" t="s">
        <v>100</v>
      </c>
      <c r="CO4" s="12" t="s">
        <v>103</v>
      </c>
      <c r="CP4" s="30" t="s">
        <v>102</v>
      </c>
      <c r="CQ4" s="12" t="s">
        <v>103</v>
      </c>
      <c r="CR4" s="30" t="s">
        <v>101</v>
      </c>
      <c r="CS4" s="30"/>
      <c r="CT4"/>
      <c r="CU4"/>
      <c r="CV4"/>
      <c r="CW4"/>
      <c r="CX4"/>
      <c r="CY4"/>
      <c r="CZ4" s="9"/>
      <c r="DA4" s="30"/>
      <c r="DB4" s="95" t="s">
        <v>84</v>
      </c>
      <c r="DC4" s="96" t="s">
        <v>68</v>
      </c>
      <c r="DD4" s="96" t="s">
        <v>69</v>
      </c>
      <c r="DE4" s="96" t="s">
        <v>70</v>
      </c>
      <c r="DF4" s="98" t="s">
        <v>71</v>
      </c>
      <c r="DG4" s="97" t="s">
        <v>7</v>
      </c>
      <c r="DH4" s="96" t="s">
        <v>68</v>
      </c>
      <c r="DI4" s="96" t="s">
        <v>69</v>
      </c>
      <c r="DJ4" s="96" t="s">
        <v>70</v>
      </c>
      <c r="DK4" s="98" t="s">
        <v>71</v>
      </c>
      <c r="DL4" s="30"/>
      <c r="DN4" s="9"/>
      <c r="DO4" s="31" t="s">
        <v>7</v>
      </c>
      <c r="DP4" s="32" t="s">
        <v>45</v>
      </c>
      <c r="DQ4" s="33" t="s">
        <v>44</v>
      </c>
      <c r="DS4" s="27"/>
      <c r="DT4" s="25" t="s">
        <v>8</v>
      </c>
      <c r="DU4" s="11"/>
    </row>
    <row r="5" spans="1:125" x14ac:dyDescent="0.25">
      <c r="A5" s="116">
        <v>3</v>
      </c>
      <c r="B5" s="114" t="str">
        <f>Inputs!$A$2</f>
        <v>DomesticMC</v>
      </c>
      <c r="C5" s="45" t="str">
        <f>Inputs!$B$2</f>
        <v>MC</v>
      </c>
      <c r="D5" s="45" t="s">
        <v>57</v>
      </c>
      <c r="E5" s="45">
        <v>4395.8</v>
      </c>
      <c r="F5" s="53"/>
      <c r="G5" s="118">
        <v>3</v>
      </c>
      <c r="H5" s="114" t="str">
        <f>Inputs!$A$2</f>
        <v>DomesticMC</v>
      </c>
      <c r="I5" s="45" t="str">
        <f>Inputs!$B$2</f>
        <v>MC</v>
      </c>
      <c r="J5" s="45" t="s">
        <v>58</v>
      </c>
      <c r="K5" s="45">
        <v>2880</v>
      </c>
      <c r="L5" s="53"/>
      <c r="M5" s="45">
        <v>0</v>
      </c>
      <c r="N5" s="45">
        <v>0</v>
      </c>
      <c r="O5" s="45">
        <f>U5-0-E5-K5</f>
        <v>-3.637978807091713E-12</v>
      </c>
      <c r="P5" s="53"/>
      <c r="Q5" s="45">
        <f>E5+K5+N5-U5+0-M5</f>
        <v>3.637978807091713E-12</v>
      </c>
      <c r="R5" s="45">
        <f>M5*Inputs!$F$2*Inputs!$G$2</f>
        <v>0</v>
      </c>
      <c r="S5" s="45">
        <f>Inputs!$F$2*Inputs!$I$2*N5</f>
        <v>0</v>
      </c>
      <c r="T5" s="18"/>
      <c r="U5" s="54">
        <v>7275.7999999999965</v>
      </c>
      <c r="V5" s="86"/>
      <c r="W5" s="116">
        <v>3</v>
      </c>
      <c r="X5" s="114" t="str">
        <f>Inputs!$A$2</f>
        <v>DomesticMC</v>
      </c>
      <c r="Y5" s="45" t="str">
        <f>Inputs!$B$2</f>
        <v>MC</v>
      </c>
      <c r="Z5" s="45" t="s">
        <v>57</v>
      </c>
      <c r="AA5" s="45">
        <f t="shared" ref="AA5:AA68" si="0">E5</f>
        <v>4395.8</v>
      </c>
      <c r="AB5" s="53"/>
      <c r="AC5" s="118">
        <v>3</v>
      </c>
      <c r="AD5" s="114" t="str">
        <f>Inputs!$A$2</f>
        <v>DomesticMC</v>
      </c>
      <c r="AE5" s="45" t="str">
        <f>Inputs!$B$2</f>
        <v>MC</v>
      </c>
      <c r="AF5" s="45" t="s">
        <v>58</v>
      </c>
      <c r="AG5" s="45">
        <f t="shared" ref="AG5:AG68" si="1">K5</f>
        <v>2880</v>
      </c>
      <c r="AH5" s="53"/>
      <c r="AI5" s="45">
        <v>0</v>
      </c>
      <c r="AJ5" s="45">
        <v>0</v>
      </c>
      <c r="AK5" s="45">
        <f>AP5-0-AA5-AG5</f>
        <v>-3.637978807091713E-12</v>
      </c>
      <c r="AL5" s="53"/>
      <c r="AM5" s="45">
        <f>AA5+AG5+AJ5-AP5+0-AI5</f>
        <v>3.637978807091713E-12</v>
      </c>
      <c r="AN5" s="45">
        <f>AI5*Inputs!$F$2*Inputs!$G$2</f>
        <v>0</v>
      </c>
      <c r="AO5" s="45">
        <f>Inputs!$F$2*Inputs!$I$2*AJ5</f>
        <v>0</v>
      </c>
      <c r="AP5" s="54">
        <v>7275.7999999999965</v>
      </c>
      <c r="AR5" s="116">
        <v>3</v>
      </c>
      <c r="AS5" s="114" t="str">
        <f>Inputs!$A$2</f>
        <v>DomesticMC</v>
      </c>
      <c r="AT5" s="45" t="str">
        <f>Inputs!$B$2</f>
        <v>MC</v>
      </c>
      <c r="AU5" s="45" t="s">
        <v>57</v>
      </c>
      <c r="AV5" s="45">
        <f>E5</f>
        <v>4395.8</v>
      </c>
      <c r="AW5" s="53"/>
      <c r="AX5" s="118">
        <v>3</v>
      </c>
      <c r="AY5" s="114" t="str">
        <f>Inputs!$A$2</f>
        <v>DomesticMC</v>
      </c>
      <c r="AZ5" s="45" t="str">
        <f>Inputs!$B$2</f>
        <v>MC</v>
      </c>
      <c r="BA5" s="45" t="s">
        <v>58</v>
      </c>
      <c r="BB5" s="45">
        <f t="shared" ref="BB5:BB68" si="2">K5</f>
        <v>2880</v>
      </c>
      <c r="BC5" s="53"/>
      <c r="BD5" s="45">
        <v>0</v>
      </c>
      <c r="BE5" s="45">
        <v>0</v>
      </c>
      <c r="BF5" s="45">
        <f>BK5-0-AV5-BB5</f>
        <v>-3.637978807091713E-12</v>
      </c>
      <c r="BG5" s="53"/>
      <c r="BH5" s="45">
        <f>AV5+BB5+BE5-BK5+0-BD5</f>
        <v>3.637978807091713E-12</v>
      </c>
      <c r="BI5" s="45">
        <f>BD5*Inputs!$F$2*Inputs!$G$2</f>
        <v>0</v>
      </c>
      <c r="BJ5" s="45">
        <f>Inputs!$F$2*Inputs!$I$2*BE5</f>
        <v>0</v>
      </c>
      <c r="BK5" s="54">
        <v>7275.7999999999965</v>
      </c>
      <c r="BM5" s="116">
        <v>3</v>
      </c>
      <c r="BN5" s="114" t="str">
        <f>Inputs!$A$2</f>
        <v>DomesticMC</v>
      </c>
      <c r="BO5" s="45" t="str">
        <f>Inputs!$B$2</f>
        <v>MC</v>
      </c>
      <c r="BP5" s="45" t="s">
        <v>57</v>
      </c>
      <c r="BQ5" s="45">
        <f t="shared" ref="BQ5:BQ68" si="3">E5</f>
        <v>4395.8</v>
      </c>
      <c r="BR5" s="53"/>
      <c r="BS5" s="118">
        <v>3</v>
      </c>
      <c r="BT5" s="114" t="str">
        <f>Inputs!$A$2</f>
        <v>DomesticMC</v>
      </c>
      <c r="BU5" s="45" t="str">
        <f>Inputs!$B$2</f>
        <v>MC</v>
      </c>
      <c r="BV5" s="45" t="s">
        <v>58</v>
      </c>
      <c r="BW5" s="45">
        <f t="shared" ref="BW5:BW68" si="4">K5</f>
        <v>2880</v>
      </c>
      <c r="BX5" s="53"/>
      <c r="BY5" s="45">
        <v>0</v>
      </c>
      <c r="BZ5" s="45">
        <v>0</v>
      </c>
      <c r="CA5" s="45">
        <f>CF5-0-BQ5-BW5</f>
        <v>-3.637978807091713E-12</v>
      </c>
      <c r="CB5" s="53"/>
      <c r="CC5" s="45">
        <f>BQ5+BW5+BZ5-CF5+0-BY5</f>
        <v>3.637978807091713E-12</v>
      </c>
      <c r="CD5" s="45">
        <f>BY5*Inputs!$F$2*Inputs!$G$2</f>
        <v>0</v>
      </c>
      <c r="CE5" s="45">
        <f>Inputs!$F$2*Inputs!$I$2*BZ5</f>
        <v>0</v>
      </c>
      <c r="CF5" s="54">
        <v>7275.7999999999965</v>
      </c>
      <c r="CG5" s="41"/>
      <c r="CH5" s="112">
        <f>SUMIFS(E5:E454,B5:B454,"&lt;&gt;Domestic*",A5:A454,11) + SUMIFS(K5:K454,B5:B454,"&lt;&gt;Domestic*",A5:A454,11)</f>
        <v>0</v>
      </c>
      <c r="CI5" s="41"/>
      <c r="CJ5" s="41">
        <v>3</v>
      </c>
      <c r="CK5" s="41">
        <f>IF(Inputs!$T$1&gt;CJ5,0,999999)</f>
        <v>999999</v>
      </c>
      <c r="CL5" s="41">
        <f>SUMIFS($E$5:$E$454,$A$5:$A$454,CJ5) + SUMIFS($K$5:$K$454,$A$5:$A$454,CJ5)</f>
        <v>14616.7</v>
      </c>
      <c r="CM5" s="41"/>
      <c r="CN5" s="13" t="str">
        <f>Inputs!A2</f>
        <v>DomesticMC</v>
      </c>
      <c r="CO5" s="13">
        <f>IF(Inputs!D2="Yes",999999,0)</f>
        <v>999999</v>
      </c>
      <c r="CP5" s="41">
        <f>SUMIFS($K$5:$K$454,$H$5:$H$454,CN5)</f>
        <v>20854.654300000002</v>
      </c>
      <c r="CQ5" s="41">
        <f>IF(Inputs!E2="Yes",999999,0)</f>
        <v>999999</v>
      </c>
      <c r="CR5" s="41">
        <f>SUMIFS($E$5:$E$454,$B$5:$B$454,CN5)</f>
        <v>36582.545699999995</v>
      </c>
      <c r="CS5" s="41"/>
      <c r="CT5"/>
      <c r="CU5"/>
      <c r="CV5"/>
      <c r="CW5"/>
      <c r="CX5"/>
      <c r="CY5"/>
      <c r="CZ5" s="6"/>
      <c r="DA5" s="14"/>
      <c r="DB5" s="99">
        <v>3</v>
      </c>
      <c r="DC5" s="92">
        <f>SUMIFS($E$5:$E$453,$C$5:$C$453,"=MC",$A$5:$A$453,DB5)</f>
        <v>4395.8</v>
      </c>
      <c r="DD5" s="92">
        <f>SUMIFS($E$5:$E$453,$C$5:$C$453,"=PNT",$A$5:$A$453,DB5)</f>
        <v>2640</v>
      </c>
      <c r="DE5" s="92">
        <f>SUMIFS($K$5:$K$453,$C$5:$C$453,"=MC",$A$5:$A$453,DB5)</f>
        <v>2880</v>
      </c>
      <c r="DF5" s="100">
        <f>SUMIFS($K$5:$K$453,$C$5:$C$453,"=PNT",$A$5:$A$453,DB5)</f>
        <v>4700.8999999999996</v>
      </c>
      <c r="DG5" s="92" t="s">
        <v>46</v>
      </c>
      <c r="DH5" s="92">
        <f>Inputs!L2*Inputs!$L$1</f>
        <v>4550</v>
      </c>
      <c r="DI5" s="92">
        <f>Inputs!N2*Inputs!$N$1</f>
        <v>2640</v>
      </c>
      <c r="DJ5" s="92">
        <f>Inputs!P2*Inputs!$P$1</f>
        <v>2880</v>
      </c>
      <c r="DK5" s="100">
        <f>Inputs!R2*Inputs!$R$1</f>
        <v>4800</v>
      </c>
      <c r="DL5" s="14"/>
      <c r="DN5" s="6"/>
      <c r="DO5" s="36" t="str">
        <f>DS5</f>
        <v>DomesticMC</v>
      </c>
      <c r="DP5" s="34">
        <f t="shared" ref="DP5:DP36" si="5">SUMIFS($E$5:$E$1050,$B$5:$B$1050,DO5)+SUMIFS($K$5:$K$1050,$B$5:$B$1050,DO5)</f>
        <v>57437.2</v>
      </c>
      <c r="DQ5" s="35">
        <f>DT5</f>
        <v>57437.19999999999</v>
      </c>
      <c r="DS5" s="28" t="str">
        <f>Inputs!A2</f>
        <v>DomesticMC</v>
      </c>
      <c r="DT5" s="26">
        <f>Inputs!C2</f>
        <v>57437.19999999999</v>
      </c>
      <c r="DU5" s="24"/>
    </row>
    <row r="6" spans="1:125" x14ac:dyDescent="0.25">
      <c r="A6" s="116">
        <v>4</v>
      </c>
      <c r="B6" s="114" t="str">
        <f>Inputs!$A$2</f>
        <v>DomesticMC</v>
      </c>
      <c r="C6" s="45" t="str">
        <f>Inputs!$B$2</f>
        <v>MC</v>
      </c>
      <c r="D6" s="45" t="s">
        <v>57</v>
      </c>
      <c r="E6" s="45">
        <v>2925</v>
      </c>
      <c r="F6" s="53"/>
      <c r="G6" s="118">
        <v>4</v>
      </c>
      <c r="H6" s="114" t="str">
        <f>Inputs!$A$2</f>
        <v>DomesticMC</v>
      </c>
      <c r="I6" s="45" t="str">
        <f>Inputs!$B$2</f>
        <v>MC</v>
      </c>
      <c r="J6" s="45" t="s">
        <v>58</v>
      </c>
      <c r="K6" s="45">
        <v>2804.1</v>
      </c>
      <c r="L6" s="53"/>
      <c r="M6" s="45">
        <v>0</v>
      </c>
      <c r="N6" s="45">
        <v>0</v>
      </c>
      <c r="O6" s="45">
        <f t="shared" ref="O6:O13" si="6">U6-M5-E6-K6</f>
        <v>0</v>
      </c>
      <c r="P6" s="53"/>
      <c r="Q6" s="45">
        <f t="shared" ref="Q6:Q11" si="7">E6+K6+N6-U6+M5-M6</f>
        <v>0</v>
      </c>
      <c r="R6" s="45">
        <f>M6*Inputs!$F$2*Inputs!$G$2</f>
        <v>0</v>
      </c>
      <c r="S6" s="45">
        <f>Inputs!$F$2*Inputs!$I$2*N6</f>
        <v>0</v>
      </c>
      <c r="T6" s="18"/>
      <c r="U6" s="55">
        <v>5729.1</v>
      </c>
      <c r="V6" s="227"/>
      <c r="W6" s="116">
        <v>4</v>
      </c>
      <c r="X6" s="114" t="str">
        <f>Inputs!$A$2</f>
        <v>DomesticMC</v>
      </c>
      <c r="Y6" s="45" t="str">
        <f>Inputs!$B$2</f>
        <v>MC</v>
      </c>
      <c r="Z6" s="45" t="s">
        <v>57</v>
      </c>
      <c r="AA6" s="45">
        <f t="shared" si="0"/>
        <v>2925</v>
      </c>
      <c r="AB6" s="53"/>
      <c r="AC6" s="118">
        <v>4</v>
      </c>
      <c r="AD6" s="114" t="str">
        <f>Inputs!$A$2</f>
        <v>DomesticMC</v>
      </c>
      <c r="AE6" s="45" t="str">
        <f>Inputs!$B$2</f>
        <v>MC</v>
      </c>
      <c r="AF6" s="45" t="s">
        <v>58</v>
      </c>
      <c r="AG6" s="45">
        <f t="shared" si="1"/>
        <v>2804.1</v>
      </c>
      <c r="AH6" s="53"/>
      <c r="AI6" s="45">
        <v>0</v>
      </c>
      <c r="AJ6" s="45">
        <v>0</v>
      </c>
      <c r="AK6" s="45">
        <f t="shared" ref="AK6:AK13" si="8">AP6-AI5-AA6-AG6</f>
        <v>0</v>
      </c>
      <c r="AL6" s="53"/>
      <c r="AM6" s="45">
        <f t="shared" ref="AM6:AM13" si="9">AA6+AG6+AJ6-AP6+AI5-AI6</f>
        <v>0</v>
      </c>
      <c r="AN6" s="45">
        <f>AI6*Inputs!$F$2*Inputs!$G$2</f>
        <v>0</v>
      </c>
      <c r="AO6" s="45">
        <f>Inputs!$F$2*Inputs!$I$2*AJ6</f>
        <v>0</v>
      </c>
      <c r="AP6" s="55">
        <v>5729.1</v>
      </c>
      <c r="AR6" s="116">
        <v>4</v>
      </c>
      <c r="AS6" s="114" t="str">
        <f>Inputs!$A$2</f>
        <v>DomesticMC</v>
      </c>
      <c r="AT6" s="45" t="str">
        <f>Inputs!$B$2</f>
        <v>MC</v>
      </c>
      <c r="AU6" s="45" t="s">
        <v>57</v>
      </c>
      <c r="AV6" s="45">
        <f t="shared" ref="AV6:AV69" si="10">E6</f>
        <v>2925</v>
      </c>
      <c r="AW6" s="53"/>
      <c r="AX6" s="118">
        <v>4</v>
      </c>
      <c r="AY6" s="114" t="str">
        <f>Inputs!$A$2</f>
        <v>DomesticMC</v>
      </c>
      <c r="AZ6" s="45" t="str">
        <f>Inputs!$B$2</f>
        <v>MC</v>
      </c>
      <c r="BA6" s="45" t="s">
        <v>58</v>
      </c>
      <c r="BB6" s="45">
        <f t="shared" si="2"/>
        <v>2804.1</v>
      </c>
      <c r="BC6" s="53"/>
      <c r="BD6" s="45">
        <v>0</v>
      </c>
      <c r="BE6" s="45">
        <v>0</v>
      </c>
      <c r="BF6" s="45">
        <f t="shared" ref="BF6:BF13" si="11">BK6-BD5-AV6-BB6</f>
        <v>0</v>
      </c>
      <c r="BG6" s="53"/>
      <c r="BH6" s="45">
        <f t="shared" ref="BH6:BH13" si="12">AV6+BB6+BE6-BK6+BD5-BD6</f>
        <v>0</v>
      </c>
      <c r="BI6" s="45">
        <f>BD6*Inputs!$F$2*Inputs!$G$2</f>
        <v>0</v>
      </c>
      <c r="BJ6" s="45">
        <f>Inputs!$F$2*Inputs!$I$2*BE6</f>
        <v>0</v>
      </c>
      <c r="BK6" s="55">
        <v>5729.1</v>
      </c>
      <c r="BM6" s="116">
        <v>4</v>
      </c>
      <c r="BN6" s="114" t="str">
        <f>Inputs!$A$2</f>
        <v>DomesticMC</v>
      </c>
      <c r="BO6" s="45" t="str">
        <f>Inputs!$B$2</f>
        <v>MC</v>
      </c>
      <c r="BP6" s="45" t="s">
        <v>57</v>
      </c>
      <c r="BQ6" s="45">
        <f t="shared" si="3"/>
        <v>2925</v>
      </c>
      <c r="BR6" s="53"/>
      <c r="BS6" s="118">
        <v>4</v>
      </c>
      <c r="BT6" s="114" t="str">
        <f>Inputs!$A$2</f>
        <v>DomesticMC</v>
      </c>
      <c r="BU6" s="45" t="str">
        <f>Inputs!$B$2</f>
        <v>MC</v>
      </c>
      <c r="BV6" s="45" t="s">
        <v>58</v>
      </c>
      <c r="BW6" s="45">
        <f t="shared" si="4"/>
        <v>2804.1</v>
      </c>
      <c r="BX6" s="53"/>
      <c r="BY6" s="45">
        <v>0</v>
      </c>
      <c r="BZ6" s="45">
        <v>0</v>
      </c>
      <c r="CA6" s="45">
        <f t="shared" ref="CA6:CA13" si="13">CF6-BY5-BQ6-BW6</f>
        <v>0</v>
      </c>
      <c r="CB6" s="53"/>
      <c r="CC6" s="45">
        <f t="shared" ref="CC6:CC13" si="14">BQ6+BW6+BZ6-CF6+BY5-BY6</f>
        <v>0</v>
      </c>
      <c r="CD6" s="45">
        <f>BY6*Inputs!$F$2*Inputs!$G$2</f>
        <v>0</v>
      </c>
      <c r="CE6" s="45">
        <f>Inputs!$F$2*Inputs!$I$2*BZ6</f>
        <v>0</v>
      </c>
      <c r="CF6" s="55">
        <v>5729.1</v>
      </c>
      <c r="CG6" s="41"/>
      <c r="CH6" s="41"/>
      <c r="CI6" s="41"/>
      <c r="CJ6" s="41">
        <v>4</v>
      </c>
      <c r="CK6" s="41">
        <f>IF(Inputs!$T$1&gt;CJ6,0,999999)</f>
        <v>999999</v>
      </c>
      <c r="CL6" s="41">
        <f t="shared" ref="CL6:CL13" si="15">SUMIFS($E$5:$E$454,$A$5:$A$454,CJ6) + SUMIFS($K$5:$K$454,$A$5:$A$454,CJ6)</f>
        <v>12798.400000000001</v>
      </c>
      <c r="CM6" s="41"/>
      <c r="CN6" s="13" t="str">
        <f>Inputs!A3</f>
        <v>DomesticPNT</v>
      </c>
      <c r="CO6" s="13">
        <f>IF(Inputs!D3="Yes",999999,0)</f>
        <v>999999</v>
      </c>
      <c r="CP6" s="41">
        <f t="shared" ref="CP6:CP53" si="16">SUMIFS($K$5:$K$454,$H$5:$H$454,CN6)</f>
        <v>42612.033300000003</v>
      </c>
      <c r="CQ6" s="41">
        <f>IF(Inputs!E3="Yes",999999,0)</f>
        <v>999999</v>
      </c>
      <c r="CR6" s="41">
        <f t="shared" ref="CR6:CR53" si="17">SUMIFS($E$5:$E$454,$B$5:$B$454,CN6)</f>
        <v>21552.866599999998</v>
      </c>
      <c r="CS6" s="41"/>
      <c r="CT6"/>
      <c r="CU6"/>
      <c r="CV6"/>
      <c r="CW6"/>
      <c r="CX6"/>
      <c r="CY6"/>
      <c r="CZ6" s="6"/>
      <c r="DA6" s="14"/>
      <c r="DB6" s="99">
        <v>4</v>
      </c>
      <c r="DC6" s="92">
        <f t="shared" ref="DC6:DC13" si="18">SUMIFS($E$5:$E$453,$C$5:$C$453,"=MC",$A$5:$A$453,DB6)</f>
        <v>2925</v>
      </c>
      <c r="DD6" s="92">
        <f t="shared" ref="DD6:DD13" si="19">SUMIFS($E$5:$E$453,$C$5:$C$453,"=PNT",$A$5:$A$453,DB6)</f>
        <v>1949.3</v>
      </c>
      <c r="DE6" s="92">
        <f t="shared" ref="DE6:DE13" si="20">SUMIFS($K$5:$K$453,$C$5:$C$453,"=MC",$A$5:$A$453,DB6)</f>
        <v>2804.1</v>
      </c>
      <c r="DF6" s="100">
        <f t="shared" ref="DF6:DF13" si="21">SUMIFS($K$5:$K$453,$C$5:$C$453,"=PNT",$A$5:$A$453,DB6)</f>
        <v>5120</v>
      </c>
      <c r="DG6" s="92" t="s">
        <v>47</v>
      </c>
      <c r="DH6" s="92">
        <f>Inputs!L3*Inputs!$L$1</f>
        <v>2925</v>
      </c>
      <c r="DI6" s="92">
        <f>Inputs!N3*Inputs!$N$1</f>
        <v>2000</v>
      </c>
      <c r="DJ6" s="92">
        <f>Inputs!P3*Inputs!$P$1</f>
        <v>2960</v>
      </c>
      <c r="DK6" s="100">
        <f>Inputs!R3*Inputs!$R$1</f>
        <v>5120</v>
      </c>
      <c r="DL6" s="14"/>
      <c r="DN6" s="6"/>
      <c r="DO6" s="36" t="str">
        <f t="shared" ref="DO6:DO51" si="22">DS6</f>
        <v>DomesticPNT</v>
      </c>
      <c r="DP6" s="34">
        <f t="shared" si="5"/>
        <v>64164.899900000004</v>
      </c>
      <c r="DQ6" s="35">
        <f t="shared" ref="DQ6:DQ51" si="23">DT6</f>
        <v>64164.9</v>
      </c>
      <c r="DS6" s="28" t="str">
        <f>Inputs!A3</f>
        <v>DomesticPNT</v>
      </c>
      <c r="DT6" s="26">
        <f>Inputs!C3</f>
        <v>64164.9</v>
      </c>
      <c r="DU6" s="24"/>
    </row>
    <row r="7" spans="1:125" x14ac:dyDescent="0.25">
      <c r="A7" s="116">
        <v>5</v>
      </c>
      <c r="B7" s="114" t="str">
        <f>Inputs!$A$2</f>
        <v>DomesticMC</v>
      </c>
      <c r="C7" s="45" t="str">
        <f>Inputs!$B$2</f>
        <v>MC</v>
      </c>
      <c r="D7" s="45" t="s">
        <v>57</v>
      </c>
      <c r="E7" s="45">
        <v>4550</v>
      </c>
      <c r="F7" s="53"/>
      <c r="G7" s="118">
        <v>5</v>
      </c>
      <c r="H7" s="114" t="str">
        <f>Inputs!$A$2</f>
        <v>DomesticMC</v>
      </c>
      <c r="I7" s="45" t="str">
        <f>Inputs!$B$2</f>
        <v>MC</v>
      </c>
      <c r="J7" s="45" t="s">
        <v>58</v>
      </c>
      <c r="K7" s="45">
        <v>2418.3000000000002</v>
      </c>
      <c r="L7" s="53"/>
      <c r="M7" s="45">
        <v>0</v>
      </c>
      <c r="N7" s="45">
        <v>0</v>
      </c>
      <c r="O7" s="45">
        <f t="shared" si="6"/>
        <v>0</v>
      </c>
      <c r="P7" s="53"/>
      <c r="Q7" s="45">
        <f t="shared" si="7"/>
        <v>0</v>
      </c>
      <c r="R7" s="45">
        <f>M7*Inputs!$F$2*Inputs!$G$2</f>
        <v>0</v>
      </c>
      <c r="S7" s="45">
        <f>Inputs!$F$2*Inputs!$I$2*N7</f>
        <v>0</v>
      </c>
      <c r="T7" s="18"/>
      <c r="U7" s="55">
        <v>6968.3</v>
      </c>
      <c r="V7" s="228"/>
      <c r="W7" s="116">
        <v>5</v>
      </c>
      <c r="X7" s="114" t="str">
        <f>Inputs!$A$2</f>
        <v>DomesticMC</v>
      </c>
      <c r="Y7" s="45" t="str">
        <f>Inputs!$B$2</f>
        <v>MC</v>
      </c>
      <c r="Z7" s="45" t="s">
        <v>57</v>
      </c>
      <c r="AA7" s="45">
        <f t="shared" si="0"/>
        <v>4550</v>
      </c>
      <c r="AB7" s="53"/>
      <c r="AC7" s="118">
        <v>5</v>
      </c>
      <c r="AD7" s="114" t="str">
        <f>Inputs!$A$2</f>
        <v>DomesticMC</v>
      </c>
      <c r="AE7" s="45" t="str">
        <f>Inputs!$B$2</f>
        <v>MC</v>
      </c>
      <c r="AF7" s="45" t="s">
        <v>58</v>
      </c>
      <c r="AG7" s="45">
        <f t="shared" si="1"/>
        <v>2418.3000000000002</v>
      </c>
      <c r="AH7" s="53"/>
      <c r="AI7" s="45">
        <v>0</v>
      </c>
      <c r="AJ7" s="45">
        <v>0</v>
      </c>
      <c r="AK7" s="45">
        <f t="shared" si="8"/>
        <v>0</v>
      </c>
      <c r="AL7" s="53"/>
      <c r="AM7" s="45">
        <f t="shared" si="9"/>
        <v>0</v>
      </c>
      <c r="AN7" s="45">
        <f>AI7*Inputs!$F$2*Inputs!$G$2</f>
        <v>0</v>
      </c>
      <c r="AO7" s="45">
        <f>Inputs!$F$2*Inputs!$I$2*AJ7</f>
        <v>0</v>
      </c>
      <c r="AP7" s="55">
        <v>6968.3</v>
      </c>
      <c r="AR7" s="116">
        <v>5</v>
      </c>
      <c r="AS7" s="114" t="str">
        <f>Inputs!$A$2</f>
        <v>DomesticMC</v>
      </c>
      <c r="AT7" s="45" t="str">
        <f>Inputs!$B$2</f>
        <v>MC</v>
      </c>
      <c r="AU7" s="45" t="s">
        <v>57</v>
      </c>
      <c r="AV7" s="45">
        <f t="shared" si="10"/>
        <v>4550</v>
      </c>
      <c r="AW7" s="53"/>
      <c r="AX7" s="118">
        <v>5</v>
      </c>
      <c r="AY7" s="114" t="str">
        <f>Inputs!$A$2</f>
        <v>DomesticMC</v>
      </c>
      <c r="AZ7" s="45" t="str">
        <f>Inputs!$B$2</f>
        <v>MC</v>
      </c>
      <c r="BA7" s="45" t="s">
        <v>58</v>
      </c>
      <c r="BB7" s="45">
        <f t="shared" si="2"/>
        <v>2418.3000000000002</v>
      </c>
      <c r="BC7" s="53"/>
      <c r="BD7" s="45">
        <v>0</v>
      </c>
      <c r="BE7" s="45">
        <v>0</v>
      </c>
      <c r="BF7" s="45">
        <f t="shared" si="11"/>
        <v>0</v>
      </c>
      <c r="BG7" s="53"/>
      <c r="BH7" s="45">
        <f t="shared" si="12"/>
        <v>0</v>
      </c>
      <c r="BI7" s="45">
        <f>BD7*Inputs!$F$2*Inputs!$G$2</f>
        <v>0</v>
      </c>
      <c r="BJ7" s="45">
        <f>Inputs!$F$2*Inputs!$I$2*BE7</f>
        <v>0</v>
      </c>
      <c r="BK7" s="55">
        <v>6968.3</v>
      </c>
      <c r="BM7" s="116">
        <v>5</v>
      </c>
      <c r="BN7" s="114" t="str">
        <f>Inputs!$A$2</f>
        <v>DomesticMC</v>
      </c>
      <c r="BO7" s="45" t="str">
        <f>Inputs!$B$2</f>
        <v>MC</v>
      </c>
      <c r="BP7" s="45" t="s">
        <v>57</v>
      </c>
      <c r="BQ7" s="45">
        <f t="shared" si="3"/>
        <v>4550</v>
      </c>
      <c r="BR7" s="53"/>
      <c r="BS7" s="118">
        <v>5</v>
      </c>
      <c r="BT7" s="114" t="str">
        <f>Inputs!$A$2</f>
        <v>DomesticMC</v>
      </c>
      <c r="BU7" s="45" t="str">
        <f>Inputs!$B$2</f>
        <v>MC</v>
      </c>
      <c r="BV7" s="45" t="s">
        <v>58</v>
      </c>
      <c r="BW7" s="45">
        <f t="shared" si="4"/>
        <v>2418.3000000000002</v>
      </c>
      <c r="BX7" s="53"/>
      <c r="BY7" s="45">
        <v>0</v>
      </c>
      <c r="BZ7" s="45">
        <v>0</v>
      </c>
      <c r="CA7" s="45">
        <f t="shared" si="13"/>
        <v>0</v>
      </c>
      <c r="CB7" s="53"/>
      <c r="CC7" s="45">
        <f t="shared" si="14"/>
        <v>0</v>
      </c>
      <c r="CD7" s="45">
        <f>BY7*Inputs!$F$2*Inputs!$G$2</f>
        <v>0</v>
      </c>
      <c r="CE7" s="45">
        <f>Inputs!$F$2*Inputs!$I$2*BZ7</f>
        <v>0</v>
      </c>
      <c r="CF7" s="55">
        <v>6968.3</v>
      </c>
      <c r="CG7" s="41"/>
      <c r="CH7" s="41"/>
      <c r="CI7" s="41"/>
      <c r="CJ7" s="41">
        <v>5</v>
      </c>
      <c r="CK7" s="41">
        <f>IF(Inputs!$T$1&gt;CJ7,0,999999)</f>
        <v>999999</v>
      </c>
      <c r="CL7" s="41">
        <f t="shared" si="15"/>
        <v>14248.312505440001</v>
      </c>
      <c r="CM7" s="41"/>
      <c r="CN7" s="13" t="str">
        <f>Inputs!A4</f>
        <v>M3135400</v>
      </c>
      <c r="CO7" s="13">
        <f>IF(Inputs!D4="Yes",999999,0)</f>
        <v>999999</v>
      </c>
      <c r="CP7" s="41">
        <f t="shared" si="16"/>
        <v>392.71343999999999</v>
      </c>
      <c r="CQ7" s="41">
        <f>IF(Inputs!E4="Yes",999999,0)</f>
        <v>999999</v>
      </c>
      <c r="CR7" s="41">
        <f t="shared" si="17"/>
        <v>265.602104</v>
      </c>
      <c r="CS7" s="41"/>
      <c r="CT7"/>
      <c r="CU7"/>
      <c r="CV7"/>
      <c r="CW7"/>
      <c r="CX7"/>
      <c r="CY7"/>
      <c r="CZ7" s="6"/>
      <c r="DA7" s="14"/>
      <c r="DB7" s="99">
        <v>5</v>
      </c>
      <c r="DC7" s="92">
        <f t="shared" si="18"/>
        <v>4550</v>
      </c>
      <c r="DD7" s="92">
        <f t="shared" si="19"/>
        <v>2480</v>
      </c>
      <c r="DE7" s="92">
        <f t="shared" si="20"/>
        <v>2418.3125054400002</v>
      </c>
      <c r="DF7" s="100">
        <f t="shared" si="21"/>
        <v>4800</v>
      </c>
      <c r="DG7" s="92" t="s">
        <v>48</v>
      </c>
      <c r="DH7" s="92">
        <f>Inputs!L4*Inputs!$L$1</f>
        <v>4550</v>
      </c>
      <c r="DI7" s="92">
        <f>Inputs!N4*Inputs!$N$1</f>
        <v>2480</v>
      </c>
      <c r="DJ7" s="92">
        <f>Inputs!P4*Inputs!$P$1</f>
        <v>3000</v>
      </c>
      <c r="DK7" s="100">
        <f>Inputs!R4*Inputs!$R$1</f>
        <v>4800</v>
      </c>
      <c r="DL7" s="14"/>
      <c r="DN7" s="6"/>
      <c r="DO7" s="36" t="str">
        <f t="shared" si="22"/>
        <v>M3135400</v>
      </c>
      <c r="DP7" s="34">
        <f t="shared" si="5"/>
        <v>658.31554400000005</v>
      </c>
      <c r="DQ7" s="35">
        <f t="shared" si="23"/>
        <v>658.3155427338877</v>
      </c>
      <c r="DS7" s="28" t="str">
        <f>Inputs!A4</f>
        <v>M3135400</v>
      </c>
      <c r="DT7" s="26">
        <f>Inputs!C4</f>
        <v>658.3155427338877</v>
      </c>
      <c r="DU7" s="24"/>
    </row>
    <row r="8" spans="1:125" x14ac:dyDescent="0.25">
      <c r="A8" s="116">
        <v>6</v>
      </c>
      <c r="B8" s="114" t="str">
        <f>Inputs!$A$2</f>
        <v>DomesticMC</v>
      </c>
      <c r="C8" s="45" t="str">
        <f>Inputs!$B$2</f>
        <v>MC</v>
      </c>
      <c r="D8" s="45" t="s">
        <v>57</v>
      </c>
      <c r="E8" s="45">
        <v>4290</v>
      </c>
      <c r="F8" s="53"/>
      <c r="G8" s="118">
        <v>6</v>
      </c>
      <c r="H8" s="114" t="str">
        <f>Inputs!$A$2</f>
        <v>DomesticMC</v>
      </c>
      <c r="I8" s="45" t="str">
        <f>Inputs!$B$2</f>
        <v>MC</v>
      </c>
      <c r="J8" s="45" t="s">
        <v>58</v>
      </c>
      <c r="K8" s="45">
        <v>1359.9</v>
      </c>
      <c r="L8" s="53"/>
      <c r="M8" s="45">
        <v>0</v>
      </c>
      <c r="N8" s="45">
        <v>0</v>
      </c>
      <c r="O8" s="45">
        <f t="shared" si="6"/>
        <v>0</v>
      </c>
      <c r="P8" s="53"/>
      <c r="Q8" s="45">
        <f t="shared" si="7"/>
        <v>0</v>
      </c>
      <c r="R8" s="45">
        <f>M8*Inputs!$F$2*Inputs!$G$2</f>
        <v>0</v>
      </c>
      <c r="S8" s="45">
        <f>Inputs!$F$2*Inputs!$I$2*N8</f>
        <v>0</v>
      </c>
      <c r="T8" s="18"/>
      <c r="U8" s="55">
        <v>5649.9</v>
      </c>
      <c r="W8" s="116">
        <v>6</v>
      </c>
      <c r="X8" s="114" t="str">
        <f>Inputs!$A$2</f>
        <v>DomesticMC</v>
      </c>
      <c r="Y8" s="45" t="str">
        <f>Inputs!$B$2</f>
        <v>MC</v>
      </c>
      <c r="Z8" s="45" t="s">
        <v>57</v>
      </c>
      <c r="AA8" s="45">
        <f t="shared" si="0"/>
        <v>4290</v>
      </c>
      <c r="AB8" s="53"/>
      <c r="AC8" s="118">
        <v>6</v>
      </c>
      <c r="AD8" s="114" t="str">
        <f>Inputs!$A$2</f>
        <v>DomesticMC</v>
      </c>
      <c r="AE8" s="45" t="str">
        <f>Inputs!$B$2</f>
        <v>MC</v>
      </c>
      <c r="AF8" s="45" t="s">
        <v>58</v>
      </c>
      <c r="AG8" s="45">
        <f t="shared" si="1"/>
        <v>1359.9</v>
      </c>
      <c r="AH8" s="53"/>
      <c r="AI8" s="45">
        <v>0</v>
      </c>
      <c r="AJ8" s="45">
        <v>0</v>
      </c>
      <c r="AK8" s="45">
        <f t="shared" si="8"/>
        <v>0</v>
      </c>
      <c r="AL8" s="53"/>
      <c r="AM8" s="45">
        <f t="shared" si="9"/>
        <v>0</v>
      </c>
      <c r="AN8" s="45">
        <f>AI8*Inputs!$F$2*Inputs!$G$2</f>
        <v>0</v>
      </c>
      <c r="AO8" s="45">
        <f>Inputs!$F$2*Inputs!$I$2*AJ8</f>
        <v>0</v>
      </c>
      <c r="AP8" s="55">
        <v>5649.9</v>
      </c>
      <c r="AR8" s="116">
        <v>6</v>
      </c>
      <c r="AS8" s="114" t="str">
        <f>Inputs!$A$2</f>
        <v>DomesticMC</v>
      </c>
      <c r="AT8" s="45" t="str">
        <f>Inputs!$B$2</f>
        <v>MC</v>
      </c>
      <c r="AU8" s="45" t="s">
        <v>57</v>
      </c>
      <c r="AV8" s="45">
        <f t="shared" si="10"/>
        <v>4290</v>
      </c>
      <c r="AW8" s="53"/>
      <c r="AX8" s="118">
        <v>6</v>
      </c>
      <c r="AY8" s="114" t="str">
        <f>Inputs!$A$2</f>
        <v>DomesticMC</v>
      </c>
      <c r="AZ8" s="45" t="str">
        <f>Inputs!$B$2</f>
        <v>MC</v>
      </c>
      <c r="BA8" s="45" t="s">
        <v>58</v>
      </c>
      <c r="BB8" s="45">
        <f t="shared" si="2"/>
        <v>1359.9</v>
      </c>
      <c r="BC8" s="53"/>
      <c r="BD8" s="45">
        <v>0</v>
      </c>
      <c r="BE8" s="45">
        <v>0</v>
      </c>
      <c r="BF8" s="45">
        <f t="shared" si="11"/>
        <v>0</v>
      </c>
      <c r="BG8" s="53"/>
      <c r="BH8" s="45">
        <f t="shared" si="12"/>
        <v>0</v>
      </c>
      <c r="BI8" s="45">
        <f>BD8*Inputs!$F$2*Inputs!$G$2</f>
        <v>0</v>
      </c>
      <c r="BJ8" s="45">
        <f>Inputs!$F$2*Inputs!$I$2*BE8</f>
        <v>0</v>
      </c>
      <c r="BK8" s="55">
        <v>5649.9</v>
      </c>
      <c r="BM8" s="116">
        <v>6</v>
      </c>
      <c r="BN8" s="114" t="str">
        <f>Inputs!$A$2</f>
        <v>DomesticMC</v>
      </c>
      <c r="BO8" s="45" t="str">
        <f>Inputs!$B$2</f>
        <v>MC</v>
      </c>
      <c r="BP8" s="45" t="s">
        <v>57</v>
      </c>
      <c r="BQ8" s="45">
        <f t="shared" si="3"/>
        <v>4290</v>
      </c>
      <c r="BR8" s="53"/>
      <c r="BS8" s="118">
        <v>6</v>
      </c>
      <c r="BT8" s="114" t="str">
        <f>Inputs!$A$2</f>
        <v>DomesticMC</v>
      </c>
      <c r="BU8" s="45" t="str">
        <f>Inputs!$B$2</f>
        <v>MC</v>
      </c>
      <c r="BV8" s="45" t="s">
        <v>58</v>
      </c>
      <c r="BW8" s="45">
        <f t="shared" si="4"/>
        <v>1359.9</v>
      </c>
      <c r="BX8" s="53"/>
      <c r="BY8" s="45">
        <v>0</v>
      </c>
      <c r="BZ8" s="45">
        <v>0</v>
      </c>
      <c r="CA8" s="45">
        <f t="shared" si="13"/>
        <v>0</v>
      </c>
      <c r="CB8" s="53"/>
      <c r="CC8" s="45">
        <f t="shared" si="14"/>
        <v>0</v>
      </c>
      <c r="CD8" s="45">
        <f>BY8*Inputs!$F$2*Inputs!$G$2</f>
        <v>0</v>
      </c>
      <c r="CE8" s="45">
        <f>Inputs!$F$2*Inputs!$I$2*BZ8</f>
        <v>0</v>
      </c>
      <c r="CF8" s="55">
        <v>5649.9</v>
      </c>
      <c r="CG8" s="41"/>
      <c r="CH8" s="41"/>
      <c r="CI8" s="41"/>
      <c r="CJ8" s="41">
        <v>6</v>
      </c>
      <c r="CK8" s="41">
        <f>IF(Inputs!$T$1&gt;CJ8,0,999999)</f>
        <v>999999</v>
      </c>
      <c r="CL8" s="41">
        <f t="shared" si="15"/>
        <v>13613.908949299999</v>
      </c>
      <c r="CM8" s="41"/>
      <c r="CN8" s="13" t="str">
        <f>Inputs!A5</f>
        <v>M3135500</v>
      </c>
      <c r="CO8" s="13">
        <f>IF(Inputs!D5="Yes",999999,0)</f>
        <v>999999</v>
      </c>
      <c r="CP8" s="41">
        <f t="shared" si="16"/>
        <v>426.40906999999999</v>
      </c>
      <c r="CQ8" s="41">
        <f>IF(Inputs!E5="Yes",999999,0)</f>
        <v>999999</v>
      </c>
      <c r="CR8" s="41">
        <f t="shared" si="17"/>
        <v>0</v>
      </c>
      <c r="CS8" s="41"/>
      <c r="CT8"/>
      <c r="CU8"/>
      <c r="CV8"/>
      <c r="CW8"/>
      <c r="CX8"/>
      <c r="CY8"/>
      <c r="CZ8" s="6"/>
      <c r="DA8" s="14"/>
      <c r="DB8" s="99">
        <v>6</v>
      </c>
      <c r="DC8" s="92">
        <f t="shared" si="18"/>
        <v>4290</v>
      </c>
      <c r="DD8" s="92">
        <f t="shared" si="19"/>
        <v>2599.9999999999995</v>
      </c>
      <c r="DE8" s="92">
        <f t="shared" si="20"/>
        <v>1923.9089493000001</v>
      </c>
      <c r="DF8" s="100">
        <f t="shared" si="21"/>
        <v>4800</v>
      </c>
      <c r="DG8" s="92" t="s">
        <v>49</v>
      </c>
      <c r="DH8" s="92">
        <f>Inputs!L5*Inputs!$L$1</f>
        <v>4290</v>
      </c>
      <c r="DI8" s="92">
        <f>Inputs!N5*Inputs!$N$1</f>
        <v>2600</v>
      </c>
      <c r="DJ8" s="92">
        <f>Inputs!P5*Inputs!$P$1</f>
        <v>2680</v>
      </c>
      <c r="DK8" s="100">
        <f>Inputs!R5*Inputs!$R$1</f>
        <v>4800</v>
      </c>
      <c r="DL8" s="14"/>
      <c r="DN8" s="6"/>
      <c r="DO8" s="36" t="str">
        <f t="shared" si="22"/>
        <v>M3135500</v>
      </c>
      <c r="DP8" s="34">
        <f t="shared" si="5"/>
        <v>426.40906999999999</v>
      </c>
      <c r="DQ8" s="35">
        <f t="shared" si="23"/>
        <v>426.40906924000001</v>
      </c>
      <c r="DS8" s="28" t="str">
        <f>Inputs!A5</f>
        <v>M3135500</v>
      </c>
      <c r="DT8" s="26">
        <f>Inputs!C5</f>
        <v>426.40906924000001</v>
      </c>
      <c r="DU8" s="24"/>
    </row>
    <row r="9" spans="1:125" x14ac:dyDescent="0.25">
      <c r="A9" s="116">
        <v>7</v>
      </c>
      <c r="B9" s="114" t="str">
        <f>Inputs!$A$2</f>
        <v>DomesticMC</v>
      </c>
      <c r="C9" s="45" t="str">
        <f>Inputs!$B$2</f>
        <v>MC</v>
      </c>
      <c r="D9" s="45" t="s">
        <v>57</v>
      </c>
      <c r="E9" s="45">
        <v>4225</v>
      </c>
      <c r="F9" s="53"/>
      <c r="G9" s="118">
        <v>7</v>
      </c>
      <c r="H9" s="114" t="str">
        <f>Inputs!$A$2</f>
        <v>DomesticMC</v>
      </c>
      <c r="I9" s="45" t="str">
        <f>Inputs!$B$2</f>
        <v>MC</v>
      </c>
      <c r="J9" s="45" t="s">
        <v>58</v>
      </c>
      <c r="K9" s="45">
        <v>1330.6</v>
      </c>
      <c r="L9" s="53"/>
      <c r="M9" s="45">
        <v>0</v>
      </c>
      <c r="N9" s="45">
        <v>0</v>
      </c>
      <c r="O9" s="45">
        <f t="shared" si="6"/>
        <v>0</v>
      </c>
      <c r="P9" s="53"/>
      <c r="Q9" s="45">
        <f t="shared" si="7"/>
        <v>0</v>
      </c>
      <c r="R9" s="45">
        <f>M9*Inputs!$F$2*Inputs!$G$2</f>
        <v>0</v>
      </c>
      <c r="S9" s="45">
        <f>Inputs!$F$2*Inputs!$I$2*N9</f>
        <v>0</v>
      </c>
      <c r="T9" s="18"/>
      <c r="U9" s="55">
        <v>5555.6</v>
      </c>
      <c r="W9" s="116">
        <v>7</v>
      </c>
      <c r="X9" s="114" t="str">
        <f>Inputs!$A$2</f>
        <v>DomesticMC</v>
      </c>
      <c r="Y9" s="45" t="str">
        <f>Inputs!$B$2</f>
        <v>MC</v>
      </c>
      <c r="Z9" s="45" t="s">
        <v>57</v>
      </c>
      <c r="AA9" s="45">
        <f t="shared" si="0"/>
        <v>4225</v>
      </c>
      <c r="AB9" s="53"/>
      <c r="AC9" s="118">
        <v>7</v>
      </c>
      <c r="AD9" s="114" t="str">
        <f>Inputs!$A$2</f>
        <v>DomesticMC</v>
      </c>
      <c r="AE9" s="45" t="str">
        <f>Inputs!$B$2</f>
        <v>MC</v>
      </c>
      <c r="AF9" s="45" t="s">
        <v>58</v>
      </c>
      <c r="AG9" s="45">
        <f t="shared" si="1"/>
        <v>1330.6</v>
      </c>
      <c r="AH9" s="53"/>
      <c r="AI9" s="45">
        <v>0</v>
      </c>
      <c r="AJ9" s="45">
        <v>0</v>
      </c>
      <c r="AK9" s="45">
        <f t="shared" si="8"/>
        <v>0</v>
      </c>
      <c r="AL9" s="53"/>
      <c r="AM9" s="45">
        <f t="shared" si="9"/>
        <v>0</v>
      </c>
      <c r="AN9" s="45">
        <f>AI9*Inputs!$F$2*Inputs!$G$2</f>
        <v>0</v>
      </c>
      <c r="AO9" s="45">
        <f>Inputs!$F$2*Inputs!$I$2*AJ9</f>
        <v>0</v>
      </c>
      <c r="AP9" s="55">
        <v>5555.6</v>
      </c>
      <c r="AR9" s="116">
        <v>7</v>
      </c>
      <c r="AS9" s="114" t="str">
        <f>Inputs!$A$2</f>
        <v>DomesticMC</v>
      </c>
      <c r="AT9" s="45" t="str">
        <f>Inputs!$B$2</f>
        <v>MC</v>
      </c>
      <c r="AU9" s="45" t="s">
        <v>57</v>
      </c>
      <c r="AV9" s="45">
        <f t="shared" si="10"/>
        <v>4225</v>
      </c>
      <c r="AW9" s="53"/>
      <c r="AX9" s="118">
        <v>7</v>
      </c>
      <c r="AY9" s="114" t="str">
        <f>Inputs!$A$2</f>
        <v>DomesticMC</v>
      </c>
      <c r="AZ9" s="45" t="str">
        <f>Inputs!$B$2</f>
        <v>MC</v>
      </c>
      <c r="BA9" s="45" t="s">
        <v>58</v>
      </c>
      <c r="BB9" s="45">
        <f t="shared" si="2"/>
        <v>1330.6</v>
      </c>
      <c r="BC9" s="53"/>
      <c r="BD9" s="45">
        <v>0</v>
      </c>
      <c r="BE9" s="45">
        <v>0</v>
      </c>
      <c r="BF9" s="45">
        <f t="shared" si="11"/>
        <v>0</v>
      </c>
      <c r="BG9" s="53"/>
      <c r="BH9" s="45">
        <f t="shared" si="12"/>
        <v>0</v>
      </c>
      <c r="BI9" s="45">
        <f>BD9*Inputs!$F$2*Inputs!$G$2</f>
        <v>0</v>
      </c>
      <c r="BJ9" s="45">
        <f>Inputs!$F$2*Inputs!$I$2*BE9</f>
        <v>0</v>
      </c>
      <c r="BK9" s="55">
        <v>5555.6</v>
      </c>
      <c r="BM9" s="116">
        <v>7</v>
      </c>
      <c r="BN9" s="114" t="str">
        <f>Inputs!$A$2</f>
        <v>DomesticMC</v>
      </c>
      <c r="BO9" s="45" t="str">
        <f>Inputs!$B$2</f>
        <v>MC</v>
      </c>
      <c r="BP9" s="45" t="s">
        <v>57</v>
      </c>
      <c r="BQ9" s="45">
        <f t="shared" si="3"/>
        <v>4225</v>
      </c>
      <c r="BR9" s="53"/>
      <c r="BS9" s="118">
        <v>7</v>
      </c>
      <c r="BT9" s="114" t="str">
        <f>Inputs!$A$2</f>
        <v>DomesticMC</v>
      </c>
      <c r="BU9" s="45" t="str">
        <f>Inputs!$B$2</f>
        <v>MC</v>
      </c>
      <c r="BV9" s="45" t="s">
        <v>58</v>
      </c>
      <c r="BW9" s="45">
        <f t="shared" si="4"/>
        <v>1330.6</v>
      </c>
      <c r="BX9" s="53"/>
      <c r="BY9" s="45">
        <v>0</v>
      </c>
      <c r="BZ9" s="45">
        <v>0</v>
      </c>
      <c r="CA9" s="45">
        <f t="shared" si="13"/>
        <v>0</v>
      </c>
      <c r="CB9" s="53"/>
      <c r="CC9" s="45">
        <f t="shared" si="14"/>
        <v>0</v>
      </c>
      <c r="CD9" s="45">
        <f>BY9*Inputs!$F$2*Inputs!$G$2</f>
        <v>0</v>
      </c>
      <c r="CE9" s="45">
        <f>Inputs!$F$2*Inputs!$I$2*BZ9</f>
        <v>0</v>
      </c>
      <c r="CF9" s="55">
        <v>5555.6</v>
      </c>
      <c r="CG9" s="41"/>
      <c r="CH9" s="41"/>
      <c r="CI9" s="41"/>
      <c r="CJ9" s="41">
        <v>7</v>
      </c>
      <c r="CK9" s="41">
        <f>IF(Inputs!$T$1&gt;CJ9,0,999999)</f>
        <v>999999</v>
      </c>
      <c r="CL9" s="41">
        <f t="shared" si="15"/>
        <v>13385.000004</v>
      </c>
      <c r="CM9" s="41"/>
      <c r="CN9" s="13" t="str">
        <f>Inputs!A6</f>
        <v>M3471400</v>
      </c>
      <c r="CO9" s="13">
        <f>IF(Inputs!D6="Yes",999999,0)</f>
        <v>999999</v>
      </c>
      <c r="CP9" s="41">
        <f t="shared" si="16"/>
        <v>129.94925610000001</v>
      </c>
      <c r="CQ9" s="41">
        <f>IF(Inputs!E6="Yes",999999,0)</f>
        <v>999999</v>
      </c>
      <c r="CR9" s="41">
        <f t="shared" si="17"/>
        <v>112.976315</v>
      </c>
      <c r="CS9" s="41"/>
      <c r="CT9"/>
      <c r="CU9"/>
      <c r="CV9"/>
      <c r="CW9"/>
      <c r="CX9"/>
      <c r="CY9"/>
      <c r="CZ9" s="6"/>
      <c r="DA9" s="14"/>
      <c r="DB9" s="99">
        <v>7</v>
      </c>
      <c r="DC9" s="92">
        <f t="shared" si="18"/>
        <v>4225</v>
      </c>
      <c r="DD9" s="92">
        <f t="shared" si="19"/>
        <v>2400.0000369999998</v>
      </c>
      <c r="DE9" s="92">
        <f t="shared" si="20"/>
        <v>2040</v>
      </c>
      <c r="DF9" s="100">
        <f t="shared" si="21"/>
        <v>4719.9999670000007</v>
      </c>
      <c r="DG9" s="92" t="s">
        <v>50</v>
      </c>
      <c r="DH9" s="92">
        <f>Inputs!L6*Inputs!$L$1</f>
        <v>4225</v>
      </c>
      <c r="DI9" s="92">
        <f>Inputs!N6*Inputs!$N$1</f>
        <v>2400</v>
      </c>
      <c r="DJ9" s="92">
        <f>Inputs!P6*Inputs!$P$1</f>
        <v>2040</v>
      </c>
      <c r="DK9" s="100">
        <f>Inputs!R6*Inputs!$R$1</f>
        <v>4720</v>
      </c>
      <c r="DL9" s="14"/>
      <c r="DN9" s="6"/>
      <c r="DO9" s="36" t="str">
        <f t="shared" si="22"/>
        <v>M3471400</v>
      </c>
      <c r="DP9" s="34">
        <f t="shared" si="5"/>
        <v>242.92557110000001</v>
      </c>
      <c r="DQ9" s="35">
        <f t="shared" si="23"/>
        <v>242.92557031683594</v>
      </c>
      <c r="DS9" s="28" t="str">
        <f>Inputs!A6</f>
        <v>M3471400</v>
      </c>
      <c r="DT9" s="26">
        <f>Inputs!C6</f>
        <v>242.92557031683594</v>
      </c>
      <c r="DU9" s="24"/>
    </row>
    <row r="10" spans="1:125" x14ac:dyDescent="0.25">
      <c r="A10" s="116">
        <v>8</v>
      </c>
      <c r="B10" s="114" t="str">
        <f>Inputs!$A$2</f>
        <v>DomesticMC</v>
      </c>
      <c r="C10" s="45" t="str">
        <f>Inputs!$B$2</f>
        <v>MC</v>
      </c>
      <c r="D10" s="45" t="s">
        <v>57</v>
      </c>
      <c r="E10" s="45">
        <v>4169.4043000000001</v>
      </c>
      <c r="F10" s="53"/>
      <c r="G10" s="118">
        <v>8</v>
      </c>
      <c r="H10" s="114" t="str">
        <f>Inputs!$A$2</f>
        <v>DomesticMC</v>
      </c>
      <c r="I10" s="45" t="str">
        <f>Inputs!$B$2</f>
        <v>MC</v>
      </c>
      <c r="J10" s="45" t="s">
        <v>58</v>
      </c>
      <c r="K10" s="45">
        <v>2396.6327999999999</v>
      </c>
      <c r="L10" s="53"/>
      <c r="M10" s="45">
        <v>3.7101434000000003E-2</v>
      </c>
      <c r="N10" s="45">
        <v>0</v>
      </c>
      <c r="O10" s="45">
        <f t="shared" si="6"/>
        <v>-3.7100000000009459E-2</v>
      </c>
      <c r="P10" s="53"/>
      <c r="Q10" s="45">
        <f t="shared" si="7"/>
        <v>-1.4340004452911836E-6</v>
      </c>
      <c r="R10" s="45">
        <f>M10*Inputs!$F$2*Inputs!$G$2</f>
        <v>77.636754122436017</v>
      </c>
      <c r="S10" s="45">
        <f>Inputs!$F$2*Inputs!$I$2*N10</f>
        <v>0</v>
      </c>
      <c r="T10" s="18"/>
      <c r="U10" s="137">
        <v>6566</v>
      </c>
      <c r="W10" s="116">
        <v>8</v>
      </c>
      <c r="X10" s="114" t="str">
        <f>Inputs!$A$2</f>
        <v>DomesticMC</v>
      </c>
      <c r="Y10" s="45" t="str">
        <f>Inputs!$B$2</f>
        <v>MC</v>
      </c>
      <c r="Z10" s="45" t="s">
        <v>57</v>
      </c>
      <c r="AA10" s="45">
        <f t="shared" si="0"/>
        <v>4169.4043000000001</v>
      </c>
      <c r="AB10" s="53"/>
      <c r="AC10" s="118">
        <v>8</v>
      </c>
      <c r="AD10" s="114" t="str">
        <f>Inputs!$A$2</f>
        <v>DomesticMC</v>
      </c>
      <c r="AE10" s="45" t="str">
        <f>Inputs!$B$2</f>
        <v>MC</v>
      </c>
      <c r="AF10" s="45" t="s">
        <v>58</v>
      </c>
      <c r="AG10" s="45">
        <f t="shared" si="1"/>
        <v>2396.6327999999999</v>
      </c>
      <c r="AH10" s="53"/>
      <c r="AI10" s="45">
        <v>3.7101434000000003E-2</v>
      </c>
      <c r="AJ10" s="45">
        <v>0</v>
      </c>
      <c r="AK10" s="45">
        <f t="shared" si="8"/>
        <v>-3.7100000000009459E-2</v>
      </c>
      <c r="AL10" s="53"/>
      <c r="AM10" s="45">
        <f t="shared" si="9"/>
        <v>-1.4340004452911836E-6</v>
      </c>
      <c r="AN10" s="45">
        <f>AI10*Inputs!$F$2*Inputs!$G$2</f>
        <v>77.636754122436017</v>
      </c>
      <c r="AO10" s="45">
        <f>Inputs!$F$2*Inputs!$I$2*AJ10</f>
        <v>0</v>
      </c>
      <c r="AP10" s="137">
        <v>6566</v>
      </c>
      <c r="AR10" s="116">
        <v>8</v>
      </c>
      <c r="AS10" s="114" t="str">
        <f>Inputs!$A$2</f>
        <v>DomesticMC</v>
      </c>
      <c r="AT10" s="45" t="str">
        <f>Inputs!$B$2</f>
        <v>MC</v>
      </c>
      <c r="AU10" s="45" t="s">
        <v>57</v>
      </c>
      <c r="AV10" s="45">
        <f t="shared" si="10"/>
        <v>4169.4043000000001</v>
      </c>
      <c r="AW10" s="53"/>
      <c r="AX10" s="118">
        <v>8</v>
      </c>
      <c r="AY10" s="114" t="str">
        <f>Inputs!$A$2</f>
        <v>DomesticMC</v>
      </c>
      <c r="AZ10" s="45" t="str">
        <f>Inputs!$B$2</f>
        <v>MC</v>
      </c>
      <c r="BA10" s="45" t="s">
        <v>58</v>
      </c>
      <c r="BB10" s="45">
        <f t="shared" si="2"/>
        <v>2396.6327999999999</v>
      </c>
      <c r="BC10" s="53"/>
      <c r="BD10" s="45">
        <v>3.7101434000000003E-2</v>
      </c>
      <c r="BE10" s="45">
        <v>0</v>
      </c>
      <c r="BF10" s="45">
        <f t="shared" si="11"/>
        <v>-3.7100000000009459E-2</v>
      </c>
      <c r="BG10" s="53"/>
      <c r="BH10" s="45">
        <f t="shared" si="12"/>
        <v>-1.4340004452911836E-6</v>
      </c>
      <c r="BI10" s="45">
        <f>BD10*Inputs!$F$2*Inputs!$G$2</f>
        <v>77.636754122436017</v>
      </c>
      <c r="BJ10" s="45">
        <f>Inputs!$F$2*Inputs!$I$2*BE10</f>
        <v>0</v>
      </c>
      <c r="BK10" s="137">
        <v>6566</v>
      </c>
      <c r="BM10" s="116">
        <v>8</v>
      </c>
      <c r="BN10" s="114" t="str">
        <f>Inputs!$A$2</f>
        <v>DomesticMC</v>
      </c>
      <c r="BO10" s="45" t="str">
        <f>Inputs!$B$2</f>
        <v>MC</v>
      </c>
      <c r="BP10" s="45" t="s">
        <v>57</v>
      </c>
      <c r="BQ10" s="45">
        <f t="shared" si="3"/>
        <v>4169.4043000000001</v>
      </c>
      <c r="BR10" s="53"/>
      <c r="BS10" s="118">
        <v>8</v>
      </c>
      <c r="BT10" s="114" t="str">
        <f>Inputs!$A$2</f>
        <v>DomesticMC</v>
      </c>
      <c r="BU10" s="45" t="str">
        <f>Inputs!$B$2</f>
        <v>MC</v>
      </c>
      <c r="BV10" s="45" t="s">
        <v>58</v>
      </c>
      <c r="BW10" s="45">
        <f t="shared" si="4"/>
        <v>2396.6327999999999</v>
      </c>
      <c r="BX10" s="53"/>
      <c r="BY10" s="45">
        <v>3.7101434000000003E-2</v>
      </c>
      <c r="BZ10" s="45">
        <v>0</v>
      </c>
      <c r="CA10" s="45">
        <f t="shared" si="13"/>
        <v>-3.7100000000009459E-2</v>
      </c>
      <c r="CB10" s="53"/>
      <c r="CC10" s="45">
        <f t="shared" si="14"/>
        <v>-1.4340004452911836E-6</v>
      </c>
      <c r="CD10" s="45">
        <f>BY10*Inputs!$F$2*Inputs!$G$2</f>
        <v>77.636754122436017</v>
      </c>
      <c r="CE10" s="45">
        <f>Inputs!$F$2*Inputs!$I$2*BZ10</f>
        <v>0</v>
      </c>
      <c r="CF10" s="137">
        <v>6566</v>
      </c>
      <c r="CG10" s="41"/>
      <c r="CH10" s="41"/>
      <c r="CI10" s="41"/>
      <c r="CJ10" s="41">
        <v>8</v>
      </c>
      <c r="CK10" s="41">
        <f>IF(Inputs!$T$1&gt;CJ10,0,999999)</f>
        <v>999999</v>
      </c>
      <c r="CL10" s="41">
        <f t="shared" si="15"/>
        <v>15324.999947999999</v>
      </c>
      <c r="CM10" s="41"/>
      <c r="CN10" s="13" t="str">
        <f>Inputs!A7</f>
        <v>M3472400</v>
      </c>
      <c r="CO10" s="13">
        <f>IF(Inputs!D7="Yes",999999,0)</f>
        <v>999999</v>
      </c>
      <c r="CP10" s="41">
        <f t="shared" si="16"/>
        <v>192.655697</v>
      </c>
      <c r="CQ10" s="41">
        <f>IF(Inputs!E7="Yes",999999,0)</f>
        <v>999999</v>
      </c>
      <c r="CR10" s="41">
        <f t="shared" si="17"/>
        <v>48.163924000000002</v>
      </c>
      <c r="CS10" s="41"/>
      <c r="CT10"/>
      <c r="CU10"/>
      <c r="CV10"/>
      <c r="CW10"/>
      <c r="CX10"/>
      <c r="CY10"/>
      <c r="CZ10" s="6"/>
      <c r="DA10" s="14"/>
      <c r="DB10" s="99">
        <v>8</v>
      </c>
      <c r="DC10" s="92">
        <f t="shared" si="18"/>
        <v>4485.0000320000008</v>
      </c>
      <c r="DD10" s="92">
        <f t="shared" si="19"/>
        <v>3119.9999499999994</v>
      </c>
      <c r="DE10" s="92">
        <f t="shared" si="20"/>
        <v>2759.9999659999999</v>
      </c>
      <c r="DF10" s="100">
        <f t="shared" si="21"/>
        <v>4960</v>
      </c>
      <c r="DG10" s="92" t="s">
        <v>51</v>
      </c>
      <c r="DH10" s="92">
        <f>Inputs!L7*Inputs!$L$1</f>
        <v>4485</v>
      </c>
      <c r="DI10" s="92">
        <f>Inputs!N7*Inputs!$N$1</f>
        <v>3120</v>
      </c>
      <c r="DJ10" s="92">
        <f>Inputs!P7*Inputs!$P$1</f>
        <v>2760</v>
      </c>
      <c r="DK10" s="100">
        <f>Inputs!R7*Inputs!$R$1</f>
        <v>4960</v>
      </c>
      <c r="DL10" s="14"/>
      <c r="DN10" s="6"/>
      <c r="DO10" s="36" t="str">
        <f t="shared" si="22"/>
        <v>M3472400</v>
      </c>
      <c r="DP10" s="34">
        <f t="shared" si="5"/>
        <v>240.81962100000001</v>
      </c>
      <c r="DQ10" s="35">
        <f t="shared" si="23"/>
        <v>240.81962240162409</v>
      </c>
      <c r="DS10" s="28" t="str">
        <f>Inputs!A7</f>
        <v>M3472400</v>
      </c>
      <c r="DT10" s="26">
        <f>Inputs!C7</f>
        <v>240.81962240162409</v>
      </c>
      <c r="DU10" s="24"/>
    </row>
    <row r="11" spans="1:125" x14ac:dyDescent="0.25">
      <c r="A11" s="116">
        <v>9</v>
      </c>
      <c r="B11" s="114" t="str">
        <f>Inputs!$A$2</f>
        <v>DomesticMC</v>
      </c>
      <c r="C11" s="45" t="str">
        <f>Inputs!$B$2</f>
        <v>MC</v>
      </c>
      <c r="D11" s="45" t="s">
        <v>57</v>
      </c>
      <c r="E11" s="45">
        <v>4290</v>
      </c>
      <c r="F11" s="53"/>
      <c r="G11" s="118">
        <v>9</v>
      </c>
      <c r="H11" s="114" t="str">
        <f>Inputs!$A$2</f>
        <v>DomesticMC</v>
      </c>
      <c r="I11" s="45" t="str">
        <f>Inputs!$B$2</f>
        <v>MC</v>
      </c>
      <c r="J11" s="45" t="s">
        <v>58</v>
      </c>
      <c r="K11" s="45">
        <v>2364.5628999999999</v>
      </c>
      <c r="L11" s="53"/>
      <c r="M11" s="45">
        <v>0</v>
      </c>
      <c r="N11" s="45">
        <v>0</v>
      </c>
      <c r="O11" s="45">
        <f t="shared" si="6"/>
        <v>-1.4339993867906742E-6</v>
      </c>
      <c r="P11" s="53"/>
      <c r="Q11" s="45">
        <f t="shared" si="7"/>
        <v>1.4339995357964819E-6</v>
      </c>
      <c r="R11" s="45">
        <f>M11*Inputs!$F$2*Inputs!$G$2</f>
        <v>0</v>
      </c>
      <c r="S11" s="45">
        <f>Inputs!$F$2*Inputs!$I$2*N11</f>
        <v>0</v>
      </c>
      <c r="T11" s="18"/>
      <c r="U11" s="137">
        <v>6654.6</v>
      </c>
      <c r="W11" s="116">
        <v>9</v>
      </c>
      <c r="X11" s="114" t="str">
        <f>Inputs!$A$2</f>
        <v>DomesticMC</v>
      </c>
      <c r="Y11" s="45" t="str">
        <f>Inputs!$B$2</f>
        <v>MC</v>
      </c>
      <c r="Z11" s="45" t="s">
        <v>57</v>
      </c>
      <c r="AA11" s="45">
        <f t="shared" si="0"/>
        <v>4290</v>
      </c>
      <c r="AB11" s="53"/>
      <c r="AC11" s="118">
        <v>9</v>
      </c>
      <c r="AD11" s="114" t="str">
        <f>Inputs!$A$2</f>
        <v>DomesticMC</v>
      </c>
      <c r="AE11" s="45" t="str">
        <f>Inputs!$B$2</f>
        <v>MC</v>
      </c>
      <c r="AF11" s="45" t="s">
        <v>58</v>
      </c>
      <c r="AG11" s="45">
        <f t="shared" si="1"/>
        <v>2364.5628999999999</v>
      </c>
      <c r="AH11" s="53"/>
      <c r="AI11" s="45">
        <v>0</v>
      </c>
      <c r="AJ11" s="45">
        <v>0</v>
      </c>
      <c r="AK11" s="45">
        <f t="shared" si="8"/>
        <v>-1.4339993867906742E-6</v>
      </c>
      <c r="AL11" s="53"/>
      <c r="AM11" s="45">
        <f t="shared" si="9"/>
        <v>1.4339995357964819E-6</v>
      </c>
      <c r="AN11" s="45">
        <f>AI11*Inputs!$F$2*Inputs!$G$2</f>
        <v>0</v>
      </c>
      <c r="AO11" s="45">
        <f>Inputs!$F$2*Inputs!$I$2*AJ11</f>
        <v>0</v>
      </c>
      <c r="AP11" s="137">
        <v>6654.6</v>
      </c>
      <c r="AR11" s="116">
        <v>9</v>
      </c>
      <c r="AS11" s="114" t="str">
        <f>Inputs!$A$2</f>
        <v>DomesticMC</v>
      </c>
      <c r="AT11" s="45" t="str">
        <f>Inputs!$B$2</f>
        <v>MC</v>
      </c>
      <c r="AU11" s="45" t="s">
        <v>57</v>
      </c>
      <c r="AV11" s="45">
        <f t="shared" si="10"/>
        <v>4290</v>
      </c>
      <c r="AW11" s="53"/>
      <c r="AX11" s="118">
        <v>9</v>
      </c>
      <c r="AY11" s="114" t="str">
        <f>Inputs!$A$2</f>
        <v>DomesticMC</v>
      </c>
      <c r="AZ11" s="45" t="str">
        <f>Inputs!$B$2</f>
        <v>MC</v>
      </c>
      <c r="BA11" s="45" t="s">
        <v>58</v>
      </c>
      <c r="BB11" s="45">
        <f t="shared" si="2"/>
        <v>2364.5628999999999</v>
      </c>
      <c r="BC11" s="53"/>
      <c r="BD11" s="45">
        <v>0</v>
      </c>
      <c r="BE11" s="45">
        <v>0</v>
      </c>
      <c r="BF11" s="45">
        <f t="shared" si="11"/>
        <v>-1.4339993867906742E-6</v>
      </c>
      <c r="BG11" s="53"/>
      <c r="BH11" s="45">
        <f t="shared" si="12"/>
        <v>1.4339995357964819E-6</v>
      </c>
      <c r="BI11" s="45">
        <f>BD11*Inputs!$F$2*Inputs!$G$2</f>
        <v>0</v>
      </c>
      <c r="BJ11" s="45">
        <f>Inputs!$F$2*Inputs!$I$2*BE11</f>
        <v>0</v>
      </c>
      <c r="BK11" s="137">
        <v>6654.6</v>
      </c>
      <c r="BM11" s="116">
        <v>9</v>
      </c>
      <c r="BN11" s="114" t="str">
        <f>Inputs!$A$2</f>
        <v>DomesticMC</v>
      </c>
      <c r="BO11" s="45" t="str">
        <f>Inputs!$B$2</f>
        <v>MC</v>
      </c>
      <c r="BP11" s="45" t="s">
        <v>57</v>
      </c>
      <c r="BQ11" s="45">
        <f t="shared" si="3"/>
        <v>4290</v>
      </c>
      <c r="BR11" s="53"/>
      <c r="BS11" s="118">
        <v>9</v>
      </c>
      <c r="BT11" s="114" t="str">
        <f>Inputs!$A$2</f>
        <v>DomesticMC</v>
      </c>
      <c r="BU11" s="45" t="str">
        <f>Inputs!$B$2</f>
        <v>MC</v>
      </c>
      <c r="BV11" s="45" t="s">
        <v>58</v>
      </c>
      <c r="BW11" s="45">
        <f t="shared" si="4"/>
        <v>2364.5628999999999</v>
      </c>
      <c r="BX11" s="53"/>
      <c r="BY11" s="45">
        <v>0</v>
      </c>
      <c r="BZ11" s="45">
        <v>0</v>
      </c>
      <c r="CA11" s="45">
        <f t="shared" si="13"/>
        <v>-1.4339993867906742E-6</v>
      </c>
      <c r="CB11" s="53"/>
      <c r="CC11" s="45">
        <f t="shared" si="14"/>
        <v>1.4339995357964819E-6</v>
      </c>
      <c r="CD11" s="45">
        <f>BY11*Inputs!$F$2*Inputs!$G$2</f>
        <v>0</v>
      </c>
      <c r="CE11" s="45">
        <f>Inputs!$F$2*Inputs!$I$2*BZ11</f>
        <v>0</v>
      </c>
      <c r="CF11" s="137">
        <v>6654.6</v>
      </c>
      <c r="CG11" s="41"/>
      <c r="CH11" s="41"/>
      <c r="CI11" s="41"/>
      <c r="CJ11" s="41">
        <v>9</v>
      </c>
      <c r="CK11" s="41">
        <f>IF(Inputs!$T$1&gt;CJ11,0,999999)</f>
        <v>999999</v>
      </c>
      <c r="CL11" s="41">
        <f t="shared" si="15"/>
        <v>14289.9999923</v>
      </c>
      <c r="CM11" s="41"/>
      <c r="CN11" s="13" t="str">
        <f>Inputs!A8</f>
        <v>M4103300</v>
      </c>
      <c r="CO11" s="13">
        <f>IF(Inputs!D8="Yes",999999,0)</f>
        <v>999999</v>
      </c>
      <c r="CP11" s="41">
        <f t="shared" si="16"/>
        <v>108.14458799999998</v>
      </c>
      <c r="CQ11" s="41">
        <f>IF(Inputs!E8="Yes",999999,0)</f>
        <v>999999</v>
      </c>
      <c r="CR11" s="41">
        <f t="shared" si="17"/>
        <v>0</v>
      </c>
      <c r="CS11" s="41"/>
      <c r="CT11"/>
      <c r="CU11"/>
      <c r="CV11"/>
      <c r="CW11"/>
      <c r="CX11"/>
      <c r="CY11"/>
      <c r="CZ11" s="6"/>
      <c r="DA11" s="14"/>
      <c r="DB11" s="99">
        <v>9</v>
      </c>
      <c r="DC11" s="92">
        <f t="shared" si="18"/>
        <v>4290</v>
      </c>
      <c r="DD11" s="92">
        <f t="shared" si="19"/>
        <v>2759.9999932999999</v>
      </c>
      <c r="DE11" s="92">
        <f t="shared" si="20"/>
        <v>2599.9999990000001</v>
      </c>
      <c r="DF11" s="100">
        <f t="shared" si="21"/>
        <v>4640</v>
      </c>
      <c r="DG11" s="92" t="s">
        <v>52</v>
      </c>
      <c r="DH11" s="92">
        <f>Inputs!L8*Inputs!$L$1</f>
        <v>4290</v>
      </c>
      <c r="DI11" s="92">
        <f>Inputs!N8*Inputs!$N$1</f>
        <v>2760</v>
      </c>
      <c r="DJ11" s="92">
        <f>Inputs!P8*Inputs!$P$1</f>
        <v>2600</v>
      </c>
      <c r="DK11" s="100">
        <f>Inputs!R8*Inputs!$R$1</f>
        <v>4640</v>
      </c>
      <c r="DL11" s="14"/>
      <c r="DN11" s="6"/>
      <c r="DO11" s="36" t="str">
        <f t="shared" si="22"/>
        <v>M4103300</v>
      </c>
      <c r="DP11" s="34">
        <f t="shared" si="5"/>
        <v>108.14458799999998</v>
      </c>
      <c r="DQ11" s="35">
        <f t="shared" si="23"/>
        <v>108.14458796882006</v>
      </c>
      <c r="DS11" s="28" t="str">
        <f>Inputs!A8</f>
        <v>M4103300</v>
      </c>
      <c r="DT11" s="26">
        <f>Inputs!C8</f>
        <v>108.14458796882006</v>
      </c>
      <c r="DU11" s="24"/>
    </row>
    <row r="12" spans="1:125" x14ac:dyDescent="0.25">
      <c r="A12" s="116">
        <v>10</v>
      </c>
      <c r="B12" s="114" t="str">
        <f>Inputs!$A$2</f>
        <v>DomesticMC</v>
      </c>
      <c r="C12" s="45" t="str">
        <f>Inputs!$B$2</f>
        <v>MC</v>
      </c>
      <c r="D12" s="45" t="s">
        <v>57</v>
      </c>
      <c r="E12" s="45">
        <v>4357.3414000000002</v>
      </c>
      <c r="F12" s="53"/>
      <c r="G12" s="118">
        <v>10</v>
      </c>
      <c r="H12" s="114" t="str">
        <f>Inputs!$A$2</f>
        <v>DomesticMC</v>
      </c>
      <c r="I12" s="45" t="str">
        <f>Inputs!$B$2</f>
        <v>MC</v>
      </c>
      <c r="J12" s="45" t="s">
        <v>58</v>
      </c>
      <c r="K12" s="45">
        <v>2627.8586</v>
      </c>
      <c r="L12" s="53"/>
      <c r="M12" s="45">
        <v>0</v>
      </c>
      <c r="N12" s="45">
        <v>0</v>
      </c>
      <c r="O12" s="45">
        <f t="shared" si="6"/>
        <v>0</v>
      </c>
      <c r="P12" s="53"/>
      <c r="Q12" s="45">
        <f>E12+K12+N12-U12+M11-M12</f>
        <v>9.0949470177292824E-13</v>
      </c>
      <c r="R12" s="45">
        <f>M12*Inputs!$F$2*Inputs!$G$2</f>
        <v>0</v>
      </c>
      <c r="S12" s="45">
        <f>Inputs!$F$2*Inputs!$I$2*N12</f>
        <v>0</v>
      </c>
      <c r="T12" s="18"/>
      <c r="U12" s="138">
        <v>6985.2</v>
      </c>
      <c r="W12" s="116">
        <v>10</v>
      </c>
      <c r="X12" s="114" t="str">
        <f>Inputs!$A$2</f>
        <v>DomesticMC</v>
      </c>
      <c r="Y12" s="45" t="str">
        <f>Inputs!$B$2</f>
        <v>MC</v>
      </c>
      <c r="Z12" s="45" t="s">
        <v>57</v>
      </c>
      <c r="AA12" s="45">
        <f t="shared" si="0"/>
        <v>4357.3414000000002</v>
      </c>
      <c r="AB12" s="53"/>
      <c r="AC12" s="118">
        <v>10</v>
      </c>
      <c r="AD12" s="114" t="str">
        <f>Inputs!$A$2</f>
        <v>DomesticMC</v>
      </c>
      <c r="AE12" s="45" t="str">
        <f>Inputs!$B$2</f>
        <v>MC</v>
      </c>
      <c r="AF12" s="45" t="s">
        <v>58</v>
      </c>
      <c r="AG12" s="45">
        <f t="shared" si="1"/>
        <v>2627.8586</v>
      </c>
      <c r="AH12" s="53"/>
      <c r="AI12" s="45">
        <v>0</v>
      </c>
      <c r="AJ12" s="45">
        <v>0</v>
      </c>
      <c r="AK12" s="45">
        <f t="shared" si="8"/>
        <v>0</v>
      </c>
      <c r="AL12" s="53"/>
      <c r="AM12" s="45">
        <f t="shared" si="9"/>
        <v>9.0949470177292824E-13</v>
      </c>
      <c r="AN12" s="45">
        <f>AI12*Inputs!$F$2*Inputs!$G$2</f>
        <v>0</v>
      </c>
      <c r="AO12" s="45">
        <f>Inputs!$F$2*Inputs!$I$2*AJ12</f>
        <v>0</v>
      </c>
      <c r="AP12" s="138">
        <v>6985.2</v>
      </c>
      <c r="AR12" s="116">
        <v>10</v>
      </c>
      <c r="AS12" s="114" t="str">
        <f>Inputs!$A$2</f>
        <v>DomesticMC</v>
      </c>
      <c r="AT12" s="45" t="str">
        <f>Inputs!$B$2</f>
        <v>MC</v>
      </c>
      <c r="AU12" s="45" t="s">
        <v>57</v>
      </c>
      <c r="AV12" s="45">
        <f t="shared" si="10"/>
        <v>4357.3414000000002</v>
      </c>
      <c r="AW12" s="53"/>
      <c r="AX12" s="118">
        <v>10</v>
      </c>
      <c r="AY12" s="114" t="str">
        <f>Inputs!$A$2</f>
        <v>DomesticMC</v>
      </c>
      <c r="AZ12" s="45" t="str">
        <f>Inputs!$B$2</f>
        <v>MC</v>
      </c>
      <c r="BA12" s="45" t="s">
        <v>58</v>
      </c>
      <c r="BB12" s="45">
        <f t="shared" si="2"/>
        <v>2627.8586</v>
      </c>
      <c r="BC12" s="53"/>
      <c r="BD12" s="45">
        <v>0</v>
      </c>
      <c r="BE12" s="45">
        <v>0</v>
      </c>
      <c r="BF12" s="45">
        <f t="shared" si="11"/>
        <v>0</v>
      </c>
      <c r="BG12" s="53"/>
      <c r="BH12" s="45">
        <f t="shared" si="12"/>
        <v>9.0949470177292824E-13</v>
      </c>
      <c r="BI12" s="45">
        <f>BD12*Inputs!$F$2*Inputs!$G$2</f>
        <v>0</v>
      </c>
      <c r="BJ12" s="45">
        <f>Inputs!$F$2*Inputs!$I$2*BE12</f>
        <v>0</v>
      </c>
      <c r="BK12" s="138">
        <v>6985.2</v>
      </c>
      <c r="BM12" s="116">
        <v>10</v>
      </c>
      <c r="BN12" s="114" t="str">
        <f>Inputs!$A$2</f>
        <v>DomesticMC</v>
      </c>
      <c r="BO12" s="45" t="str">
        <f>Inputs!$B$2</f>
        <v>MC</v>
      </c>
      <c r="BP12" s="45" t="s">
        <v>57</v>
      </c>
      <c r="BQ12" s="45">
        <f t="shared" si="3"/>
        <v>4357.3414000000002</v>
      </c>
      <c r="BR12" s="53"/>
      <c r="BS12" s="118">
        <v>10</v>
      </c>
      <c r="BT12" s="114" t="str">
        <f>Inputs!$A$2</f>
        <v>DomesticMC</v>
      </c>
      <c r="BU12" s="45" t="str">
        <f>Inputs!$B$2</f>
        <v>MC</v>
      </c>
      <c r="BV12" s="45" t="s">
        <v>58</v>
      </c>
      <c r="BW12" s="45">
        <f t="shared" si="4"/>
        <v>2627.8586</v>
      </c>
      <c r="BX12" s="53"/>
      <c r="BY12" s="45">
        <v>0</v>
      </c>
      <c r="BZ12" s="45">
        <v>0</v>
      </c>
      <c r="CA12" s="45">
        <f t="shared" si="13"/>
        <v>0</v>
      </c>
      <c r="CB12" s="53"/>
      <c r="CC12" s="45">
        <f t="shared" si="14"/>
        <v>9.0949470177292824E-13</v>
      </c>
      <c r="CD12" s="45">
        <f>BY12*Inputs!$F$2*Inputs!$G$2</f>
        <v>0</v>
      </c>
      <c r="CE12" s="45">
        <f>Inputs!$F$2*Inputs!$I$2*BZ12</f>
        <v>0</v>
      </c>
      <c r="CF12" s="138">
        <v>6985.2</v>
      </c>
      <c r="CG12" s="127"/>
      <c r="CH12" s="41"/>
      <c r="CI12" s="41"/>
      <c r="CJ12" s="41">
        <v>10</v>
      </c>
      <c r="CK12" s="41">
        <f>IF(Inputs!$T$1&gt;CJ12,0,999999)</f>
        <v>999999</v>
      </c>
      <c r="CL12" s="41">
        <f t="shared" si="15"/>
        <v>14484.9999536</v>
      </c>
      <c r="CM12" s="41"/>
      <c r="CN12" s="13" t="str">
        <f>Inputs!A9</f>
        <v>M4348701</v>
      </c>
      <c r="CO12" s="13">
        <f>IF(Inputs!D9="Yes",999999,0)</f>
        <v>999999</v>
      </c>
      <c r="CP12" s="41">
        <f t="shared" si="16"/>
        <v>660.70705464000002</v>
      </c>
      <c r="CQ12" s="41">
        <f>IF(Inputs!E9="Yes",999999,0)</f>
        <v>999999</v>
      </c>
      <c r="CR12" s="41">
        <f t="shared" si="17"/>
        <v>0</v>
      </c>
      <c r="CS12" s="41"/>
      <c r="CT12"/>
      <c r="CU12"/>
      <c r="CV12"/>
      <c r="CW12"/>
      <c r="CX12"/>
      <c r="CY12"/>
      <c r="CZ12" s="6"/>
      <c r="DA12" s="14"/>
      <c r="DB12" s="99">
        <v>10</v>
      </c>
      <c r="DC12" s="92">
        <f t="shared" si="18"/>
        <v>4484.9999870000001</v>
      </c>
      <c r="DD12" s="92">
        <f t="shared" si="19"/>
        <v>2839.9999565999997</v>
      </c>
      <c r="DE12" s="92">
        <f t="shared" si="20"/>
        <v>2760.0000100000002</v>
      </c>
      <c r="DF12" s="100">
        <f t="shared" si="21"/>
        <v>4400</v>
      </c>
      <c r="DG12" s="92" t="s">
        <v>53</v>
      </c>
      <c r="DH12" s="92">
        <f>Inputs!L9*Inputs!$L$1</f>
        <v>4485</v>
      </c>
      <c r="DI12" s="92">
        <f>Inputs!N9*Inputs!$N$1</f>
        <v>2840</v>
      </c>
      <c r="DJ12" s="92">
        <f>Inputs!P9*Inputs!$P$1</f>
        <v>2760</v>
      </c>
      <c r="DK12" s="100">
        <f>Inputs!R9*Inputs!$R$1</f>
        <v>4400</v>
      </c>
      <c r="DL12" s="14"/>
      <c r="DN12" s="6"/>
      <c r="DO12" s="36" t="str">
        <f t="shared" si="22"/>
        <v>M4348701</v>
      </c>
      <c r="DP12" s="34">
        <f t="shared" si="5"/>
        <v>660.70705464000002</v>
      </c>
      <c r="DQ12" s="35">
        <f t="shared" si="23"/>
        <v>660.70706222049796</v>
      </c>
      <c r="DS12" s="28" t="str">
        <f>Inputs!A9</f>
        <v>M4348701</v>
      </c>
      <c r="DT12" s="26">
        <f>Inputs!C9</f>
        <v>660.70706222049796</v>
      </c>
      <c r="DU12" s="24"/>
    </row>
    <row r="13" spans="1:125" ht="15.75" thickBot="1" x14ac:dyDescent="0.3">
      <c r="A13" s="116">
        <v>11</v>
      </c>
      <c r="B13" s="114" t="str">
        <f>Inputs!$A$2</f>
        <v>DomesticMC</v>
      </c>
      <c r="C13" s="45" t="str">
        <f>Inputs!$B$2</f>
        <v>MC</v>
      </c>
      <c r="D13" s="45" t="s">
        <v>57</v>
      </c>
      <c r="E13" s="45">
        <v>3380</v>
      </c>
      <c r="F13" s="53"/>
      <c r="G13" s="118">
        <v>11</v>
      </c>
      <c r="H13" s="114" t="str">
        <f>Inputs!$A$2</f>
        <v>DomesticMC</v>
      </c>
      <c r="I13" s="45" t="str">
        <f>Inputs!$B$2</f>
        <v>MC</v>
      </c>
      <c r="J13" s="45" t="s">
        <v>58</v>
      </c>
      <c r="K13" s="45">
        <v>2672.7</v>
      </c>
      <c r="L13" s="53"/>
      <c r="M13" s="45">
        <v>0</v>
      </c>
      <c r="N13" s="45">
        <v>0</v>
      </c>
      <c r="O13" s="45">
        <f t="shared" si="6"/>
        <v>0</v>
      </c>
      <c r="P13" s="53"/>
      <c r="Q13" s="45">
        <f>E13+K13+N13-U13+M12-M13</f>
        <v>0</v>
      </c>
      <c r="R13" s="45">
        <f>M13*Inputs!$F$2*Inputs!$H$2</f>
        <v>0</v>
      </c>
      <c r="S13" s="45">
        <f>Inputs!$F$2*Inputs!$I$2*N13</f>
        <v>0</v>
      </c>
      <c r="T13" s="18"/>
      <c r="U13" s="139">
        <v>6052.7</v>
      </c>
      <c r="W13" s="116">
        <v>11</v>
      </c>
      <c r="X13" s="114" t="str">
        <f>Inputs!$A$2</f>
        <v>DomesticMC</v>
      </c>
      <c r="Y13" s="45" t="str">
        <f>Inputs!$B$2</f>
        <v>MC</v>
      </c>
      <c r="Z13" s="45" t="s">
        <v>57</v>
      </c>
      <c r="AA13" s="45">
        <f t="shared" si="0"/>
        <v>3380</v>
      </c>
      <c r="AB13" s="53"/>
      <c r="AC13" s="118">
        <v>11</v>
      </c>
      <c r="AD13" s="114" t="str">
        <f>Inputs!$A$2</f>
        <v>DomesticMC</v>
      </c>
      <c r="AE13" s="45" t="str">
        <f>Inputs!$B$2</f>
        <v>MC</v>
      </c>
      <c r="AF13" s="45" t="s">
        <v>58</v>
      </c>
      <c r="AG13" s="45">
        <f t="shared" si="1"/>
        <v>2672.7</v>
      </c>
      <c r="AH13" s="53"/>
      <c r="AI13" s="45">
        <v>0</v>
      </c>
      <c r="AJ13" s="45">
        <v>0</v>
      </c>
      <c r="AK13" s="45">
        <f t="shared" si="8"/>
        <v>0</v>
      </c>
      <c r="AL13" s="53"/>
      <c r="AM13" s="45">
        <f t="shared" si="9"/>
        <v>0</v>
      </c>
      <c r="AN13" s="45">
        <f>AI13*Inputs!$F$2*Inputs!$H$2</f>
        <v>0</v>
      </c>
      <c r="AO13" s="45">
        <f>Inputs!$F$2*Inputs!$I$2*AJ13</f>
        <v>0</v>
      </c>
      <c r="AP13" s="139">
        <v>6052.7</v>
      </c>
      <c r="AR13" s="116">
        <v>11</v>
      </c>
      <c r="AS13" s="114" t="str">
        <f>Inputs!$A$2</f>
        <v>DomesticMC</v>
      </c>
      <c r="AT13" s="45" t="str">
        <f>Inputs!$B$2</f>
        <v>MC</v>
      </c>
      <c r="AU13" s="45" t="s">
        <v>57</v>
      </c>
      <c r="AV13" s="45">
        <f t="shared" si="10"/>
        <v>3380</v>
      </c>
      <c r="AW13" s="53"/>
      <c r="AX13" s="118">
        <v>11</v>
      </c>
      <c r="AY13" s="114" t="str">
        <f>Inputs!$A$2</f>
        <v>DomesticMC</v>
      </c>
      <c r="AZ13" s="45" t="str">
        <f>Inputs!$B$2</f>
        <v>MC</v>
      </c>
      <c r="BA13" s="45" t="s">
        <v>58</v>
      </c>
      <c r="BB13" s="45">
        <f t="shared" si="2"/>
        <v>2672.7</v>
      </c>
      <c r="BC13" s="53"/>
      <c r="BD13" s="45">
        <v>0</v>
      </c>
      <c r="BE13" s="45">
        <v>0</v>
      </c>
      <c r="BF13" s="45">
        <f t="shared" si="11"/>
        <v>0</v>
      </c>
      <c r="BG13" s="53"/>
      <c r="BH13" s="45">
        <f t="shared" si="12"/>
        <v>0</v>
      </c>
      <c r="BI13" s="45">
        <f>BD13*Inputs!$F$2*Inputs!$H$2</f>
        <v>0</v>
      </c>
      <c r="BJ13" s="45">
        <f>Inputs!$F$2*Inputs!$I$2*BE13</f>
        <v>0</v>
      </c>
      <c r="BK13" s="139">
        <v>6052.7</v>
      </c>
      <c r="BM13" s="116">
        <v>11</v>
      </c>
      <c r="BN13" s="114" t="str">
        <f>Inputs!$A$2</f>
        <v>DomesticMC</v>
      </c>
      <c r="BO13" s="45" t="str">
        <f>Inputs!$B$2</f>
        <v>MC</v>
      </c>
      <c r="BP13" s="45" t="s">
        <v>57</v>
      </c>
      <c r="BQ13" s="45">
        <f t="shared" si="3"/>
        <v>3380</v>
      </c>
      <c r="BR13" s="53"/>
      <c r="BS13" s="118">
        <v>11</v>
      </c>
      <c r="BT13" s="114" t="str">
        <f>Inputs!$A$2</f>
        <v>DomesticMC</v>
      </c>
      <c r="BU13" s="45" t="str">
        <f>Inputs!$B$2</f>
        <v>MC</v>
      </c>
      <c r="BV13" s="45" t="s">
        <v>58</v>
      </c>
      <c r="BW13" s="45">
        <f t="shared" si="4"/>
        <v>2672.7</v>
      </c>
      <c r="BX13" s="53"/>
      <c r="BY13" s="45">
        <v>0</v>
      </c>
      <c r="BZ13" s="45">
        <v>0</v>
      </c>
      <c r="CA13" s="45">
        <f t="shared" si="13"/>
        <v>0</v>
      </c>
      <c r="CB13" s="53"/>
      <c r="CC13" s="45">
        <f t="shared" si="14"/>
        <v>0</v>
      </c>
      <c r="CD13" s="45">
        <f>BY13*Inputs!$F$2*Inputs!$H$2</f>
        <v>0</v>
      </c>
      <c r="CE13" s="45">
        <f>Inputs!$F$2*Inputs!$I$2*BZ13</f>
        <v>0</v>
      </c>
      <c r="CF13" s="139">
        <v>6052.7</v>
      </c>
      <c r="CG13" s="41"/>
      <c r="CH13" s="41"/>
      <c r="CI13" s="41"/>
      <c r="CJ13" s="41">
        <v>11</v>
      </c>
      <c r="CK13" s="41">
        <f>IF(Inputs!$T$1&gt;CJ13,0,999999)</f>
        <v>999999</v>
      </c>
      <c r="CL13" s="41">
        <f t="shared" si="15"/>
        <v>13132.7</v>
      </c>
      <c r="CM13" s="41"/>
      <c r="CN13" s="13" t="str">
        <f>Inputs!A10</f>
        <v>M4597400</v>
      </c>
      <c r="CO13" s="13">
        <f>IF(Inputs!D10="Yes",999999,0)</f>
        <v>999999</v>
      </c>
      <c r="CP13" s="41">
        <f t="shared" si="16"/>
        <v>93.788024000000007</v>
      </c>
      <c r="CQ13" s="41">
        <f>IF(Inputs!E10="Yes",999999,0)</f>
        <v>999999</v>
      </c>
      <c r="CR13" s="41">
        <f t="shared" si="17"/>
        <v>16.511976000000001</v>
      </c>
      <c r="CS13" s="41"/>
      <c r="CT13"/>
      <c r="CU13"/>
      <c r="CV13"/>
      <c r="CW13"/>
      <c r="CX13"/>
      <c r="CY13"/>
      <c r="CZ13" s="6"/>
      <c r="DA13" s="6"/>
      <c r="DB13" s="113">
        <v>11</v>
      </c>
      <c r="DC13" s="101">
        <f t="shared" si="18"/>
        <v>3380</v>
      </c>
      <c r="DD13" s="101">
        <f t="shared" si="19"/>
        <v>2200</v>
      </c>
      <c r="DE13" s="101">
        <f t="shared" si="20"/>
        <v>2672.7</v>
      </c>
      <c r="DF13" s="103">
        <f t="shared" si="21"/>
        <v>4880</v>
      </c>
      <c r="DG13" s="102" t="s">
        <v>112</v>
      </c>
      <c r="DH13" s="101">
        <f>Inputs!L10*Inputs!$L$1</f>
        <v>3380</v>
      </c>
      <c r="DI13" s="101">
        <f>Inputs!N10*Inputs!$N$1</f>
        <v>2200</v>
      </c>
      <c r="DJ13" s="101">
        <f>Inputs!P10*Inputs!$P$1</f>
        <v>2800</v>
      </c>
      <c r="DK13" s="103">
        <f>Inputs!R10*Inputs!$R$1</f>
        <v>4880</v>
      </c>
      <c r="DL13" s="6"/>
      <c r="DN13" s="6"/>
      <c r="DO13" s="36" t="str">
        <f t="shared" si="22"/>
        <v>M4597400</v>
      </c>
      <c r="DP13" s="34">
        <f t="shared" si="5"/>
        <v>110.30000000000001</v>
      </c>
      <c r="DQ13" s="35">
        <f t="shared" si="23"/>
        <v>110.3</v>
      </c>
      <c r="DS13" s="28" t="str">
        <f>Inputs!A10</f>
        <v>M4597400</v>
      </c>
      <c r="DT13" s="26">
        <f>Inputs!C10</f>
        <v>110.3</v>
      </c>
      <c r="DU13" s="24"/>
    </row>
    <row r="14" spans="1:125" x14ac:dyDescent="0.25">
      <c r="A14" s="117">
        <v>3</v>
      </c>
      <c r="B14" s="115" t="str">
        <f>Inputs!$A$3</f>
        <v>DomesticPNT</v>
      </c>
      <c r="C14" s="44" t="str">
        <f>Inputs!$B$3</f>
        <v>PNT</v>
      </c>
      <c r="D14" s="44" t="s">
        <v>57</v>
      </c>
      <c r="E14" s="44">
        <v>2640</v>
      </c>
      <c r="F14" s="53"/>
      <c r="G14" s="119">
        <v>3</v>
      </c>
      <c r="H14" s="115" t="str">
        <f>Inputs!$A$3</f>
        <v>DomesticPNT</v>
      </c>
      <c r="I14" s="44" t="str">
        <f>Inputs!$B$3</f>
        <v>PNT</v>
      </c>
      <c r="J14" s="44" t="s">
        <v>58</v>
      </c>
      <c r="K14" s="44">
        <v>4700.8999999999996</v>
      </c>
      <c r="L14" s="53"/>
      <c r="M14" s="44">
        <v>0</v>
      </c>
      <c r="N14" s="44">
        <v>0</v>
      </c>
      <c r="O14" s="44">
        <f>U14-0-E14-K14</f>
        <v>0</v>
      </c>
      <c r="P14" s="53"/>
      <c r="Q14" s="44">
        <f>E14+K14+N14-U14+0-M14</f>
        <v>0</v>
      </c>
      <c r="R14" s="44">
        <f>M14*Inputs!$F$3*Inputs!$G$3</f>
        <v>0</v>
      </c>
      <c r="S14" s="44">
        <f>Inputs!$F$3*Inputs!$I$3*N14</f>
        <v>0</v>
      </c>
      <c r="T14" s="18"/>
      <c r="U14" s="54">
        <v>7340.9</v>
      </c>
      <c r="W14" s="117">
        <v>3</v>
      </c>
      <c r="X14" s="115" t="str">
        <f>Inputs!$A$3</f>
        <v>DomesticPNT</v>
      </c>
      <c r="Y14" s="44" t="str">
        <f>Inputs!$B$3</f>
        <v>PNT</v>
      </c>
      <c r="Z14" s="44" t="s">
        <v>57</v>
      </c>
      <c r="AA14" s="44">
        <f t="shared" si="0"/>
        <v>2640</v>
      </c>
      <c r="AB14" s="53"/>
      <c r="AC14" s="119">
        <v>3</v>
      </c>
      <c r="AD14" s="115" t="str">
        <f>Inputs!$A$3</f>
        <v>DomesticPNT</v>
      </c>
      <c r="AE14" s="44" t="str">
        <f>Inputs!$B$3</f>
        <v>PNT</v>
      </c>
      <c r="AF14" s="44" t="s">
        <v>58</v>
      </c>
      <c r="AG14" s="44">
        <f t="shared" si="1"/>
        <v>4700.8999999999996</v>
      </c>
      <c r="AH14" s="53"/>
      <c r="AI14" s="44">
        <v>0</v>
      </c>
      <c r="AJ14" s="44">
        <v>0</v>
      </c>
      <c r="AK14" s="44">
        <f>AP14-0-AA14-AG14</f>
        <v>0</v>
      </c>
      <c r="AL14" s="53"/>
      <c r="AM14" s="44">
        <f>AA14+AG14+AJ14-AP14+0-AI14</f>
        <v>0</v>
      </c>
      <c r="AN14" s="44">
        <f>AI14*Inputs!$F$3*Inputs!$G$3</f>
        <v>0</v>
      </c>
      <c r="AO14" s="44">
        <f>Inputs!$F$3*Inputs!$I$3*AJ14</f>
        <v>0</v>
      </c>
      <c r="AP14" s="54">
        <v>7340.9</v>
      </c>
      <c r="AR14" s="117">
        <v>3</v>
      </c>
      <c r="AS14" s="115" t="str">
        <f>Inputs!$A$3</f>
        <v>DomesticPNT</v>
      </c>
      <c r="AT14" s="44" t="str">
        <f>Inputs!$B$3</f>
        <v>PNT</v>
      </c>
      <c r="AU14" s="44" t="s">
        <v>57</v>
      </c>
      <c r="AV14" s="44">
        <f t="shared" si="10"/>
        <v>2640</v>
      </c>
      <c r="AW14" s="53"/>
      <c r="AX14" s="119">
        <v>3</v>
      </c>
      <c r="AY14" s="115" t="str">
        <f>Inputs!$A$3</f>
        <v>DomesticPNT</v>
      </c>
      <c r="AZ14" s="44" t="str">
        <f>Inputs!$B$3</f>
        <v>PNT</v>
      </c>
      <c r="BA14" s="44" t="s">
        <v>58</v>
      </c>
      <c r="BB14" s="44">
        <f t="shared" si="2"/>
        <v>4700.8999999999996</v>
      </c>
      <c r="BC14" s="53"/>
      <c r="BD14" s="44">
        <v>0</v>
      </c>
      <c r="BE14" s="44">
        <v>0</v>
      </c>
      <c r="BF14" s="44">
        <f>BK14-0-AV14-BB14</f>
        <v>0</v>
      </c>
      <c r="BG14" s="53"/>
      <c r="BH14" s="44">
        <f>AV14+BB14+BE14-BK14+0-BD14</f>
        <v>0</v>
      </c>
      <c r="BI14" s="44">
        <f>BD14*Inputs!$F$3*Inputs!$G$3</f>
        <v>0</v>
      </c>
      <c r="BJ14" s="44">
        <f>Inputs!$F$3*Inputs!$I$3*BE14</f>
        <v>0</v>
      </c>
      <c r="BK14" s="54">
        <v>7340.9</v>
      </c>
      <c r="BM14" s="117">
        <v>3</v>
      </c>
      <c r="BN14" s="115" t="str">
        <f>Inputs!$A$3</f>
        <v>DomesticPNT</v>
      </c>
      <c r="BO14" s="44" t="str">
        <f>Inputs!$B$3</f>
        <v>PNT</v>
      </c>
      <c r="BP14" s="44" t="s">
        <v>57</v>
      </c>
      <c r="BQ14" s="44">
        <f t="shared" si="3"/>
        <v>2640</v>
      </c>
      <c r="BR14" s="53"/>
      <c r="BS14" s="119">
        <v>3</v>
      </c>
      <c r="BT14" s="115" t="str">
        <f>Inputs!$A$3</f>
        <v>DomesticPNT</v>
      </c>
      <c r="BU14" s="44" t="str">
        <f>Inputs!$B$3</f>
        <v>PNT</v>
      </c>
      <c r="BV14" s="44" t="s">
        <v>58</v>
      </c>
      <c r="BW14" s="44">
        <f t="shared" si="4"/>
        <v>4700.8999999999996</v>
      </c>
      <c r="BX14" s="53"/>
      <c r="BY14" s="44">
        <v>0</v>
      </c>
      <c r="BZ14" s="44">
        <v>0</v>
      </c>
      <c r="CA14" s="44">
        <f>CF14-0-BQ14-BW14</f>
        <v>0</v>
      </c>
      <c r="CB14" s="53"/>
      <c r="CC14" s="44">
        <f>BQ14+BW14+BZ14-CF14+0-BY14</f>
        <v>0</v>
      </c>
      <c r="CD14" s="44">
        <f>BY14*Inputs!$F$3*Inputs!$G$3</f>
        <v>0</v>
      </c>
      <c r="CE14" s="44">
        <f>Inputs!$F$3*Inputs!$I$3*BZ14</f>
        <v>0</v>
      </c>
      <c r="CF14" s="54">
        <v>7340.9</v>
      </c>
      <c r="CG14" s="41"/>
      <c r="CH14" s="41"/>
      <c r="CI14" s="41"/>
      <c r="CJ14" s="41"/>
      <c r="CK14" s="41"/>
      <c r="CL14" s="41"/>
      <c r="CM14" s="41"/>
      <c r="CN14" s="13" t="str">
        <f>Inputs!A11</f>
        <v>M3134800</v>
      </c>
      <c r="CO14" s="13">
        <f>IF(Inputs!D11="Yes",999999,0)</f>
        <v>999999</v>
      </c>
      <c r="CP14" s="41">
        <f t="shared" si="16"/>
        <v>0</v>
      </c>
      <c r="CQ14" s="41">
        <f>IF(Inputs!E11="Yes",999999,0)</f>
        <v>999999</v>
      </c>
      <c r="CR14" s="41">
        <f t="shared" si="17"/>
        <v>584.4</v>
      </c>
      <c r="CS14" s="41"/>
      <c r="CT14"/>
      <c r="CU14"/>
      <c r="CV14"/>
      <c r="CW14"/>
      <c r="CX14"/>
      <c r="CY14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36" t="str">
        <f t="shared" si="22"/>
        <v>M3134800</v>
      </c>
      <c r="DP14" s="34">
        <f t="shared" si="5"/>
        <v>584.4</v>
      </c>
      <c r="DQ14" s="35">
        <f t="shared" si="23"/>
        <v>584.4</v>
      </c>
      <c r="DS14" s="28" t="str">
        <f>Inputs!A11</f>
        <v>M3134800</v>
      </c>
      <c r="DT14" s="26">
        <f>Inputs!C11</f>
        <v>584.4</v>
      </c>
      <c r="DU14" s="24"/>
    </row>
    <row r="15" spans="1:125" x14ac:dyDescent="0.25">
      <c r="A15" s="117">
        <v>4</v>
      </c>
      <c r="B15" s="115" t="str">
        <f>Inputs!$A$3</f>
        <v>DomesticPNT</v>
      </c>
      <c r="C15" s="44" t="str">
        <f>Inputs!$B$3</f>
        <v>PNT</v>
      </c>
      <c r="D15" s="44" t="s">
        <v>57</v>
      </c>
      <c r="E15" s="44">
        <v>1888</v>
      </c>
      <c r="F15" s="53"/>
      <c r="G15" s="119">
        <v>4</v>
      </c>
      <c r="H15" s="115" t="str">
        <f>Inputs!$A$3</f>
        <v>DomesticPNT</v>
      </c>
      <c r="I15" s="44" t="str">
        <f>Inputs!$B$3</f>
        <v>PNT</v>
      </c>
      <c r="J15" s="44" t="s">
        <v>58</v>
      </c>
      <c r="K15" s="44">
        <v>5120</v>
      </c>
      <c r="L15" s="53"/>
      <c r="M15" s="44">
        <v>0</v>
      </c>
      <c r="N15" s="44">
        <v>0</v>
      </c>
      <c r="O15" s="44">
        <f t="shared" ref="O15:O22" si="24">U15-M14-E15-K15</f>
        <v>0</v>
      </c>
      <c r="P15" s="53"/>
      <c r="Q15" s="44">
        <f t="shared" ref="Q15:Q22" si="25">E15+K15+N15-U15+M14-M15</f>
        <v>0</v>
      </c>
      <c r="R15" s="44">
        <f>M15*Inputs!$F$3*Inputs!$G$3</f>
        <v>0</v>
      </c>
      <c r="S15" s="44">
        <f>Inputs!$F$3*Inputs!$I$3*N15</f>
        <v>0</v>
      </c>
      <c r="T15" s="18"/>
      <c r="U15" s="55">
        <v>7008</v>
      </c>
      <c r="W15" s="117">
        <v>4</v>
      </c>
      <c r="X15" s="115" t="str">
        <f>Inputs!$A$3</f>
        <v>DomesticPNT</v>
      </c>
      <c r="Y15" s="44" t="str">
        <f>Inputs!$B$3</f>
        <v>PNT</v>
      </c>
      <c r="Z15" s="44" t="s">
        <v>57</v>
      </c>
      <c r="AA15" s="44">
        <f t="shared" si="0"/>
        <v>1888</v>
      </c>
      <c r="AB15" s="53"/>
      <c r="AC15" s="119">
        <v>4</v>
      </c>
      <c r="AD15" s="115" t="str">
        <f>Inputs!$A$3</f>
        <v>DomesticPNT</v>
      </c>
      <c r="AE15" s="44" t="str">
        <f>Inputs!$B$3</f>
        <v>PNT</v>
      </c>
      <c r="AF15" s="44" t="s">
        <v>58</v>
      </c>
      <c r="AG15" s="44">
        <f t="shared" si="1"/>
        <v>5120</v>
      </c>
      <c r="AH15" s="53"/>
      <c r="AI15" s="44">
        <v>0</v>
      </c>
      <c r="AJ15" s="44">
        <v>0</v>
      </c>
      <c r="AK15" s="44">
        <f t="shared" ref="AK15:AK22" si="26">AP15-AI14-AA15-AG15</f>
        <v>0</v>
      </c>
      <c r="AL15" s="53"/>
      <c r="AM15" s="44">
        <f t="shared" ref="AM15:AM22" si="27">AA15+AG15+AJ15-AP15+AI14-AI15</f>
        <v>0</v>
      </c>
      <c r="AN15" s="44">
        <f>AI15*Inputs!$F$3*Inputs!$G$3</f>
        <v>0</v>
      </c>
      <c r="AO15" s="44">
        <f>Inputs!$F$3*Inputs!$I$3*AJ15</f>
        <v>0</v>
      </c>
      <c r="AP15" s="55">
        <v>7008</v>
      </c>
      <c r="AR15" s="117">
        <v>4</v>
      </c>
      <c r="AS15" s="115" t="str">
        <f>Inputs!$A$3</f>
        <v>DomesticPNT</v>
      </c>
      <c r="AT15" s="44" t="str">
        <f>Inputs!$B$3</f>
        <v>PNT</v>
      </c>
      <c r="AU15" s="44" t="s">
        <v>57</v>
      </c>
      <c r="AV15" s="44">
        <f t="shared" si="10"/>
        <v>1888</v>
      </c>
      <c r="AW15" s="53"/>
      <c r="AX15" s="119">
        <v>4</v>
      </c>
      <c r="AY15" s="115" t="str">
        <f>Inputs!$A$3</f>
        <v>DomesticPNT</v>
      </c>
      <c r="AZ15" s="44" t="str">
        <f>Inputs!$B$3</f>
        <v>PNT</v>
      </c>
      <c r="BA15" s="44" t="s">
        <v>58</v>
      </c>
      <c r="BB15" s="44">
        <f t="shared" si="2"/>
        <v>5120</v>
      </c>
      <c r="BC15" s="53"/>
      <c r="BD15" s="44">
        <v>0</v>
      </c>
      <c r="BE15" s="44">
        <v>0</v>
      </c>
      <c r="BF15" s="44">
        <f t="shared" ref="BF15:BF22" si="28">BK15-BD14-AV15-BB15</f>
        <v>0</v>
      </c>
      <c r="BG15" s="53"/>
      <c r="BH15" s="44">
        <f t="shared" ref="BH15:BH22" si="29">AV15+BB15+BE15-BK15+BD14-BD15</f>
        <v>0</v>
      </c>
      <c r="BI15" s="44">
        <f>BD15*Inputs!$F$3*Inputs!$G$3</f>
        <v>0</v>
      </c>
      <c r="BJ15" s="44">
        <f>Inputs!$F$3*Inputs!$I$3*BE15</f>
        <v>0</v>
      </c>
      <c r="BK15" s="55">
        <v>7008</v>
      </c>
      <c r="BM15" s="117">
        <v>4</v>
      </c>
      <c r="BN15" s="115" t="str">
        <f>Inputs!$A$3</f>
        <v>DomesticPNT</v>
      </c>
      <c r="BO15" s="44" t="str">
        <f>Inputs!$B$3</f>
        <v>PNT</v>
      </c>
      <c r="BP15" s="44" t="s">
        <v>57</v>
      </c>
      <c r="BQ15" s="44">
        <f t="shared" si="3"/>
        <v>1888</v>
      </c>
      <c r="BR15" s="53"/>
      <c r="BS15" s="119">
        <v>4</v>
      </c>
      <c r="BT15" s="115" t="str">
        <f>Inputs!$A$3</f>
        <v>DomesticPNT</v>
      </c>
      <c r="BU15" s="44" t="str">
        <f>Inputs!$B$3</f>
        <v>PNT</v>
      </c>
      <c r="BV15" s="44" t="s">
        <v>58</v>
      </c>
      <c r="BW15" s="44">
        <f t="shared" si="4"/>
        <v>5120</v>
      </c>
      <c r="BX15" s="53"/>
      <c r="BY15" s="44">
        <v>0</v>
      </c>
      <c r="BZ15" s="44">
        <v>0</v>
      </c>
      <c r="CA15" s="44">
        <f t="shared" ref="CA15:CA22" si="30">CF15-BY14-BQ15-BW15</f>
        <v>0</v>
      </c>
      <c r="CB15" s="53"/>
      <c r="CC15" s="44">
        <f t="shared" ref="CC15:CC22" si="31">BQ15+BW15+BZ15-CF15+BY14-BY15</f>
        <v>0</v>
      </c>
      <c r="CD15" s="44">
        <f>BY15*Inputs!$F$3*Inputs!$G$3</f>
        <v>0</v>
      </c>
      <c r="CE15" s="44">
        <f>Inputs!$F$3*Inputs!$I$3*BZ15</f>
        <v>0</v>
      </c>
      <c r="CF15" s="55">
        <v>7008</v>
      </c>
      <c r="CG15" s="41"/>
      <c r="CH15" s="41"/>
      <c r="CI15" s="41"/>
      <c r="CJ15" s="41"/>
      <c r="CK15" s="41"/>
      <c r="CL15" s="41"/>
      <c r="CM15" s="41"/>
      <c r="CN15" s="13" t="str">
        <f>Inputs!A12</f>
        <v>M3135000</v>
      </c>
      <c r="CO15" s="13">
        <f>IF(Inputs!D12="Yes",999999,0)</f>
        <v>999999</v>
      </c>
      <c r="CP15" s="41">
        <f t="shared" si="16"/>
        <v>363</v>
      </c>
      <c r="CQ15" s="41">
        <f>IF(Inputs!E12="Yes",999999,0)</f>
        <v>999999</v>
      </c>
      <c r="CR15" s="41">
        <f t="shared" si="17"/>
        <v>0</v>
      </c>
      <c r="CS15" s="41"/>
      <c r="CT15" s="73"/>
      <c r="CU15" s="73"/>
      <c r="CV15" s="73"/>
      <c r="CW15" s="73"/>
      <c r="CX15" s="73"/>
      <c r="CY15" s="73"/>
      <c r="CZ15" s="6"/>
      <c r="DC15" s="6"/>
      <c r="DD15" s="6"/>
      <c r="DE15" s="6"/>
      <c r="DF15" s="6"/>
      <c r="DH15" s="6"/>
      <c r="DI15" s="6"/>
      <c r="DJ15" s="6"/>
      <c r="DK15" s="6"/>
      <c r="DL15" s="6"/>
      <c r="DM15" s="6"/>
      <c r="DN15" s="6"/>
      <c r="DO15" s="36" t="str">
        <f t="shared" si="22"/>
        <v>M3135000</v>
      </c>
      <c r="DP15" s="34">
        <f t="shared" si="5"/>
        <v>363</v>
      </c>
      <c r="DQ15" s="35">
        <f t="shared" si="23"/>
        <v>363</v>
      </c>
      <c r="DS15" s="28" t="str">
        <f>Inputs!A12</f>
        <v>M3135000</v>
      </c>
      <c r="DT15" s="26">
        <f>Inputs!C12</f>
        <v>363</v>
      </c>
      <c r="DU15" s="24"/>
    </row>
    <row r="16" spans="1:125" x14ac:dyDescent="0.25">
      <c r="A16" s="117">
        <v>5</v>
      </c>
      <c r="B16" s="115" t="str">
        <f>Inputs!$A$3</f>
        <v>DomesticPNT</v>
      </c>
      <c r="C16" s="44" t="str">
        <f>Inputs!$B$3</f>
        <v>PNT</v>
      </c>
      <c r="D16" s="44" t="s">
        <v>57</v>
      </c>
      <c r="E16" s="44">
        <v>2054.9</v>
      </c>
      <c r="F16" s="53"/>
      <c r="G16" s="119">
        <v>5</v>
      </c>
      <c r="H16" s="115" t="str">
        <f>Inputs!$A$3</f>
        <v>DomesticPNT</v>
      </c>
      <c r="I16" s="44" t="str">
        <f>Inputs!$B$3</f>
        <v>PNT</v>
      </c>
      <c r="J16" s="44" t="s">
        <v>58</v>
      </c>
      <c r="K16" s="44">
        <v>4800</v>
      </c>
      <c r="L16" s="53"/>
      <c r="M16" s="44">
        <v>0</v>
      </c>
      <c r="N16" s="44">
        <v>0</v>
      </c>
      <c r="O16" s="44">
        <f t="shared" si="24"/>
        <v>0</v>
      </c>
      <c r="P16" s="53"/>
      <c r="Q16" s="44">
        <f t="shared" si="25"/>
        <v>0</v>
      </c>
      <c r="R16" s="44">
        <f>M16*Inputs!$F$3*Inputs!$G$3</f>
        <v>0</v>
      </c>
      <c r="S16" s="44">
        <f>Inputs!$F$3*Inputs!$I$3*N16</f>
        <v>0</v>
      </c>
      <c r="T16" s="18"/>
      <c r="U16" s="55">
        <v>6854.9</v>
      </c>
      <c r="W16" s="117">
        <v>5</v>
      </c>
      <c r="X16" s="115" t="str">
        <f>Inputs!$A$3</f>
        <v>DomesticPNT</v>
      </c>
      <c r="Y16" s="44" t="str">
        <f>Inputs!$B$3</f>
        <v>PNT</v>
      </c>
      <c r="Z16" s="44" t="s">
        <v>57</v>
      </c>
      <c r="AA16" s="44">
        <f t="shared" si="0"/>
        <v>2054.9</v>
      </c>
      <c r="AB16" s="53"/>
      <c r="AC16" s="119">
        <v>5</v>
      </c>
      <c r="AD16" s="115" t="str">
        <f>Inputs!$A$3</f>
        <v>DomesticPNT</v>
      </c>
      <c r="AE16" s="44" t="str">
        <f>Inputs!$B$3</f>
        <v>PNT</v>
      </c>
      <c r="AF16" s="44" t="s">
        <v>58</v>
      </c>
      <c r="AG16" s="44">
        <f t="shared" si="1"/>
        <v>4800</v>
      </c>
      <c r="AH16" s="53"/>
      <c r="AI16" s="44">
        <v>0</v>
      </c>
      <c r="AJ16" s="44">
        <v>0</v>
      </c>
      <c r="AK16" s="44">
        <f t="shared" si="26"/>
        <v>0</v>
      </c>
      <c r="AL16" s="53"/>
      <c r="AM16" s="44">
        <f t="shared" si="27"/>
        <v>0</v>
      </c>
      <c r="AN16" s="44">
        <f>AI16*Inputs!$F$3*Inputs!$G$3</f>
        <v>0</v>
      </c>
      <c r="AO16" s="44">
        <f>Inputs!$F$3*Inputs!$I$3*AJ16</f>
        <v>0</v>
      </c>
      <c r="AP16" s="55">
        <v>6854.9</v>
      </c>
      <c r="AR16" s="117">
        <v>5</v>
      </c>
      <c r="AS16" s="115" t="str">
        <f>Inputs!$A$3</f>
        <v>DomesticPNT</v>
      </c>
      <c r="AT16" s="44" t="str">
        <f>Inputs!$B$3</f>
        <v>PNT</v>
      </c>
      <c r="AU16" s="44" t="s">
        <v>57</v>
      </c>
      <c r="AV16" s="44">
        <f t="shared" si="10"/>
        <v>2054.9</v>
      </c>
      <c r="AW16" s="53"/>
      <c r="AX16" s="119">
        <v>5</v>
      </c>
      <c r="AY16" s="115" t="str">
        <f>Inputs!$A$3</f>
        <v>DomesticPNT</v>
      </c>
      <c r="AZ16" s="44" t="str">
        <f>Inputs!$B$3</f>
        <v>PNT</v>
      </c>
      <c r="BA16" s="44" t="s">
        <v>58</v>
      </c>
      <c r="BB16" s="44">
        <f t="shared" si="2"/>
        <v>4800</v>
      </c>
      <c r="BC16" s="53"/>
      <c r="BD16" s="44">
        <v>0</v>
      </c>
      <c r="BE16" s="44">
        <v>0</v>
      </c>
      <c r="BF16" s="44">
        <f t="shared" si="28"/>
        <v>0</v>
      </c>
      <c r="BG16" s="53"/>
      <c r="BH16" s="44">
        <f t="shared" si="29"/>
        <v>0</v>
      </c>
      <c r="BI16" s="44">
        <f>BD16*Inputs!$F$3*Inputs!$G$3</f>
        <v>0</v>
      </c>
      <c r="BJ16" s="44">
        <f>Inputs!$F$3*Inputs!$I$3*BE16</f>
        <v>0</v>
      </c>
      <c r="BK16" s="55">
        <v>6854.9</v>
      </c>
      <c r="BM16" s="117">
        <v>5</v>
      </c>
      <c r="BN16" s="115" t="str">
        <f>Inputs!$A$3</f>
        <v>DomesticPNT</v>
      </c>
      <c r="BO16" s="44" t="str">
        <f>Inputs!$B$3</f>
        <v>PNT</v>
      </c>
      <c r="BP16" s="44" t="s">
        <v>57</v>
      </c>
      <c r="BQ16" s="44">
        <f t="shared" si="3"/>
        <v>2054.9</v>
      </c>
      <c r="BR16" s="53"/>
      <c r="BS16" s="119">
        <v>5</v>
      </c>
      <c r="BT16" s="115" t="str">
        <f>Inputs!$A$3</f>
        <v>DomesticPNT</v>
      </c>
      <c r="BU16" s="44" t="str">
        <f>Inputs!$B$3</f>
        <v>PNT</v>
      </c>
      <c r="BV16" s="44" t="s">
        <v>58</v>
      </c>
      <c r="BW16" s="44">
        <f t="shared" si="4"/>
        <v>4800</v>
      </c>
      <c r="BX16" s="53"/>
      <c r="BY16" s="44">
        <v>0</v>
      </c>
      <c r="BZ16" s="44">
        <v>0</v>
      </c>
      <c r="CA16" s="44">
        <f t="shared" si="30"/>
        <v>0</v>
      </c>
      <c r="CB16" s="53"/>
      <c r="CC16" s="44">
        <f t="shared" si="31"/>
        <v>0</v>
      </c>
      <c r="CD16" s="44">
        <f>BY16*Inputs!$F$3*Inputs!$G$3</f>
        <v>0</v>
      </c>
      <c r="CE16" s="44">
        <f>Inputs!$F$3*Inputs!$I$3*BZ16</f>
        <v>0</v>
      </c>
      <c r="CF16" s="55">
        <v>6854.9</v>
      </c>
      <c r="CG16" s="41"/>
      <c r="CH16" s="41"/>
      <c r="CI16" s="41"/>
      <c r="CJ16" s="41"/>
      <c r="CK16" s="41"/>
      <c r="CL16" s="41"/>
      <c r="CM16" s="41"/>
      <c r="CN16" s="13" t="str">
        <f>Inputs!A13</f>
        <v>M4103600</v>
      </c>
      <c r="CO16" s="13">
        <f>IF(Inputs!D13="Yes",999999,0)</f>
        <v>999999</v>
      </c>
      <c r="CP16" s="41">
        <f t="shared" si="16"/>
        <v>0</v>
      </c>
      <c r="CQ16" s="41">
        <f>IF(Inputs!E13="Yes",999999,0)</f>
        <v>999999</v>
      </c>
      <c r="CR16" s="41">
        <f t="shared" si="17"/>
        <v>98.900000300000002</v>
      </c>
      <c r="CS16" s="41"/>
      <c r="CT16" s="73"/>
      <c r="CU16" s="73"/>
      <c r="CV16" s="73"/>
      <c r="CW16" s="73"/>
      <c r="CX16" s="73"/>
      <c r="CY16" s="73"/>
      <c r="CZ16" s="6"/>
      <c r="DC16" s="6"/>
      <c r="DD16" s="6"/>
      <c r="DE16" s="6"/>
      <c r="DF16" s="6"/>
      <c r="DH16" s="6"/>
      <c r="DI16" s="6"/>
      <c r="DJ16" s="6"/>
      <c r="DK16" s="6"/>
      <c r="DL16" s="6"/>
      <c r="DN16" s="6"/>
      <c r="DO16" s="36" t="str">
        <f t="shared" si="22"/>
        <v>M4103600</v>
      </c>
      <c r="DP16" s="34">
        <f t="shared" si="5"/>
        <v>98.900000300000002</v>
      </c>
      <c r="DQ16" s="35">
        <f t="shared" si="23"/>
        <v>98.9</v>
      </c>
      <c r="DS16" s="28" t="str">
        <f>Inputs!A13</f>
        <v>M4103600</v>
      </c>
      <c r="DT16" s="26">
        <f>Inputs!C13</f>
        <v>98.9</v>
      </c>
      <c r="DU16" s="24"/>
    </row>
    <row r="17" spans="1:125" x14ac:dyDescent="0.25">
      <c r="A17" s="117">
        <v>6</v>
      </c>
      <c r="B17" s="115" t="str">
        <f>Inputs!$A$3</f>
        <v>DomesticPNT</v>
      </c>
      <c r="C17" s="44" t="str">
        <f>Inputs!$B$3</f>
        <v>PNT</v>
      </c>
      <c r="D17" s="44" t="s">
        <v>57</v>
      </c>
      <c r="E17" s="44">
        <v>2138.1999999999998</v>
      </c>
      <c r="F17" s="53"/>
      <c r="G17" s="119">
        <v>6</v>
      </c>
      <c r="H17" s="115" t="str">
        <f>Inputs!$A$3</f>
        <v>DomesticPNT</v>
      </c>
      <c r="I17" s="44" t="str">
        <f>Inputs!$B$3</f>
        <v>PNT</v>
      </c>
      <c r="J17" s="44" t="s">
        <v>58</v>
      </c>
      <c r="K17" s="44">
        <v>4437</v>
      </c>
      <c r="L17" s="53"/>
      <c r="M17" s="44">
        <v>0</v>
      </c>
      <c r="N17" s="44">
        <v>0</v>
      </c>
      <c r="O17" s="44">
        <f t="shared" si="24"/>
        <v>0</v>
      </c>
      <c r="P17" s="53"/>
      <c r="Q17" s="44">
        <f t="shared" si="25"/>
        <v>0</v>
      </c>
      <c r="R17" s="44">
        <f>M17*Inputs!$F$3*Inputs!$G$3</f>
        <v>0</v>
      </c>
      <c r="S17" s="44">
        <f>Inputs!$F$3*Inputs!$I$3*N17</f>
        <v>0</v>
      </c>
      <c r="T17" s="18"/>
      <c r="U17" s="55">
        <v>6575.2</v>
      </c>
      <c r="W17" s="117">
        <v>6</v>
      </c>
      <c r="X17" s="115" t="str">
        <f>Inputs!$A$3</f>
        <v>DomesticPNT</v>
      </c>
      <c r="Y17" s="44" t="str">
        <f>Inputs!$B$3</f>
        <v>PNT</v>
      </c>
      <c r="Z17" s="44" t="s">
        <v>57</v>
      </c>
      <c r="AA17" s="44">
        <f t="shared" si="0"/>
        <v>2138.1999999999998</v>
      </c>
      <c r="AB17" s="53"/>
      <c r="AC17" s="119">
        <v>6</v>
      </c>
      <c r="AD17" s="115" t="str">
        <f>Inputs!$A$3</f>
        <v>DomesticPNT</v>
      </c>
      <c r="AE17" s="44" t="str">
        <f>Inputs!$B$3</f>
        <v>PNT</v>
      </c>
      <c r="AF17" s="44" t="s">
        <v>58</v>
      </c>
      <c r="AG17" s="44">
        <f t="shared" si="1"/>
        <v>4437</v>
      </c>
      <c r="AH17" s="53"/>
      <c r="AI17" s="44">
        <v>0</v>
      </c>
      <c r="AJ17" s="44">
        <v>0</v>
      </c>
      <c r="AK17" s="44">
        <f t="shared" si="26"/>
        <v>0</v>
      </c>
      <c r="AL17" s="53"/>
      <c r="AM17" s="44">
        <f t="shared" si="27"/>
        <v>0</v>
      </c>
      <c r="AN17" s="44">
        <f>AI17*Inputs!$F$3*Inputs!$G$3</f>
        <v>0</v>
      </c>
      <c r="AO17" s="44">
        <f>Inputs!$F$3*Inputs!$I$3*AJ17</f>
        <v>0</v>
      </c>
      <c r="AP17" s="55">
        <v>6575.2</v>
      </c>
      <c r="AR17" s="117">
        <v>6</v>
      </c>
      <c r="AS17" s="115" t="str">
        <f>Inputs!$A$3</f>
        <v>DomesticPNT</v>
      </c>
      <c r="AT17" s="44" t="str">
        <f>Inputs!$B$3</f>
        <v>PNT</v>
      </c>
      <c r="AU17" s="44" t="s">
        <v>57</v>
      </c>
      <c r="AV17" s="44">
        <f t="shared" si="10"/>
        <v>2138.1999999999998</v>
      </c>
      <c r="AW17" s="53"/>
      <c r="AX17" s="119">
        <v>6</v>
      </c>
      <c r="AY17" s="115" t="str">
        <f>Inputs!$A$3</f>
        <v>DomesticPNT</v>
      </c>
      <c r="AZ17" s="44" t="str">
        <f>Inputs!$B$3</f>
        <v>PNT</v>
      </c>
      <c r="BA17" s="44" t="s">
        <v>58</v>
      </c>
      <c r="BB17" s="44">
        <f t="shared" si="2"/>
        <v>4437</v>
      </c>
      <c r="BC17" s="53"/>
      <c r="BD17" s="44">
        <v>0</v>
      </c>
      <c r="BE17" s="44">
        <v>0</v>
      </c>
      <c r="BF17" s="44">
        <f t="shared" si="28"/>
        <v>0</v>
      </c>
      <c r="BG17" s="53"/>
      <c r="BH17" s="44">
        <f t="shared" si="29"/>
        <v>0</v>
      </c>
      <c r="BI17" s="44">
        <f>BD17*Inputs!$F$3*Inputs!$G$3</f>
        <v>0</v>
      </c>
      <c r="BJ17" s="44">
        <f>Inputs!$F$3*Inputs!$I$3*BE17</f>
        <v>0</v>
      </c>
      <c r="BK17" s="55">
        <v>6575.2</v>
      </c>
      <c r="BM17" s="117">
        <v>6</v>
      </c>
      <c r="BN17" s="115" t="str">
        <f>Inputs!$A$3</f>
        <v>DomesticPNT</v>
      </c>
      <c r="BO17" s="44" t="str">
        <f>Inputs!$B$3</f>
        <v>PNT</v>
      </c>
      <c r="BP17" s="44" t="s">
        <v>57</v>
      </c>
      <c r="BQ17" s="44">
        <f t="shared" si="3"/>
        <v>2138.1999999999998</v>
      </c>
      <c r="BR17" s="53"/>
      <c r="BS17" s="119">
        <v>6</v>
      </c>
      <c r="BT17" s="115" t="str">
        <f>Inputs!$A$3</f>
        <v>DomesticPNT</v>
      </c>
      <c r="BU17" s="44" t="str">
        <f>Inputs!$B$3</f>
        <v>PNT</v>
      </c>
      <c r="BV17" s="44" t="s">
        <v>58</v>
      </c>
      <c r="BW17" s="44">
        <f t="shared" si="4"/>
        <v>4437</v>
      </c>
      <c r="BX17" s="53"/>
      <c r="BY17" s="44">
        <v>0</v>
      </c>
      <c r="BZ17" s="44">
        <v>0</v>
      </c>
      <c r="CA17" s="44">
        <f t="shared" si="30"/>
        <v>0</v>
      </c>
      <c r="CB17" s="53"/>
      <c r="CC17" s="44">
        <f t="shared" si="31"/>
        <v>0</v>
      </c>
      <c r="CD17" s="44">
        <f>BY17*Inputs!$F$3*Inputs!$G$3</f>
        <v>0</v>
      </c>
      <c r="CE17" s="44">
        <f>Inputs!$F$3*Inputs!$I$3*BZ17</f>
        <v>0</v>
      </c>
      <c r="CF17" s="55">
        <v>6575.2</v>
      </c>
      <c r="CG17" s="41"/>
      <c r="CH17" s="41"/>
      <c r="CI17" s="41"/>
      <c r="CJ17" s="41"/>
      <c r="CK17" s="41"/>
      <c r="CL17" s="41"/>
      <c r="CM17" s="41"/>
      <c r="CN17" s="13" t="str">
        <f>Inputs!A14</f>
        <v>M4330501</v>
      </c>
      <c r="CO17" s="13">
        <f>IF(Inputs!D14="Yes",999999,0)</f>
        <v>999999</v>
      </c>
      <c r="CP17" s="41">
        <f t="shared" si="16"/>
        <v>0</v>
      </c>
      <c r="CQ17" s="41">
        <f>IF(Inputs!E14="Yes",999999,0)</f>
        <v>999999</v>
      </c>
      <c r="CR17" s="41">
        <f t="shared" si="17"/>
        <v>167.900003</v>
      </c>
      <c r="CS17" s="41"/>
      <c r="CT17" s="73"/>
      <c r="CU17" s="73"/>
      <c r="CV17" s="73"/>
      <c r="CW17" s="73"/>
      <c r="CX17" s="73"/>
      <c r="CY17" s="73"/>
      <c r="CZ17" s="6"/>
      <c r="DC17" s="6"/>
      <c r="DD17" s="6"/>
      <c r="DE17" s="6"/>
      <c r="DF17" s="6"/>
      <c r="DH17" s="6"/>
      <c r="DI17" s="6"/>
      <c r="DJ17" s="6"/>
      <c r="DK17" s="6"/>
      <c r="DL17" s="6"/>
      <c r="DN17" s="6"/>
      <c r="DO17" s="36" t="str">
        <f t="shared" si="22"/>
        <v>M4330501</v>
      </c>
      <c r="DP17" s="34">
        <f t="shared" si="5"/>
        <v>167.900003</v>
      </c>
      <c r="DQ17" s="35">
        <f t="shared" si="23"/>
        <v>167.89999999999998</v>
      </c>
      <c r="DS17" s="28" t="str">
        <f>Inputs!A14</f>
        <v>M4330501</v>
      </c>
      <c r="DT17" s="26">
        <f>Inputs!C14</f>
        <v>167.89999999999998</v>
      </c>
      <c r="DU17" s="24"/>
    </row>
    <row r="18" spans="1:125" x14ac:dyDescent="0.25">
      <c r="A18" s="117">
        <v>7</v>
      </c>
      <c r="B18" s="115" t="str">
        <f>Inputs!$A$3</f>
        <v>DomesticPNT</v>
      </c>
      <c r="C18" s="44" t="str">
        <f>Inputs!$B$3</f>
        <v>PNT</v>
      </c>
      <c r="D18" s="44" t="s">
        <v>57</v>
      </c>
      <c r="E18" s="44">
        <v>2093.8667</v>
      </c>
      <c r="F18" s="53"/>
      <c r="G18" s="119">
        <v>7</v>
      </c>
      <c r="H18" s="115" t="str">
        <f>Inputs!$A$3</f>
        <v>DomesticPNT</v>
      </c>
      <c r="I18" s="44" t="str">
        <f>Inputs!$B$3</f>
        <v>PNT</v>
      </c>
      <c r="J18" s="44" t="s">
        <v>58</v>
      </c>
      <c r="K18" s="44">
        <v>4674.1333000000004</v>
      </c>
      <c r="L18" s="53"/>
      <c r="M18" s="44">
        <v>0</v>
      </c>
      <c r="N18" s="44">
        <v>0</v>
      </c>
      <c r="O18" s="44">
        <f t="shared" si="24"/>
        <v>0</v>
      </c>
      <c r="P18" s="53"/>
      <c r="Q18" s="44">
        <f t="shared" si="25"/>
        <v>0</v>
      </c>
      <c r="R18" s="44">
        <f>M18*Inputs!$F$3*Inputs!$G$3</f>
        <v>0</v>
      </c>
      <c r="S18" s="44">
        <f>Inputs!$F$3*Inputs!$I$3*N18</f>
        <v>0</v>
      </c>
      <c r="T18" s="18"/>
      <c r="U18" s="55">
        <v>6768</v>
      </c>
      <c r="W18" s="117">
        <v>7</v>
      </c>
      <c r="X18" s="115" t="str">
        <f>Inputs!$A$3</f>
        <v>DomesticPNT</v>
      </c>
      <c r="Y18" s="44" t="str">
        <f>Inputs!$B$3</f>
        <v>PNT</v>
      </c>
      <c r="Z18" s="44" t="s">
        <v>57</v>
      </c>
      <c r="AA18" s="44">
        <f t="shared" si="0"/>
        <v>2093.8667</v>
      </c>
      <c r="AB18" s="53"/>
      <c r="AC18" s="119">
        <v>7</v>
      </c>
      <c r="AD18" s="115" t="str">
        <f>Inputs!$A$3</f>
        <v>DomesticPNT</v>
      </c>
      <c r="AE18" s="44" t="str">
        <f>Inputs!$B$3</f>
        <v>PNT</v>
      </c>
      <c r="AF18" s="44" t="s">
        <v>58</v>
      </c>
      <c r="AG18" s="44">
        <f t="shared" si="1"/>
        <v>4674.1333000000004</v>
      </c>
      <c r="AH18" s="53"/>
      <c r="AI18" s="44">
        <v>0</v>
      </c>
      <c r="AJ18" s="44">
        <v>0</v>
      </c>
      <c r="AK18" s="44">
        <f t="shared" si="26"/>
        <v>0</v>
      </c>
      <c r="AL18" s="53"/>
      <c r="AM18" s="44">
        <f t="shared" si="27"/>
        <v>0</v>
      </c>
      <c r="AN18" s="44">
        <f>AI18*Inputs!$F$3*Inputs!$G$3</f>
        <v>0</v>
      </c>
      <c r="AO18" s="44">
        <f>Inputs!$F$3*Inputs!$I$3*AJ18</f>
        <v>0</v>
      </c>
      <c r="AP18" s="55">
        <v>6768</v>
      </c>
      <c r="AR18" s="117">
        <v>7</v>
      </c>
      <c r="AS18" s="115" t="str">
        <f>Inputs!$A$3</f>
        <v>DomesticPNT</v>
      </c>
      <c r="AT18" s="44" t="str">
        <f>Inputs!$B$3</f>
        <v>PNT</v>
      </c>
      <c r="AU18" s="44" t="s">
        <v>57</v>
      </c>
      <c r="AV18" s="44">
        <f t="shared" si="10"/>
        <v>2093.8667</v>
      </c>
      <c r="AW18" s="53"/>
      <c r="AX18" s="119">
        <v>7</v>
      </c>
      <c r="AY18" s="115" t="str">
        <f>Inputs!$A$3</f>
        <v>DomesticPNT</v>
      </c>
      <c r="AZ18" s="44" t="str">
        <f>Inputs!$B$3</f>
        <v>PNT</v>
      </c>
      <c r="BA18" s="44" t="s">
        <v>58</v>
      </c>
      <c r="BB18" s="44">
        <f t="shared" si="2"/>
        <v>4674.1333000000004</v>
      </c>
      <c r="BC18" s="53"/>
      <c r="BD18" s="44">
        <v>0</v>
      </c>
      <c r="BE18" s="44">
        <v>0</v>
      </c>
      <c r="BF18" s="44">
        <f t="shared" si="28"/>
        <v>0</v>
      </c>
      <c r="BG18" s="53"/>
      <c r="BH18" s="44">
        <f t="shared" si="29"/>
        <v>0</v>
      </c>
      <c r="BI18" s="44">
        <f>BD18*Inputs!$F$3*Inputs!$G$3</f>
        <v>0</v>
      </c>
      <c r="BJ18" s="44">
        <f>Inputs!$F$3*Inputs!$I$3*BE18</f>
        <v>0</v>
      </c>
      <c r="BK18" s="55">
        <v>6768</v>
      </c>
      <c r="BM18" s="117">
        <v>7</v>
      </c>
      <c r="BN18" s="115" t="str">
        <f>Inputs!$A$3</f>
        <v>DomesticPNT</v>
      </c>
      <c r="BO18" s="44" t="str">
        <f>Inputs!$B$3</f>
        <v>PNT</v>
      </c>
      <c r="BP18" s="44" t="s">
        <v>57</v>
      </c>
      <c r="BQ18" s="44">
        <f t="shared" si="3"/>
        <v>2093.8667</v>
      </c>
      <c r="BR18" s="53"/>
      <c r="BS18" s="119">
        <v>7</v>
      </c>
      <c r="BT18" s="115" t="str">
        <f>Inputs!$A$3</f>
        <v>DomesticPNT</v>
      </c>
      <c r="BU18" s="44" t="str">
        <f>Inputs!$B$3</f>
        <v>PNT</v>
      </c>
      <c r="BV18" s="44" t="s">
        <v>58</v>
      </c>
      <c r="BW18" s="44">
        <f t="shared" si="4"/>
        <v>4674.1333000000004</v>
      </c>
      <c r="BX18" s="53"/>
      <c r="BY18" s="44">
        <v>0</v>
      </c>
      <c r="BZ18" s="44">
        <v>0</v>
      </c>
      <c r="CA18" s="44">
        <f t="shared" si="30"/>
        <v>0</v>
      </c>
      <c r="CB18" s="53"/>
      <c r="CC18" s="44">
        <f t="shared" si="31"/>
        <v>0</v>
      </c>
      <c r="CD18" s="44">
        <f>BY18*Inputs!$F$3*Inputs!$G$3</f>
        <v>0</v>
      </c>
      <c r="CE18" s="44">
        <f>Inputs!$F$3*Inputs!$I$3*BZ18</f>
        <v>0</v>
      </c>
      <c r="CF18" s="55">
        <v>6768</v>
      </c>
      <c r="CG18" s="41"/>
      <c r="CH18" s="41"/>
      <c r="CI18" s="41"/>
      <c r="CJ18" s="41"/>
      <c r="CK18" s="41"/>
      <c r="CL18" s="41"/>
      <c r="CM18" s="41"/>
      <c r="CN18" s="13" t="str">
        <f>Inputs!A15</f>
        <v>M4468800</v>
      </c>
      <c r="CO18" s="13">
        <f>IF(Inputs!D15="Yes",999999,0)</f>
        <v>999999</v>
      </c>
      <c r="CP18" s="41">
        <f t="shared" si="16"/>
        <v>0</v>
      </c>
      <c r="CQ18" s="41">
        <f>IF(Inputs!E15="Yes",999999,0)</f>
        <v>999999</v>
      </c>
      <c r="CR18" s="41">
        <f t="shared" si="17"/>
        <v>493.50000000000006</v>
      </c>
      <c r="CS18" s="41"/>
      <c r="CT18" s="73"/>
      <c r="CV18" s="73"/>
      <c r="CW18" s="73"/>
      <c r="CX18" s="73"/>
      <c r="CY18" s="73"/>
      <c r="CZ18" s="6"/>
      <c r="DC18" s="6"/>
      <c r="DD18" s="6"/>
      <c r="DE18" s="6"/>
      <c r="DF18" s="6"/>
      <c r="DH18" s="6"/>
      <c r="DI18" s="6"/>
      <c r="DJ18" s="6"/>
      <c r="DK18" s="6"/>
      <c r="DL18" s="6"/>
      <c r="DN18" s="6"/>
      <c r="DO18" s="36" t="str">
        <f t="shared" si="22"/>
        <v>M4468800</v>
      </c>
      <c r="DP18" s="34">
        <f t="shared" si="5"/>
        <v>493.50000000000006</v>
      </c>
      <c r="DQ18" s="35">
        <f t="shared" si="23"/>
        <v>493.5</v>
      </c>
      <c r="DS18" s="28" t="str">
        <f>Inputs!A15</f>
        <v>M4468800</v>
      </c>
      <c r="DT18" s="26">
        <f>Inputs!C15</f>
        <v>493.5</v>
      </c>
      <c r="DU18" s="24"/>
    </row>
    <row r="19" spans="1:125" x14ac:dyDescent="0.25">
      <c r="A19" s="117">
        <v>8</v>
      </c>
      <c r="B19" s="115" t="str">
        <f>Inputs!$A$3</f>
        <v>DomesticPNT</v>
      </c>
      <c r="C19" s="44" t="str">
        <f>Inputs!$B$3</f>
        <v>PNT</v>
      </c>
      <c r="D19" s="44" t="s">
        <v>57</v>
      </c>
      <c r="E19" s="44">
        <v>2954.8984999999998</v>
      </c>
      <c r="F19" s="53"/>
      <c r="G19" s="119">
        <v>8</v>
      </c>
      <c r="H19" s="115" t="str">
        <f>Inputs!$A$3</f>
        <v>DomesticPNT</v>
      </c>
      <c r="I19" s="44" t="str">
        <f>Inputs!$B$3</f>
        <v>PNT</v>
      </c>
      <c r="J19" s="44" t="s">
        <v>58</v>
      </c>
      <c r="K19" s="44">
        <v>4960</v>
      </c>
      <c r="L19" s="53"/>
      <c r="M19" s="44">
        <v>167.89855</v>
      </c>
      <c r="N19" s="44">
        <v>0</v>
      </c>
      <c r="O19" s="44">
        <f t="shared" si="24"/>
        <v>-167.89849999999933</v>
      </c>
      <c r="P19" s="53"/>
      <c r="Q19" s="44">
        <f t="shared" si="25"/>
        <v>-5.0000000669569999E-5</v>
      </c>
      <c r="R19" s="44">
        <f>M19*Inputs!$F$3*Inputs!$G$3</f>
        <v>368338.52536680002</v>
      </c>
      <c r="S19" s="44">
        <f>Inputs!$F$3*Inputs!$I$3*N19</f>
        <v>0</v>
      </c>
      <c r="T19" s="18"/>
      <c r="U19" s="55">
        <v>7747</v>
      </c>
      <c r="W19" s="117">
        <v>8</v>
      </c>
      <c r="X19" s="115" t="str">
        <f>Inputs!$A$3</f>
        <v>DomesticPNT</v>
      </c>
      <c r="Y19" s="44" t="str">
        <f>Inputs!$B$3</f>
        <v>PNT</v>
      </c>
      <c r="Z19" s="44" t="s">
        <v>57</v>
      </c>
      <c r="AA19" s="44">
        <f t="shared" si="0"/>
        <v>2954.8984999999998</v>
      </c>
      <c r="AB19" s="53"/>
      <c r="AC19" s="119">
        <v>8</v>
      </c>
      <c r="AD19" s="115" t="str">
        <f>Inputs!$A$3</f>
        <v>DomesticPNT</v>
      </c>
      <c r="AE19" s="44" t="str">
        <f>Inputs!$B$3</f>
        <v>PNT</v>
      </c>
      <c r="AF19" s="44" t="s">
        <v>58</v>
      </c>
      <c r="AG19" s="44">
        <f t="shared" si="1"/>
        <v>4960</v>
      </c>
      <c r="AH19" s="53"/>
      <c r="AI19" s="44">
        <v>167.89855</v>
      </c>
      <c r="AJ19" s="44">
        <v>0</v>
      </c>
      <c r="AK19" s="44">
        <f t="shared" si="26"/>
        <v>-167.89849999999933</v>
      </c>
      <c r="AL19" s="53"/>
      <c r="AM19" s="44">
        <f t="shared" si="27"/>
        <v>-5.0000000669569999E-5</v>
      </c>
      <c r="AN19" s="44">
        <f>AI19*Inputs!$F$3*Inputs!$G$3</f>
        <v>368338.52536680002</v>
      </c>
      <c r="AO19" s="44">
        <f>Inputs!$F$3*Inputs!$I$3*AJ19</f>
        <v>0</v>
      </c>
      <c r="AP19" s="55">
        <v>7747</v>
      </c>
      <c r="AR19" s="117">
        <v>8</v>
      </c>
      <c r="AS19" s="115" t="str">
        <f>Inputs!$A$3</f>
        <v>DomesticPNT</v>
      </c>
      <c r="AT19" s="44" t="str">
        <f>Inputs!$B$3</f>
        <v>PNT</v>
      </c>
      <c r="AU19" s="44" t="s">
        <v>57</v>
      </c>
      <c r="AV19" s="44">
        <f t="shared" si="10"/>
        <v>2954.8984999999998</v>
      </c>
      <c r="AW19" s="53"/>
      <c r="AX19" s="119">
        <v>8</v>
      </c>
      <c r="AY19" s="115" t="str">
        <f>Inputs!$A$3</f>
        <v>DomesticPNT</v>
      </c>
      <c r="AZ19" s="44" t="str">
        <f>Inputs!$B$3</f>
        <v>PNT</v>
      </c>
      <c r="BA19" s="44" t="s">
        <v>58</v>
      </c>
      <c r="BB19" s="44">
        <f t="shared" si="2"/>
        <v>4960</v>
      </c>
      <c r="BC19" s="53"/>
      <c r="BD19" s="44">
        <v>167.89855</v>
      </c>
      <c r="BE19" s="44">
        <v>0</v>
      </c>
      <c r="BF19" s="44">
        <f t="shared" si="28"/>
        <v>-167.89849999999933</v>
      </c>
      <c r="BG19" s="53"/>
      <c r="BH19" s="44">
        <f t="shared" si="29"/>
        <v>-5.0000000669569999E-5</v>
      </c>
      <c r="BI19" s="44">
        <f>BD19*Inputs!$F$3*Inputs!$G$3</f>
        <v>368338.52536680002</v>
      </c>
      <c r="BJ19" s="44">
        <f>Inputs!$F$3*Inputs!$I$3*BE19</f>
        <v>0</v>
      </c>
      <c r="BK19" s="55">
        <v>7747</v>
      </c>
      <c r="BM19" s="117">
        <v>8</v>
      </c>
      <c r="BN19" s="115" t="str">
        <f>Inputs!$A$3</f>
        <v>DomesticPNT</v>
      </c>
      <c r="BO19" s="44" t="str">
        <f>Inputs!$B$3</f>
        <v>PNT</v>
      </c>
      <c r="BP19" s="44" t="s">
        <v>57</v>
      </c>
      <c r="BQ19" s="44">
        <f t="shared" si="3"/>
        <v>2954.8984999999998</v>
      </c>
      <c r="BR19" s="53"/>
      <c r="BS19" s="119">
        <v>8</v>
      </c>
      <c r="BT19" s="115" t="str">
        <f>Inputs!$A$3</f>
        <v>DomesticPNT</v>
      </c>
      <c r="BU19" s="44" t="str">
        <f>Inputs!$B$3</f>
        <v>PNT</v>
      </c>
      <c r="BV19" s="44" t="s">
        <v>58</v>
      </c>
      <c r="BW19" s="44">
        <f t="shared" si="4"/>
        <v>4960</v>
      </c>
      <c r="BX19" s="53"/>
      <c r="BY19" s="44">
        <v>167.89855</v>
      </c>
      <c r="BZ19" s="44">
        <v>0</v>
      </c>
      <c r="CA19" s="44">
        <f t="shared" si="30"/>
        <v>-167.89849999999933</v>
      </c>
      <c r="CB19" s="53"/>
      <c r="CC19" s="44">
        <f t="shared" si="31"/>
        <v>-5.0000000669569999E-5</v>
      </c>
      <c r="CD19" s="44">
        <f>BY19*Inputs!$F$3*Inputs!$G$3</f>
        <v>368338.52536680002</v>
      </c>
      <c r="CE19" s="44">
        <f>Inputs!$F$3*Inputs!$I$3*BZ19</f>
        <v>0</v>
      </c>
      <c r="CF19" s="55">
        <v>7747</v>
      </c>
      <c r="CG19" s="41"/>
      <c r="CH19" s="41"/>
      <c r="CI19" s="41"/>
      <c r="CJ19" s="41"/>
      <c r="CK19" s="41"/>
      <c r="CL19" s="41"/>
      <c r="CM19" s="41"/>
      <c r="CN19" s="13" t="str">
        <f>Inputs!A16</f>
        <v>M4581200</v>
      </c>
      <c r="CO19" s="13">
        <f>IF(Inputs!D16="Yes",999999,0)</f>
        <v>999999</v>
      </c>
      <c r="CP19" s="41">
        <f t="shared" si="16"/>
        <v>45.866667</v>
      </c>
      <c r="CQ19" s="41">
        <f>IF(Inputs!E16="Yes",999999,0)</f>
        <v>999999</v>
      </c>
      <c r="CR19" s="41">
        <f t="shared" si="17"/>
        <v>91.733333599999995</v>
      </c>
      <c r="CS19" s="41"/>
      <c r="CT19" s="73"/>
      <c r="CV19" s="73"/>
      <c r="CW19" s="73"/>
      <c r="CX19" s="73"/>
      <c r="CY19" s="73"/>
      <c r="CZ19" s="6"/>
      <c r="DC19" s="6"/>
      <c r="DD19" s="6"/>
      <c r="DE19" s="6"/>
      <c r="DF19" s="6"/>
      <c r="DH19" s="6"/>
      <c r="DI19" s="6"/>
      <c r="DJ19" s="6"/>
      <c r="DK19" s="6"/>
      <c r="DL19" s="6"/>
      <c r="DN19" s="6"/>
      <c r="DO19" s="36" t="str">
        <f t="shared" si="22"/>
        <v>M4581200</v>
      </c>
      <c r="DP19" s="34">
        <f t="shared" si="5"/>
        <v>137.60000059999999</v>
      </c>
      <c r="DQ19" s="35">
        <f t="shared" si="23"/>
        <v>137.6</v>
      </c>
      <c r="DS19" s="28" t="str">
        <f>Inputs!A16</f>
        <v>M4581200</v>
      </c>
      <c r="DT19" s="26">
        <f>Inputs!C16</f>
        <v>137.6</v>
      </c>
      <c r="DU19" s="24"/>
    </row>
    <row r="20" spans="1:125" x14ac:dyDescent="0.25">
      <c r="A20" s="117">
        <v>9</v>
      </c>
      <c r="B20" s="115" t="str">
        <f>Inputs!$A$3</f>
        <v>DomesticPNT</v>
      </c>
      <c r="C20" s="44" t="str">
        <f>Inputs!$B$3</f>
        <v>PNT</v>
      </c>
      <c r="D20" s="44" t="s">
        <v>57</v>
      </c>
      <c r="E20" s="44">
        <v>2751.2905999999998</v>
      </c>
      <c r="F20" s="53"/>
      <c r="G20" s="119">
        <v>9</v>
      </c>
      <c r="H20" s="115" t="str">
        <f>Inputs!$A$3</f>
        <v>DomesticPNT</v>
      </c>
      <c r="I20" s="44" t="str">
        <f>Inputs!$B$3</f>
        <v>PNT</v>
      </c>
      <c r="J20" s="44" t="s">
        <v>58</v>
      </c>
      <c r="K20" s="44">
        <v>4640</v>
      </c>
      <c r="L20" s="53"/>
      <c r="M20" s="44">
        <v>129.78916000000001</v>
      </c>
      <c r="N20" s="44">
        <v>0</v>
      </c>
      <c r="O20" s="44">
        <f t="shared" si="24"/>
        <v>-129.78915000000052</v>
      </c>
      <c r="P20" s="53"/>
      <c r="Q20" s="44">
        <f t="shared" si="25"/>
        <v>-9.999999377896529E-6</v>
      </c>
      <c r="R20" s="44">
        <f>M20*Inputs!$F$3*Inputs!$G$3</f>
        <v>284733.53583456005</v>
      </c>
      <c r="S20" s="44">
        <f>Inputs!$F$3*Inputs!$I$3*N20</f>
        <v>0</v>
      </c>
      <c r="T20" s="18"/>
      <c r="U20" s="55">
        <v>7429.4</v>
      </c>
      <c r="W20" s="117">
        <v>9</v>
      </c>
      <c r="X20" s="115" t="str">
        <f>Inputs!$A$3</f>
        <v>DomesticPNT</v>
      </c>
      <c r="Y20" s="44" t="str">
        <f>Inputs!$B$3</f>
        <v>PNT</v>
      </c>
      <c r="Z20" s="44" t="s">
        <v>57</v>
      </c>
      <c r="AA20" s="44">
        <f t="shared" si="0"/>
        <v>2751.2905999999998</v>
      </c>
      <c r="AB20" s="53"/>
      <c r="AC20" s="119">
        <v>9</v>
      </c>
      <c r="AD20" s="115" t="str">
        <f>Inputs!$A$3</f>
        <v>DomesticPNT</v>
      </c>
      <c r="AE20" s="44" t="str">
        <f>Inputs!$B$3</f>
        <v>PNT</v>
      </c>
      <c r="AF20" s="44" t="s">
        <v>58</v>
      </c>
      <c r="AG20" s="44">
        <f t="shared" si="1"/>
        <v>4640</v>
      </c>
      <c r="AH20" s="53"/>
      <c r="AI20" s="44">
        <v>129.78916000000001</v>
      </c>
      <c r="AJ20" s="44">
        <v>0</v>
      </c>
      <c r="AK20" s="44">
        <f t="shared" si="26"/>
        <v>-129.78915000000052</v>
      </c>
      <c r="AL20" s="53"/>
      <c r="AM20" s="44">
        <f t="shared" si="27"/>
        <v>-9.999999377896529E-6</v>
      </c>
      <c r="AN20" s="44">
        <f>AI20*Inputs!$F$3*Inputs!$G$3</f>
        <v>284733.53583456005</v>
      </c>
      <c r="AO20" s="44">
        <f>Inputs!$F$3*Inputs!$I$3*AJ20</f>
        <v>0</v>
      </c>
      <c r="AP20" s="55">
        <v>7429.4</v>
      </c>
      <c r="AR20" s="117">
        <v>9</v>
      </c>
      <c r="AS20" s="115" t="str">
        <f>Inputs!$A$3</f>
        <v>DomesticPNT</v>
      </c>
      <c r="AT20" s="44" t="str">
        <f>Inputs!$B$3</f>
        <v>PNT</v>
      </c>
      <c r="AU20" s="44" t="s">
        <v>57</v>
      </c>
      <c r="AV20" s="44">
        <f t="shared" si="10"/>
        <v>2751.2905999999998</v>
      </c>
      <c r="AW20" s="53"/>
      <c r="AX20" s="119">
        <v>9</v>
      </c>
      <c r="AY20" s="115" t="str">
        <f>Inputs!$A$3</f>
        <v>DomesticPNT</v>
      </c>
      <c r="AZ20" s="44" t="str">
        <f>Inputs!$B$3</f>
        <v>PNT</v>
      </c>
      <c r="BA20" s="44" t="s">
        <v>58</v>
      </c>
      <c r="BB20" s="44">
        <f t="shared" si="2"/>
        <v>4640</v>
      </c>
      <c r="BC20" s="53"/>
      <c r="BD20" s="44">
        <v>129.78916000000001</v>
      </c>
      <c r="BE20" s="44">
        <v>0</v>
      </c>
      <c r="BF20" s="44">
        <f t="shared" si="28"/>
        <v>-129.78915000000052</v>
      </c>
      <c r="BG20" s="53"/>
      <c r="BH20" s="44">
        <f t="shared" si="29"/>
        <v>-9.999999377896529E-6</v>
      </c>
      <c r="BI20" s="44">
        <f>BD20*Inputs!$F$3*Inputs!$G$3</f>
        <v>284733.53583456005</v>
      </c>
      <c r="BJ20" s="44">
        <f>Inputs!$F$3*Inputs!$I$3*BE20</f>
        <v>0</v>
      </c>
      <c r="BK20" s="55">
        <v>7429.4</v>
      </c>
      <c r="BM20" s="117">
        <v>9</v>
      </c>
      <c r="BN20" s="115" t="str">
        <f>Inputs!$A$3</f>
        <v>DomesticPNT</v>
      </c>
      <c r="BO20" s="44" t="str">
        <f>Inputs!$B$3</f>
        <v>PNT</v>
      </c>
      <c r="BP20" s="44" t="s">
        <v>57</v>
      </c>
      <c r="BQ20" s="44">
        <f t="shared" si="3"/>
        <v>2751.2905999999998</v>
      </c>
      <c r="BR20" s="53"/>
      <c r="BS20" s="119">
        <v>9</v>
      </c>
      <c r="BT20" s="115" t="str">
        <f>Inputs!$A$3</f>
        <v>DomesticPNT</v>
      </c>
      <c r="BU20" s="44" t="str">
        <f>Inputs!$B$3</f>
        <v>PNT</v>
      </c>
      <c r="BV20" s="44" t="s">
        <v>58</v>
      </c>
      <c r="BW20" s="44">
        <f t="shared" si="4"/>
        <v>4640</v>
      </c>
      <c r="BX20" s="53"/>
      <c r="BY20" s="44">
        <v>129.78916000000001</v>
      </c>
      <c r="BZ20" s="44">
        <v>0</v>
      </c>
      <c r="CA20" s="44">
        <f t="shared" si="30"/>
        <v>-129.78915000000052</v>
      </c>
      <c r="CB20" s="53"/>
      <c r="CC20" s="44">
        <f t="shared" si="31"/>
        <v>-9.999999377896529E-6</v>
      </c>
      <c r="CD20" s="44">
        <f>BY20*Inputs!$F$3*Inputs!$G$3</f>
        <v>284733.53583456005</v>
      </c>
      <c r="CE20" s="44">
        <f>Inputs!$F$3*Inputs!$I$3*BZ20</f>
        <v>0</v>
      </c>
      <c r="CF20" s="55">
        <v>7429.4</v>
      </c>
      <c r="CG20" s="41"/>
      <c r="CH20" s="41"/>
      <c r="CI20" s="41"/>
      <c r="CJ20" s="41"/>
      <c r="CK20" s="41"/>
      <c r="CL20" s="41"/>
      <c r="CM20" s="41"/>
      <c r="CN20" s="13">
        <f>Inputs!A17</f>
        <v>0</v>
      </c>
      <c r="CO20" s="13">
        <f>IF(Inputs!D17="Yes",999999,0)</f>
        <v>0</v>
      </c>
      <c r="CP20" s="41">
        <f t="shared" si="16"/>
        <v>0</v>
      </c>
      <c r="CQ20" s="41">
        <f>IF(Inputs!E17="Yes",999999,0)</f>
        <v>0</v>
      </c>
      <c r="CR20" s="41">
        <f t="shared" si="17"/>
        <v>0</v>
      </c>
      <c r="CS20" s="41"/>
      <c r="CT20" s="73"/>
      <c r="CV20" s="73"/>
      <c r="CW20" s="73"/>
      <c r="CX20" s="73"/>
      <c r="CY20" s="73"/>
      <c r="CZ20" s="6"/>
      <c r="DC20" s="6"/>
      <c r="DD20" s="6"/>
      <c r="DE20" s="6"/>
      <c r="DF20" s="6"/>
      <c r="DH20" s="6"/>
      <c r="DI20" s="6"/>
      <c r="DJ20" s="6"/>
      <c r="DK20" s="6"/>
      <c r="DL20" s="6"/>
      <c r="DN20" s="6"/>
      <c r="DO20" s="36">
        <f t="shared" si="22"/>
        <v>0</v>
      </c>
      <c r="DP20" s="34">
        <f t="shared" si="5"/>
        <v>0</v>
      </c>
      <c r="DQ20" s="35">
        <f t="shared" si="23"/>
        <v>0</v>
      </c>
      <c r="DS20" s="28">
        <f>Inputs!A17</f>
        <v>0</v>
      </c>
      <c r="DT20" s="26">
        <f>Inputs!C17</f>
        <v>0</v>
      </c>
      <c r="DU20" s="24"/>
    </row>
    <row r="21" spans="1:125" x14ac:dyDescent="0.25">
      <c r="A21" s="117">
        <v>10</v>
      </c>
      <c r="B21" s="115" t="str">
        <f>Inputs!$A$3</f>
        <v>DomesticPNT</v>
      </c>
      <c r="C21" s="44" t="str">
        <f>Inputs!$B$3</f>
        <v>PNT</v>
      </c>
      <c r="D21" s="44" t="s">
        <v>57</v>
      </c>
      <c r="E21" s="44">
        <v>2831.7107999999998</v>
      </c>
      <c r="F21" s="53"/>
      <c r="G21" s="119">
        <v>10</v>
      </c>
      <c r="H21" s="115" t="str">
        <f>Inputs!$A$3</f>
        <v>DomesticPNT</v>
      </c>
      <c r="I21" s="44" t="str">
        <f>Inputs!$B$3</f>
        <v>PNT</v>
      </c>
      <c r="J21" s="44" t="s">
        <v>58</v>
      </c>
      <c r="K21" s="44">
        <v>4400</v>
      </c>
      <c r="L21" s="53"/>
      <c r="M21" s="44">
        <v>58.8</v>
      </c>
      <c r="N21" s="44">
        <v>0</v>
      </c>
      <c r="O21" s="44">
        <f t="shared" si="24"/>
        <v>-58.799960000000283</v>
      </c>
      <c r="P21" s="53"/>
      <c r="Q21" s="44">
        <f t="shared" si="25"/>
        <v>-3.9999999970063982E-5</v>
      </c>
      <c r="R21" s="44">
        <f>M21*Inputs!$F$3*Inputs!$G$3</f>
        <v>128996.38079999998</v>
      </c>
      <c r="S21" s="44">
        <f>Inputs!$F$3*Inputs!$I$3*N21</f>
        <v>0</v>
      </c>
      <c r="T21" s="18"/>
      <c r="U21" s="91">
        <v>7302.7</v>
      </c>
      <c r="W21" s="117">
        <v>10</v>
      </c>
      <c r="X21" s="115" t="str">
        <f>Inputs!$A$3</f>
        <v>DomesticPNT</v>
      </c>
      <c r="Y21" s="44" t="str">
        <f>Inputs!$B$3</f>
        <v>PNT</v>
      </c>
      <c r="Z21" s="44" t="s">
        <v>57</v>
      </c>
      <c r="AA21" s="44">
        <f t="shared" si="0"/>
        <v>2831.7107999999998</v>
      </c>
      <c r="AB21" s="53"/>
      <c r="AC21" s="119">
        <v>10</v>
      </c>
      <c r="AD21" s="115" t="str">
        <f>Inputs!$A$3</f>
        <v>DomesticPNT</v>
      </c>
      <c r="AE21" s="44" t="str">
        <f>Inputs!$B$3</f>
        <v>PNT</v>
      </c>
      <c r="AF21" s="44" t="s">
        <v>58</v>
      </c>
      <c r="AG21" s="44">
        <f t="shared" si="1"/>
        <v>4400</v>
      </c>
      <c r="AH21" s="53"/>
      <c r="AI21" s="44">
        <v>58.8</v>
      </c>
      <c r="AJ21" s="44">
        <v>0</v>
      </c>
      <c r="AK21" s="44">
        <f t="shared" si="26"/>
        <v>-58.799960000000283</v>
      </c>
      <c r="AL21" s="53"/>
      <c r="AM21" s="44">
        <f t="shared" si="27"/>
        <v>-3.9999999970063982E-5</v>
      </c>
      <c r="AN21" s="44">
        <f>AI21*Inputs!$F$3*Inputs!$G$3</f>
        <v>128996.38079999998</v>
      </c>
      <c r="AO21" s="44">
        <f>Inputs!$F$3*Inputs!$I$3*AJ21</f>
        <v>0</v>
      </c>
      <c r="AP21" s="91">
        <v>7302.7</v>
      </c>
      <c r="AR21" s="117">
        <v>10</v>
      </c>
      <c r="AS21" s="115" t="str">
        <f>Inputs!$A$3</f>
        <v>DomesticPNT</v>
      </c>
      <c r="AT21" s="44" t="str">
        <f>Inputs!$B$3</f>
        <v>PNT</v>
      </c>
      <c r="AU21" s="44" t="s">
        <v>57</v>
      </c>
      <c r="AV21" s="44">
        <f t="shared" si="10"/>
        <v>2831.7107999999998</v>
      </c>
      <c r="AW21" s="53"/>
      <c r="AX21" s="119">
        <v>10</v>
      </c>
      <c r="AY21" s="115" t="str">
        <f>Inputs!$A$3</f>
        <v>DomesticPNT</v>
      </c>
      <c r="AZ21" s="44" t="str">
        <f>Inputs!$B$3</f>
        <v>PNT</v>
      </c>
      <c r="BA21" s="44" t="s">
        <v>58</v>
      </c>
      <c r="BB21" s="44">
        <f t="shared" si="2"/>
        <v>4400</v>
      </c>
      <c r="BC21" s="53"/>
      <c r="BD21" s="44">
        <v>58.8</v>
      </c>
      <c r="BE21" s="44">
        <v>0</v>
      </c>
      <c r="BF21" s="44">
        <f t="shared" si="28"/>
        <v>-58.799960000000283</v>
      </c>
      <c r="BG21" s="53"/>
      <c r="BH21" s="44">
        <f t="shared" si="29"/>
        <v>-3.9999999970063982E-5</v>
      </c>
      <c r="BI21" s="44">
        <f>BD21*Inputs!$F$3*Inputs!$G$3</f>
        <v>128996.38079999998</v>
      </c>
      <c r="BJ21" s="44">
        <f>Inputs!$F$3*Inputs!$I$3*BE21</f>
        <v>0</v>
      </c>
      <c r="BK21" s="91">
        <v>7302.7</v>
      </c>
      <c r="BM21" s="117">
        <v>10</v>
      </c>
      <c r="BN21" s="115" t="str">
        <f>Inputs!$A$3</f>
        <v>DomesticPNT</v>
      </c>
      <c r="BO21" s="44" t="str">
        <f>Inputs!$B$3</f>
        <v>PNT</v>
      </c>
      <c r="BP21" s="44" t="s">
        <v>57</v>
      </c>
      <c r="BQ21" s="44">
        <f t="shared" si="3"/>
        <v>2831.7107999999998</v>
      </c>
      <c r="BR21" s="53"/>
      <c r="BS21" s="119">
        <v>10</v>
      </c>
      <c r="BT21" s="115" t="str">
        <f>Inputs!$A$3</f>
        <v>DomesticPNT</v>
      </c>
      <c r="BU21" s="44" t="str">
        <f>Inputs!$B$3</f>
        <v>PNT</v>
      </c>
      <c r="BV21" s="44" t="s">
        <v>58</v>
      </c>
      <c r="BW21" s="44">
        <f t="shared" si="4"/>
        <v>4400</v>
      </c>
      <c r="BX21" s="53"/>
      <c r="BY21" s="44">
        <v>58.8</v>
      </c>
      <c r="BZ21" s="44">
        <v>0</v>
      </c>
      <c r="CA21" s="44">
        <f t="shared" si="30"/>
        <v>-58.799960000000283</v>
      </c>
      <c r="CB21" s="53"/>
      <c r="CC21" s="44">
        <f t="shared" si="31"/>
        <v>-3.9999999970063982E-5</v>
      </c>
      <c r="CD21" s="44">
        <f>BY21*Inputs!$F$3*Inputs!$G$3</f>
        <v>128996.38079999998</v>
      </c>
      <c r="CE21" s="44">
        <f>Inputs!$F$3*Inputs!$I$3*BZ21</f>
        <v>0</v>
      </c>
      <c r="CF21" s="91">
        <v>7302.7</v>
      </c>
      <c r="CG21" s="41"/>
      <c r="CH21" s="41"/>
      <c r="CI21" s="41"/>
      <c r="CJ21" s="41"/>
      <c r="CK21" s="41"/>
      <c r="CL21" s="41"/>
      <c r="CM21" s="41"/>
      <c r="CN21" s="13">
        <f>Inputs!A18</f>
        <v>0</v>
      </c>
      <c r="CO21" s="13">
        <f>IF(Inputs!D18="Yes",999999,0)</f>
        <v>0</v>
      </c>
      <c r="CP21" s="41">
        <f t="shared" si="16"/>
        <v>0</v>
      </c>
      <c r="CQ21" s="41">
        <f>IF(Inputs!E18="Yes",999999,0)</f>
        <v>0</v>
      </c>
      <c r="CR21" s="41">
        <f t="shared" si="17"/>
        <v>0</v>
      </c>
      <c r="CS21" s="41"/>
      <c r="CT21" s="73"/>
      <c r="CV21" s="73"/>
      <c r="CW21" s="73"/>
      <c r="CX21" s="73"/>
      <c r="CY21" s="73"/>
      <c r="CZ21" s="6"/>
      <c r="DC21" s="6"/>
      <c r="DD21" s="6"/>
      <c r="DE21" s="6"/>
      <c r="DF21" s="6"/>
      <c r="DH21" s="6"/>
      <c r="DI21" s="6"/>
      <c r="DJ21" s="6"/>
      <c r="DK21" s="6"/>
      <c r="DL21" s="6"/>
      <c r="DN21" s="6"/>
      <c r="DO21" s="36">
        <f t="shared" si="22"/>
        <v>0</v>
      </c>
      <c r="DP21" s="34">
        <f t="shared" si="5"/>
        <v>0</v>
      </c>
      <c r="DQ21" s="35">
        <f t="shared" si="23"/>
        <v>0</v>
      </c>
      <c r="DS21" s="28">
        <f>Inputs!A18</f>
        <v>0</v>
      </c>
      <c r="DT21" s="26">
        <f>Inputs!C18</f>
        <v>0</v>
      </c>
      <c r="DU21" s="24"/>
    </row>
    <row r="22" spans="1:125" x14ac:dyDescent="0.25">
      <c r="A22" s="117">
        <v>11</v>
      </c>
      <c r="B22" s="115" t="str">
        <f>Inputs!$A$3</f>
        <v>DomesticPNT</v>
      </c>
      <c r="C22" s="44" t="str">
        <f>Inputs!$B$3</f>
        <v>PNT</v>
      </c>
      <c r="D22" s="44" t="s">
        <v>57</v>
      </c>
      <c r="E22" s="44">
        <v>2200</v>
      </c>
      <c r="F22" s="53"/>
      <c r="G22" s="119">
        <v>11</v>
      </c>
      <c r="H22" s="115" t="str">
        <f>Inputs!$A$3</f>
        <v>DomesticPNT</v>
      </c>
      <c r="I22" s="44" t="str">
        <f>Inputs!$B$3</f>
        <v>PNT</v>
      </c>
      <c r="J22" s="44" t="s">
        <v>58</v>
      </c>
      <c r="K22" s="44">
        <v>4880</v>
      </c>
      <c r="L22" s="53"/>
      <c r="M22" s="44">
        <v>0</v>
      </c>
      <c r="N22" s="44">
        <v>0</v>
      </c>
      <c r="O22" s="44">
        <f t="shared" si="24"/>
        <v>0</v>
      </c>
      <c r="P22" s="53"/>
      <c r="Q22" s="44">
        <f t="shared" si="25"/>
        <v>-1.8474111129762605E-13</v>
      </c>
      <c r="R22" s="44">
        <f>M22*Inputs!$F$3*Inputs!$H$3</f>
        <v>0</v>
      </c>
      <c r="S22" s="44">
        <f>Inputs!$F$3*Inputs!$I$3*N22</f>
        <v>0</v>
      </c>
      <c r="T22" s="18"/>
      <c r="U22" s="56">
        <v>7138.8</v>
      </c>
      <c r="W22" s="117">
        <v>11</v>
      </c>
      <c r="X22" s="115" t="str">
        <f>Inputs!$A$3</f>
        <v>DomesticPNT</v>
      </c>
      <c r="Y22" s="44" t="str">
        <f>Inputs!$B$3</f>
        <v>PNT</v>
      </c>
      <c r="Z22" s="44" t="s">
        <v>57</v>
      </c>
      <c r="AA22" s="44">
        <f t="shared" si="0"/>
        <v>2200</v>
      </c>
      <c r="AB22" s="53"/>
      <c r="AC22" s="119">
        <v>11</v>
      </c>
      <c r="AD22" s="115" t="str">
        <f>Inputs!$A$3</f>
        <v>DomesticPNT</v>
      </c>
      <c r="AE22" s="44" t="str">
        <f>Inputs!$B$3</f>
        <v>PNT</v>
      </c>
      <c r="AF22" s="44" t="s">
        <v>58</v>
      </c>
      <c r="AG22" s="44">
        <f t="shared" si="1"/>
        <v>4880</v>
      </c>
      <c r="AH22" s="53"/>
      <c r="AI22" s="44">
        <v>0</v>
      </c>
      <c r="AJ22" s="44">
        <v>0</v>
      </c>
      <c r="AK22" s="44">
        <f t="shared" si="26"/>
        <v>0</v>
      </c>
      <c r="AL22" s="53"/>
      <c r="AM22" s="44">
        <f t="shared" si="27"/>
        <v>-1.8474111129762605E-13</v>
      </c>
      <c r="AN22" s="44">
        <f>AI22*Inputs!$F$3*Inputs!$H$3</f>
        <v>0</v>
      </c>
      <c r="AO22" s="44">
        <f>Inputs!$F$3*Inputs!$I$3*AJ22</f>
        <v>0</v>
      </c>
      <c r="AP22" s="56">
        <v>7138.8</v>
      </c>
      <c r="AR22" s="117">
        <v>11</v>
      </c>
      <c r="AS22" s="115" t="str">
        <f>Inputs!$A$3</f>
        <v>DomesticPNT</v>
      </c>
      <c r="AT22" s="44" t="str">
        <f>Inputs!$B$3</f>
        <v>PNT</v>
      </c>
      <c r="AU22" s="44" t="s">
        <v>57</v>
      </c>
      <c r="AV22" s="44">
        <f t="shared" si="10"/>
        <v>2200</v>
      </c>
      <c r="AW22" s="53"/>
      <c r="AX22" s="119">
        <v>11</v>
      </c>
      <c r="AY22" s="115" t="str">
        <f>Inputs!$A$3</f>
        <v>DomesticPNT</v>
      </c>
      <c r="AZ22" s="44" t="str">
        <f>Inputs!$B$3</f>
        <v>PNT</v>
      </c>
      <c r="BA22" s="44" t="s">
        <v>58</v>
      </c>
      <c r="BB22" s="44">
        <f t="shared" si="2"/>
        <v>4880</v>
      </c>
      <c r="BC22" s="53"/>
      <c r="BD22" s="44">
        <v>0</v>
      </c>
      <c r="BE22" s="44">
        <v>0</v>
      </c>
      <c r="BF22" s="44">
        <f t="shared" si="28"/>
        <v>0</v>
      </c>
      <c r="BG22" s="53"/>
      <c r="BH22" s="44">
        <f t="shared" si="29"/>
        <v>-1.8474111129762605E-13</v>
      </c>
      <c r="BI22" s="44">
        <f>BD22*Inputs!$F$3*Inputs!$H$3</f>
        <v>0</v>
      </c>
      <c r="BJ22" s="44">
        <f>Inputs!$F$3*Inputs!$I$3*BE22</f>
        <v>0</v>
      </c>
      <c r="BK22" s="56">
        <v>7138.8</v>
      </c>
      <c r="BM22" s="117">
        <v>11</v>
      </c>
      <c r="BN22" s="115" t="str">
        <f>Inputs!$A$3</f>
        <v>DomesticPNT</v>
      </c>
      <c r="BO22" s="44" t="str">
        <f>Inputs!$B$3</f>
        <v>PNT</v>
      </c>
      <c r="BP22" s="44" t="s">
        <v>57</v>
      </c>
      <c r="BQ22" s="44">
        <f t="shared" si="3"/>
        <v>2200</v>
      </c>
      <c r="BR22" s="53"/>
      <c r="BS22" s="119">
        <v>11</v>
      </c>
      <c r="BT22" s="115" t="str">
        <f>Inputs!$A$3</f>
        <v>DomesticPNT</v>
      </c>
      <c r="BU22" s="44" t="str">
        <f>Inputs!$B$3</f>
        <v>PNT</v>
      </c>
      <c r="BV22" s="44" t="s">
        <v>58</v>
      </c>
      <c r="BW22" s="44">
        <f t="shared" si="4"/>
        <v>4880</v>
      </c>
      <c r="BX22" s="53"/>
      <c r="BY22" s="44">
        <v>0</v>
      </c>
      <c r="BZ22" s="44">
        <v>0</v>
      </c>
      <c r="CA22" s="44">
        <f t="shared" si="30"/>
        <v>0</v>
      </c>
      <c r="CB22" s="53"/>
      <c r="CC22" s="44">
        <f t="shared" si="31"/>
        <v>-1.8474111129762605E-13</v>
      </c>
      <c r="CD22" s="44">
        <f>BY22*Inputs!$F$3*Inputs!$H$3</f>
        <v>0</v>
      </c>
      <c r="CE22" s="44">
        <f>Inputs!$F$3*Inputs!$I$3*BZ22</f>
        <v>0</v>
      </c>
      <c r="CF22" s="56">
        <v>7138.8</v>
      </c>
      <c r="CG22" s="41"/>
      <c r="CH22" s="41"/>
      <c r="CI22" s="41"/>
      <c r="CJ22" s="41"/>
      <c r="CK22" s="41"/>
      <c r="CL22" s="41"/>
      <c r="CM22" s="41"/>
      <c r="CN22" s="13">
        <f>Inputs!A19</f>
        <v>0</v>
      </c>
      <c r="CO22" s="13">
        <f>IF(Inputs!D19="Yes",999999,0)</f>
        <v>0</v>
      </c>
      <c r="CP22" s="41">
        <f t="shared" si="16"/>
        <v>0</v>
      </c>
      <c r="CQ22" s="41">
        <f>IF(Inputs!E19="Yes",999999,0)</f>
        <v>0</v>
      </c>
      <c r="CR22" s="41">
        <f t="shared" si="17"/>
        <v>0</v>
      </c>
      <c r="CS22" s="41"/>
      <c r="CT22" s="73"/>
      <c r="CV22" s="73"/>
      <c r="CW22" s="73"/>
      <c r="CX22" s="73"/>
      <c r="CY22" s="73"/>
      <c r="CZ22" s="6"/>
      <c r="DC22" s="6"/>
      <c r="DD22" s="6"/>
      <c r="DE22" s="6"/>
      <c r="DF22" s="6"/>
      <c r="DH22" s="6"/>
      <c r="DI22" s="6"/>
      <c r="DJ22" s="6"/>
      <c r="DK22" s="6"/>
      <c r="DL22" s="6"/>
      <c r="DN22" s="6"/>
      <c r="DO22" s="36">
        <f t="shared" si="22"/>
        <v>0</v>
      </c>
      <c r="DP22" s="34">
        <f t="shared" si="5"/>
        <v>0</v>
      </c>
      <c r="DQ22" s="35">
        <f t="shared" si="23"/>
        <v>0</v>
      </c>
      <c r="DS22" s="28">
        <f>Inputs!A19</f>
        <v>0</v>
      </c>
      <c r="DT22" s="26">
        <f>Inputs!C19</f>
        <v>0</v>
      </c>
      <c r="DU22" s="24"/>
    </row>
    <row r="23" spans="1:125" x14ac:dyDescent="0.25">
      <c r="A23" s="116">
        <v>3</v>
      </c>
      <c r="B23" s="114" t="str">
        <f>Inputs!$A$4</f>
        <v>M3135400</v>
      </c>
      <c r="C23" s="45" t="str">
        <f>Inputs!$B$4</f>
        <v>MC</v>
      </c>
      <c r="D23" s="45" t="s">
        <v>57</v>
      </c>
      <c r="E23" s="45">
        <v>0</v>
      </c>
      <c r="F23" s="53"/>
      <c r="G23" s="118">
        <v>3</v>
      </c>
      <c r="H23" s="114" t="str">
        <f>Inputs!$A$4</f>
        <v>M3135400</v>
      </c>
      <c r="I23" s="45" t="str">
        <f>Inputs!$B$4</f>
        <v>MC</v>
      </c>
      <c r="J23" s="45" t="s">
        <v>58</v>
      </c>
      <c r="K23" s="45">
        <v>0</v>
      </c>
      <c r="L23" s="53"/>
      <c r="M23" s="45">
        <v>0</v>
      </c>
      <c r="N23" s="45">
        <v>0</v>
      </c>
      <c r="O23" s="45">
        <f>U23-0-E23-K23</f>
        <v>0</v>
      </c>
      <c r="P23" s="53"/>
      <c r="Q23" s="45">
        <f>E23+K23+N23-U23+0-M23</f>
        <v>0</v>
      </c>
      <c r="R23" s="45">
        <f>M23*Inputs!$F$4*Inputs!$G$4</f>
        <v>0</v>
      </c>
      <c r="S23" s="45">
        <f>Inputs!$F$4*Inputs!$I$4*N23</f>
        <v>0</v>
      </c>
      <c r="T23" s="18"/>
      <c r="U23" s="54">
        <v>0</v>
      </c>
      <c r="W23" s="116">
        <v>3</v>
      </c>
      <c r="X23" s="114" t="str">
        <f>Inputs!$A$4</f>
        <v>M3135400</v>
      </c>
      <c r="Y23" s="45" t="str">
        <f>Inputs!$B$4</f>
        <v>MC</v>
      </c>
      <c r="Z23" s="45" t="s">
        <v>57</v>
      </c>
      <c r="AA23" s="45">
        <f t="shared" si="0"/>
        <v>0</v>
      </c>
      <c r="AB23" s="53"/>
      <c r="AC23" s="118">
        <v>3</v>
      </c>
      <c r="AD23" s="114" t="str">
        <f>Inputs!$A$4</f>
        <v>M3135400</v>
      </c>
      <c r="AE23" s="45" t="str">
        <f>Inputs!$B$4</f>
        <v>MC</v>
      </c>
      <c r="AF23" s="45" t="s">
        <v>58</v>
      </c>
      <c r="AG23" s="45">
        <f t="shared" si="1"/>
        <v>0</v>
      </c>
      <c r="AH23" s="53"/>
      <c r="AI23" s="45">
        <v>0</v>
      </c>
      <c r="AJ23" s="45">
        <v>0</v>
      </c>
      <c r="AK23" s="45">
        <f>AP23-0-AA23-AG23</f>
        <v>0</v>
      </c>
      <c r="AL23" s="53"/>
      <c r="AM23" s="45">
        <f>AA23+AG23+AJ23-AP23+0-AI23</f>
        <v>0</v>
      </c>
      <c r="AN23" s="45">
        <f>AI23*Inputs!$F$4*Inputs!$G$4</f>
        <v>0</v>
      </c>
      <c r="AO23" s="45">
        <f>Inputs!$F$4*Inputs!$I$4*AJ23</f>
        <v>0</v>
      </c>
      <c r="AP23" s="54">
        <v>0</v>
      </c>
      <c r="AR23" s="116">
        <v>3</v>
      </c>
      <c r="AS23" s="114" t="str">
        <f>Inputs!$A$4</f>
        <v>M3135400</v>
      </c>
      <c r="AT23" s="45" t="str">
        <f>Inputs!$B$4</f>
        <v>MC</v>
      </c>
      <c r="AU23" s="45" t="s">
        <v>57</v>
      </c>
      <c r="AV23" s="45">
        <f t="shared" si="10"/>
        <v>0</v>
      </c>
      <c r="AW23" s="53"/>
      <c r="AX23" s="118">
        <v>3</v>
      </c>
      <c r="AY23" s="114" t="str">
        <f>Inputs!$A$4</f>
        <v>M3135400</v>
      </c>
      <c r="AZ23" s="45" t="str">
        <f>Inputs!$B$4</f>
        <v>MC</v>
      </c>
      <c r="BA23" s="45" t="s">
        <v>58</v>
      </c>
      <c r="BB23" s="45">
        <f t="shared" si="2"/>
        <v>0</v>
      </c>
      <c r="BC23" s="53"/>
      <c r="BD23" s="45">
        <v>0</v>
      </c>
      <c r="BE23" s="45">
        <v>0</v>
      </c>
      <c r="BF23" s="45">
        <f>BK23-0-AV23-BB23</f>
        <v>0</v>
      </c>
      <c r="BG23" s="53"/>
      <c r="BH23" s="45">
        <f>AV23+BB23+BE23-BK23+0-BD23</f>
        <v>0</v>
      </c>
      <c r="BI23" s="45">
        <f>BD23*Inputs!$F$4*Inputs!$G$4</f>
        <v>0</v>
      </c>
      <c r="BJ23" s="45">
        <f>Inputs!$F$4*Inputs!$I$4*BE23</f>
        <v>0</v>
      </c>
      <c r="BK23" s="54">
        <v>0</v>
      </c>
      <c r="BM23" s="116">
        <v>3</v>
      </c>
      <c r="BN23" s="114" t="str">
        <f>Inputs!$A$4</f>
        <v>M3135400</v>
      </c>
      <c r="BO23" s="45" t="str">
        <f>Inputs!$B$4</f>
        <v>MC</v>
      </c>
      <c r="BP23" s="45" t="s">
        <v>57</v>
      </c>
      <c r="BQ23" s="45">
        <f t="shared" si="3"/>
        <v>0</v>
      </c>
      <c r="BR23" s="53"/>
      <c r="BS23" s="118">
        <v>3</v>
      </c>
      <c r="BT23" s="114" t="str">
        <f>Inputs!$A$4</f>
        <v>M3135400</v>
      </c>
      <c r="BU23" s="45" t="str">
        <f>Inputs!$B$4</f>
        <v>MC</v>
      </c>
      <c r="BV23" s="45" t="s">
        <v>58</v>
      </c>
      <c r="BW23" s="45">
        <f t="shared" si="4"/>
        <v>0</v>
      </c>
      <c r="BX23" s="53"/>
      <c r="BY23" s="45">
        <v>0</v>
      </c>
      <c r="BZ23" s="45">
        <v>0</v>
      </c>
      <c r="CA23" s="45">
        <f>CF23-0-BQ23-BW23</f>
        <v>0</v>
      </c>
      <c r="CB23" s="53"/>
      <c r="CC23" s="45">
        <f>BQ23+BW23+BZ23-CF23+0-BY23</f>
        <v>0</v>
      </c>
      <c r="CD23" s="45">
        <f>BY23*Inputs!$F$4*Inputs!$G$4</f>
        <v>0</v>
      </c>
      <c r="CE23" s="45">
        <f>Inputs!$F$4*Inputs!$I$4*BZ23</f>
        <v>0</v>
      </c>
      <c r="CF23" s="54">
        <v>0</v>
      </c>
      <c r="CG23" s="41"/>
      <c r="CH23" s="41"/>
      <c r="CI23" s="41"/>
      <c r="CJ23" s="41"/>
      <c r="CK23" s="41"/>
      <c r="CL23" s="41"/>
      <c r="CM23" s="41"/>
      <c r="CN23" s="13">
        <f>Inputs!A20</f>
        <v>0</v>
      </c>
      <c r="CO23" s="13">
        <f>IF(Inputs!D20="Yes",999999,0)</f>
        <v>0</v>
      </c>
      <c r="CP23" s="41">
        <f t="shared" si="16"/>
        <v>0</v>
      </c>
      <c r="CQ23" s="41">
        <f>IF(Inputs!E20="Yes",999999,0)</f>
        <v>0</v>
      </c>
      <c r="CR23" s="41">
        <f t="shared" si="17"/>
        <v>0</v>
      </c>
      <c r="CS23" s="41"/>
      <c r="CT23" s="73"/>
      <c r="CV23" s="73"/>
      <c r="CW23" s="73"/>
      <c r="CX23" s="73"/>
      <c r="CY23" s="73"/>
      <c r="CZ23" s="6"/>
      <c r="DC23" s="6"/>
      <c r="DD23" s="6"/>
      <c r="DE23" s="6"/>
      <c r="DF23" s="6"/>
      <c r="DH23" s="6"/>
      <c r="DI23" s="6"/>
      <c r="DJ23" s="6"/>
      <c r="DK23" s="6"/>
      <c r="DL23" s="6"/>
      <c r="DN23" s="6"/>
      <c r="DO23" s="36">
        <f t="shared" si="22"/>
        <v>0</v>
      </c>
      <c r="DP23" s="34">
        <f t="shared" si="5"/>
        <v>0</v>
      </c>
      <c r="DQ23" s="35">
        <f t="shared" si="23"/>
        <v>0</v>
      </c>
      <c r="DS23" s="28">
        <f>Inputs!A20</f>
        <v>0</v>
      </c>
      <c r="DT23" s="26">
        <f>Inputs!C20</f>
        <v>0</v>
      </c>
      <c r="DU23" s="24"/>
    </row>
    <row r="24" spans="1:125" x14ac:dyDescent="0.25">
      <c r="A24" s="116">
        <v>4</v>
      </c>
      <c r="B24" s="114" t="str">
        <f>Inputs!$A$4</f>
        <v>M3135400</v>
      </c>
      <c r="C24" s="45" t="str">
        <f>Inputs!$B$4</f>
        <v>MC</v>
      </c>
      <c r="D24" s="45" t="s">
        <v>57</v>
      </c>
      <c r="E24" s="45">
        <v>0</v>
      </c>
      <c r="F24" s="53"/>
      <c r="G24" s="118">
        <v>4</v>
      </c>
      <c r="H24" s="114" t="str">
        <f>Inputs!$A$4</f>
        <v>M3135400</v>
      </c>
      <c r="I24" s="45" t="str">
        <f>Inputs!$B$4</f>
        <v>MC</v>
      </c>
      <c r="J24" s="45" t="s">
        <v>58</v>
      </c>
      <c r="K24" s="45">
        <v>0</v>
      </c>
      <c r="L24" s="53"/>
      <c r="M24" s="45">
        <v>0</v>
      </c>
      <c r="N24" s="45">
        <v>0</v>
      </c>
      <c r="O24" s="45">
        <f t="shared" ref="O24:O31" si="32">U24-M23-E24-K24</f>
        <v>0</v>
      </c>
      <c r="P24" s="53"/>
      <c r="Q24" s="45">
        <f t="shared" ref="Q24:Q31" si="33">E24+K24+N24-U24+M23-M24</f>
        <v>0</v>
      </c>
      <c r="R24" s="45">
        <f>M24*Inputs!$F$4*Inputs!$G$4</f>
        <v>0</v>
      </c>
      <c r="S24" s="45">
        <f>Inputs!$F$4*Inputs!$I$4*N24</f>
        <v>0</v>
      </c>
      <c r="T24" s="18"/>
      <c r="U24" s="55">
        <v>0</v>
      </c>
      <c r="W24" s="116">
        <v>4</v>
      </c>
      <c r="X24" s="114" t="str">
        <f>Inputs!$A$4</f>
        <v>M3135400</v>
      </c>
      <c r="Y24" s="45" t="str">
        <f>Inputs!$B$4</f>
        <v>MC</v>
      </c>
      <c r="Z24" s="45" t="s">
        <v>57</v>
      </c>
      <c r="AA24" s="45">
        <f t="shared" si="0"/>
        <v>0</v>
      </c>
      <c r="AB24" s="53"/>
      <c r="AC24" s="118">
        <v>4</v>
      </c>
      <c r="AD24" s="114" t="str">
        <f>Inputs!$A$4</f>
        <v>M3135400</v>
      </c>
      <c r="AE24" s="45" t="str">
        <f>Inputs!$B$4</f>
        <v>MC</v>
      </c>
      <c r="AF24" s="45" t="s">
        <v>58</v>
      </c>
      <c r="AG24" s="45">
        <f t="shared" si="1"/>
        <v>0</v>
      </c>
      <c r="AH24" s="53"/>
      <c r="AI24" s="45">
        <v>0</v>
      </c>
      <c r="AJ24" s="45">
        <v>0</v>
      </c>
      <c r="AK24" s="45">
        <f t="shared" ref="AK24:AK31" si="34">AP24-AI23-AA24-AG24</f>
        <v>0</v>
      </c>
      <c r="AL24" s="53"/>
      <c r="AM24" s="45">
        <f t="shared" ref="AM24:AM31" si="35">AA24+AG24+AJ24-AP24+AI23-AI24</f>
        <v>0</v>
      </c>
      <c r="AN24" s="45">
        <f>AI24*Inputs!$F$4*Inputs!$G$4</f>
        <v>0</v>
      </c>
      <c r="AO24" s="45">
        <f>Inputs!$F$4*Inputs!$I$4*AJ24</f>
        <v>0</v>
      </c>
      <c r="AP24" s="55">
        <v>0</v>
      </c>
      <c r="AR24" s="116">
        <v>4</v>
      </c>
      <c r="AS24" s="114" t="str">
        <f>Inputs!$A$4</f>
        <v>M3135400</v>
      </c>
      <c r="AT24" s="45" t="str">
        <f>Inputs!$B$4</f>
        <v>MC</v>
      </c>
      <c r="AU24" s="45" t="s">
        <v>57</v>
      </c>
      <c r="AV24" s="45">
        <f t="shared" si="10"/>
        <v>0</v>
      </c>
      <c r="AW24" s="53"/>
      <c r="AX24" s="118">
        <v>4</v>
      </c>
      <c r="AY24" s="114" t="str">
        <f>Inputs!$A$4</f>
        <v>M3135400</v>
      </c>
      <c r="AZ24" s="45" t="str">
        <f>Inputs!$B$4</f>
        <v>MC</v>
      </c>
      <c r="BA24" s="45" t="s">
        <v>58</v>
      </c>
      <c r="BB24" s="45">
        <f t="shared" si="2"/>
        <v>0</v>
      </c>
      <c r="BC24" s="53"/>
      <c r="BD24" s="45">
        <v>0</v>
      </c>
      <c r="BE24" s="45">
        <v>0</v>
      </c>
      <c r="BF24" s="45">
        <f t="shared" ref="BF24:BF31" si="36">BK24-BD23-AV24-BB24</f>
        <v>0</v>
      </c>
      <c r="BG24" s="53"/>
      <c r="BH24" s="45">
        <f t="shared" ref="BH24:BH31" si="37">AV24+BB24+BE24-BK24+BD23-BD24</f>
        <v>0</v>
      </c>
      <c r="BI24" s="45">
        <f>BD24*Inputs!$F$4*Inputs!$G$4</f>
        <v>0</v>
      </c>
      <c r="BJ24" s="45">
        <f>Inputs!$F$4*Inputs!$I$4*BE24</f>
        <v>0</v>
      </c>
      <c r="BK24" s="55">
        <v>0</v>
      </c>
      <c r="BM24" s="116">
        <v>4</v>
      </c>
      <c r="BN24" s="114" t="str">
        <f>Inputs!$A$4</f>
        <v>M3135400</v>
      </c>
      <c r="BO24" s="45" t="str">
        <f>Inputs!$B$4</f>
        <v>MC</v>
      </c>
      <c r="BP24" s="45" t="s">
        <v>57</v>
      </c>
      <c r="BQ24" s="45">
        <f t="shared" si="3"/>
        <v>0</v>
      </c>
      <c r="BR24" s="53"/>
      <c r="BS24" s="118">
        <v>4</v>
      </c>
      <c r="BT24" s="114" t="str">
        <f>Inputs!$A$4</f>
        <v>M3135400</v>
      </c>
      <c r="BU24" s="45" t="str">
        <f>Inputs!$B$4</f>
        <v>MC</v>
      </c>
      <c r="BV24" s="45" t="s">
        <v>58</v>
      </c>
      <c r="BW24" s="45">
        <f t="shared" si="4"/>
        <v>0</v>
      </c>
      <c r="BX24" s="53"/>
      <c r="BY24" s="45">
        <v>0</v>
      </c>
      <c r="BZ24" s="45">
        <v>0</v>
      </c>
      <c r="CA24" s="45">
        <f t="shared" ref="CA24:CA31" si="38">CF24-BY23-BQ24-BW24</f>
        <v>0</v>
      </c>
      <c r="CB24" s="53"/>
      <c r="CC24" s="45">
        <f t="shared" ref="CC24:CC31" si="39">BQ24+BW24+BZ24-CF24+BY23-BY24</f>
        <v>0</v>
      </c>
      <c r="CD24" s="45">
        <f>BY24*Inputs!$F$4*Inputs!$G$4</f>
        <v>0</v>
      </c>
      <c r="CE24" s="45">
        <f>Inputs!$F$4*Inputs!$I$4*BZ24</f>
        <v>0</v>
      </c>
      <c r="CF24" s="55">
        <v>0</v>
      </c>
      <c r="CG24" s="41"/>
      <c r="CH24" s="41"/>
      <c r="CI24" s="41"/>
      <c r="CJ24" s="41"/>
      <c r="CK24" s="41"/>
      <c r="CL24" s="41"/>
      <c r="CM24" s="41"/>
      <c r="CN24" s="13">
        <f>Inputs!A21</f>
        <v>0</v>
      </c>
      <c r="CO24" s="13">
        <f>IF(Inputs!D21="Yes",999999,0)</f>
        <v>0</v>
      </c>
      <c r="CP24" s="41">
        <f t="shared" si="16"/>
        <v>0</v>
      </c>
      <c r="CQ24" s="41">
        <f>IF(Inputs!E21="Yes",999999,0)</f>
        <v>0</v>
      </c>
      <c r="CR24" s="41">
        <f t="shared" si="17"/>
        <v>0</v>
      </c>
      <c r="CS24" s="41"/>
      <c r="CT24" s="73"/>
      <c r="CV24" s="73"/>
      <c r="CW24" s="73"/>
      <c r="CX24" s="73"/>
      <c r="CY24" s="73"/>
      <c r="CZ24" s="6"/>
      <c r="DC24" s="6"/>
      <c r="DD24" s="6"/>
      <c r="DE24" s="6"/>
      <c r="DF24" s="6"/>
      <c r="DH24" s="6"/>
      <c r="DI24" s="6"/>
      <c r="DJ24" s="6"/>
      <c r="DK24" s="6"/>
      <c r="DL24" s="6"/>
      <c r="DN24" s="6"/>
      <c r="DO24" s="36">
        <f t="shared" si="22"/>
        <v>0</v>
      </c>
      <c r="DP24" s="34">
        <f t="shared" si="5"/>
        <v>0</v>
      </c>
      <c r="DQ24" s="35">
        <f t="shared" si="23"/>
        <v>0</v>
      </c>
      <c r="DS24" s="28">
        <f>Inputs!A21</f>
        <v>0</v>
      </c>
      <c r="DT24" s="26">
        <f>Inputs!C21</f>
        <v>0</v>
      </c>
      <c r="DU24" s="24"/>
    </row>
    <row r="25" spans="1:125" x14ac:dyDescent="0.25">
      <c r="A25" s="116">
        <v>5</v>
      </c>
      <c r="B25" s="114" t="str">
        <f>Inputs!$A$4</f>
        <v>M3135400</v>
      </c>
      <c r="C25" s="45" t="str">
        <f>Inputs!$B$4</f>
        <v>MC</v>
      </c>
      <c r="D25" s="45" t="s">
        <v>57</v>
      </c>
      <c r="E25" s="45">
        <v>0</v>
      </c>
      <c r="F25" s="53"/>
      <c r="G25" s="118">
        <v>5</v>
      </c>
      <c r="H25" s="114" t="str">
        <f>Inputs!$A$4</f>
        <v>M3135400</v>
      </c>
      <c r="I25" s="45" t="str">
        <f>Inputs!$B$4</f>
        <v>MC</v>
      </c>
      <c r="J25" s="45" t="s">
        <v>58</v>
      </c>
      <c r="K25" s="45">
        <v>0</v>
      </c>
      <c r="L25" s="53"/>
      <c r="M25" s="45">
        <v>0</v>
      </c>
      <c r="N25" s="45">
        <v>0</v>
      </c>
      <c r="O25" s="45">
        <f t="shared" si="32"/>
        <v>0</v>
      </c>
      <c r="P25" s="53"/>
      <c r="Q25" s="45">
        <f t="shared" si="33"/>
        <v>0</v>
      </c>
      <c r="R25" s="45">
        <f>M25*Inputs!$F$4*Inputs!$G$4</f>
        <v>0</v>
      </c>
      <c r="S25" s="45">
        <f>Inputs!$F$4*Inputs!$I$4*N25</f>
        <v>0</v>
      </c>
      <c r="T25" s="18"/>
      <c r="U25" s="55">
        <v>0</v>
      </c>
      <c r="W25" s="116">
        <v>5</v>
      </c>
      <c r="X25" s="114" t="str">
        <f>Inputs!$A$4</f>
        <v>M3135400</v>
      </c>
      <c r="Y25" s="45" t="str">
        <f>Inputs!$B$4</f>
        <v>MC</v>
      </c>
      <c r="Z25" s="45" t="s">
        <v>57</v>
      </c>
      <c r="AA25" s="45">
        <f t="shared" si="0"/>
        <v>0</v>
      </c>
      <c r="AB25" s="53"/>
      <c r="AC25" s="118">
        <v>5</v>
      </c>
      <c r="AD25" s="114" t="str">
        <f>Inputs!$A$4</f>
        <v>M3135400</v>
      </c>
      <c r="AE25" s="45" t="str">
        <f>Inputs!$B$4</f>
        <v>MC</v>
      </c>
      <c r="AF25" s="45" t="s">
        <v>58</v>
      </c>
      <c r="AG25" s="45">
        <f t="shared" si="1"/>
        <v>0</v>
      </c>
      <c r="AH25" s="53"/>
      <c r="AI25" s="45">
        <v>0</v>
      </c>
      <c r="AJ25" s="45">
        <v>0</v>
      </c>
      <c r="AK25" s="45">
        <f t="shared" si="34"/>
        <v>0</v>
      </c>
      <c r="AL25" s="53"/>
      <c r="AM25" s="45">
        <f t="shared" si="35"/>
        <v>0</v>
      </c>
      <c r="AN25" s="45">
        <f>AI25*Inputs!$F$4*Inputs!$G$4</f>
        <v>0</v>
      </c>
      <c r="AO25" s="45">
        <f>Inputs!$F$4*Inputs!$I$4*AJ25</f>
        <v>0</v>
      </c>
      <c r="AP25" s="55">
        <v>0</v>
      </c>
      <c r="AR25" s="116">
        <v>5</v>
      </c>
      <c r="AS25" s="114" t="str">
        <f>Inputs!$A$4</f>
        <v>M3135400</v>
      </c>
      <c r="AT25" s="45" t="str">
        <f>Inputs!$B$4</f>
        <v>MC</v>
      </c>
      <c r="AU25" s="45" t="s">
        <v>57</v>
      </c>
      <c r="AV25" s="45">
        <f t="shared" si="10"/>
        <v>0</v>
      </c>
      <c r="AW25" s="53"/>
      <c r="AX25" s="118">
        <v>5</v>
      </c>
      <c r="AY25" s="114" t="str">
        <f>Inputs!$A$4</f>
        <v>M3135400</v>
      </c>
      <c r="AZ25" s="45" t="str">
        <f>Inputs!$B$4</f>
        <v>MC</v>
      </c>
      <c r="BA25" s="45" t="s">
        <v>58</v>
      </c>
      <c r="BB25" s="45">
        <f t="shared" si="2"/>
        <v>0</v>
      </c>
      <c r="BC25" s="53"/>
      <c r="BD25" s="45">
        <v>0</v>
      </c>
      <c r="BE25" s="45">
        <v>0</v>
      </c>
      <c r="BF25" s="45">
        <f t="shared" si="36"/>
        <v>0</v>
      </c>
      <c r="BG25" s="53"/>
      <c r="BH25" s="45">
        <f t="shared" si="37"/>
        <v>0</v>
      </c>
      <c r="BI25" s="45">
        <f>BD25*Inputs!$F$4*Inputs!$G$4</f>
        <v>0</v>
      </c>
      <c r="BJ25" s="45">
        <f>Inputs!$F$4*Inputs!$I$4*BE25</f>
        <v>0</v>
      </c>
      <c r="BK25" s="55">
        <v>0</v>
      </c>
      <c r="BM25" s="116">
        <v>5</v>
      </c>
      <c r="BN25" s="114" t="str">
        <f>Inputs!$A$4</f>
        <v>M3135400</v>
      </c>
      <c r="BO25" s="45" t="str">
        <f>Inputs!$B$4</f>
        <v>MC</v>
      </c>
      <c r="BP25" s="45" t="s">
        <v>57</v>
      </c>
      <c r="BQ25" s="45">
        <f t="shared" si="3"/>
        <v>0</v>
      </c>
      <c r="BR25" s="53"/>
      <c r="BS25" s="118">
        <v>5</v>
      </c>
      <c r="BT25" s="114" t="str">
        <f>Inputs!$A$4</f>
        <v>M3135400</v>
      </c>
      <c r="BU25" s="45" t="str">
        <f>Inputs!$B$4</f>
        <v>MC</v>
      </c>
      <c r="BV25" s="45" t="s">
        <v>58</v>
      </c>
      <c r="BW25" s="45">
        <f t="shared" si="4"/>
        <v>0</v>
      </c>
      <c r="BX25" s="53"/>
      <c r="BY25" s="45">
        <v>0</v>
      </c>
      <c r="BZ25" s="45">
        <v>0</v>
      </c>
      <c r="CA25" s="45">
        <f t="shared" si="38"/>
        <v>0</v>
      </c>
      <c r="CB25" s="53"/>
      <c r="CC25" s="45">
        <f t="shared" si="39"/>
        <v>0</v>
      </c>
      <c r="CD25" s="45">
        <f>BY25*Inputs!$F$4*Inputs!$G$4</f>
        <v>0</v>
      </c>
      <c r="CE25" s="45">
        <f>Inputs!$F$4*Inputs!$I$4*BZ25</f>
        <v>0</v>
      </c>
      <c r="CF25" s="55">
        <v>0</v>
      </c>
      <c r="CG25" s="41"/>
      <c r="CH25" s="41"/>
      <c r="CI25" s="41"/>
      <c r="CJ25" s="41"/>
      <c r="CK25" s="41"/>
      <c r="CL25" s="41"/>
      <c r="CM25" s="41"/>
      <c r="CN25" s="13">
        <f>Inputs!A22</f>
        <v>0</v>
      </c>
      <c r="CO25" s="13">
        <f>IF(Inputs!D22="Yes",999999,0)</f>
        <v>0</v>
      </c>
      <c r="CP25" s="41">
        <f t="shared" si="16"/>
        <v>0</v>
      </c>
      <c r="CQ25" s="41">
        <f>IF(Inputs!E22="Yes",999999,0)</f>
        <v>0</v>
      </c>
      <c r="CR25" s="41">
        <f t="shared" si="17"/>
        <v>0</v>
      </c>
      <c r="CS25" s="41"/>
      <c r="CT25" s="73"/>
      <c r="CV25" s="73"/>
      <c r="CW25" s="73"/>
      <c r="CX25" s="73"/>
      <c r="CY25" s="73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N25" s="6"/>
      <c r="DO25" s="36">
        <f t="shared" si="22"/>
        <v>0</v>
      </c>
      <c r="DP25" s="34">
        <f t="shared" si="5"/>
        <v>0</v>
      </c>
      <c r="DQ25" s="35">
        <f t="shared" si="23"/>
        <v>0</v>
      </c>
      <c r="DS25" s="28">
        <f>Inputs!A22</f>
        <v>0</v>
      </c>
      <c r="DT25" s="26">
        <f>Inputs!C22</f>
        <v>0</v>
      </c>
      <c r="DU25" s="24"/>
    </row>
    <row r="26" spans="1:125" x14ac:dyDescent="0.25">
      <c r="A26" s="116">
        <v>6</v>
      </c>
      <c r="B26" s="114" t="str">
        <f>Inputs!$A$4</f>
        <v>M3135400</v>
      </c>
      <c r="C26" s="45" t="str">
        <f>Inputs!$B$4</f>
        <v>MC</v>
      </c>
      <c r="D26" s="45" t="s">
        <v>57</v>
      </c>
      <c r="E26" s="45">
        <v>0</v>
      </c>
      <c r="F26" s="53"/>
      <c r="G26" s="118">
        <v>6</v>
      </c>
      <c r="H26" s="114" t="str">
        <f>Inputs!$A$4</f>
        <v>M3135400</v>
      </c>
      <c r="I26" s="45" t="str">
        <f>Inputs!$B$4</f>
        <v>MC</v>
      </c>
      <c r="J26" s="45" t="s">
        <v>58</v>
      </c>
      <c r="K26" s="45">
        <v>132.91408999999999</v>
      </c>
      <c r="L26" s="53"/>
      <c r="M26" s="45">
        <v>132.91408999999999</v>
      </c>
      <c r="N26" s="45">
        <v>0</v>
      </c>
      <c r="O26" s="45">
        <f t="shared" si="32"/>
        <v>-132.91408999999999</v>
      </c>
      <c r="P26" s="53"/>
      <c r="Q26" s="45">
        <f t="shared" si="33"/>
        <v>0</v>
      </c>
      <c r="R26" s="45">
        <f>M26*Inputs!$F$4*Inputs!$G$4</f>
        <v>273708.65639610001</v>
      </c>
      <c r="S26" s="45">
        <f>Inputs!$F$4*Inputs!$I$4*N26</f>
        <v>0</v>
      </c>
      <c r="T26" s="18"/>
      <c r="U26" s="55">
        <v>0</v>
      </c>
      <c r="W26" s="116">
        <v>6</v>
      </c>
      <c r="X26" s="114" t="str">
        <f>Inputs!$A$4</f>
        <v>M3135400</v>
      </c>
      <c r="Y26" s="45" t="str">
        <f>Inputs!$B$4</f>
        <v>MC</v>
      </c>
      <c r="Z26" s="45" t="s">
        <v>57</v>
      </c>
      <c r="AA26" s="45">
        <f t="shared" si="0"/>
        <v>0</v>
      </c>
      <c r="AB26" s="53"/>
      <c r="AC26" s="118">
        <v>6</v>
      </c>
      <c r="AD26" s="114" t="str">
        <f>Inputs!$A$4</f>
        <v>M3135400</v>
      </c>
      <c r="AE26" s="45" t="str">
        <f>Inputs!$B$4</f>
        <v>MC</v>
      </c>
      <c r="AF26" s="45" t="s">
        <v>58</v>
      </c>
      <c r="AG26" s="45">
        <f t="shared" si="1"/>
        <v>132.91408999999999</v>
      </c>
      <c r="AH26" s="53"/>
      <c r="AI26" s="45">
        <v>132.91408999999999</v>
      </c>
      <c r="AJ26" s="45">
        <v>0</v>
      </c>
      <c r="AK26" s="45">
        <f t="shared" si="34"/>
        <v>-132.91408999999999</v>
      </c>
      <c r="AL26" s="53"/>
      <c r="AM26" s="45">
        <f t="shared" si="35"/>
        <v>0</v>
      </c>
      <c r="AN26" s="45">
        <f>AI26*Inputs!$F$4*Inputs!$G$4</f>
        <v>273708.65639610001</v>
      </c>
      <c r="AO26" s="45">
        <f>Inputs!$F$4*Inputs!$I$4*AJ26</f>
        <v>0</v>
      </c>
      <c r="AP26" s="55">
        <v>0</v>
      </c>
      <c r="AR26" s="116">
        <v>6</v>
      </c>
      <c r="AS26" s="114" t="str">
        <f>Inputs!$A$4</f>
        <v>M3135400</v>
      </c>
      <c r="AT26" s="45" t="str">
        <f>Inputs!$B$4</f>
        <v>MC</v>
      </c>
      <c r="AU26" s="45" t="s">
        <v>57</v>
      </c>
      <c r="AV26" s="45">
        <f t="shared" si="10"/>
        <v>0</v>
      </c>
      <c r="AW26" s="53"/>
      <c r="AX26" s="118">
        <v>6</v>
      </c>
      <c r="AY26" s="114" t="str">
        <f>Inputs!$A$4</f>
        <v>M3135400</v>
      </c>
      <c r="AZ26" s="45" t="str">
        <f>Inputs!$B$4</f>
        <v>MC</v>
      </c>
      <c r="BA26" s="45" t="s">
        <v>58</v>
      </c>
      <c r="BB26" s="45">
        <f t="shared" si="2"/>
        <v>132.91408999999999</v>
      </c>
      <c r="BC26" s="53"/>
      <c r="BD26" s="45">
        <v>132.91408999999999</v>
      </c>
      <c r="BE26" s="45">
        <v>0</v>
      </c>
      <c r="BF26" s="45">
        <f t="shared" si="36"/>
        <v>-132.91408999999999</v>
      </c>
      <c r="BG26" s="53"/>
      <c r="BH26" s="45">
        <f t="shared" si="37"/>
        <v>0</v>
      </c>
      <c r="BI26" s="45">
        <f>BD26*Inputs!$F$4*Inputs!$G$4</f>
        <v>273708.65639610001</v>
      </c>
      <c r="BJ26" s="45">
        <f>Inputs!$F$4*Inputs!$I$4*BE26</f>
        <v>0</v>
      </c>
      <c r="BK26" s="55">
        <v>0</v>
      </c>
      <c r="BM26" s="116">
        <v>6</v>
      </c>
      <c r="BN26" s="114" t="str">
        <f>Inputs!$A$4</f>
        <v>M3135400</v>
      </c>
      <c r="BO26" s="45" t="str">
        <f>Inputs!$B$4</f>
        <v>MC</v>
      </c>
      <c r="BP26" s="45" t="s">
        <v>57</v>
      </c>
      <c r="BQ26" s="45">
        <f t="shared" si="3"/>
        <v>0</v>
      </c>
      <c r="BR26" s="53"/>
      <c r="BS26" s="118">
        <v>6</v>
      </c>
      <c r="BT26" s="114" t="str">
        <f>Inputs!$A$4</f>
        <v>M3135400</v>
      </c>
      <c r="BU26" s="45" t="str">
        <f>Inputs!$B$4</f>
        <v>MC</v>
      </c>
      <c r="BV26" s="45" t="s">
        <v>58</v>
      </c>
      <c r="BW26" s="45">
        <f t="shared" si="4"/>
        <v>132.91408999999999</v>
      </c>
      <c r="BX26" s="53"/>
      <c r="BY26" s="45">
        <v>132.91408999999999</v>
      </c>
      <c r="BZ26" s="45">
        <v>0</v>
      </c>
      <c r="CA26" s="45">
        <f t="shared" si="38"/>
        <v>-132.91408999999999</v>
      </c>
      <c r="CB26" s="53"/>
      <c r="CC26" s="45">
        <f t="shared" si="39"/>
        <v>0</v>
      </c>
      <c r="CD26" s="45">
        <f>BY26*Inputs!$F$4*Inputs!$G$4</f>
        <v>273708.65639610001</v>
      </c>
      <c r="CE26" s="45">
        <f>Inputs!$F$4*Inputs!$I$4*BZ26</f>
        <v>0</v>
      </c>
      <c r="CF26" s="55">
        <v>0</v>
      </c>
      <c r="CG26" s="41"/>
      <c r="CH26" s="41"/>
      <c r="CI26" s="41"/>
      <c r="CJ26" s="41"/>
      <c r="CK26" s="41"/>
      <c r="CL26" s="41"/>
      <c r="CM26" s="41"/>
      <c r="CN26" s="13">
        <f>Inputs!A23</f>
        <v>0</v>
      </c>
      <c r="CO26" s="13">
        <f>IF(Inputs!D23="Yes",999999,0)</f>
        <v>0</v>
      </c>
      <c r="CP26" s="41">
        <f t="shared" si="16"/>
        <v>0</v>
      </c>
      <c r="CQ26" s="41">
        <f>IF(Inputs!E23="Yes",999999,0)</f>
        <v>0</v>
      </c>
      <c r="CR26" s="41">
        <f t="shared" si="17"/>
        <v>0</v>
      </c>
      <c r="CS26" s="41"/>
      <c r="CT26" s="73"/>
      <c r="CV26" s="73"/>
      <c r="CW26" s="73"/>
      <c r="CX26" s="73"/>
      <c r="CY26" s="73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N26" s="6"/>
      <c r="DO26" s="36">
        <f t="shared" si="22"/>
        <v>0</v>
      </c>
      <c r="DP26" s="34">
        <f t="shared" si="5"/>
        <v>0</v>
      </c>
      <c r="DQ26" s="35">
        <f t="shared" si="23"/>
        <v>0</v>
      </c>
      <c r="DS26" s="28">
        <f>Inputs!A23</f>
        <v>0</v>
      </c>
      <c r="DT26" s="26">
        <f>Inputs!C23</f>
        <v>0</v>
      </c>
      <c r="DU26" s="24"/>
    </row>
    <row r="27" spans="1:125" x14ac:dyDescent="0.25">
      <c r="A27" s="116">
        <v>7</v>
      </c>
      <c r="B27" s="114" t="str">
        <f>Inputs!$A$4</f>
        <v>M3135400</v>
      </c>
      <c r="C27" s="45" t="str">
        <f>Inputs!$B$4</f>
        <v>MC</v>
      </c>
      <c r="D27" s="45" t="s">
        <v>57</v>
      </c>
      <c r="E27" s="45">
        <v>0</v>
      </c>
      <c r="F27" s="53"/>
      <c r="G27" s="118">
        <v>7</v>
      </c>
      <c r="H27" s="114" t="str">
        <f>Inputs!$A$4</f>
        <v>M3135400</v>
      </c>
      <c r="I27" s="45" t="str">
        <f>Inputs!$B$4</f>
        <v>MC</v>
      </c>
      <c r="J27" s="45" t="s">
        <v>58</v>
      </c>
      <c r="K27" s="45">
        <v>259.79935</v>
      </c>
      <c r="L27" s="53"/>
      <c r="M27" s="45">
        <v>332.60637000000003</v>
      </c>
      <c r="N27" s="45">
        <v>0</v>
      </c>
      <c r="O27" s="45">
        <f t="shared" si="32"/>
        <v>-332.60636870690587</v>
      </c>
      <c r="P27" s="53"/>
      <c r="Q27" s="45">
        <f t="shared" si="33"/>
        <v>-1.2930941579725186E-6</v>
      </c>
      <c r="R27" s="45">
        <f>M27*Inputs!$F$4*Inputs!$G$4</f>
        <v>684932.97167730005</v>
      </c>
      <c r="S27" s="45">
        <f>Inputs!$F$4*Inputs!$I$4*N27</f>
        <v>0</v>
      </c>
      <c r="T27" s="18"/>
      <c r="U27" s="55">
        <v>60.107071293094094</v>
      </c>
      <c r="W27" s="116">
        <v>7</v>
      </c>
      <c r="X27" s="114" t="str">
        <f>Inputs!$A$4</f>
        <v>M3135400</v>
      </c>
      <c r="Y27" s="45" t="str">
        <f>Inputs!$B$4</f>
        <v>MC</v>
      </c>
      <c r="Z27" s="45" t="s">
        <v>57</v>
      </c>
      <c r="AA27" s="45">
        <f t="shared" si="0"/>
        <v>0</v>
      </c>
      <c r="AB27" s="53"/>
      <c r="AC27" s="118">
        <v>7</v>
      </c>
      <c r="AD27" s="114" t="str">
        <f>Inputs!$A$4</f>
        <v>M3135400</v>
      </c>
      <c r="AE27" s="45" t="str">
        <f>Inputs!$B$4</f>
        <v>MC</v>
      </c>
      <c r="AF27" s="45" t="s">
        <v>58</v>
      </c>
      <c r="AG27" s="45">
        <f t="shared" si="1"/>
        <v>259.79935</v>
      </c>
      <c r="AH27" s="53"/>
      <c r="AI27" s="45">
        <v>348.82574</v>
      </c>
      <c r="AJ27" s="45">
        <v>0</v>
      </c>
      <c r="AK27" s="45">
        <f t="shared" si="34"/>
        <v>-348.82573715107412</v>
      </c>
      <c r="AL27" s="53"/>
      <c r="AM27" s="45">
        <f t="shared" si="35"/>
        <v>-2.848925873877306E-6</v>
      </c>
      <c r="AN27" s="45">
        <f>AI27*Inputs!$F$4*Inputs!$G$4</f>
        <v>718333.35812459991</v>
      </c>
      <c r="AO27" s="45">
        <f>Inputs!$F$4*Inputs!$I$4*AJ27</f>
        <v>0</v>
      </c>
      <c r="AP27" s="55">
        <v>43.887702848925848</v>
      </c>
      <c r="AR27" s="116">
        <v>7</v>
      </c>
      <c r="AS27" s="114" t="str">
        <f>Inputs!$A$4</f>
        <v>M3135400</v>
      </c>
      <c r="AT27" s="45" t="str">
        <f>Inputs!$B$4</f>
        <v>MC</v>
      </c>
      <c r="AU27" s="45" t="s">
        <v>57</v>
      </c>
      <c r="AV27" s="45">
        <f t="shared" si="10"/>
        <v>0</v>
      </c>
      <c r="AW27" s="53"/>
      <c r="AX27" s="118">
        <v>7</v>
      </c>
      <c r="AY27" s="114" t="str">
        <f>Inputs!$A$4</f>
        <v>M3135400</v>
      </c>
      <c r="AZ27" s="45" t="str">
        <f>Inputs!$B$4</f>
        <v>MC</v>
      </c>
      <c r="BA27" s="45" t="s">
        <v>58</v>
      </c>
      <c r="BB27" s="45">
        <f t="shared" si="2"/>
        <v>259.79935</v>
      </c>
      <c r="BC27" s="53"/>
      <c r="BD27" s="45">
        <v>300.54926</v>
      </c>
      <c r="BE27" s="45">
        <v>0</v>
      </c>
      <c r="BF27" s="45">
        <f t="shared" si="36"/>
        <v>-300.54926401725572</v>
      </c>
      <c r="BG27" s="53"/>
      <c r="BH27" s="45">
        <f t="shared" si="37"/>
        <v>4.0172557191908709E-6</v>
      </c>
      <c r="BI27" s="45">
        <f>BD27*Inputs!$F$4*Inputs!$G$4</f>
        <v>618918.08562539995</v>
      </c>
      <c r="BJ27" s="45">
        <f>Inputs!$F$4*Inputs!$I$4*BE27</f>
        <v>0</v>
      </c>
      <c r="BK27" s="55">
        <v>92.164175982744283</v>
      </c>
      <c r="BM27" s="116">
        <v>7</v>
      </c>
      <c r="BN27" s="114" t="str">
        <f>Inputs!$A$4</f>
        <v>M3135400</v>
      </c>
      <c r="BO27" s="45" t="str">
        <f>Inputs!$B$4</f>
        <v>MC</v>
      </c>
      <c r="BP27" s="45" t="s">
        <v>57</v>
      </c>
      <c r="BQ27" s="45">
        <f t="shared" si="3"/>
        <v>0</v>
      </c>
      <c r="BR27" s="53"/>
      <c r="BS27" s="118">
        <v>7</v>
      </c>
      <c r="BT27" s="114" t="str">
        <f>Inputs!$A$4</f>
        <v>M3135400</v>
      </c>
      <c r="BU27" s="45" t="str">
        <f>Inputs!$B$4</f>
        <v>MC</v>
      </c>
      <c r="BV27" s="45" t="s">
        <v>58</v>
      </c>
      <c r="BW27" s="45">
        <f t="shared" si="4"/>
        <v>259.79935</v>
      </c>
      <c r="BX27" s="53"/>
      <c r="BY27" s="45">
        <v>173.27492000000001</v>
      </c>
      <c r="BZ27" s="45">
        <v>0</v>
      </c>
      <c r="CA27" s="45">
        <f t="shared" si="38"/>
        <v>-173.27492575537076</v>
      </c>
      <c r="CB27" s="53"/>
      <c r="CC27" s="45">
        <f t="shared" si="39"/>
        <v>5.7553707506485807E-6</v>
      </c>
      <c r="CD27" s="45">
        <f>BY27*Inputs!$F$4*Inputs!$G$4</f>
        <v>356823.31000680005</v>
      </c>
      <c r="CE27" s="45">
        <f>Inputs!$F$4*Inputs!$I$4*BZ27</f>
        <v>0</v>
      </c>
      <c r="CF27" s="55">
        <v>219.43851424462923</v>
      </c>
      <c r="CG27" s="41"/>
      <c r="CH27" s="41"/>
      <c r="CI27" s="41"/>
      <c r="CJ27" s="41"/>
      <c r="CK27" s="41"/>
      <c r="CL27" s="41"/>
      <c r="CM27" s="41"/>
      <c r="CN27" s="13">
        <f>Inputs!A24</f>
        <v>0</v>
      </c>
      <c r="CO27" s="13">
        <f>IF(Inputs!D24="Yes",999999,0)</f>
        <v>0</v>
      </c>
      <c r="CP27" s="41">
        <f t="shared" si="16"/>
        <v>0</v>
      </c>
      <c r="CQ27" s="41">
        <f>IF(Inputs!E24="Yes",999999,0)</f>
        <v>0</v>
      </c>
      <c r="CR27" s="41">
        <f t="shared" si="17"/>
        <v>0</v>
      </c>
      <c r="CS27" s="41"/>
      <c r="CT27" s="73"/>
      <c r="CV27" s="73"/>
      <c r="CW27" s="73"/>
      <c r="CX27" s="73"/>
      <c r="CY27" s="73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N27" s="6"/>
      <c r="DO27" s="36">
        <f t="shared" si="22"/>
        <v>0</v>
      </c>
      <c r="DP27" s="34">
        <f t="shared" si="5"/>
        <v>0</v>
      </c>
      <c r="DQ27" s="35">
        <f t="shared" si="23"/>
        <v>0</v>
      </c>
      <c r="DS27" s="28">
        <f>Inputs!A24</f>
        <v>0</v>
      </c>
      <c r="DT27" s="26">
        <f>Inputs!C24</f>
        <v>0</v>
      </c>
      <c r="DU27" s="24"/>
    </row>
    <row r="28" spans="1:125" x14ac:dyDescent="0.25">
      <c r="A28" s="116">
        <v>8</v>
      </c>
      <c r="B28" s="114" t="str">
        <f>Inputs!$A$4</f>
        <v>M3135400</v>
      </c>
      <c r="C28" s="45" t="str">
        <f>Inputs!$B$4</f>
        <v>MC</v>
      </c>
      <c r="D28" s="45" t="s">
        <v>57</v>
      </c>
      <c r="E28" s="45">
        <v>250.81558000000001</v>
      </c>
      <c r="F28" s="53"/>
      <c r="G28" s="118">
        <v>8</v>
      </c>
      <c r="H28" s="114" t="str">
        <f>Inputs!$A$4</f>
        <v>M3135400</v>
      </c>
      <c r="I28" s="45" t="str">
        <f>Inputs!$B$4</f>
        <v>MC</v>
      </c>
      <c r="J28" s="45" t="s">
        <v>58</v>
      </c>
      <c r="K28" s="45">
        <v>0</v>
      </c>
      <c r="L28" s="53"/>
      <c r="M28" s="45">
        <v>510.56488999999999</v>
      </c>
      <c r="N28" s="45">
        <v>0</v>
      </c>
      <c r="O28" s="45">
        <f t="shared" si="32"/>
        <v>-510.56489388715869</v>
      </c>
      <c r="P28" s="53"/>
      <c r="Q28" s="45">
        <f t="shared" si="33"/>
        <v>3.8871587548783282E-6</v>
      </c>
      <c r="R28" s="45">
        <f>M28*Inputs!$F$4*Inputs!$G$4</f>
        <v>1051401.1723281001</v>
      </c>
      <c r="S28" s="45">
        <f>Inputs!$F$4*Inputs!$I$4*N28</f>
        <v>0</v>
      </c>
      <c r="T28" s="18"/>
      <c r="U28" s="55">
        <v>72.85705611284132</v>
      </c>
      <c r="W28" s="116">
        <v>8</v>
      </c>
      <c r="X28" s="114" t="str">
        <f>Inputs!$A$4</f>
        <v>M3135400</v>
      </c>
      <c r="Y28" s="45" t="str">
        <f>Inputs!$B$4</f>
        <v>MC</v>
      </c>
      <c r="Z28" s="45" t="s">
        <v>57</v>
      </c>
      <c r="AA28" s="45">
        <f t="shared" si="0"/>
        <v>250.81558000000001</v>
      </c>
      <c r="AB28" s="53"/>
      <c r="AC28" s="118">
        <v>8</v>
      </c>
      <c r="AD28" s="114" t="str">
        <f>Inputs!$A$4</f>
        <v>M3135400</v>
      </c>
      <c r="AE28" s="45" t="str">
        <f>Inputs!$B$4</f>
        <v>MC</v>
      </c>
      <c r="AF28" s="45" t="s">
        <v>58</v>
      </c>
      <c r="AG28" s="45">
        <f t="shared" si="1"/>
        <v>0</v>
      </c>
      <c r="AH28" s="53"/>
      <c r="AI28" s="45">
        <v>511.86590999999999</v>
      </c>
      <c r="AJ28" s="45">
        <v>0</v>
      </c>
      <c r="AK28" s="45">
        <f t="shared" si="34"/>
        <v>-511.86591430214833</v>
      </c>
      <c r="AL28" s="53"/>
      <c r="AM28" s="45">
        <f t="shared" si="35"/>
        <v>4.3021483406846528E-6</v>
      </c>
      <c r="AN28" s="45">
        <f>AI28*Inputs!$F$4*Inputs!$G$4</f>
        <v>1054080.3498038999</v>
      </c>
      <c r="AO28" s="45">
        <f>Inputs!$F$4*Inputs!$I$4*AJ28</f>
        <v>0</v>
      </c>
      <c r="AP28" s="55">
        <v>87.775405697851696</v>
      </c>
      <c r="AR28" s="116">
        <v>8</v>
      </c>
      <c r="AS28" s="114" t="str">
        <f>Inputs!$A$4</f>
        <v>M3135400</v>
      </c>
      <c r="AT28" s="45" t="str">
        <f>Inputs!$B$4</f>
        <v>MC</v>
      </c>
      <c r="AU28" s="45" t="s">
        <v>57</v>
      </c>
      <c r="AV28" s="45">
        <f t="shared" si="10"/>
        <v>250.81558000000001</v>
      </c>
      <c r="AW28" s="53"/>
      <c r="AX28" s="118">
        <v>8</v>
      </c>
      <c r="AY28" s="114" t="str">
        <f>Inputs!$A$4</f>
        <v>M3135400</v>
      </c>
      <c r="AZ28" s="45" t="str">
        <f>Inputs!$B$4</f>
        <v>MC</v>
      </c>
      <c r="BA28" s="45" t="s">
        <v>58</v>
      </c>
      <c r="BB28" s="45">
        <f t="shared" si="2"/>
        <v>0</v>
      </c>
      <c r="BC28" s="53"/>
      <c r="BD28" s="45">
        <v>399.95227</v>
      </c>
      <c r="BE28" s="45">
        <v>0</v>
      </c>
      <c r="BF28" s="45">
        <f t="shared" si="36"/>
        <v>-399.95226517120585</v>
      </c>
      <c r="BG28" s="53"/>
      <c r="BH28" s="45">
        <f t="shared" si="37"/>
        <v>-4.8287941467606288E-6</v>
      </c>
      <c r="BI28" s="45">
        <f>BD28*Inputs!$F$4*Inputs!$G$4</f>
        <v>823617.71008829994</v>
      </c>
      <c r="BJ28" s="45">
        <f>Inputs!$F$4*Inputs!$I$4*BE28</f>
        <v>0</v>
      </c>
      <c r="BK28" s="55">
        <v>151.41257482879416</v>
      </c>
      <c r="BM28" s="116">
        <v>8</v>
      </c>
      <c r="BN28" s="114" t="str">
        <f>Inputs!$A$4</f>
        <v>M3135400</v>
      </c>
      <c r="BO28" s="45" t="str">
        <f>Inputs!$B$4</f>
        <v>MC</v>
      </c>
      <c r="BP28" s="45" t="s">
        <v>57</v>
      </c>
      <c r="BQ28" s="45">
        <f t="shared" si="3"/>
        <v>250.81558000000001</v>
      </c>
      <c r="BR28" s="53"/>
      <c r="BS28" s="118">
        <v>8</v>
      </c>
      <c r="BT28" s="114" t="str">
        <f>Inputs!$A$4</f>
        <v>M3135400</v>
      </c>
      <c r="BU28" s="45" t="str">
        <f>Inputs!$B$4</f>
        <v>MC</v>
      </c>
      <c r="BV28" s="45" t="s">
        <v>58</v>
      </c>
      <c r="BW28" s="45">
        <f t="shared" si="4"/>
        <v>0</v>
      </c>
      <c r="BX28" s="53"/>
      <c r="BY28" s="45">
        <v>248.53969000000001</v>
      </c>
      <c r="BZ28" s="45">
        <v>0</v>
      </c>
      <c r="CA28" s="45">
        <f t="shared" si="38"/>
        <v>-248.53968860429663</v>
      </c>
      <c r="CB28" s="53"/>
      <c r="CC28" s="45">
        <f t="shared" si="39"/>
        <v>-1.3957033786482498E-6</v>
      </c>
      <c r="CD28" s="45">
        <f>BY28*Inputs!$F$4*Inputs!$G$4</f>
        <v>511815.2982201</v>
      </c>
      <c r="CE28" s="45">
        <f>Inputs!$F$4*Inputs!$I$4*BZ28</f>
        <v>0</v>
      </c>
      <c r="CF28" s="55">
        <v>175.55081139570339</v>
      </c>
      <c r="CG28" s="41"/>
      <c r="CH28" s="41"/>
      <c r="CI28" s="41"/>
      <c r="CJ28" s="41"/>
      <c r="CK28" s="41"/>
      <c r="CL28" s="41"/>
      <c r="CM28" s="41"/>
      <c r="CN28" s="13">
        <f>Inputs!A25</f>
        <v>0</v>
      </c>
      <c r="CO28" s="13">
        <f>IF(Inputs!D25="Yes",999999,0)</f>
        <v>0</v>
      </c>
      <c r="CP28" s="41">
        <f t="shared" si="16"/>
        <v>0</v>
      </c>
      <c r="CQ28" s="41">
        <f>IF(Inputs!E25="Yes",999999,0)</f>
        <v>0</v>
      </c>
      <c r="CR28" s="41">
        <f t="shared" si="17"/>
        <v>0</v>
      </c>
      <c r="CS28" s="41"/>
      <c r="CT28" s="73"/>
      <c r="CU28" s="73"/>
      <c r="CV28" s="73"/>
      <c r="CW28" s="73"/>
      <c r="CX28" s="73"/>
      <c r="CY28" s="73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N28" s="6"/>
      <c r="DO28" s="36">
        <f t="shared" si="22"/>
        <v>0</v>
      </c>
      <c r="DP28" s="34">
        <f t="shared" si="5"/>
        <v>0</v>
      </c>
      <c r="DQ28" s="35">
        <f t="shared" si="23"/>
        <v>0</v>
      </c>
      <c r="DS28" s="28">
        <f>Inputs!A25</f>
        <v>0</v>
      </c>
      <c r="DT28" s="26">
        <f>Inputs!C25</f>
        <v>0</v>
      </c>
      <c r="DU28" s="24"/>
    </row>
    <row r="29" spans="1:125" x14ac:dyDescent="0.25">
      <c r="A29" s="116">
        <v>9</v>
      </c>
      <c r="B29" s="114" t="str">
        <f>Inputs!$A$4</f>
        <v>M3135400</v>
      </c>
      <c r="C29" s="45" t="str">
        <f>Inputs!$B$4</f>
        <v>MC</v>
      </c>
      <c r="D29" s="45" t="s">
        <v>57</v>
      </c>
      <c r="E29" s="45">
        <v>0</v>
      </c>
      <c r="F29" s="53"/>
      <c r="G29" s="118">
        <v>9</v>
      </c>
      <c r="H29" s="114" t="str">
        <f>Inputs!$A$4</f>
        <v>M3135400</v>
      </c>
      <c r="I29" s="45" t="str">
        <f>Inputs!$B$4</f>
        <v>MC</v>
      </c>
      <c r="J29" s="45" t="s">
        <v>58</v>
      </c>
      <c r="K29" s="45">
        <v>0</v>
      </c>
      <c r="L29" s="53"/>
      <c r="M29" s="45">
        <v>117.9174</v>
      </c>
      <c r="N29" s="45">
        <v>0</v>
      </c>
      <c r="O29" s="45">
        <f t="shared" si="32"/>
        <v>-117.91739830615154</v>
      </c>
      <c r="P29" s="53"/>
      <c r="Q29" s="45">
        <f t="shared" si="33"/>
        <v>-1.6938484606043858E-6</v>
      </c>
      <c r="R29" s="45">
        <f>M29*Inputs!$F$4*Inputs!$G$4</f>
        <v>242826.122646</v>
      </c>
      <c r="S29" s="45">
        <f>Inputs!$F$4*Inputs!$I$4*N29</f>
        <v>0</v>
      </c>
      <c r="T29" s="18"/>
      <c r="U29" s="55">
        <v>392.64749169384845</v>
      </c>
      <c r="W29" s="116">
        <v>9</v>
      </c>
      <c r="X29" s="114" t="str">
        <f>Inputs!$A$4</f>
        <v>M3135400</v>
      </c>
      <c r="Y29" s="45" t="str">
        <f>Inputs!$B$4</f>
        <v>MC</v>
      </c>
      <c r="Z29" s="45" t="s">
        <v>57</v>
      </c>
      <c r="AA29" s="45">
        <f t="shared" si="0"/>
        <v>0</v>
      </c>
      <c r="AB29" s="53"/>
      <c r="AC29" s="118">
        <v>9</v>
      </c>
      <c r="AD29" s="114" t="str">
        <f>Inputs!$A$4</f>
        <v>M3135400</v>
      </c>
      <c r="AE29" s="45" t="str">
        <f>Inputs!$B$4</f>
        <v>MC</v>
      </c>
      <c r="AF29" s="45" t="s">
        <v>58</v>
      </c>
      <c r="AG29" s="45">
        <f t="shared" si="1"/>
        <v>0</v>
      </c>
      <c r="AH29" s="53"/>
      <c r="AI29" s="45">
        <v>380.20280000000002</v>
      </c>
      <c r="AJ29" s="45">
        <v>0</v>
      </c>
      <c r="AK29" s="45">
        <f t="shared" si="34"/>
        <v>-380.20280145322249</v>
      </c>
      <c r="AL29" s="53"/>
      <c r="AM29" s="45">
        <f t="shared" si="35"/>
        <v>1.4532224668073468E-6</v>
      </c>
      <c r="AN29" s="45">
        <f>AI29*Inputs!$F$4*Inputs!$G$4</f>
        <v>782947.82401200011</v>
      </c>
      <c r="AO29" s="45">
        <f>Inputs!$F$4*Inputs!$I$4*AJ29</f>
        <v>0</v>
      </c>
      <c r="AP29" s="55">
        <v>131.66310854677752</v>
      </c>
      <c r="AR29" s="116">
        <v>9</v>
      </c>
      <c r="AS29" s="114" t="str">
        <f>Inputs!$A$4</f>
        <v>M3135400</v>
      </c>
      <c r="AT29" s="45" t="str">
        <f>Inputs!$B$4</f>
        <v>MC</v>
      </c>
      <c r="AU29" s="45" t="s">
        <v>57</v>
      </c>
      <c r="AV29" s="45">
        <f t="shared" si="10"/>
        <v>0</v>
      </c>
      <c r="AW29" s="53"/>
      <c r="AX29" s="118">
        <v>9</v>
      </c>
      <c r="AY29" s="114" t="str">
        <f>Inputs!$A$4</f>
        <v>M3135400</v>
      </c>
      <c r="AZ29" s="45" t="str">
        <f>Inputs!$B$4</f>
        <v>MC</v>
      </c>
      <c r="BA29" s="45" t="s">
        <v>58</v>
      </c>
      <c r="BB29" s="45">
        <f t="shared" si="2"/>
        <v>0</v>
      </c>
      <c r="BC29" s="53"/>
      <c r="BD29" s="45">
        <v>228.79023000000001</v>
      </c>
      <c r="BE29" s="45">
        <v>0</v>
      </c>
      <c r="BF29" s="45">
        <f t="shared" si="36"/>
        <v>-228.79022888918919</v>
      </c>
      <c r="BG29" s="53"/>
      <c r="BH29" s="45">
        <f t="shared" si="37"/>
        <v>-1.1108108139978867E-6</v>
      </c>
      <c r="BI29" s="45">
        <f>BD29*Inputs!$F$4*Inputs!$G$4</f>
        <v>471145.43273669999</v>
      </c>
      <c r="BJ29" s="45">
        <f>Inputs!$F$4*Inputs!$I$4*BE29</f>
        <v>0</v>
      </c>
      <c r="BK29" s="55">
        <v>171.1620411108108</v>
      </c>
      <c r="BM29" s="116">
        <v>9</v>
      </c>
      <c r="BN29" s="114" t="str">
        <f>Inputs!$A$4</f>
        <v>M3135400</v>
      </c>
      <c r="BO29" s="45" t="str">
        <f>Inputs!$B$4</f>
        <v>MC</v>
      </c>
      <c r="BP29" s="45" t="s">
        <v>57</v>
      </c>
      <c r="BQ29" s="45">
        <f t="shared" si="3"/>
        <v>0</v>
      </c>
      <c r="BR29" s="53"/>
      <c r="BS29" s="118">
        <v>9</v>
      </c>
      <c r="BT29" s="114" t="str">
        <f>Inputs!$A$4</f>
        <v>M3135400</v>
      </c>
      <c r="BU29" s="45" t="str">
        <f>Inputs!$B$4</f>
        <v>MC</v>
      </c>
      <c r="BV29" s="45" t="s">
        <v>58</v>
      </c>
      <c r="BW29" s="45">
        <f t="shared" si="4"/>
        <v>0</v>
      </c>
      <c r="BX29" s="53"/>
      <c r="BY29" s="45">
        <v>116.87658</v>
      </c>
      <c r="BZ29" s="45">
        <v>0</v>
      </c>
      <c r="CA29" s="45">
        <f t="shared" si="38"/>
        <v>-116.87658145322249</v>
      </c>
      <c r="CB29" s="53"/>
      <c r="CC29" s="45">
        <f t="shared" si="39"/>
        <v>1.4532224810182015E-6</v>
      </c>
      <c r="CD29" s="45">
        <f>BY29*Inputs!$F$4*Inputs!$G$4</f>
        <v>240682.7724282</v>
      </c>
      <c r="CE29" s="45">
        <f>Inputs!$F$4*Inputs!$I$4*BZ29</f>
        <v>0</v>
      </c>
      <c r="CF29" s="55">
        <v>131.66310854677752</v>
      </c>
      <c r="CG29" s="41"/>
      <c r="CH29" s="41"/>
      <c r="CI29" s="41"/>
      <c r="CJ29" s="41"/>
      <c r="CK29" s="41"/>
      <c r="CL29" s="41"/>
      <c r="CM29" s="41"/>
      <c r="CN29" s="13">
        <f>Inputs!A26</f>
        <v>0</v>
      </c>
      <c r="CO29" s="13">
        <f>IF(Inputs!D26="Yes",999999,0)</f>
        <v>0</v>
      </c>
      <c r="CP29" s="41">
        <f t="shared" si="16"/>
        <v>0</v>
      </c>
      <c r="CQ29" s="41">
        <f>IF(Inputs!E26="Yes",999999,0)</f>
        <v>0</v>
      </c>
      <c r="CR29" s="41">
        <f t="shared" si="17"/>
        <v>0</v>
      </c>
      <c r="CS29" s="41"/>
      <c r="CT29" s="73"/>
      <c r="CU29" s="73"/>
      <c r="CV29" s="73"/>
      <c r="CW29" s="73"/>
      <c r="CX29" s="73"/>
      <c r="CY29" s="73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N29" s="6"/>
      <c r="DO29" s="36">
        <f t="shared" si="22"/>
        <v>0</v>
      </c>
      <c r="DP29" s="34">
        <f t="shared" si="5"/>
        <v>0</v>
      </c>
      <c r="DQ29" s="35">
        <f t="shared" si="23"/>
        <v>0</v>
      </c>
      <c r="DS29" s="28">
        <f>Inputs!A26</f>
        <v>0</v>
      </c>
      <c r="DT29" s="26">
        <f>Inputs!C26</f>
        <v>0</v>
      </c>
      <c r="DU29" s="24"/>
    </row>
    <row r="30" spans="1:125" x14ac:dyDescent="0.25">
      <c r="A30" s="116">
        <v>10</v>
      </c>
      <c r="B30" s="114" t="str">
        <f>Inputs!$A$4</f>
        <v>M3135400</v>
      </c>
      <c r="C30" s="45" t="str">
        <f>Inputs!$B$4</f>
        <v>MC</v>
      </c>
      <c r="D30" s="45" t="s">
        <v>57</v>
      </c>
      <c r="E30" s="45">
        <v>14.786524</v>
      </c>
      <c r="F30" s="53"/>
      <c r="G30" s="118">
        <v>10</v>
      </c>
      <c r="H30" s="114" t="str">
        <f>Inputs!$A$4</f>
        <v>M3135400</v>
      </c>
      <c r="I30" s="45" t="str">
        <f>Inputs!$B$4</f>
        <v>MC</v>
      </c>
      <c r="J30" s="45" t="s">
        <v>58</v>
      </c>
      <c r="K30" s="45">
        <v>0</v>
      </c>
      <c r="L30" s="53"/>
      <c r="M30" s="45">
        <v>20.816302</v>
      </c>
      <c r="N30" s="45">
        <v>0</v>
      </c>
      <c r="O30" s="45">
        <f t="shared" si="32"/>
        <v>-20.81630211242225</v>
      </c>
      <c r="P30" s="53"/>
      <c r="Q30" s="45">
        <f t="shared" si="33"/>
        <v>1.1242224928764699E-7</v>
      </c>
      <c r="R30" s="45">
        <f>M30*Inputs!$F$4*Inputs!$G$4</f>
        <v>42866.802545580002</v>
      </c>
      <c r="S30" s="45">
        <f>Inputs!$F$4*Inputs!$I$4*N30</f>
        <v>0</v>
      </c>
      <c r="T30" s="18"/>
      <c r="U30" s="91">
        <v>111.88762188757775</v>
      </c>
      <c r="W30" s="116">
        <v>10</v>
      </c>
      <c r="X30" s="114" t="str">
        <f>Inputs!$A$4</f>
        <v>M3135400</v>
      </c>
      <c r="Y30" s="45" t="str">
        <f>Inputs!$B$4</f>
        <v>MC</v>
      </c>
      <c r="Z30" s="45" t="s">
        <v>57</v>
      </c>
      <c r="AA30" s="45">
        <f t="shared" si="0"/>
        <v>14.786524</v>
      </c>
      <c r="AB30" s="53"/>
      <c r="AC30" s="118">
        <v>10</v>
      </c>
      <c r="AD30" s="114" t="str">
        <f>Inputs!$A$4</f>
        <v>M3135400</v>
      </c>
      <c r="AE30" s="45" t="str">
        <f>Inputs!$B$4</f>
        <v>MC</v>
      </c>
      <c r="AF30" s="45" t="s">
        <v>58</v>
      </c>
      <c r="AG30" s="45">
        <f t="shared" si="1"/>
        <v>0</v>
      </c>
      <c r="AH30" s="53"/>
      <c r="AI30" s="45">
        <v>219.43851000000001</v>
      </c>
      <c r="AJ30" s="45">
        <v>0</v>
      </c>
      <c r="AK30" s="45">
        <f t="shared" si="34"/>
        <v>-219.43851260429665</v>
      </c>
      <c r="AL30" s="53"/>
      <c r="AM30" s="45">
        <f t="shared" si="35"/>
        <v>2.6042966396744305E-6</v>
      </c>
      <c r="AN30" s="45">
        <f>AI30*Inputs!$F$4*Inputs!$G$4</f>
        <v>451887.52925790002</v>
      </c>
      <c r="AO30" s="45">
        <f>Inputs!$F$4*Inputs!$I$4*AJ30</f>
        <v>0</v>
      </c>
      <c r="AP30" s="91">
        <v>175.55081139570339</v>
      </c>
      <c r="AR30" s="116">
        <v>10</v>
      </c>
      <c r="AS30" s="114" t="str">
        <f>Inputs!$A$4</f>
        <v>M3135400</v>
      </c>
      <c r="AT30" s="45" t="str">
        <f>Inputs!$B$4</f>
        <v>MC</v>
      </c>
      <c r="AU30" s="45" t="s">
        <v>57</v>
      </c>
      <c r="AV30" s="45">
        <f t="shared" si="10"/>
        <v>14.786524</v>
      </c>
      <c r="AW30" s="53"/>
      <c r="AX30" s="118">
        <v>10</v>
      </c>
      <c r="AY30" s="114" t="str">
        <f>Inputs!$A$4</f>
        <v>M3135400</v>
      </c>
      <c r="AZ30" s="45" t="str">
        <f>Inputs!$B$4</f>
        <v>MC</v>
      </c>
      <c r="BA30" s="45" t="s">
        <v>58</v>
      </c>
      <c r="BB30" s="45">
        <f t="shared" si="2"/>
        <v>0</v>
      </c>
      <c r="BC30" s="53"/>
      <c r="BD30" s="45">
        <v>92.164175999999998</v>
      </c>
      <c r="BE30" s="45">
        <v>0</v>
      </c>
      <c r="BF30" s="45">
        <f t="shared" si="36"/>
        <v>-92.164179171205845</v>
      </c>
      <c r="BG30" s="53"/>
      <c r="BH30" s="45">
        <f t="shared" si="37"/>
        <v>3.1712058330413129E-6</v>
      </c>
      <c r="BI30" s="45">
        <f>BD30*Inputs!$F$4*Inputs!$G$4</f>
        <v>189792.76599504001</v>
      </c>
      <c r="BJ30" s="45">
        <f>Inputs!$F$4*Inputs!$I$4*BE30</f>
        <v>0</v>
      </c>
      <c r="BK30" s="91">
        <v>151.41257482879416</v>
      </c>
      <c r="BM30" s="116">
        <v>10</v>
      </c>
      <c r="BN30" s="114" t="str">
        <f>Inputs!$A$4</f>
        <v>M3135400</v>
      </c>
      <c r="BO30" s="45" t="str">
        <f>Inputs!$B$4</f>
        <v>MC</v>
      </c>
      <c r="BP30" s="45" t="s">
        <v>57</v>
      </c>
      <c r="BQ30" s="45">
        <f t="shared" si="3"/>
        <v>14.786524</v>
      </c>
      <c r="BR30" s="53"/>
      <c r="BS30" s="118">
        <v>10</v>
      </c>
      <c r="BT30" s="114" t="str">
        <f>Inputs!$A$4</f>
        <v>M3135400</v>
      </c>
      <c r="BU30" s="45" t="str">
        <f>Inputs!$B$4</f>
        <v>MC</v>
      </c>
      <c r="BV30" s="45" t="s">
        <v>58</v>
      </c>
      <c r="BW30" s="45">
        <f t="shared" si="4"/>
        <v>0</v>
      </c>
      <c r="BX30" s="53"/>
      <c r="BY30" s="45">
        <v>43.887703000000002</v>
      </c>
      <c r="BZ30" s="45">
        <v>0</v>
      </c>
      <c r="CA30" s="45">
        <f t="shared" si="38"/>
        <v>-43.887698302148308</v>
      </c>
      <c r="CB30" s="53"/>
      <c r="CC30" s="45">
        <f t="shared" si="39"/>
        <v>-4.6978516934359504E-6</v>
      </c>
      <c r="CD30" s="45">
        <f>BY30*Inputs!$F$4*Inputs!$G$4</f>
        <v>90377.507910870001</v>
      </c>
      <c r="CE30" s="45">
        <f>Inputs!$F$4*Inputs!$I$4*BZ30</f>
        <v>0</v>
      </c>
      <c r="CF30" s="91">
        <v>87.775405697851696</v>
      </c>
      <c r="CG30" s="41"/>
      <c r="CH30" s="41"/>
      <c r="CI30" s="41"/>
      <c r="CJ30" s="41"/>
      <c r="CK30" s="41"/>
      <c r="CL30" s="41"/>
      <c r="CM30" s="41"/>
      <c r="CN30" s="13">
        <f>Inputs!A27</f>
        <v>0</v>
      </c>
      <c r="CO30" s="13">
        <f>IF(Inputs!D27="Yes",999999,0)</f>
        <v>0</v>
      </c>
      <c r="CP30" s="41">
        <f t="shared" si="16"/>
        <v>0</v>
      </c>
      <c r="CQ30" s="41">
        <f>IF(Inputs!E27="Yes",999999,0)</f>
        <v>0</v>
      </c>
      <c r="CR30" s="41">
        <f t="shared" si="17"/>
        <v>0</v>
      </c>
      <c r="CS30" s="41"/>
      <c r="CT30" s="73"/>
      <c r="CU30" s="73"/>
      <c r="CV30" s="73"/>
      <c r="CW30" s="73"/>
      <c r="CX30" s="73"/>
      <c r="CY30" s="73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N30" s="6"/>
      <c r="DO30" s="36">
        <f t="shared" si="22"/>
        <v>0</v>
      </c>
      <c r="DP30" s="34">
        <f t="shared" si="5"/>
        <v>0</v>
      </c>
      <c r="DQ30" s="35">
        <f t="shared" si="23"/>
        <v>0</v>
      </c>
      <c r="DS30" s="28">
        <f>Inputs!A27</f>
        <v>0</v>
      </c>
      <c r="DT30" s="26">
        <f>Inputs!C27</f>
        <v>0</v>
      </c>
      <c r="DU30" s="24"/>
    </row>
    <row r="31" spans="1:125" x14ac:dyDescent="0.25">
      <c r="A31" s="116">
        <v>11</v>
      </c>
      <c r="B31" s="114" t="str">
        <f>Inputs!$A$4</f>
        <v>M3135400</v>
      </c>
      <c r="C31" s="64" t="str">
        <f>Inputs!$B$4</f>
        <v>MC</v>
      </c>
      <c r="D31" s="45" t="s">
        <v>57</v>
      </c>
      <c r="E31" s="45">
        <v>0</v>
      </c>
      <c r="F31" s="53"/>
      <c r="G31" s="118">
        <v>11</v>
      </c>
      <c r="H31" s="114" t="str">
        <f>Inputs!$A$4</f>
        <v>M3135400</v>
      </c>
      <c r="I31" s="45" t="str">
        <f>Inputs!$B$4</f>
        <v>MC</v>
      </c>
      <c r="J31" s="45" t="s">
        <v>58</v>
      </c>
      <c r="K31" s="45">
        <v>0</v>
      </c>
      <c r="L31" s="53"/>
      <c r="M31" s="45">
        <v>0</v>
      </c>
      <c r="N31" s="45">
        <v>0</v>
      </c>
      <c r="O31" s="45">
        <f t="shared" si="32"/>
        <v>-2.534739103055017E-7</v>
      </c>
      <c r="P31" s="53"/>
      <c r="Q31" s="45">
        <f t="shared" si="33"/>
        <v>2.534739103055017E-7</v>
      </c>
      <c r="R31" s="45">
        <f>M31*Inputs!$F$4*Inputs!$H$4</f>
        <v>0</v>
      </c>
      <c r="S31" s="45">
        <f>Inputs!$F$4*Inputs!$I$4*N31</f>
        <v>0</v>
      </c>
      <c r="T31" s="18"/>
      <c r="U31" s="56">
        <v>20.81630174652609</v>
      </c>
      <c r="W31" s="116">
        <v>11</v>
      </c>
      <c r="X31" s="114" t="str">
        <f>Inputs!$A$4</f>
        <v>M3135400</v>
      </c>
      <c r="Y31" s="64" t="str">
        <f>Inputs!$B$4</f>
        <v>MC</v>
      </c>
      <c r="Z31" s="45" t="s">
        <v>57</v>
      </c>
      <c r="AA31" s="45">
        <f t="shared" si="0"/>
        <v>0</v>
      </c>
      <c r="AB31" s="53"/>
      <c r="AC31" s="118">
        <v>11</v>
      </c>
      <c r="AD31" s="114" t="str">
        <f>Inputs!$A$4</f>
        <v>M3135400</v>
      </c>
      <c r="AE31" s="45" t="str">
        <f>Inputs!$B$4</f>
        <v>MC</v>
      </c>
      <c r="AF31" s="45" t="s">
        <v>58</v>
      </c>
      <c r="AG31" s="45">
        <f t="shared" si="1"/>
        <v>0</v>
      </c>
      <c r="AH31" s="53"/>
      <c r="AI31" s="45">
        <v>0</v>
      </c>
      <c r="AJ31" s="45">
        <v>0</v>
      </c>
      <c r="AK31" s="45">
        <f t="shared" si="34"/>
        <v>4.2446292241038464E-6</v>
      </c>
      <c r="AL31" s="53"/>
      <c r="AM31" s="45">
        <f t="shared" si="35"/>
        <v>-4.2446292241038464E-6</v>
      </c>
      <c r="AN31" s="45">
        <f>AI31*Inputs!$F$4*Inputs!$H$4</f>
        <v>0</v>
      </c>
      <c r="AO31" s="45">
        <f>Inputs!$F$4*Inputs!$I$4*AJ31</f>
        <v>0</v>
      </c>
      <c r="AP31" s="56">
        <v>219.43851424462923</v>
      </c>
      <c r="AR31" s="116">
        <v>11</v>
      </c>
      <c r="AS31" s="114" t="str">
        <f>Inputs!$A$4</f>
        <v>M3135400</v>
      </c>
      <c r="AT31" s="64" t="str">
        <f>Inputs!$B$4</f>
        <v>MC</v>
      </c>
      <c r="AU31" s="45" t="s">
        <v>57</v>
      </c>
      <c r="AV31" s="45">
        <f t="shared" si="10"/>
        <v>0</v>
      </c>
      <c r="AW31" s="53"/>
      <c r="AX31" s="118">
        <v>11</v>
      </c>
      <c r="AY31" s="114" t="str">
        <f>Inputs!$A$4</f>
        <v>M3135400</v>
      </c>
      <c r="AZ31" s="45" t="str">
        <f>Inputs!$B$4</f>
        <v>MC</v>
      </c>
      <c r="BA31" s="45" t="s">
        <v>58</v>
      </c>
      <c r="BB31" s="45">
        <f t="shared" si="2"/>
        <v>0</v>
      </c>
      <c r="BC31" s="53"/>
      <c r="BD31" s="45">
        <v>0</v>
      </c>
      <c r="BE31" s="45">
        <v>0</v>
      </c>
      <c r="BF31" s="45">
        <f t="shared" si="36"/>
        <v>-1.7255715079045331E-8</v>
      </c>
      <c r="BG31" s="53"/>
      <c r="BH31" s="45">
        <f t="shared" si="37"/>
        <v>1.7255715079045331E-8</v>
      </c>
      <c r="BI31" s="45">
        <f>BD31*Inputs!$F$4*Inputs!$H$4</f>
        <v>0</v>
      </c>
      <c r="BJ31" s="45">
        <f>Inputs!$F$4*Inputs!$I$4*BE31</f>
        <v>0</v>
      </c>
      <c r="BK31" s="56">
        <v>92.164175982744283</v>
      </c>
      <c r="BM31" s="116">
        <v>11</v>
      </c>
      <c r="BN31" s="114" t="str">
        <f>Inputs!$A$4</f>
        <v>M3135400</v>
      </c>
      <c r="BO31" s="64" t="str">
        <f>Inputs!$B$4</f>
        <v>MC</v>
      </c>
      <c r="BP31" s="45" t="s">
        <v>57</v>
      </c>
      <c r="BQ31" s="45">
        <f t="shared" si="3"/>
        <v>0</v>
      </c>
      <c r="BR31" s="53"/>
      <c r="BS31" s="118">
        <v>11</v>
      </c>
      <c r="BT31" s="114" t="str">
        <f>Inputs!$A$4</f>
        <v>M3135400</v>
      </c>
      <c r="BU31" s="45" t="str">
        <f>Inputs!$B$4</f>
        <v>MC</v>
      </c>
      <c r="BV31" s="45" t="s">
        <v>58</v>
      </c>
      <c r="BW31" s="45">
        <f t="shared" si="4"/>
        <v>0</v>
      </c>
      <c r="BX31" s="53"/>
      <c r="BY31" s="45">
        <v>0</v>
      </c>
      <c r="BZ31" s="45">
        <v>0</v>
      </c>
      <c r="CA31" s="45">
        <f t="shared" si="38"/>
        <v>-1.5107415407555891E-7</v>
      </c>
      <c r="CB31" s="53"/>
      <c r="CC31" s="45">
        <f t="shared" si="39"/>
        <v>1.5107415407555891E-7</v>
      </c>
      <c r="CD31" s="45">
        <f>BY31*Inputs!$F$4*Inputs!$H$4</f>
        <v>0</v>
      </c>
      <c r="CE31" s="45">
        <f>Inputs!$F$4*Inputs!$I$4*BZ31</f>
        <v>0</v>
      </c>
      <c r="CF31" s="56">
        <v>43.887702848925848</v>
      </c>
      <c r="CG31" s="41"/>
      <c r="CH31" s="41"/>
      <c r="CI31" s="41"/>
      <c r="CJ31" s="41"/>
      <c r="CK31" s="41"/>
      <c r="CL31" s="41"/>
      <c r="CM31" s="41"/>
      <c r="CN31" s="13">
        <f>Inputs!A28</f>
        <v>0</v>
      </c>
      <c r="CO31" s="13">
        <f>IF(Inputs!D28="Yes",999999,0)</f>
        <v>0</v>
      </c>
      <c r="CP31" s="41">
        <f t="shared" si="16"/>
        <v>0</v>
      </c>
      <c r="CQ31" s="41">
        <f>IF(Inputs!E28="Yes",999999,0)</f>
        <v>0</v>
      </c>
      <c r="CR31" s="41">
        <f t="shared" si="17"/>
        <v>0</v>
      </c>
      <c r="CS31" s="41"/>
      <c r="CT31" s="73"/>
      <c r="CU31" s="73"/>
      <c r="CV31" s="73"/>
      <c r="CW31" s="73"/>
      <c r="CX31" s="73"/>
      <c r="CY31" s="73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N31" s="6"/>
      <c r="DO31" s="36">
        <f t="shared" si="22"/>
        <v>0</v>
      </c>
      <c r="DP31" s="34">
        <f t="shared" si="5"/>
        <v>0</v>
      </c>
      <c r="DQ31" s="35">
        <f t="shared" si="23"/>
        <v>0</v>
      </c>
      <c r="DS31" s="28">
        <f>Inputs!A28</f>
        <v>0</v>
      </c>
      <c r="DT31" s="26">
        <f>Inputs!C28</f>
        <v>0</v>
      </c>
      <c r="DU31" s="24"/>
    </row>
    <row r="32" spans="1:125" x14ac:dyDescent="0.25">
      <c r="A32" s="117">
        <v>3</v>
      </c>
      <c r="B32" s="115" t="str">
        <f>Inputs!$A$5</f>
        <v>M3135500</v>
      </c>
      <c r="C32" s="44" t="str">
        <f>Inputs!$B$5</f>
        <v>MC</v>
      </c>
      <c r="D32" s="44" t="s">
        <v>57</v>
      </c>
      <c r="E32" s="44">
        <v>0</v>
      </c>
      <c r="F32" s="53"/>
      <c r="G32" s="119">
        <v>3</v>
      </c>
      <c r="H32" s="115" t="str">
        <f>Inputs!$A$5</f>
        <v>M3135500</v>
      </c>
      <c r="I32" s="44" t="str">
        <f>Inputs!$B$5</f>
        <v>MC</v>
      </c>
      <c r="J32" s="44" t="s">
        <v>58</v>
      </c>
      <c r="K32" s="44">
        <v>0</v>
      </c>
      <c r="L32" s="53"/>
      <c r="M32" s="44">
        <v>0</v>
      </c>
      <c r="N32" s="44">
        <v>0</v>
      </c>
      <c r="O32" s="44">
        <f>U32-0-E32-K32</f>
        <v>0</v>
      </c>
      <c r="P32" s="53"/>
      <c r="Q32" s="44">
        <f>E32+K32+N32-U32+0-M32</f>
        <v>0</v>
      </c>
      <c r="R32" s="44">
        <f>M32*Inputs!$F$5*Inputs!$G$5</f>
        <v>0</v>
      </c>
      <c r="S32" s="44">
        <f>Inputs!$F$5*Inputs!$I$5*N32</f>
        <v>0</v>
      </c>
      <c r="T32" s="18"/>
      <c r="U32" s="54">
        <v>0</v>
      </c>
      <c r="W32" s="117">
        <v>3</v>
      </c>
      <c r="X32" s="115" t="str">
        <f>Inputs!$A$5</f>
        <v>M3135500</v>
      </c>
      <c r="Y32" s="44" t="str">
        <f>Inputs!$B$5</f>
        <v>MC</v>
      </c>
      <c r="Z32" s="44" t="s">
        <v>57</v>
      </c>
      <c r="AA32" s="44">
        <f t="shared" si="0"/>
        <v>0</v>
      </c>
      <c r="AB32" s="53"/>
      <c r="AC32" s="119">
        <v>3</v>
      </c>
      <c r="AD32" s="115" t="str">
        <f>Inputs!$A$5</f>
        <v>M3135500</v>
      </c>
      <c r="AE32" s="44" t="str">
        <f>Inputs!$B$5</f>
        <v>MC</v>
      </c>
      <c r="AF32" s="44" t="s">
        <v>58</v>
      </c>
      <c r="AG32" s="44">
        <f t="shared" si="1"/>
        <v>0</v>
      </c>
      <c r="AH32" s="53"/>
      <c r="AI32" s="44">
        <v>0</v>
      </c>
      <c r="AJ32" s="44">
        <v>0</v>
      </c>
      <c r="AK32" s="44">
        <f>AP32-0-AA32-AG32</f>
        <v>0</v>
      </c>
      <c r="AL32" s="53"/>
      <c r="AM32" s="44">
        <f>AA32+AG32+AJ32-AP32+0-AI32</f>
        <v>0</v>
      </c>
      <c r="AN32" s="44">
        <f>AI32*Inputs!$F$5*Inputs!$G$5</f>
        <v>0</v>
      </c>
      <c r="AO32" s="44">
        <f>Inputs!$F$5*Inputs!$I$5*AJ32</f>
        <v>0</v>
      </c>
      <c r="AP32" s="54">
        <v>0</v>
      </c>
      <c r="AR32" s="117">
        <v>3</v>
      </c>
      <c r="AS32" s="115" t="str">
        <f>Inputs!$A$5</f>
        <v>M3135500</v>
      </c>
      <c r="AT32" s="44" t="str">
        <f>Inputs!$B$5</f>
        <v>MC</v>
      </c>
      <c r="AU32" s="44" t="s">
        <v>57</v>
      </c>
      <c r="AV32" s="44">
        <f t="shared" si="10"/>
        <v>0</v>
      </c>
      <c r="AW32" s="53"/>
      <c r="AX32" s="119">
        <v>3</v>
      </c>
      <c r="AY32" s="115" t="str">
        <f>Inputs!$A$5</f>
        <v>M3135500</v>
      </c>
      <c r="AZ32" s="44" t="str">
        <f>Inputs!$B$5</f>
        <v>MC</v>
      </c>
      <c r="BA32" s="44" t="s">
        <v>58</v>
      </c>
      <c r="BB32" s="44">
        <f t="shared" si="2"/>
        <v>0</v>
      </c>
      <c r="BC32" s="53"/>
      <c r="BD32" s="44">
        <v>0</v>
      </c>
      <c r="BE32" s="44">
        <v>0</v>
      </c>
      <c r="BF32" s="44">
        <f>BK32-0-AV32-BB32</f>
        <v>0</v>
      </c>
      <c r="BG32" s="53"/>
      <c r="BH32" s="44">
        <f>AV32+BB32+BE32-BK32+0-BD32</f>
        <v>0</v>
      </c>
      <c r="BI32" s="44">
        <f>BD32*Inputs!$F$5*Inputs!$G$5</f>
        <v>0</v>
      </c>
      <c r="BJ32" s="44">
        <f>Inputs!$F$5*Inputs!$I$5*BE32</f>
        <v>0</v>
      </c>
      <c r="BK32" s="54">
        <v>0</v>
      </c>
      <c r="BM32" s="117">
        <v>3</v>
      </c>
      <c r="BN32" s="115" t="str">
        <f>Inputs!$A$5</f>
        <v>M3135500</v>
      </c>
      <c r="BO32" s="44" t="str">
        <f>Inputs!$B$5</f>
        <v>MC</v>
      </c>
      <c r="BP32" s="44" t="s">
        <v>57</v>
      </c>
      <c r="BQ32" s="44">
        <f t="shared" si="3"/>
        <v>0</v>
      </c>
      <c r="BR32" s="53"/>
      <c r="BS32" s="119">
        <v>3</v>
      </c>
      <c r="BT32" s="115" t="str">
        <f>Inputs!$A$5</f>
        <v>M3135500</v>
      </c>
      <c r="BU32" s="44" t="str">
        <f>Inputs!$B$5</f>
        <v>MC</v>
      </c>
      <c r="BV32" s="44" t="s">
        <v>58</v>
      </c>
      <c r="BW32" s="44">
        <f t="shared" si="4"/>
        <v>0</v>
      </c>
      <c r="BX32" s="53"/>
      <c r="BY32" s="44">
        <v>0</v>
      </c>
      <c r="BZ32" s="44">
        <v>0</v>
      </c>
      <c r="CA32" s="44">
        <f>CF32-0-BQ32-BW32</f>
        <v>0</v>
      </c>
      <c r="CB32" s="53"/>
      <c r="CC32" s="44">
        <f>BQ32+BW32+BZ32-CF32+0-BY32</f>
        <v>0</v>
      </c>
      <c r="CD32" s="44">
        <f>BY32*Inputs!$F$5*Inputs!$G$5</f>
        <v>0</v>
      </c>
      <c r="CE32" s="44">
        <f>Inputs!$F$5*Inputs!$I$5*BZ32</f>
        <v>0</v>
      </c>
      <c r="CF32" s="54">
        <v>0</v>
      </c>
      <c r="CG32" s="41"/>
      <c r="CH32" s="41"/>
      <c r="CI32" s="41"/>
      <c r="CJ32" s="41"/>
      <c r="CK32" s="41"/>
      <c r="CL32" s="41"/>
      <c r="CM32" s="41"/>
      <c r="CN32" s="13">
        <f>Inputs!A29</f>
        <v>0</v>
      </c>
      <c r="CO32" s="13">
        <f>IF(Inputs!D29="Yes",999999,0)</f>
        <v>0</v>
      </c>
      <c r="CP32" s="41">
        <f t="shared" si="16"/>
        <v>0</v>
      </c>
      <c r="CQ32" s="41">
        <f>IF(Inputs!E29="Yes",999999,0)</f>
        <v>0</v>
      </c>
      <c r="CR32" s="41">
        <f t="shared" si="17"/>
        <v>0</v>
      </c>
      <c r="CS32" s="41"/>
      <c r="CT32" s="73"/>
      <c r="CU32" s="73"/>
      <c r="CV32" s="73"/>
      <c r="CW32" s="73"/>
      <c r="CX32" s="73"/>
      <c r="CY32" s="73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N32" s="6"/>
      <c r="DO32" s="36">
        <f t="shared" si="22"/>
        <v>0</v>
      </c>
      <c r="DP32" s="34">
        <f t="shared" si="5"/>
        <v>0</v>
      </c>
      <c r="DQ32" s="35">
        <f t="shared" si="23"/>
        <v>0</v>
      </c>
      <c r="DS32" s="28">
        <f>Inputs!A29</f>
        <v>0</v>
      </c>
      <c r="DT32" s="26">
        <f>Inputs!C29</f>
        <v>0</v>
      </c>
      <c r="DU32" s="24"/>
    </row>
    <row r="33" spans="1:125" x14ac:dyDescent="0.25">
      <c r="A33" s="117">
        <v>4</v>
      </c>
      <c r="B33" s="115" t="str">
        <f>Inputs!$A$5</f>
        <v>M3135500</v>
      </c>
      <c r="C33" s="44" t="str">
        <f>Inputs!$B$5</f>
        <v>MC</v>
      </c>
      <c r="D33" s="44" t="s">
        <v>57</v>
      </c>
      <c r="E33" s="44">
        <v>0</v>
      </c>
      <c r="F33" s="53"/>
      <c r="G33" s="119">
        <v>4</v>
      </c>
      <c r="H33" s="115" t="str">
        <f>Inputs!$A$5</f>
        <v>M3135500</v>
      </c>
      <c r="I33" s="44" t="str">
        <f>Inputs!$B$5</f>
        <v>MC</v>
      </c>
      <c r="J33" s="44" t="s">
        <v>58</v>
      </c>
      <c r="K33" s="44">
        <v>0</v>
      </c>
      <c r="L33" s="53"/>
      <c r="M33" s="44">
        <v>0</v>
      </c>
      <c r="N33" s="44">
        <v>0</v>
      </c>
      <c r="O33" s="44">
        <f t="shared" ref="O33:O40" si="40">U33-M32-E33-K33</f>
        <v>0</v>
      </c>
      <c r="P33" s="53"/>
      <c r="Q33" s="44">
        <f t="shared" ref="Q33:Q40" si="41">E33+K33+N33-U33+M32-M33</f>
        <v>0</v>
      </c>
      <c r="R33" s="44">
        <f>M33*Inputs!$F$5*Inputs!$G$5</f>
        <v>0</v>
      </c>
      <c r="S33" s="44">
        <f>Inputs!$F$5*Inputs!$I$5*N33</f>
        <v>0</v>
      </c>
      <c r="T33" s="18"/>
      <c r="U33" s="55">
        <v>0</v>
      </c>
      <c r="W33" s="117">
        <v>4</v>
      </c>
      <c r="X33" s="115" t="str">
        <f>Inputs!$A$5</f>
        <v>M3135500</v>
      </c>
      <c r="Y33" s="44" t="str">
        <f>Inputs!$B$5</f>
        <v>MC</v>
      </c>
      <c r="Z33" s="44" t="s">
        <v>57</v>
      </c>
      <c r="AA33" s="44">
        <f t="shared" si="0"/>
        <v>0</v>
      </c>
      <c r="AB33" s="53"/>
      <c r="AC33" s="119">
        <v>4</v>
      </c>
      <c r="AD33" s="115" t="str">
        <f>Inputs!$A$5</f>
        <v>M3135500</v>
      </c>
      <c r="AE33" s="44" t="str">
        <f>Inputs!$B$5</f>
        <v>MC</v>
      </c>
      <c r="AF33" s="44" t="s">
        <v>58</v>
      </c>
      <c r="AG33" s="44">
        <f t="shared" si="1"/>
        <v>0</v>
      </c>
      <c r="AH33" s="53"/>
      <c r="AI33" s="44">
        <v>0</v>
      </c>
      <c r="AJ33" s="44">
        <v>0</v>
      </c>
      <c r="AK33" s="44">
        <f t="shared" ref="AK33:AK40" si="42">AP33-AI32-AA33-AG33</f>
        <v>0</v>
      </c>
      <c r="AL33" s="53"/>
      <c r="AM33" s="44">
        <f t="shared" ref="AM33:AM40" si="43">AA33+AG33+AJ33-AP33+AI32-AI33</f>
        <v>0</v>
      </c>
      <c r="AN33" s="44">
        <f>AI33*Inputs!$F$5*Inputs!$G$5</f>
        <v>0</v>
      </c>
      <c r="AO33" s="44">
        <f>Inputs!$F$5*Inputs!$I$5*AJ33</f>
        <v>0</v>
      </c>
      <c r="AP33" s="55">
        <v>0</v>
      </c>
      <c r="AR33" s="117">
        <v>4</v>
      </c>
      <c r="AS33" s="115" t="str">
        <f>Inputs!$A$5</f>
        <v>M3135500</v>
      </c>
      <c r="AT33" s="44" t="str">
        <f>Inputs!$B$5</f>
        <v>MC</v>
      </c>
      <c r="AU33" s="44" t="s">
        <v>57</v>
      </c>
      <c r="AV33" s="44">
        <f t="shared" si="10"/>
        <v>0</v>
      </c>
      <c r="AW33" s="53"/>
      <c r="AX33" s="119">
        <v>4</v>
      </c>
      <c r="AY33" s="115" t="str">
        <f>Inputs!$A$5</f>
        <v>M3135500</v>
      </c>
      <c r="AZ33" s="44" t="str">
        <f>Inputs!$B$5</f>
        <v>MC</v>
      </c>
      <c r="BA33" s="44" t="s">
        <v>58</v>
      </c>
      <c r="BB33" s="44">
        <f t="shared" si="2"/>
        <v>0</v>
      </c>
      <c r="BC33" s="53"/>
      <c r="BD33" s="44">
        <v>0</v>
      </c>
      <c r="BE33" s="44">
        <v>0</v>
      </c>
      <c r="BF33" s="44">
        <f t="shared" ref="BF33:BF40" si="44">BK33-BD32-AV33-BB33</f>
        <v>0</v>
      </c>
      <c r="BG33" s="53"/>
      <c r="BH33" s="44">
        <f t="shared" ref="BH33:BH40" si="45">AV33+BB33+BE33-BK33+BD32-BD33</f>
        <v>0</v>
      </c>
      <c r="BI33" s="44">
        <f>BD33*Inputs!$F$5*Inputs!$G$5</f>
        <v>0</v>
      </c>
      <c r="BJ33" s="44">
        <f>Inputs!$F$5*Inputs!$I$5*BE33</f>
        <v>0</v>
      </c>
      <c r="BK33" s="55">
        <v>0</v>
      </c>
      <c r="BM33" s="117">
        <v>4</v>
      </c>
      <c r="BN33" s="115" t="str">
        <f>Inputs!$A$5</f>
        <v>M3135500</v>
      </c>
      <c r="BO33" s="44" t="str">
        <f>Inputs!$B$5</f>
        <v>MC</v>
      </c>
      <c r="BP33" s="44" t="s">
        <v>57</v>
      </c>
      <c r="BQ33" s="44">
        <f t="shared" si="3"/>
        <v>0</v>
      </c>
      <c r="BR33" s="53"/>
      <c r="BS33" s="119">
        <v>4</v>
      </c>
      <c r="BT33" s="115" t="str">
        <f>Inputs!$A$5</f>
        <v>M3135500</v>
      </c>
      <c r="BU33" s="44" t="str">
        <f>Inputs!$B$5</f>
        <v>MC</v>
      </c>
      <c r="BV33" s="44" t="s">
        <v>58</v>
      </c>
      <c r="BW33" s="44">
        <f t="shared" si="4"/>
        <v>0</v>
      </c>
      <c r="BX33" s="53"/>
      <c r="BY33" s="44">
        <v>0</v>
      </c>
      <c r="BZ33" s="44">
        <v>0</v>
      </c>
      <c r="CA33" s="44">
        <f t="shared" ref="CA33:CA40" si="46">CF33-BY32-BQ33-BW33</f>
        <v>0</v>
      </c>
      <c r="CB33" s="53"/>
      <c r="CC33" s="44">
        <f t="shared" ref="CC33:CC40" si="47">BQ33+BW33+BZ33-CF33+BY32-BY33</f>
        <v>0</v>
      </c>
      <c r="CD33" s="44">
        <f>BY33*Inputs!$F$5*Inputs!$G$5</f>
        <v>0</v>
      </c>
      <c r="CE33" s="44">
        <f>Inputs!$F$5*Inputs!$I$5*BZ33</f>
        <v>0</v>
      </c>
      <c r="CF33" s="55">
        <v>0</v>
      </c>
      <c r="CG33" s="41"/>
      <c r="CH33" s="41"/>
      <c r="CI33" s="41"/>
      <c r="CJ33" s="41"/>
      <c r="CK33" s="41"/>
      <c r="CL33" s="41"/>
      <c r="CM33" s="41"/>
      <c r="CN33" s="13">
        <f>Inputs!A30</f>
        <v>0</v>
      </c>
      <c r="CO33" s="13">
        <f>IF(Inputs!D30="Yes",999999,0)</f>
        <v>0</v>
      </c>
      <c r="CP33" s="41">
        <f t="shared" si="16"/>
        <v>0</v>
      </c>
      <c r="CQ33" s="41">
        <f>IF(Inputs!E30="Yes",999999,0)</f>
        <v>0</v>
      </c>
      <c r="CR33" s="41">
        <f t="shared" si="17"/>
        <v>0</v>
      </c>
      <c r="CS33" s="41"/>
      <c r="CT33" s="73"/>
      <c r="CU33" s="73"/>
      <c r="CV33" s="73"/>
      <c r="CW33" s="73"/>
      <c r="CX33" s="73"/>
      <c r="CY33" s="73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N33" s="6"/>
      <c r="DO33" s="36">
        <f t="shared" si="22"/>
        <v>0</v>
      </c>
      <c r="DP33" s="34">
        <f t="shared" si="5"/>
        <v>0</v>
      </c>
      <c r="DQ33" s="35">
        <f t="shared" si="23"/>
        <v>0</v>
      </c>
      <c r="DS33" s="28">
        <f>Inputs!A30</f>
        <v>0</v>
      </c>
      <c r="DT33" s="26">
        <f>Inputs!C30</f>
        <v>0</v>
      </c>
      <c r="DU33" s="24"/>
    </row>
    <row r="34" spans="1:125" ht="15.75" customHeight="1" x14ac:dyDescent="0.25">
      <c r="A34" s="117">
        <v>5</v>
      </c>
      <c r="B34" s="115" t="str">
        <f>Inputs!$A$5</f>
        <v>M3135500</v>
      </c>
      <c r="C34" s="44" t="str">
        <f>Inputs!$B$5</f>
        <v>MC</v>
      </c>
      <c r="D34" s="44" t="s">
        <v>57</v>
      </c>
      <c r="E34" s="44">
        <v>0</v>
      </c>
      <c r="F34" s="53"/>
      <c r="G34" s="119">
        <v>5</v>
      </c>
      <c r="H34" s="115" t="str">
        <f>Inputs!$A$5</f>
        <v>M3135500</v>
      </c>
      <c r="I34" s="44" t="str">
        <f>Inputs!$B$5</f>
        <v>MC</v>
      </c>
      <c r="J34" s="44" t="s">
        <v>58</v>
      </c>
      <c r="K34" s="44">
        <v>0</v>
      </c>
      <c r="L34" s="53"/>
      <c r="M34" s="44">
        <v>0</v>
      </c>
      <c r="N34" s="44">
        <v>0</v>
      </c>
      <c r="O34" s="44">
        <f t="shared" si="40"/>
        <v>0</v>
      </c>
      <c r="P34" s="53"/>
      <c r="Q34" s="44">
        <f t="shared" si="41"/>
        <v>0</v>
      </c>
      <c r="R34" s="44">
        <f>M34*Inputs!$F$5*Inputs!$G$5</f>
        <v>0</v>
      </c>
      <c r="S34" s="44">
        <f>Inputs!$F$5*Inputs!$I$5*N34</f>
        <v>0</v>
      </c>
      <c r="T34" s="18"/>
      <c r="U34" s="55">
        <v>0</v>
      </c>
      <c r="W34" s="117">
        <v>5</v>
      </c>
      <c r="X34" s="115" t="str">
        <f>Inputs!$A$5</f>
        <v>M3135500</v>
      </c>
      <c r="Y34" s="44" t="str">
        <f>Inputs!$B$5</f>
        <v>MC</v>
      </c>
      <c r="Z34" s="44" t="s">
        <v>57</v>
      </c>
      <c r="AA34" s="44">
        <f t="shared" si="0"/>
        <v>0</v>
      </c>
      <c r="AB34" s="53"/>
      <c r="AC34" s="119">
        <v>5</v>
      </c>
      <c r="AD34" s="115" t="str">
        <f>Inputs!$A$5</f>
        <v>M3135500</v>
      </c>
      <c r="AE34" s="44" t="str">
        <f>Inputs!$B$5</f>
        <v>MC</v>
      </c>
      <c r="AF34" s="44" t="s">
        <v>58</v>
      </c>
      <c r="AG34" s="44">
        <f t="shared" si="1"/>
        <v>0</v>
      </c>
      <c r="AH34" s="53"/>
      <c r="AI34" s="44">
        <v>0</v>
      </c>
      <c r="AJ34" s="44">
        <v>0</v>
      </c>
      <c r="AK34" s="44">
        <f t="shared" si="42"/>
        <v>0</v>
      </c>
      <c r="AL34" s="53"/>
      <c r="AM34" s="44">
        <f t="shared" si="43"/>
        <v>0</v>
      </c>
      <c r="AN34" s="44">
        <f>AI34*Inputs!$F$5*Inputs!$G$5</f>
        <v>0</v>
      </c>
      <c r="AO34" s="44">
        <f>Inputs!$F$5*Inputs!$I$5*AJ34</f>
        <v>0</v>
      </c>
      <c r="AP34" s="55">
        <v>0</v>
      </c>
      <c r="AR34" s="117">
        <v>5</v>
      </c>
      <c r="AS34" s="115" t="str">
        <f>Inputs!$A$5</f>
        <v>M3135500</v>
      </c>
      <c r="AT34" s="44" t="str">
        <f>Inputs!$B$5</f>
        <v>MC</v>
      </c>
      <c r="AU34" s="44" t="s">
        <v>57</v>
      </c>
      <c r="AV34" s="44">
        <f t="shared" si="10"/>
        <v>0</v>
      </c>
      <c r="AW34" s="53"/>
      <c r="AX34" s="119">
        <v>5</v>
      </c>
      <c r="AY34" s="115" t="str">
        <f>Inputs!$A$5</f>
        <v>M3135500</v>
      </c>
      <c r="AZ34" s="44" t="str">
        <f>Inputs!$B$5</f>
        <v>MC</v>
      </c>
      <c r="BA34" s="44" t="s">
        <v>58</v>
      </c>
      <c r="BB34" s="44">
        <f t="shared" si="2"/>
        <v>0</v>
      </c>
      <c r="BC34" s="53"/>
      <c r="BD34" s="44">
        <v>0</v>
      </c>
      <c r="BE34" s="44">
        <v>0</v>
      </c>
      <c r="BF34" s="44">
        <f t="shared" si="44"/>
        <v>0</v>
      </c>
      <c r="BG34" s="53"/>
      <c r="BH34" s="44">
        <f t="shared" si="45"/>
        <v>0</v>
      </c>
      <c r="BI34" s="44">
        <f>BD34*Inputs!$F$5*Inputs!$G$5</f>
        <v>0</v>
      </c>
      <c r="BJ34" s="44">
        <f>Inputs!$F$5*Inputs!$I$5*BE34</f>
        <v>0</v>
      </c>
      <c r="BK34" s="55">
        <v>0</v>
      </c>
      <c r="BM34" s="117">
        <v>5</v>
      </c>
      <c r="BN34" s="115" t="str">
        <f>Inputs!$A$5</f>
        <v>M3135500</v>
      </c>
      <c r="BO34" s="44" t="str">
        <f>Inputs!$B$5</f>
        <v>MC</v>
      </c>
      <c r="BP34" s="44" t="s">
        <v>57</v>
      </c>
      <c r="BQ34" s="44">
        <f t="shared" si="3"/>
        <v>0</v>
      </c>
      <c r="BR34" s="53"/>
      <c r="BS34" s="119">
        <v>5</v>
      </c>
      <c r="BT34" s="115" t="str">
        <f>Inputs!$A$5</f>
        <v>M3135500</v>
      </c>
      <c r="BU34" s="44" t="str">
        <f>Inputs!$B$5</f>
        <v>MC</v>
      </c>
      <c r="BV34" s="44" t="s">
        <v>58</v>
      </c>
      <c r="BW34" s="44">
        <f t="shared" si="4"/>
        <v>0</v>
      </c>
      <c r="BX34" s="53"/>
      <c r="BY34" s="44">
        <v>0</v>
      </c>
      <c r="BZ34" s="44">
        <v>0</v>
      </c>
      <c r="CA34" s="44">
        <f t="shared" si="46"/>
        <v>0</v>
      </c>
      <c r="CB34" s="53"/>
      <c r="CC34" s="44">
        <f t="shared" si="47"/>
        <v>0</v>
      </c>
      <c r="CD34" s="44">
        <f>BY34*Inputs!$F$5*Inputs!$G$5</f>
        <v>0</v>
      </c>
      <c r="CE34" s="44">
        <f>Inputs!$F$5*Inputs!$I$5*BZ34</f>
        <v>0</v>
      </c>
      <c r="CF34" s="55">
        <v>0</v>
      </c>
      <c r="CG34" s="41"/>
      <c r="CH34" s="41"/>
      <c r="CI34" s="41"/>
      <c r="CJ34" s="41"/>
      <c r="CK34" s="41"/>
      <c r="CL34" s="41"/>
      <c r="CM34" s="41"/>
      <c r="CN34" s="13">
        <f>Inputs!A31</f>
        <v>0</v>
      </c>
      <c r="CO34" s="13">
        <f>IF(Inputs!D31="Yes",999999,0)</f>
        <v>0</v>
      </c>
      <c r="CP34" s="41">
        <f t="shared" si="16"/>
        <v>0</v>
      </c>
      <c r="CQ34" s="41">
        <f>IF(Inputs!E31="Yes",999999,0)</f>
        <v>0</v>
      </c>
      <c r="CR34" s="41">
        <f t="shared" si="17"/>
        <v>0</v>
      </c>
      <c r="CS34" s="41"/>
      <c r="CT34" s="73"/>
      <c r="CU34" s="73"/>
      <c r="CV34" s="73"/>
      <c r="CW34" s="73"/>
      <c r="CX34" s="73"/>
      <c r="CY34" s="73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N34" s="6"/>
      <c r="DO34" s="36">
        <f t="shared" si="22"/>
        <v>0</v>
      </c>
      <c r="DP34" s="34">
        <f t="shared" si="5"/>
        <v>0</v>
      </c>
      <c r="DQ34" s="35">
        <f t="shared" si="23"/>
        <v>0</v>
      </c>
      <c r="DR34" s="10"/>
      <c r="DS34" s="28">
        <f>Inputs!A31</f>
        <v>0</v>
      </c>
      <c r="DT34" s="26">
        <f>Inputs!C31</f>
        <v>0</v>
      </c>
      <c r="DU34" s="24"/>
    </row>
    <row r="35" spans="1:125" ht="15.75" customHeight="1" x14ac:dyDescent="0.25">
      <c r="A35" s="117">
        <v>6</v>
      </c>
      <c r="B35" s="115" t="str">
        <f>Inputs!$A$5</f>
        <v>M3135500</v>
      </c>
      <c r="C35" s="44" t="str">
        <f>Inputs!$B$5</f>
        <v>MC</v>
      </c>
      <c r="D35" s="44" t="s">
        <v>57</v>
      </c>
      <c r="E35" s="44">
        <v>0</v>
      </c>
      <c r="F35" s="53"/>
      <c r="G35" s="119">
        <v>6</v>
      </c>
      <c r="H35" s="115" t="str">
        <f>Inputs!$A$5</f>
        <v>M3135500</v>
      </c>
      <c r="I35" s="44" t="str">
        <f>Inputs!$B$5</f>
        <v>MC</v>
      </c>
      <c r="J35" s="44" t="s">
        <v>58</v>
      </c>
      <c r="K35" s="44">
        <v>426.40906999999999</v>
      </c>
      <c r="L35" s="53"/>
      <c r="M35" s="44">
        <v>400.76690000000002</v>
      </c>
      <c r="N35" s="44">
        <v>0</v>
      </c>
      <c r="O35" s="44">
        <f t="shared" si="40"/>
        <v>-400.76690299840539</v>
      </c>
      <c r="P35" s="53"/>
      <c r="Q35" s="44">
        <f t="shared" si="41"/>
        <v>2.9984053639964259E-6</v>
      </c>
      <c r="R35" s="44">
        <f>M35*Inputs!$F$5*Inputs!$G$5</f>
        <v>824905.72407420003</v>
      </c>
      <c r="S35" s="44">
        <f>Inputs!$F$5*Inputs!$I$5*N35</f>
        <v>0</v>
      </c>
      <c r="T35" s="18"/>
      <c r="U35" s="55">
        <v>25.642167001594597</v>
      </c>
      <c r="W35" s="117">
        <v>6</v>
      </c>
      <c r="X35" s="115" t="str">
        <f>Inputs!$A$5</f>
        <v>M3135500</v>
      </c>
      <c r="Y35" s="44" t="str">
        <f>Inputs!$B$5</f>
        <v>MC</v>
      </c>
      <c r="Z35" s="44" t="s">
        <v>57</v>
      </c>
      <c r="AA35" s="44">
        <f t="shared" si="0"/>
        <v>0</v>
      </c>
      <c r="AB35" s="53"/>
      <c r="AC35" s="119">
        <v>6</v>
      </c>
      <c r="AD35" s="115" t="str">
        <f>Inputs!$A$5</f>
        <v>M3135500</v>
      </c>
      <c r="AE35" s="44" t="str">
        <f>Inputs!$B$5</f>
        <v>MC</v>
      </c>
      <c r="AF35" s="44" t="s">
        <v>58</v>
      </c>
      <c r="AG35" s="44">
        <f t="shared" si="1"/>
        <v>426.40906999999999</v>
      </c>
      <c r="AH35" s="53"/>
      <c r="AI35" s="44">
        <v>426.40906999999999</v>
      </c>
      <c r="AJ35" s="44">
        <v>0</v>
      </c>
      <c r="AK35" s="44">
        <f t="shared" si="42"/>
        <v>-426.40906999999999</v>
      </c>
      <c r="AL35" s="53"/>
      <c r="AM35" s="44">
        <f t="shared" si="43"/>
        <v>0</v>
      </c>
      <c r="AN35" s="44">
        <f>AI35*Inputs!$F$5*Inputs!$G$5</f>
        <v>877685.46414425992</v>
      </c>
      <c r="AO35" s="44">
        <f>Inputs!$F$5*Inputs!$I$5*AJ35</f>
        <v>0</v>
      </c>
      <c r="AP35" s="55">
        <v>0</v>
      </c>
      <c r="AR35" s="117">
        <v>6</v>
      </c>
      <c r="AS35" s="115" t="str">
        <f>Inputs!$A$5</f>
        <v>M3135500</v>
      </c>
      <c r="AT35" s="44" t="str">
        <f>Inputs!$B$5</f>
        <v>MC</v>
      </c>
      <c r="AU35" s="44" t="s">
        <v>57</v>
      </c>
      <c r="AV35" s="44">
        <f t="shared" si="10"/>
        <v>0</v>
      </c>
      <c r="AW35" s="53"/>
      <c r="AX35" s="119">
        <v>6</v>
      </c>
      <c r="AY35" s="115" t="str">
        <f>Inputs!$A$5</f>
        <v>M3135500</v>
      </c>
      <c r="AZ35" s="44" t="str">
        <f>Inputs!$B$5</f>
        <v>MC</v>
      </c>
      <c r="BA35" s="44" t="s">
        <v>58</v>
      </c>
      <c r="BB35" s="44">
        <f t="shared" si="2"/>
        <v>426.40906999999999</v>
      </c>
      <c r="BC35" s="53"/>
      <c r="BD35" s="44">
        <v>426.40906999999999</v>
      </c>
      <c r="BE35" s="44">
        <v>0</v>
      </c>
      <c r="BF35" s="44">
        <f t="shared" si="44"/>
        <v>-426.40906999999999</v>
      </c>
      <c r="BG35" s="53"/>
      <c r="BH35" s="44">
        <f t="shared" si="45"/>
        <v>0</v>
      </c>
      <c r="BI35" s="44">
        <f>BD35*Inputs!$F$5*Inputs!$G$5</f>
        <v>877685.46414425992</v>
      </c>
      <c r="BJ35" s="44">
        <f>Inputs!$F$5*Inputs!$I$5*BE35</f>
        <v>0</v>
      </c>
      <c r="BK35" s="55">
        <v>0</v>
      </c>
      <c r="BM35" s="117">
        <v>6</v>
      </c>
      <c r="BN35" s="115" t="str">
        <f>Inputs!$A$5</f>
        <v>M3135500</v>
      </c>
      <c r="BO35" s="44" t="str">
        <f>Inputs!$B$5</f>
        <v>MC</v>
      </c>
      <c r="BP35" s="44" t="s">
        <v>57</v>
      </c>
      <c r="BQ35" s="44">
        <f t="shared" si="3"/>
        <v>0</v>
      </c>
      <c r="BR35" s="53"/>
      <c r="BS35" s="119">
        <v>6</v>
      </c>
      <c r="BT35" s="115" t="str">
        <f>Inputs!$A$5</f>
        <v>M3135500</v>
      </c>
      <c r="BU35" s="44" t="str">
        <f>Inputs!$B$5</f>
        <v>MC</v>
      </c>
      <c r="BV35" s="44" t="s">
        <v>58</v>
      </c>
      <c r="BW35" s="44">
        <f t="shared" si="4"/>
        <v>426.40906999999999</v>
      </c>
      <c r="BX35" s="53"/>
      <c r="BY35" s="44">
        <v>426.40906999999999</v>
      </c>
      <c r="BZ35" s="44">
        <v>0</v>
      </c>
      <c r="CA35" s="44">
        <f t="shared" si="46"/>
        <v>-426.40906999999999</v>
      </c>
      <c r="CB35" s="53"/>
      <c r="CC35" s="44">
        <f t="shared" si="47"/>
        <v>0</v>
      </c>
      <c r="CD35" s="44">
        <f>BY35*Inputs!$F$5*Inputs!$G$5</f>
        <v>877685.46414425992</v>
      </c>
      <c r="CE35" s="44">
        <f>Inputs!$F$5*Inputs!$I$5*BZ35</f>
        <v>0</v>
      </c>
      <c r="CF35" s="55">
        <v>0</v>
      </c>
      <c r="CG35" s="41"/>
      <c r="CH35" s="41"/>
      <c r="CI35" s="41"/>
      <c r="CJ35" s="41"/>
      <c r="CK35" s="41"/>
      <c r="CL35" s="41"/>
      <c r="CM35" s="41"/>
      <c r="CN35" s="13">
        <f>Inputs!A32</f>
        <v>0</v>
      </c>
      <c r="CO35" s="13">
        <f>IF(Inputs!D32="Yes",999999,0)</f>
        <v>0</v>
      </c>
      <c r="CP35" s="41">
        <f t="shared" si="16"/>
        <v>0</v>
      </c>
      <c r="CQ35" s="41">
        <f>IF(Inputs!E32="Yes",999999,0)</f>
        <v>0</v>
      </c>
      <c r="CR35" s="41">
        <f t="shared" si="17"/>
        <v>0</v>
      </c>
      <c r="CS35" s="41"/>
      <c r="CT35" s="73"/>
      <c r="CU35" s="73"/>
      <c r="CV35" s="73"/>
      <c r="CW35" s="73"/>
      <c r="CX35" s="73"/>
      <c r="CY35" s="73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N35" s="6"/>
      <c r="DO35" s="36">
        <f t="shared" si="22"/>
        <v>0</v>
      </c>
      <c r="DP35" s="34">
        <f t="shared" si="5"/>
        <v>0</v>
      </c>
      <c r="DQ35" s="35">
        <f t="shared" si="23"/>
        <v>0</v>
      </c>
      <c r="DR35" s="10"/>
      <c r="DS35" s="28">
        <f>Inputs!A32</f>
        <v>0</v>
      </c>
      <c r="DT35" s="26">
        <f>Inputs!C32</f>
        <v>0</v>
      </c>
      <c r="DU35" s="24"/>
    </row>
    <row r="36" spans="1:125" ht="15.75" customHeight="1" x14ac:dyDescent="0.25">
      <c r="A36" s="117">
        <v>7</v>
      </c>
      <c r="B36" s="115" t="str">
        <f>Inputs!$A$5</f>
        <v>M3135500</v>
      </c>
      <c r="C36" s="44" t="str">
        <f>Inputs!$B$5</f>
        <v>MC</v>
      </c>
      <c r="D36" s="44" t="s">
        <v>57</v>
      </c>
      <c r="E36" s="44">
        <v>0</v>
      </c>
      <c r="F36" s="53"/>
      <c r="G36" s="119">
        <v>7</v>
      </c>
      <c r="H36" s="115" t="str">
        <f>Inputs!$A$5</f>
        <v>M3135500</v>
      </c>
      <c r="I36" s="44" t="str">
        <f>Inputs!$B$5</f>
        <v>MC</v>
      </c>
      <c r="J36" s="44" t="s">
        <v>58</v>
      </c>
      <c r="K36" s="44">
        <v>0</v>
      </c>
      <c r="L36" s="53"/>
      <c r="M36" s="44">
        <v>292.86811999999998</v>
      </c>
      <c r="N36" s="44">
        <v>0</v>
      </c>
      <c r="O36" s="44">
        <f t="shared" si="40"/>
        <v>-292.86811862812164</v>
      </c>
      <c r="P36" s="53"/>
      <c r="Q36" s="44">
        <f t="shared" si="41"/>
        <v>-1.3718783407057344E-6</v>
      </c>
      <c r="R36" s="44">
        <f>M36*Inputs!$F$5*Inputs!$G$5</f>
        <v>602815.72302215989</v>
      </c>
      <c r="S36" s="44">
        <f>Inputs!$F$5*Inputs!$I$5*N36</f>
        <v>0</v>
      </c>
      <c r="T36" s="18"/>
      <c r="U36" s="55">
        <v>107.89878137187839</v>
      </c>
      <c r="W36" s="117">
        <v>7</v>
      </c>
      <c r="X36" s="115" t="str">
        <f>Inputs!$A$5</f>
        <v>M3135500</v>
      </c>
      <c r="Y36" s="44" t="str">
        <f>Inputs!$B$5</f>
        <v>MC</v>
      </c>
      <c r="Z36" s="44" t="s">
        <v>57</v>
      </c>
      <c r="AA36" s="44">
        <f t="shared" si="0"/>
        <v>0</v>
      </c>
      <c r="AB36" s="53"/>
      <c r="AC36" s="119">
        <v>7</v>
      </c>
      <c r="AD36" s="115" t="str">
        <f>Inputs!$A$5</f>
        <v>M3135500</v>
      </c>
      <c r="AE36" s="44" t="str">
        <f>Inputs!$B$5</f>
        <v>MC</v>
      </c>
      <c r="AF36" s="44" t="s">
        <v>58</v>
      </c>
      <c r="AG36" s="44">
        <f t="shared" si="1"/>
        <v>0</v>
      </c>
      <c r="AH36" s="53"/>
      <c r="AI36" s="44">
        <v>397.98180000000002</v>
      </c>
      <c r="AJ36" s="44">
        <v>0</v>
      </c>
      <c r="AK36" s="44">
        <f t="shared" si="42"/>
        <v>-397.98179871733333</v>
      </c>
      <c r="AL36" s="53"/>
      <c r="AM36" s="44">
        <f t="shared" si="43"/>
        <v>-1.2826666875298542E-6</v>
      </c>
      <c r="AN36" s="44">
        <f>AI36*Inputs!$F$5*Inputs!$G$5</f>
        <v>819173.10261240008</v>
      </c>
      <c r="AO36" s="44">
        <f>Inputs!$F$5*Inputs!$I$5*AJ36</f>
        <v>0</v>
      </c>
      <c r="AP36" s="55">
        <v>28.427271282666666</v>
      </c>
      <c r="AR36" s="117">
        <v>7</v>
      </c>
      <c r="AS36" s="115" t="str">
        <f>Inputs!$A$5</f>
        <v>M3135500</v>
      </c>
      <c r="AT36" s="44" t="str">
        <f>Inputs!$B$5</f>
        <v>MC</v>
      </c>
      <c r="AU36" s="44" t="s">
        <v>57</v>
      </c>
      <c r="AV36" s="44">
        <f t="shared" si="10"/>
        <v>0</v>
      </c>
      <c r="AW36" s="53"/>
      <c r="AX36" s="119">
        <v>7</v>
      </c>
      <c r="AY36" s="115" t="str">
        <f>Inputs!$A$5</f>
        <v>M3135500</v>
      </c>
      <c r="AZ36" s="44" t="str">
        <f>Inputs!$B$5</f>
        <v>MC</v>
      </c>
      <c r="BA36" s="44" t="s">
        <v>58</v>
      </c>
      <c r="BB36" s="44">
        <f t="shared" si="2"/>
        <v>0</v>
      </c>
      <c r="BC36" s="53"/>
      <c r="BD36" s="44">
        <v>366.71179999999998</v>
      </c>
      <c r="BE36" s="44">
        <v>0</v>
      </c>
      <c r="BF36" s="44">
        <f t="shared" si="44"/>
        <v>-366.71180030639999</v>
      </c>
      <c r="BG36" s="53"/>
      <c r="BH36" s="44">
        <f t="shared" si="45"/>
        <v>3.0640001114079496E-7</v>
      </c>
      <c r="BI36" s="44">
        <f>BD36*Inputs!$F$5*Inputs!$G$5</f>
        <v>754809.49875240005</v>
      </c>
      <c r="BJ36" s="44">
        <f>Inputs!$F$5*Inputs!$I$5*BE36</f>
        <v>0</v>
      </c>
      <c r="BK36" s="55">
        <v>59.697269693600006</v>
      </c>
      <c r="BM36" s="117">
        <v>7</v>
      </c>
      <c r="BN36" s="115" t="str">
        <f>Inputs!$A$5</f>
        <v>M3135500</v>
      </c>
      <c r="BO36" s="44" t="str">
        <f>Inputs!$B$5</f>
        <v>MC</v>
      </c>
      <c r="BP36" s="44" t="s">
        <v>57</v>
      </c>
      <c r="BQ36" s="44">
        <f t="shared" si="3"/>
        <v>0</v>
      </c>
      <c r="BR36" s="53"/>
      <c r="BS36" s="119">
        <v>7</v>
      </c>
      <c r="BT36" s="115" t="str">
        <f>Inputs!$A$5</f>
        <v>M3135500</v>
      </c>
      <c r="BU36" s="44" t="str">
        <f>Inputs!$B$5</f>
        <v>MC</v>
      </c>
      <c r="BV36" s="44" t="s">
        <v>58</v>
      </c>
      <c r="BW36" s="44">
        <f t="shared" si="4"/>
        <v>0</v>
      </c>
      <c r="BX36" s="53"/>
      <c r="BY36" s="44">
        <v>284.27271000000002</v>
      </c>
      <c r="BZ36" s="44">
        <v>0</v>
      </c>
      <c r="CA36" s="44">
        <f t="shared" si="46"/>
        <v>-284.27271358666667</v>
      </c>
      <c r="CB36" s="53"/>
      <c r="CC36" s="44">
        <f t="shared" si="47"/>
        <v>3.5866666507899936E-6</v>
      </c>
      <c r="CD36" s="44">
        <f>BY36*Inputs!$F$5*Inputs!$G$5</f>
        <v>585123.63590177998</v>
      </c>
      <c r="CE36" s="44">
        <f>Inputs!$F$5*Inputs!$I$5*BZ36</f>
        <v>0</v>
      </c>
      <c r="CF36" s="55">
        <v>142.13635641333332</v>
      </c>
      <c r="CG36" s="41"/>
      <c r="CH36" s="41"/>
      <c r="CI36" s="41"/>
      <c r="CJ36" s="41"/>
      <c r="CK36" s="41"/>
      <c r="CL36" s="41"/>
      <c r="CM36" s="41"/>
      <c r="CN36" s="13">
        <f>Inputs!A33</f>
        <v>0</v>
      </c>
      <c r="CO36" s="13">
        <f>IF(Inputs!D33="Yes",999999,0)</f>
        <v>0</v>
      </c>
      <c r="CP36" s="41">
        <f t="shared" si="16"/>
        <v>0</v>
      </c>
      <c r="CQ36" s="41">
        <f>IF(Inputs!E33="Yes",999999,0)</f>
        <v>0</v>
      </c>
      <c r="CR36" s="41">
        <f t="shared" si="17"/>
        <v>0</v>
      </c>
      <c r="CS36" s="41"/>
      <c r="CT36" s="73"/>
      <c r="CU36" s="73"/>
      <c r="CV36" s="73"/>
      <c r="CW36" s="73"/>
      <c r="CX36" s="73"/>
      <c r="CY36" s="73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N36" s="6"/>
      <c r="DO36" s="36">
        <f t="shared" si="22"/>
        <v>0</v>
      </c>
      <c r="DP36" s="34">
        <f t="shared" si="5"/>
        <v>0</v>
      </c>
      <c r="DQ36" s="35">
        <f t="shared" si="23"/>
        <v>0</v>
      </c>
      <c r="DR36" s="10"/>
      <c r="DS36" s="28">
        <f>Inputs!A33</f>
        <v>0</v>
      </c>
      <c r="DT36" s="26">
        <f>Inputs!C33</f>
        <v>0</v>
      </c>
      <c r="DU36" s="24"/>
    </row>
    <row r="37" spans="1:125" ht="15.75" customHeight="1" x14ac:dyDescent="0.25">
      <c r="A37" s="117">
        <v>8</v>
      </c>
      <c r="B37" s="115" t="str">
        <f>Inputs!$A$5</f>
        <v>M3135500</v>
      </c>
      <c r="C37" s="44" t="str">
        <f>Inputs!$B$5</f>
        <v>MC</v>
      </c>
      <c r="D37" s="44" t="s">
        <v>57</v>
      </c>
      <c r="E37" s="44">
        <v>0</v>
      </c>
      <c r="F37" s="53"/>
      <c r="G37" s="119">
        <v>8</v>
      </c>
      <c r="H37" s="115" t="str">
        <f>Inputs!$A$5</f>
        <v>M3135500</v>
      </c>
      <c r="I37" s="44" t="str">
        <f>Inputs!$B$5</f>
        <v>MC</v>
      </c>
      <c r="J37" s="44" t="s">
        <v>58</v>
      </c>
      <c r="K37" s="44">
        <v>0</v>
      </c>
      <c r="L37" s="53"/>
      <c r="M37" s="44">
        <v>117.69467</v>
      </c>
      <c r="N37" s="44">
        <v>0</v>
      </c>
      <c r="O37" s="44">
        <f t="shared" si="40"/>
        <v>-117.69466452843241</v>
      </c>
      <c r="P37" s="53"/>
      <c r="Q37" s="44">
        <f t="shared" si="41"/>
        <v>-5.4715675901206851E-6</v>
      </c>
      <c r="R37" s="44">
        <f>M37*Inputs!$F$5*Inputs!$G$5</f>
        <v>242253.05776505999</v>
      </c>
      <c r="S37" s="44">
        <f>Inputs!$F$5*Inputs!$I$5*N37</f>
        <v>0</v>
      </c>
      <c r="T37" s="18"/>
      <c r="U37" s="55">
        <v>175.17345547156756</v>
      </c>
      <c r="W37" s="117">
        <v>8</v>
      </c>
      <c r="X37" s="115" t="str">
        <f>Inputs!$A$5</f>
        <v>M3135500</v>
      </c>
      <c r="Y37" s="44" t="str">
        <f>Inputs!$B$5</f>
        <v>MC</v>
      </c>
      <c r="Z37" s="44" t="s">
        <v>57</v>
      </c>
      <c r="AA37" s="44">
        <f t="shared" si="0"/>
        <v>0</v>
      </c>
      <c r="AB37" s="53"/>
      <c r="AC37" s="119">
        <v>8</v>
      </c>
      <c r="AD37" s="115" t="str">
        <f>Inputs!$A$5</f>
        <v>M3135500</v>
      </c>
      <c r="AE37" s="44" t="str">
        <f>Inputs!$B$5</f>
        <v>MC</v>
      </c>
      <c r="AF37" s="44" t="s">
        <v>58</v>
      </c>
      <c r="AG37" s="44">
        <f t="shared" si="1"/>
        <v>0</v>
      </c>
      <c r="AH37" s="53"/>
      <c r="AI37" s="44">
        <v>341.12725999999998</v>
      </c>
      <c r="AJ37" s="44">
        <v>0</v>
      </c>
      <c r="AK37" s="44">
        <f t="shared" si="42"/>
        <v>-341.12725743466672</v>
      </c>
      <c r="AL37" s="53"/>
      <c r="AM37" s="44">
        <f t="shared" si="43"/>
        <v>-2.5653332613728708E-6</v>
      </c>
      <c r="AN37" s="44">
        <f>AI37*Inputs!$F$5*Inputs!$G$5</f>
        <v>702148.37954867992</v>
      </c>
      <c r="AO37" s="44">
        <f>Inputs!$F$5*Inputs!$I$5*AJ37</f>
        <v>0</v>
      </c>
      <c r="AP37" s="55">
        <v>56.854542565333333</v>
      </c>
      <c r="AR37" s="117">
        <v>8</v>
      </c>
      <c r="AS37" s="115" t="str">
        <f>Inputs!$A$5</f>
        <v>M3135500</v>
      </c>
      <c r="AT37" s="44" t="str">
        <f>Inputs!$B$5</f>
        <v>MC</v>
      </c>
      <c r="AU37" s="44" t="s">
        <v>57</v>
      </c>
      <c r="AV37" s="44">
        <f t="shared" si="10"/>
        <v>0</v>
      </c>
      <c r="AW37" s="53"/>
      <c r="AX37" s="119">
        <v>8</v>
      </c>
      <c r="AY37" s="115" t="str">
        <f>Inputs!$A$5</f>
        <v>M3135500</v>
      </c>
      <c r="AZ37" s="44" t="str">
        <f>Inputs!$B$5</f>
        <v>MC</v>
      </c>
      <c r="BA37" s="44" t="s">
        <v>58</v>
      </c>
      <c r="BB37" s="44">
        <f t="shared" si="2"/>
        <v>0</v>
      </c>
      <c r="BC37" s="53"/>
      <c r="BD37" s="44">
        <v>268.63771000000003</v>
      </c>
      <c r="BE37" s="44">
        <v>0</v>
      </c>
      <c r="BF37" s="44">
        <f t="shared" si="44"/>
        <v>-268.63771407479999</v>
      </c>
      <c r="BG37" s="53"/>
      <c r="BH37" s="44">
        <f t="shared" si="45"/>
        <v>4.0747999605628138E-6</v>
      </c>
      <c r="BI37" s="44">
        <f>BD37*Inputs!$F$5*Inputs!$G$5</f>
        <v>552941.83397178014</v>
      </c>
      <c r="BJ37" s="44">
        <f>Inputs!$F$5*Inputs!$I$5*BE37</f>
        <v>0</v>
      </c>
      <c r="BK37" s="55">
        <v>98.074085925200009</v>
      </c>
      <c r="BM37" s="117">
        <v>8</v>
      </c>
      <c r="BN37" s="115" t="str">
        <f>Inputs!$A$5</f>
        <v>M3135500</v>
      </c>
      <c r="BO37" s="44" t="str">
        <f>Inputs!$B$5</f>
        <v>MC</v>
      </c>
      <c r="BP37" s="44" t="s">
        <v>57</v>
      </c>
      <c r="BQ37" s="44">
        <f t="shared" si="3"/>
        <v>0</v>
      </c>
      <c r="BR37" s="53"/>
      <c r="BS37" s="119">
        <v>8</v>
      </c>
      <c r="BT37" s="115" t="str">
        <f>Inputs!$A$5</f>
        <v>M3135500</v>
      </c>
      <c r="BU37" s="44" t="str">
        <f>Inputs!$B$5</f>
        <v>MC</v>
      </c>
      <c r="BV37" s="44" t="s">
        <v>58</v>
      </c>
      <c r="BW37" s="44">
        <f t="shared" si="4"/>
        <v>0</v>
      </c>
      <c r="BX37" s="53"/>
      <c r="BY37" s="44">
        <v>170.56362999999999</v>
      </c>
      <c r="BZ37" s="44">
        <v>0</v>
      </c>
      <c r="CA37" s="44">
        <f t="shared" si="46"/>
        <v>-170.56362486933335</v>
      </c>
      <c r="CB37" s="53"/>
      <c r="CC37" s="44">
        <f t="shared" si="47"/>
        <v>-5.1306666364325793E-6</v>
      </c>
      <c r="CD37" s="44">
        <f>BY37*Inputs!$F$5*Inputs!$G$5</f>
        <v>351074.18977433996</v>
      </c>
      <c r="CE37" s="44">
        <f>Inputs!$F$5*Inputs!$I$5*BZ37</f>
        <v>0</v>
      </c>
      <c r="CF37" s="55">
        <v>113.70908513066667</v>
      </c>
      <c r="CG37" s="41"/>
      <c r="CH37" s="41"/>
      <c r="CI37" s="41"/>
      <c r="CJ37" s="41"/>
      <c r="CK37" s="41"/>
      <c r="CL37" s="41"/>
      <c r="CM37" s="41"/>
      <c r="CN37" s="13">
        <f>Inputs!A34</f>
        <v>0</v>
      </c>
      <c r="CO37" s="13">
        <f>IF(Inputs!D34="Yes",999999,0)</f>
        <v>0</v>
      </c>
      <c r="CP37" s="41">
        <f t="shared" si="16"/>
        <v>0</v>
      </c>
      <c r="CQ37" s="41">
        <f>IF(Inputs!E34="Yes",999999,0)</f>
        <v>0</v>
      </c>
      <c r="CR37" s="41">
        <f t="shared" si="17"/>
        <v>0</v>
      </c>
      <c r="CS37" s="41"/>
      <c r="CT37" s="73"/>
      <c r="CU37" s="73"/>
      <c r="CV37" s="73"/>
      <c r="CW37" s="73"/>
      <c r="CX37" s="73"/>
      <c r="CY37" s="73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N37" s="6"/>
      <c r="DO37" s="36">
        <f t="shared" si="22"/>
        <v>0</v>
      </c>
      <c r="DP37" s="34">
        <f t="shared" ref="DP37:DP54" si="48">SUMIFS($E$5:$E$1050,$B$5:$B$1050,DO37)+SUMIFS($K$5:$K$1050,$B$5:$B$1050,DO37)</f>
        <v>0</v>
      </c>
      <c r="DQ37" s="35">
        <f t="shared" si="23"/>
        <v>0</v>
      </c>
      <c r="DR37" s="10"/>
      <c r="DS37" s="28">
        <f>Inputs!A34</f>
        <v>0</v>
      </c>
      <c r="DT37" s="26">
        <f>Inputs!C34</f>
        <v>0</v>
      </c>
      <c r="DU37" s="24"/>
    </row>
    <row r="38" spans="1:125" ht="15.75" customHeight="1" x14ac:dyDescent="0.25">
      <c r="A38" s="117">
        <v>9</v>
      </c>
      <c r="B38" s="115" t="str">
        <f>Inputs!$A$5</f>
        <v>M3135500</v>
      </c>
      <c r="C38" s="44" t="str">
        <f>Inputs!$B$5</f>
        <v>MC</v>
      </c>
      <c r="D38" s="44" t="s">
        <v>57</v>
      </c>
      <c r="E38" s="44">
        <v>0</v>
      </c>
      <c r="F38" s="53"/>
      <c r="G38" s="119">
        <v>9</v>
      </c>
      <c r="H38" s="115" t="str">
        <f>Inputs!$A$5</f>
        <v>M3135500</v>
      </c>
      <c r="I38" s="44" t="str">
        <f>Inputs!$B$5</f>
        <v>MC</v>
      </c>
      <c r="J38" s="44" t="s">
        <v>58</v>
      </c>
      <c r="K38" s="44">
        <v>0</v>
      </c>
      <c r="L38" s="53"/>
      <c r="M38" s="44">
        <v>15.846283</v>
      </c>
      <c r="N38" s="44">
        <v>0</v>
      </c>
      <c r="O38" s="44">
        <f t="shared" si="40"/>
        <v>-15.846287583554059</v>
      </c>
      <c r="P38" s="53"/>
      <c r="Q38" s="44">
        <f t="shared" si="41"/>
        <v>4.5835540589678203E-6</v>
      </c>
      <c r="R38" s="44">
        <f>M38*Inputs!$F$5*Inputs!$G$5</f>
        <v>32616.689531994001</v>
      </c>
      <c r="S38" s="44">
        <f>Inputs!$F$5*Inputs!$I$5*N38</f>
        <v>0</v>
      </c>
      <c r="T38" s="18"/>
      <c r="U38" s="55">
        <v>101.84838241644594</v>
      </c>
      <c r="W38" s="117">
        <v>9</v>
      </c>
      <c r="X38" s="115" t="str">
        <f>Inputs!$A$5</f>
        <v>M3135500</v>
      </c>
      <c r="Y38" s="44" t="str">
        <f>Inputs!$B$5</f>
        <v>MC</v>
      </c>
      <c r="Z38" s="44" t="s">
        <v>57</v>
      </c>
      <c r="AA38" s="44">
        <f t="shared" si="0"/>
        <v>0</v>
      </c>
      <c r="AB38" s="53"/>
      <c r="AC38" s="119">
        <v>9</v>
      </c>
      <c r="AD38" s="115" t="str">
        <f>Inputs!$A$5</f>
        <v>M3135500</v>
      </c>
      <c r="AE38" s="44" t="str">
        <f>Inputs!$B$5</f>
        <v>MC</v>
      </c>
      <c r="AF38" s="44" t="s">
        <v>58</v>
      </c>
      <c r="AG38" s="44">
        <f t="shared" si="1"/>
        <v>0</v>
      </c>
      <c r="AH38" s="53"/>
      <c r="AI38" s="44">
        <v>255.84544</v>
      </c>
      <c r="AJ38" s="44">
        <v>0</v>
      </c>
      <c r="AK38" s="44">
        <f t="shared" si="42"/>
        <v>-255.84544615199997</v>
      </c>
      <c r="AL38" s="53"/>
      <c r="AM38" s="44">
        <f t="shared" si="43"/>
        <v>6.1519999690062832E-6</v>
      </c>
      <c r="AN38" s="44">
        <f>AI38*Inputs!$F$5*Inputs!$G$5</f>
        <v>526611.27436992002</v>
      </c>
      <c r="AO38" s="44">
        <f>Inputs!$F$5*Inputs!$I$5*AJ38</f>
        <v>0</v>
      </c>
      <c r="AP38" s="55">
        <v>85.281813847999999</v>
      </c>
      <c r="AR38" s="117">
        <v>9</v>
      </c>
      <c r="AS38" s="115" t="str">
        <f>Inputs!$A$5</f>
        <v>M3135500</v>
      </c>
      <c r="AT38" s="44" t="str">
        <f>Inputs!$B$5</f>
        <v>MC</v>
      </c>
      <c r="AU38" s="44" t="s">
        <v>57</v>
      </c>
      <c r="AV38" s="44">
        <f t="shared" si="10"/>
        <v>0</v>
      </c>
      <c r="AW38" s="53"/>
      <c r="AX38" s="119">
        <v>9</v>
      </c>
      <c r="AY38" s="115" t="str">
        <f>Inputs!$A$5</f>
        <v>M3135500</v>
      </c>
      <c r="AZ38" s="44" t="str">
        <f>Inputs!$B$5</f>
        <v>MC</v>
      </c>
      <c r="BA38" s="44" t="s">
        <v>58</v>
      </c>
      <c r="BB38" s="44">
        <f t="shared" si="2"/>
        <v>0</v>
      </c>
      <c r="BC38" s="53"/>
      <c r="BD38" s="44">
        <v>157.77135999999999</v>
      </c>
      <c r="BE38" s="44">
        <v>0</v>
      </c>
      <c r="BF38" s="44">
        <f t="shared" si="44"/>
        <v>-157.77135199760002</v>
      </c>
      <c r="BG38" s="53"/>
      <c r="BH38" s="44">
        <f t="shared" si="45"/>
        <v>-8.0023999657896638E-6</v>
      </c>
      <c r="BI38" s="44">
        <f>BD38*Inputs!$F$5*Inputs!$G$5</f>
        <v>324743.63017247996</v>
      </c>
      <c r="BJ38" s="44">
        <f>Inputs!$F$5*Inputs!$I$5*BE38</f>
        <v>0</v>
      </c>
      <c r="BK38" s="55">
        <v>110.86635800240001</v>
      </c>
      <c r="BM38" s="117">
        <v>9</v>
      </c>
      <c r="BN38" s="115" t="str">
        <f>Inputs!$A$5</f>
        <v>M3135500</v>
      </c>
      <c r="BO38" s="44" t="str">
        <f>Inputs!$B$5</f>
        <v>MC</v>
      </c>
      <c r="BP38" s="44" t="s">
        <v>57</v>
      </c>
      <c r="BQ38" s="44">
        <f t="shared" si="3"/>
        <v>0</v>
      </c>
      <c r="BR38" s="53"/>
      <c r="BS38" s="119">
        <v>9</v>
      </c>
      <c r="BT38" s="115" t="str">
        <f>Inputs!$A$5</f>
        <v>M3135500</v>
      </c>
      <c r="BU38" s="44" t="str">
        <f>Inputs!$B$5</f>
        <v>MC</v>
      </c>
      <c r="BV38" s="44" t="s">
        <v>58</v>
      </c>
      <c r="BW38" s="44">
        <f t="shared" si="4"/>
        <v>0</v>
      </c>
      <c r="BX38" s="53"/>
      <c r="BY38" s="44">
        <v>85.281813999999997</v>
      </c>
      <c r="BZ38" s="44">
        <v>0</v>
      </c>
      <c r="CA38" s="44">
        <f t="shared" si="46"/>
        <v>-85.28181615199999</v>
      </c>
      <c r="CB38" s="53"/>
      <c r="CC38" s="44">
        <f t="shared" si="47"/>
        <v>2.1519999933161671E-6</v>
      </c>
      <c r="CD38" s="44">
        <f>BY38*Inputs!$F$5*Inputs!$G$5</f>
        <v>175537.09282885201</v>
      </c>
      <c r="CE38" s="44">
        <f>Inputs!$F$5*Inputs!$I$5*BZ38</f>
        <v>0</v>
      </c>
      <c r="CF38" s="55">
        <v>85.281813847999999</v>
      </c>
      <c r="CG38" s="41"/>
      <c r="CH38" s="41"/>
      <c r="CI38" s="41"/>
      <c r="CJ38" s="41"/>
      <c r="CK38" s="41"/>
      <c r="CL38" s="41"/>
      <c r="CM38" s="41"/>
      <c r="CN38" s="13">
        <f>Inputs!A35</f>
        <v>0</v>
      </c>
      <c r="CO38" s="13">
        <f>IF(Inputs!D35="Yes",999999,0)</f>
        <v>0</v>
      </c>
      <c r="CP38" s="41">
        <f t="shared" si="16"/>
        <v>0</v>
      </c>
      <c r="CQ38" s="41">
        <f>IF(Inputs!E35="Yes",999999,0)</f>
        <v>0</v>
      </c>
      <c r="CR38" s="41">
        <f t="shared" si="17"/>
        <v>0</v>
      </c>
      <c r="CS38" s="41"/>
      <c r="CT38" s="73"/>
      <c r="CU38" s="73"/>
      <c r="CV38" s="73"/>
      <c r="CW38" s="73"/>
      <c r="CX38" s="73"/>
      <c r="CY38" s="73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N38" s="6"/>
      <c r="DO38" s="36">
        <f t="shared" si="22"/>
        <v>0</v>
      </c>
      <c r="DP38" s="34">
        <f t="shared" si="48"/>
        <v>0</v>
      </c>
      <c r="DQ38" s="35">
        <f t="shared" si="23"/>
        <v>0</v>
      </c>
      <c r="DR38" s="10"/>
      <c r="DS38" s="28">
        <f>Inputs!A35</f>
        <v>0</v>
      </c>
      <c r="DT38" s="26">
        <f>Inputs!C35</f>
        <v>0</v>
      </c>
      <c r="DU38" s="24"/>
    </row>
    <row r="39" spans="1:125" ht="15.75" customHeight="1" x14ac:dyDescent="0.25">
      <c r="A39" s="117">
        <v>10</v>
      </c>
      <c r="B39" s="115" t="str">
        <f>Inputs!$A$5</f>
        <v>M3135500</v>
      </c>
      <c r="C39" s="44" t="str">
        <f>Inputs!$B$5</f>
        <v>MC</v>
      </c>
      <c r="D39" s="44" t="s">
        <v>57</v>
      </c>
      <c r="E39" s="44">
        <v>0</v>
      </c>
      <c r="F39" s="53"/>
      <c r="G39" s="119">
        <v>10</v>
      </c>
      <c r="H39" s="115" t="str">
        <f>Inputs!$A$5</f>
        <v>M3135500</v>
      </c>
      <c r="I39" s="44" t="str">
        <f>Inputs!$B$5</f>
        <v>MC</v>
      </c>
      <c r="J39" s="44" t="s">
        <v>58</v>
      </c>
      <c r="K39" s="44">
        <v>0</v>
      </c>
      <c r="L39" s="53"/>
      <c r="M39" s="44">
        <v>0</v>
      </c>
      <c r="N39" s="44">
        <v>0</v>
      </c>
      <c r="O39" s="44">
        <f t="shared" si="40"/>
        <v>-2.148648547972698E-8</v>
      </c>
      <c r="P39" s="53"/>
      <c r="Q39" s="44">
        <f t="shared" si="41"/>
        <v>2.148648547972698E-8</v>
      </c>
      <c r="R39" s="44">
        <f>M39*Inputs!$F$5*Inputs!$G$5</f>
        <v>0</v>
      </c>
      <c r="S39" s="44">
        <f>Inputs!$F$5*Inputs!$I$5*N39</f>
        <v>0</v>
      </c>
      <c r="T39" s="18"/>
      <c r="U39" s="91">
        <v>15.846282978513514</v>
      </c>
      <c r="W39" s="117">
        <v>10</v>
      </c>
      <c r="X39" s="115" t="str">
        <f>Inputs!$A$5</f>
        <v>M3135500</v>
      </c>
      <c r="Y39" s="44" t="str">
        <f>Inputs!$B$5</f>
        <v>MC</v>
      </c>
      <c r="Z39" s="44" t="s">
        <v>57</v>
      </c>
      <c r="AA39" s="44">
        <f t="shared" si="0"/>
        <v>0</v>
      </c>
      <c r="AB39" s="53"/>
      <c r="AC39" s="119">
        <v>10</v>
      </c>
      <c r="AD39" s="115" t="str">
        <f>Inputs!$A$5</f>
        <v>M3135500</v>
      </c>
      <c r="AE39" s="44" t="str">
        <f>Inputs!$B$5</f>
        <v>MC</v>
      </c>
      <c r="AF39" s="44" t="s">
        <v>58</v>
      </c>
      <c r="AG39" s="44">
        <f t="shared" si="1"/>
        <v>0</v>
      </c>
      <c r="AH39" s="53"/>
      <c r="AI39" s="44">
        <v>142.13636</v>
      </c>
      <c r="AJ39" s="44">
        <v>0</v>
      </c>
      <c r="AK39" s="44">
        <f t="shared" si="42"/>
        <v>-142.13635486933333</v>
      </c>
      <c r="AL39" s="53"/>
      <c r="AM39" s="44">
        <f t="shared" si="43"/>
        <v>-5.1306666648542887E-6</v>
      </c>
      <c r="AN39" s="44">
        <f>AI39*Inputs!$F$5*Inputs!$G$5</f>
        <v>292561.82824248</v>
      </c>
      <c r="AO39" s="44">
        <f>Inputs!$F$5*Inputs!$I$5*AJ39</f>
        <v>0</v>
      </c>
      <c r="AP39" s="91">
        <v>113.70908513066667</v>
      </c>
      <c r="AR39" s="117">
        <v>10</v>
      </c>
      <c r="AS39" s="115" t="str">
        <f>Inputs!$A$5</f>
        <v>M3135500</v>
      </c>
      <c r="AT39" s="44" t="str">
        <f>Inputs!$B$5</f>
        <v>MC</v>
      </c>
      <c r="AU39" s="44" t="s">
        <v>57</v>
      </c>
      <c r="AV39" s="44">
        <f t="shared" si="10"/>
        <v>0</v>
      </c>
      <c r="AW39" s="53"/>
      <c r="AX39" s="119">
        <v>10</v>
      </c>
      <c r="AY39" s="115" t="str">
        <f>Inputs!$A$5</f>
        <v>M3135500</v>
      </c>
      <c r="AZ39" s="44" t="str">
        <f>Inputs!$B$5</f>
        <v>MC</v>
      </c>
      <c r="BA39" s="44" t="s">
        <v>58</v>
      </c>
      <c r="BB39" s="44">
        <f t="shared" si="2"/>
        <v>0</v>
      </c>
      <c r="BC39" s="53"/>
      <c r="BD39" s="44">
        <v>59.697270000000003</v>
      </c>
      <c r="BE39" s="44">
        <v>0</v>
      </c>
      <c r="BF39" s="44">
        <f t="shared" si="44"/>
        <v>-59.697274074799978</v>
      </c>
      <c r="BG39" s="53"/>
      <c r="BH39" s="44">
        <f t="shared" si="45"/>
        <v>4.0747999747736685E-6</v>
      </c>
      <c r="BI39" s="44">
        <f>BD39*Inputs!$F$5*Inputs!$G$5</f>
        <v>122875.96539186001</v>
      </c>
      <c r="BJ39" s="44">
        <f>Inputs!$F$5*Inputs!$I$5*BE39</f>
        <v>0</v>
      </c>
      <c r="BK39" s="91">
        <v>98.074085925200009</v>
      </c>
      <c r="BM39" s="117">
        <v>10</v>
      </c>
      <c r="BN39" s="115" t="str">
        <f>Inputs!$A$5</f>
        <v>M3135500</v>
      </c>
      <c r="BO39" s="44" t="str">
        <f>Inputs!$B$5</f>
        <v>MC</v>
      </c>
      <c r="BP39" s="44" t="s">
        <v>57</v>
      </c>
      <c r="BQ39" s="44">
        <f t="shared" si="3"/>
        <v>0</v>
      </c>
      <c r="BR39" s="53"/>
      <c r="BS39" s="119">
        <v>10</v>
      </c>
      <c r="BT39" s="115" t="str">
        <f>Inputs!$A$5</f>
        <v>M3135500</v>
      </c>
      <c r="BU39" s="44" t="str">
        <f>Inputs!$B$5</f>
        <v>MC</v>
      </c>
      <c r="BV39" s="44" t="s">
        <v>58</v>
      </c>
      <c r="BW39" s="44">
        <f t="shared" si="4"/>
        <v>0</v>
      </c>
      <c r="BX39" s="53"/>
      <c r="BY39" s="44">
        <v>28.427271000000001</v>
      </c>
      <c r="BZ39" s="44">
        <v>0</v>
      </c>
      <c r="CA39" s="44">
        <f t="shared" si="46"/>
        <v>-28.427271434666665</v>
      </c>
      <c r="CB39" s="53"/>
      <c r="CC39" s="44">
        <f t="shared" si="47"/>
        <v>4.3466666355129746E-7</v>
      </c>
      <c r="CD39" s="44">
        <f>BY39*Inputs!$F$5*Inputs!$G$5</f>
        <v>58512.363590178007</v>
      </c>
      <c r="CE39" s="44">
        <f>Inputs!$F$5*Inputs!$I$5*BZ39</f>
        <v>0</v>
      </c>
      <c r="CF39" s="91">
        <v>56.854542565333333</v>
      </c>
      <c r="CG39" s="41"/>
      <c r="CH39" s="41"/>
      <c r="CI39" s="41"/>
      <c r="CJ39" s="41"/>
      <c r="CK39" s="41"/>
      <c r="CL39" s="41"/>
      <c r="CM39" s="41"/>
      <c r="CN39" s="13">
        <f>Inputs!A36</f>
        <v>0</v>
      </c>
      <c r="CO39" s="13">
        <f>IF(Inputs!D36="Yes",999999,0)</f>
        <v>0</v>
      </c>
      <c r="CP39" s="41">
        <f t="shared" si="16"/>
        <v>0</v>
      </c>
      <c r="CQ39" s="41">
        <f>IF(Inputs!E36="Yes",999999,0)</f>
        <v>0</v>
      </c>
      <c r="CR39" s="41">
        <f t="shared" si="17"/>
        <v>0</v>
      </c>
      <c r="CS39" s="41"/>
      <c r="CT39" s="73"/>
      <c r="CU39" s="73"/>
      <c r="CV39" s="73"/>
      <c r="CW39" s="73"/>
      <c r="CX39" s="73"/>
      <c r="CY39" s="73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N39" s="6"/>
      <c r="DO39" s="36">
        <f t="shared" si="22"/>
        <v>0</v>
      </c>
      <c r="DP39" s="34">
        <f t="shared" si="48"/>
        <v>0</v>
      </c>
      <c r="DQ39" s="35">
        <f t="shared" si="23"/>
        <v>0</v>
      </c>
      <c r="DR39" s="10"/>
      <c r="DS39" s="28">
        <f>Inputs!A36</f>
        <v>0</v>
      </c>
      <c r="DT39" s="26">
        <f>Inputs!C36</f>
        <v>0</v>
      </c>
      <c r="DU39" s="24"/>
    </row>
    <row r="40" spans="1:125" ht="15.75" customHeight="1" x14ac:dyDescent="0.25">
      <c r="A40" s="117">
        <v>11</v>
      </c>
      <c r="B40" s="115" t="str">
        <f>Inputs!$A$5</f>
        <v>M3135500</v>
      </c>
      <c r="C40" s="44" t="str">
        <f>Inputs!$B$5</f>
        <v>MC</v>
      </c>
      <c r="D40" s="44" t="s">
        <v>57</v>
      </c>
      <c r="E40" s="44">
        <v>0</v>
      </c>
      <c r="F40" s="53"/>
      <c r="G40" s="119">
        <v>11</v>
      </c>
      <c r="H40" s="115" t="str">
        <f>Inputs!$A$5</f>
        <v>M3135500</v>
      </c>
      <c r="I40" s="44" t="str">
        <f>Inputs!$B$5</f>
        <v>MC</v>
      </c>
      <c r="J40" s="44" t="s">
        <v>58</v>
      </c>
      <c r="K40" s="44">
        <v>0</v>
      </c>
      <c r="L40" s="53"/>
      <c r="M40" s="44">
        <v>0</v>
      </c>
      <c r="N40" s="44">
        <v>0</v>
      </c>
      <c r="O40" s="44">
        <f t="shared" si="40"/>
        <v>0</v>
      </c>
      <c r="P40" s="53"/>
      <c r="Q40" s="44">
        <f t="shared" si="41"/>
        <v>0</v>
      </c>
      <c r="R40" s="44">
        <f>M40*Inputs!$F$5*Inputs!$H$5</f>
        <v>0</v>
      </c>
      <c r="S40" s="44">
        <f>Inputs!$F$5*Inputs!$I$5*N40</f>
        <v>0</v>
      </c>
      <c r="T40" s="18"/>
      <c r="U40" s="56">
        <v>0</v>
      </c>
      <c r="W40" s="117">
        <v>11</v>
      </c>
      <c r="X40" s="115" t="str">
        <f>Inputs!$A$5</f>
        <v>M3135500</v>
      </c>
      <c r="Y40" s="44" t="str">
        <f>Inputs!$B$5</f>
        <v>MC</v>
      </c>
      <c r="Z40" s="44" t="s">
        <v>57</v>
      </c>
      <c r="AA40" s="44">
        <f t="shared" si="0"/>
        <v>0</v>
      </c>
      <c r="AB40" s="53"/>
      <c r="AC40" s="119">
        <v>11</v>
      </c>
      <c r="AD40" s="115" t="str">
        <f>Inputs!$A$5</f>
        <v>M3135500</v>
      </c>
      <c r="AE40" s="44" t="str">
        <f>Inputs!$B$5</f>
        <v>MC</v>
      </c>
      <c r="AF40" s="44" t="s">
        <v>58</v>
      </c>
      <c r="AG40" s="44">
        <f t="shared" si="1"/>
        <v>0</v>
      </c>
      <c r="AH40" s="53"/>
      <c r="AI40" s="44">
        <v>0</v>
      </c>
      <c r="AJ40" s="44">
        <v>0</v>
      </c>
      <c r="AK40" s="44">
        <f t="shared" si="42"/>
        <v>-3.586666679211703E-6</v>
      </c>
      <c r="AL40" s="53"/>
      <c r="AM40" s="44">
        <f t="shared" si="43"/>
        <v>3.586666679211703E-6</v>
      </c>
      <c r="AN40" s="44">
        <f>AI40*Inputs!$F$5*Inputs!$H$5</f>
        <v>0</v>
      </c>
      <c r="AO40" s="44">
        <f>Inputs!$F$5*Inputs!$I$5*AJ40</f>
        <v>0</v>
      </c>
      <c r="AP40" s="56">
        <v>142.13635641333332</v>
      </c>
      <c r="AR40" s="117">
        <v>11</v>
      </c>
      <c r="AS40" s="115" t="str">
        <f>Inputs!$A$5</f>
        <v>M3135500</v>
      </c>
      <c r="AT40" s="44" t="str">
        <f>Inputs!$B$5</f>
        <v>MC</v>
      </c>
      <c r="AU40" s="44" t="s">
        <v>57</v>
      </c>
      <c r="AV40" s="44">
        <f t="shared" si="10"/>
        <v>0</v>
      </c>
      <c r="AW40" s="53"/>
      <c r="AX40" s="119">
        <v>11</v>
      </c>
      <c r="AY40" s="115" t="str">
        <f>Inputs!$A$5</f>
        <v>M3135500</v>
      </c>
      <c r="AZ40" s="44" t="str">
        <f>Inputs!$B$5</f>
        <v>MC</v>
      </c>
      <c r="BA40" s="44" t="s">
        <v>58</v>
      </c>
      <c r="BB40" s="44">
        <f t="shared" si="2"/>
        <v>0</v>
      </c>
      <c r="BC40" s="53"/>
      <c r="BD40" s="44">
        <v>0</v>
      </c>
      <c r="BE40" s="44">
        <v>0</v>
      </c>
      <c r="BF40" s="44">
        <f t="shared" si="44"/>
        <v>-3.0639999692994024E-7</v>
      </c>
      <c r="BG40" s="53"/>
      <c r="BH40" s="44">
        <f t="shared" si="45"/>
        <v>3.0639999692994024E-7</v>
      </c>
      <c r="BI40" s="44">
        <f>BD40*Inputs!$F$5*Inputs!$H$5</f>
        <v>0</v>
      </c>
      <c r="BJ40" s="44">
        <f>Inputs!$F$5*Inputs!$I$5*BE40</f>
        <v>0</v>
      </c>
      <c r="BK40" s="56">
        <v>59.697269693600006</v>
      </c>
      <c r="BM40" s="117">
        <v>11</v>
      </c>
      <c r="BN40" s="115" t="str">
        <f>Inputs!$A$5</f>
        <v>M3135500</v>
      </c>
      <c r="BO40" s="44" t="str">
        <f>Inputs!$B$5</f>
        <v>MC</v>
      </c>
      <c r="BP40" s="44" t="s">
        <v>57</v>
      </c>
      <c r="BQ40" s="44">
        <f t="shared" si="3"/>
        <v>0</v>
      </c>
      <c r="BR40" s="53"/>
      <c r="BS40" s="119">
        <v>11</v>
      </c>
      <c r="BT40" s="115" t="str">
        <f>Inputs!$A$5</f>
        <v>M3135500</v>
      </c>
      <c r="BU40" s="44" t="str">
        <f>Inputs!$B$5</f>
        <v>MC</v>
      </c>
      <c r="BV40" s="44" t="s">
        <v>58</v>
      </c>
      <c r="BW40" s="44">
        <f t="shared" si="4"/>
        <v>0</v>
      </c>
      <c r="BX40" s="53"/>
      <c r="BY40" s="44">
        <v>0</v>
      </c>
      <c r="BZ40" s="44">
        <v>0</v>
      </c>
      <c r="CA40" s="44">
        <f t="shared" si="46"/>
        <v>2.8266666518561578E-7</v>
      </c>
      <c r="CB40" s="53"/>
      <c r="CC40" s="44">
        <f t="shared" si="47"/>
        <v>-2.8266666518561578E-7</v>
      </c>
      <c r="CD40" s="44">
        <f>BY40*Inputs!$F$5*Inputs!$H$5</f>
        <v>0</v>
      </c>
      <c r="CE40" s="44">
        <f>Inputs!$F$5*Inputs!$I$5*BZ40</f>
        <v>0</v>
      </c>
      <c r="CF40" s="56">
        <v>28.427271282666666</v>
      </c>
      <c r="CG40" s="41"/>
      <c r="CH40" s="41"/>
      <c r="CI40" s="41"/>
      <c r="CJ40" s="41"/>
      <c r="CK40" s="41"/>
      <c r="CL40" s="41"/>
      <c r="CM40" s="41"/>
      <c r="CN40" s="13">
        <f>Inputs!A37</f>
        <v>0</v>
      </c>
      <c r="CO40" s="13">
        <f>IF(Inputs!D37="Yes",999999,0)</f>
        <v>0</v>
      </c>
      <c r="CP40" s="41">
        <f t="shared" si="16"/>
        <v>0</v>
      </c>
      <c r="CQ40" s="41">
        <f>IF(Inputs!E37="Yes",999999,0)</f>
        <v>0</v>
      </c>
      <c r="CR40" s="41">
        <f t="shared" si="17"/>
        <v>0</v>
      </c>
      <c r="CS40" s="41"/>
      <c r="CT40" s="73"/>
      <c r="CU40" s="73"/>
      <c r="CV40" s="73"/>
      <c r="CW40" s="73"/>
      <c r="CX40" s="73"/>
      <c r="CY40" s="73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N40" s="6"/>
      <c r="DO40" s="36">
        <f t="shared" si="22"/>
        <v>0</v>
      </c>
      <c r="DP40" s="34">
        <f t="shared" si="48"/>
        <v>0</v>
      </c>
      <c r="DQ40" s="35">
        <f t="shared" si="23"/>
        <v>0</v>
      </c>
      <c r="DR40" s="10"/>
      <c r="DS40" s="28">
        <f>Inputs!A37</f>
        <v>0</v>
      </c>
      <c r="DT40" s="26">
        <f>Inputs!C37</f>
        <v>0</v>
      </c>
      <c r="DU40" s="24"/>
    </row>
    <row r="41" spans="1:125" ht="15.75" customHeight="1" x14ac:dyDescent="0.25">
      <c r="A41" s="116">
        <v>3</v>
      </c>
      <c r="B41" s="114" t="str">
        <f>Inputs!$A$6</f>
        <v>M3471400</v>
      </c>
      <c r="C41" s="45" t="str">
        <f>Inputs!$B$6</f>
        <v>MC</v>
      </c>
      <c r="D41" s="45" t="s">
        <v>57</v>
      </c>
      <c r="E41" s="45">
        <v>0</v>
      </c>
      <c r="F41" s="53"/>
      <c r="G41" s="118">
        <v>3</v>
      </c>
      <c r="H41" s="114" t="str">
        <f>Inputs!$A$6</f>
        <v>M3471400</v>
      </c>
      <c r="I41" s="45" t="str">
        <f>Inputs!$B$6</f>
        <v>MC</v>
      </c>
      <c r="J41" s="45" t="s">
        <v>58</v>
      </c>
      <c r="K41" s="45">
        <v>0</v>
      </c>
      <c r="L41" s="53"/>
      <c r="M41" s="45">
        <v>0</v>
      </c>
      <c r="N41" s="45">
        <v>0</v>
      </c>
      <c r="O41" s="45">
        <f>U41-0-E41-K41</f>
        <v>0</v>
      </c>
      <c r="P41" s="53"/>
      <c r="Q41" s="45">
        <f>E41+K41+N41-U41+0-M41</f>
        <v>0</v>
      </c>
      <c r="R41" s="45">
        <f>M41*Inputs!$F$6*Inputs!$G$6</f>
        <v>0</v>
      </c>
      <c r="S41" s="45">
        <f>Inputs!$F$6*Inputs!$I$6*N41</f>
        <v>0</v>
      </c>
      <c r="T41" s="18"/>
      <c r="U41" s="54">
        <v>0</v>
      </c>
      <c r="W41" s="116">
        <v>3</v>
      </c>
      <c r="X41" s="114" t="str">
        <f>Inputs!$A$6</f>
        <v>M3471400</v>
      </c>
      <c r="Y41" s="45" t="str">
        <f>Inputs!$B$6</f>
        <v>MC</v>
      </c>
      <c r="Z41" s="45" t="s">
        <v>57</v>
      </c>
      <c r="AA41" s="45">
        <f t="shared" si="0"/>
        <v>0</v>
      </c>
      <c r="AB41" s="53"/>
      <c r="AC41" s="118">
        <v>3</v>
      </c>
      <c r="AD41" s="114" t="str">
        <f>Inputs!$A$6</f>
        <v>M3471400</v>
      </c>
      <c r="AE41" s="45" t="str">
        <f>Inputs!$B$6</f>
        <v>MC</v>
      </c>
      <c r="AF41" s="45" t="s">
        <v>58</v>
      </c>
      <c r="AG41" s="45">
        <f t="shared" si="1"/>
        <v>0</v>
      </c>
      <c r="AH41" s="53"/>
      <c r="AI41" s="45">
        <v>0</v>
      </c>
      <c r="AJ41" s="45">
        <v>0</v>
      </c>
      <c r="AK41" s="45">
        <f>AP41-0-AA41-AG41</f>
        <v>0</v>
      </c>
      <c r="AL41" s="53"/>
      <c r="AM41" s="45">
        <f>AA41+AG41+AJ41-AP41+0-AI41</f>
        <v>0</v>
      </c>
      <c r="AN41" s="45">
        <f>AI41*Inputs!$F$6*Inputs!$G$6</f>
        <v>0</v>
      </c>
      <c r="AO41" s="45">
        <f>Inputs!$F$6*Inputs!$I$6*AJ41</f>
        <v>0</v>
      </c>
      <c r="AP41" s="54">
        <v>0</v>
      </c>
      <c r="AR41" s="116">
        <v>3</v>
      </c>
      <c r="AS41" s="114" t="str">
        <f>Inputs!$A$6</f>
        <v>M3471400</v>
      </c>
      <c r="AT41" s="45" t="str">
        <f>Inputs!$B$6</f>
        <v>MC</v>
      </c>
      <c r="AU41" s="45" t="s">
        <v>57</v>
      </c>
      <c r="AV41" s="45">
        <f t="shared" si="10"/>
        <v>0</v>
      </c>
      <c r="AW41" s="53"/>
      <c r="AX41" s="118">
        <v>3</v>
      </c>
      <c r="AY41" s="114" t="str">
        <f>Inputs!$A$6</f>
        <v>M3471400</v>
      </c>
      <c r="AZ41" s="45" t="str">
        <f>Inputs!$B$6</f>
        <v>MC</v>
      </c>
      <c r="BA41" s="45" t="s">
        <v>58</v>
      </c>
      <c r="BB41" s="45">
        <f t="shared" si="2"/>
        <v>0</v>
      </c>
      <c r="BC41" s="53"/>
      <c r="BD41" s="45">
        <v>0</v>
      </c>
      <c r="BE41" s="45">
        <v>0</v>
      </c>
      <c r="BF41" s="45">
        <f>BK41-0-AV41-BB41</f>
        <v>0</v>
      </c>
      <c r="BG41" s="53"/>
      <c r="BH41" s="45">
        <f>AV41+BB41+BE41-BK41+0-BD41</f>
        <v>0</v>
      </c>
      <c r="BI41" s="45">
        <f>BD41*Inputs!$F$6*Inputs!$G$6</f>
        <v>0</v>
      </c>
      <c r="BJ41" s="45">
        <f>Inputs!$F$6*Inputs!$I$6*BE41</f>
        <v>0</v>
      </c>
      <c r="BK41" s="54">
        <v>0</v>
      </c>
      <c r="BM41" s="116">
        <v>3</v>
      </c>
      <c r="BN41" s="114" t="str">
        <f>Inputs!$A$6</f>
        <v>M3471400</v>
      </c>
      <c r="BO41" s="45" t="str">
        <f>Inputs!$B$6</f>
        <v>MC</v>
      </c>
      <c r="BP41" s="45" t="s">
        <v>57</v>
      </c>
      <c r="BQ41" s="45">
        <f t="shared" si="3"/>
        <v>0</v>
      </c>
      <c r="BR41" s="53"/>
      <c r="BS41" s="118">
        <v>3</v>
      </c>
      <c r="BT41" s="114" t="str">
        <f>Inputs!$A$6</f>
        <v>M3471400</v>
      </c>
      <c r="BU41" s="45" t="str">
        <f>Inputs!$B$6</f>
        <v>MC</v>
      </c>
      <c r="BV41" s="45" t="s">
        <v>58</v>
      </c>
      <c r="BW41" s="45">
        <f t="shared" si="4"/>
        <v>0</v>
      </c>
      <c r="BX41" s="53"/>
      <c r="BY41" s="45">
        <v>0</v>
      </c>
      <c r="BZ41" s="45">
        <v>0</v>
      </c>
      <c r="CA41" s="45">
        <f>CF41-0-BQ41-BW41</f>
        <v>0</v>
      </c>
      <c r="CB41" s="53"/>
      <c r="CC41" s="45">
        <f>BQ41+BW41+BZ41-CF41+0-BY41</f>
        <v>0</v>
      </c>
      <c r="CD41" s="45">
        <f>BY41*Inputs!$F$6*Inputs!$G$6</f>
        <v>0</v>
      </c>
      <c r="CE41" s="45">
        <f>Inputs!$F$6*Inputs!$I$6*BZ41</f>
        <v>0</v>
      </c>
      <c r="CF41" s="54">
        <v>0</v>
      </c>
      <c r="CG41" s="41"/>
      <c r="CH41" s="41"/>
      <c r="CI41" s="41"/>
      <c r="CJ41" s="41"/>
      <c r="CK41" s="41"/>
      <c r="CL41" s="41"/>
      <c r="CM41" s="41"/>
      <c r="CN41" s="13">
        <f>Inputs!A38</f>
        <v>0</v>
      </c>
      <c r="CO41" s="13">
        <f>IF(Inputs!D38="Yes",999999,0)</f>
        <v>0</v>
      </c>
      <c r="CP41" s="41">
        <f t="shared" si="16"/>
        <v>0</v>
      </c>
      <c r="CQ41" s="41">
        <f>IF(Inputs!E38="Yes",999999,0)</f>
        <v>0</v>
      </c>
      <c r="CR41" s="41">
        <f t="shared" si="17"/>
        <v>0</v>
      </c>
      <c r="CS41" s="41"/>
      <c r="CT41" s="73"/>
      <c r="CU41" s="73"/>
      <c r="CV41" s="73"/>
      <c r="CW41" s="73"/>
      <c r="CX41" s="73"/>
      <c r="CY41" s="73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N41" s="6"/>
      <c r="DO41" s="36">
        <f t="shared" si="22"/>
        <v>0</v>
      </c>
      <c r="DP41" s="34">
        <f t="shared" si="48"/>
        <v>0</v>
      </c>
      <c r="DQ41" s="35">
        <f t="shared" si="23"/>
        <v>0</v>
      </c>
      <c r="DR41" s="10"/>
      <c r="DS41" s="28">
        <f>Inputs!A38</f>
        <v>0</v>
      </c>
      <c r="DT41" s="26">
        <f>Inputs!C38</f>
        <v>0</v>
      </c>
      <c r="DU41" s="24"/>
    </row>
    <row r="42" spans="1:125" ht="15.75" customHeight="1" x14ac:dyDescent="0.25">
      <c r="A42" s="116">
        <v>4</v>
      </c>
      <c r="B42" s="114" t="str">
        <f>Inputs!$A$6</f>
        <v>M3471400</v>
      </c>
      <c r="C42" s="45" t="str">
        <f>Inputs!$B$6</f>
        <v>MC</v>
      </c>
      <c r="D42" s="45" t="s">
        <v>57</v>
      </c>
      <c r="E42" s="45">
        <v>0</v>
      </c>
      <c r="F42" s="53"/>
      <c r="G42" s="118">
        <v>4</v>
      </c>
      <c r="H42" s="114" t="str">
        <f>Inputs!$A$6</f>
        <v>M3471400</v>
      </c>
      <c r="I42" s="45" t="str">
        <f>Inputs!$B$6</f>
        <v>MC</v>
      </c>
      <c r="J42" s="45" t="s">
        <v>58</v>
      </c>
      <c r="K42" s="45">
        <v>0</v>
      </c>
      <c r="L42" s="53"/>
      <c r="M42" s="45">
        <v>0</v>
      </c>
      <c r="N42" s="45">
        <v>0</v>
      </c>
      <c r="O42" s="45">
        <f t="shared" ref="O42:O49" si="49">U42-M41-E42-K42</f>
        <v>0</v>
      </c>
      <c r="P42" s="53"/>
      <c r="Q42" s="45">
        <f t="shared" ref="Q42:Q49" si="50">E42+K42+N42-U42+M41-M42</f>
        <v>0</v>
      </c>
      <c r="R42" s="45">
        <f>M42*Inputs!$F$6*Inputs!$G$6</f>
        <v>0</v>
      </c>
      <c r="S42" s="45">
        <f>Inputs!$F$6*Inputs!$I$6*N42</f>
        <v>0</v>
      </c>
      <c r="T42" s="18"/>
      <c r="U42" s="55">
        <v>0</v>
      </c>
      <c r="W42" s="116">
        <v>4</v>
      </c>
      <c r="X42" s="114" t="str">
        <f>Inputs!$A$6</f>
        <v>M3471400</v>
      </c>
      <c r="Y42" s="45" t="str">
        <f>Inputs!$B$6</f>
        <v>MC</v>
      </c>
      <c r="Z42" s="45" t="s">
        <v>57</v>
      </c>
      <c r="AA42" s="45">
        <f t="shared" si="0"/>
        <v>0</v>
      </c>
      <c r="AB42" s="53"/>
      <c r="AC42" s="118">
        <v>4</v>
      </c>
      <c r="AD42" s="114" t="str">
        <f>Inputs!$A$6</f>
        <v>M3471400</v>
      </c>
      <c r="AE42" s="45" t="str">
        <f>Inputs!$B$6</f>
        <v>MC</v>
      </c>
      <c r="AF42" s="45" t="s">
        <v>58</v>
      </c>
      <c r="AG42" s="45">
        <f t="shared" si="1"/>
        <v>0</v>
      </c>
      <c r="AH42" s="53"/>
      <c r="AI42" s="45">
        <v>0</v>
      </c>
      <c r="AJ42" s="45">
        <v>0</v>
      </c>
      <c r="AK42" s="45">
        <f t="shared" ref="AK42:AK49" si="51">AP42-AI41-AA42-AG42</f>
        <v>0</v>
      </c>
      <c r="AL42" s="53"/>
      <c r="AM42" s="45">
        <f t="shared" ref="AM42:AM49" si="52">AA42+AG42+AJ42-AP42+AI41-AI42</f>
        <v>0</v>
      </c>
      <c r="AN42" s="45">
        <f>AI42*Inputs!$F$6*Inputs!$G$6</f>
        <v>0</v>
      </c>
      <c r="AO42" s="45">
        <f>Inputs!$F$6*Inputs!$I$6*AJ42</f>
        <v>0</v>
      </c>
      <c r="AP42" s="55">
        <v>0</v>
      </c>
      <c r="AR42" s="116">
        <v>4</v>
      </c>
      <c r="AS42" s="114" t="str">
        <f>Inputs!$A$6</f>
        <v>M3471400</v>
      </c>
      <c r="AT42" s="45" t="str">
        <f>Inputs!$B$6</f>
        <v>MC</v>
      </c>
      <c r="AU42" s="45" t="s">
        <v>57</v>
      </c>
      <c r="AV42" s="45">
        <f t="shared" si="10"/>
        <v>0</v>
      </c>
      <c r="AW42" s="53"/>
      <c r="AX42" s="118">
        <v>4</v>
      </c>
      <c r="AY42" s="114" t="str">
        <f>Inputs!$A$6</f>
        <v>M3471400</v>
      </c>
      <c r="AZ42" s="45" t="str">
        <f>Inputs!$B$6</f>
        <v>MC</v>
      </c>
      <c r="BA42" s="45" t="s">
        <v>58</v>
      </c>
      <c r="BB42" s="45">
        <f t="shared" si="2"/>
        <v>0</v>
      </c>
      <c r="BC42" s="53"/>
      <c r="BD42" s="45">
        <v>0</v>
      </c>
      <c r="BE42" s="45">
        <v>0</v>
      </c>
      <c r="BF42" s="45">
        <f t="shared" ref="BF42:BF49" si="53">BK42-BD41-AV42-BB42</f>
        <v>0</v>
      </c>
      <c r="BG42" s="53"/>
      <c r="BH42" s="45">
        <f t="shared" ref="BH42:BH49" si="54">AV42+BB42+BE42-BK42+BD41-BD42</f>
        <v>0</v>
      </c>
      <c r="BI42" s="45">
        <f>BD42*Inputs!$F$6*Inputs!$G$6</f>
        <v>0</v>
      </c>
      <c r="BJ42" s="45">
        <f>Inputs!$F$6*Inputs!$I$6*BE42</f>
        <v>0</v>
      </c>
      <c r="BK42" s="55">
        <v>0</v>
      </c>
      <c r="BM42" s="116">
        <v>4</v>
      </c>
      <c r="BN42" s="114" t="str">
        <f>Inputs!$A$6</f>
        <v>M3471400</v>
      </c>
      <c r="BO42" s="45" t="str">
        <f>Inputs!$B$6</f>
        <v>MC</v>
      </c>
      <c r="BP42" s="45" t="s">
        <v>57</v>
      </c>
      <c r="BQ42" s="45">
        <f t="shared" si="3"/>
        <v>0</v>
      </c>
      <c r="BR42" s="53"/>
      <c r="BS42" s="118">
        <v>4</v>
      </c>
      <c r="BT42" s="114" t="str">
        <f>Inputs!$A$6</f>
        <v>M3471400</v>
      </c>
      <c r="BU42" s="45" t="str">
        <f>Inputs!$B$6</f>
        <v>MC</v>
      </c>
      <c r="BV42" s="45" t="s">
        <v>58</v>
      </c>
      <c r="BW42" s="45">
        <f t="shared" si="4"/>
        <v>0</v>
      </c>
      <c r="BX42" s="53"/>
      <c r="BY42" s="45">
        <v>0</v>
      </c>
      <c r="BZ42" s="45">
        <v>0</v>
      </c>
      <c r="CA42" s="45">
        <f t="shared" ref="CA42:CA49" si="55">CF42-BY41-BQ42-BW42</f>
        <v>0</v>
      </c>
      <c r="CB42" s="53"/>
      <c r="CC42" s="45">
        <f t="shared" ref="CC42:CC49" si="56">BQ42+BW42+BZ42-CF42+BY41-BY42</f>
        <v>0</v>
      </c>
      <c r="CD42" s="45">
        <f>BY42*Inputs!$F$6*Inputs!$G$6</f>
        <v>0</v>
      </c>
      <c r="CE42" s="45">
        <f>Inputs!$F$6*Inputs!$I$6*BZ42</f>
        <v>0</v>
      </c>
      <c r="CF42" s="55">
        <v>0</v>
      </c>
      <c r="CG42" s="41"/>
      <c r="CH42" s="41"/>
      <c r="CI42" s="41"/>
      <c r="CJ42" s="41"/>
      <c r="CK42" s="41"/>
      <c r="CL42" s="41"/>
      <c r="CM42" s="41"/>
      <c r="CN42" s="13">
        <f>Inputs!A39</f>
        <v>0</v>
      </c>
      <c r="CO42" s="13">
        <f>IF(Inputs!D39="Yes",999999,0)</f>
        <v>0</v>
      </c>
      <c r="CP42" s="41">
        <f t="shared" si="16"/>
        <v>0</v>
      </c>
      <c r="CQ42" s="41">
        <f>IF(Inputs!E39="Yes",999999,0)</f>
        <v>0</v>
      </c>
      <c r="CR42" s="41">
        <f t="shared" si="17"/>
        <v>0</v>
      </c>
      <c r="CS42" s="41"/>
      <c r="CT42" s="73"/>
      <c r="CU42" s="73"/>
      <c r="CV42" s="73"/>
      <c r="CW42" s="73"/>
      <c r="CX42" s="73"/>
      <c r="CY42" s="73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N42" s="6"/>
      <c r="DO42" s="36">
        <f t="shared" si="22"/>
        <v>0</v>
      </c>
      <c r="DP42" s="34">
        <f t="shared" si="48"/>
        <v>0</v>
      </c>
      <c r="DQ42" s="35">
        <f t="shared" si="23"/>
        <v>0</v>
      </c>
      <c r="DR42" s="10"/>
      <c r="DS42" s="28">
        <f>Inputs!A39</f>
        <v>0</v>
      </c>
      <c r="DT42" s="26">
        <f>Inputs!C39</f>
        <v>0</v>
      </c>
      <c r="DU42" s="24"/>
    </row>
    <row r="43" spans="1:125" ht="15.75" customHeight="1" x14ac:dyDescent="0.25">
      <c r="A43" s="116">
        <v>5</v>
      </c>
      <c r="B43" s="114" t="str">
        <f>Inputs!$A$6</f>
        <v>M3471400</v>
      </c>
      <c r="C43" s="45" t="str">
        <f>Inputs!$B$6</f>
        <v>MC</v>
      </c>
      <c r="D43" s="45" t="s">
        <v>57</v>
      </c>
      <c r="E43" s="45">
        <v>0</v>
      </c>
      <c r="F43" s="53"/>
      <c r="G43" s="118">
        <v>5</v>
      </c>
      <c r="H43" s="114" t="str">
        <f>Inputs!$A$6</f>
        <v>M3471400</v>
      </c>
      <c r="I43" s="45" t="str">
        <f>Inputs!$B$6</f>
        <v>MC</v>
      </c>
      <c r="J43" s="45" t="s">
        <v>58</v>
      </c>
      <c r="K43" s="45">
        <v>0</v>
      </c>
      <c r="L43" s="53"/>
      <c r="M43" s="45">
        <v>0</v>
      </c>
      <c r="N43" s="45">
        <v>0</v>
      </c>
      <c r="O43" s="45">
        <f t="shared" si="49"/>
        <v>0</v>
      </c>
      <c r="P43" s="53"/>
      <c r="Q43" s="45">
        <f t="shared" si="50"/>
        <v>0</v>
      </c>
      <c r="R43" s="45">
        <f>M43*Inputs!$F$6*Inputs!$G$6</f>
        <v>0</v>
      </c>
      <c r="S43" s="45">
        <f>Inputs!$F$6*Inputs!$I$6*N43</f>
        <v>0</v>
      </c>
      <c r="T43" s="18"/>
      <c r="U43" s="55">
        <v>0</v>
      </c>
      <c r="W43" s="116">
        <v>5</v>
      </c>
      <c r="X43" s="114" t="str">
        <f>Inputs!$A$6</f>
        <v>M3471400</v>
      </c>
      <c r="Y43" s="45" t="str">
        <f>Inputs!$B$6</f>
        <v>MC</v>
      </c>
      <c r="Z43" s="45" t="s">
        <v>57</v>
      </c>
      <c r="AA43" s="45">
        <f t="shared" si="0"/>
        <v>0</v>
      </c>
      <c r="AB43" s="53"/>
      <c r="AC43" s="118">
        <v>5</v>
      </c>
      <c r="AD43" s="114" t="str">
        <f>Inputs!$A$6</f>
        <v>M3471400</v>
      </c>
      <c r="AE43" s="45" t="str">
        <f>Inputs!$B$6</f>
        <v>MC</v>
      </c>
      <c r="AF43" s="45" t="s">
        <v>58</v>
      </c>
      <c r="AG43" s="45">
        <f t="shared" si="1"/>
        <v>0</v>
      </c>
      <c r="AH43" s="53"/>
      <c r="AI43" s="45">
        <v>0</v>
      </c>
      <c r="AJ43" s="45">
        <v>0</v>
      </c>
      <c r="AK43" s="45">
        <f t="shared" si="51"/>
        <v>0</v>
      </c>
      <c r="AL43" s="53"/>
      <c r="AM43" s="45">
        <f t="shared" si="52"/>
        <v>0</v>
      </c>
      <c r="AN43" s="45">
        <f>AI43*Inputs!$F$6*Inputs!$G$6</f>
        <v>0</v>
      </c>
      <c r="AO43" s="45">
        <f>Inputs!$F$6*Inputs!$I$6*AJ43</f>
        <v>0</v>
      </c>
      <c r="AP43" s="55">
        <v>0</v>
      </c>
      <c r="AR43" s="116">
        <v>5</v>
      </c>
      <c r="AS43" s="114" t="str">
        <f>Inputs!$A$6</f>
        <v>M3471400</v>
      </c>
      <c r="AT43" s="45" t="str">
        <f>Inputs!$B$6</f>
        <v>MC</v>
      </c>
      <c r="AU43" s="45" t="s">
        <v>57</v>
      </c>
      <c r="AV43" s="45">
        <f t="shared" si="10"/>
        <v>0</v>
      </c>
      <c r="AW43" s="53"/>
      <c r="AX43" s="118">
        <v>5</v>
      </c>
      <c r="AY43" s="114" t="str">
        <f>Inputs!$A$6</f>
        <v>M3471400</v>
      </c>
      <c r="AZ43" s="45" t="str">
        <f>Inputs!$B$6</f>
        <v>MC</v>
      </c>
      <c r="BA43" s="45" t="s">
        <v>58</v>
      </c>
      <c r="BB43" s="45">
        <f t="shared" si="2"/>
        <v>0</v>
      </c>
      <c r="BC43" s="53"/>
      <c r="BD43" s="45">
        <v>0</v>
      </c>
      <c r="BE43" s="45">
        <v>0</v>
      </c>
      <c r="BF43" s="45">
        <f t="shared" si="53"/>
        <v>0</v>
      </c>
      <c r="BG43" s="53"/>
      <c r="BH43" s="45">
        <f t="shared" si="54"/>
        <v>0</v>
      </c>
      <c r="BI43" s="45">
        <f>BD43*Inputs!$F$6*Inputs!$G$6</f>
        <v>0</v>
      </c>
      <c r="BJ43" s="45">
        <f>Inputs!$F$6*Inputs!$I$6*BE43</f>
        <v>0</v>
      </c>
      <c r="BK43" s="55">
        <v>0</v>
      </c>
      <c r="BM43" s="116">
        <v>5</v>
      </c>
      <c r="BN43" s="114" t="str">
        <f>Inputs!$A$6</f>
        <v>M3471400</v>
      </c>
      <c r="BO43" s="45" t="str">
        <f>Inputs!$B$6</f>
        <v>MC</v>
      </c>
      <c r="BP43" s="45" t="s">
        <v>57</v>
      </c>
      <c r="BQ43" s="45">
        <f t="shared" si="3"/>
        <v>0</v>
      </c>
      <c r="BR43" s="53"/>
      <c r="BS43" s="118">
        <v>5</v>
      </c>
      <c r="BT43" s="114" t="str">
        <f>Inputs!$A$6</f>
        <v>M3471400</v>
      </c>
      <c r="BU43" s="45" t="str">
        <f>Inputs!$B$6</f>
        <v>MC</v>
      </c>
      <c r="BV43" s="45" t="s">
        <v>58</v>
      </c>
      <c r="BW43" s="45">
        <f t="shared" si="4"/>
        <v>0</v>
      </c>
      <c r="BX43" s="53"/>
      <c r="BY43" s="45">
        <v>0</v>
      </c>
      <c r="BZ43" s="45">
        <v>0</v>
      </c>
      <c r="CA43" s="45">
        <f t="shared" si="55"/>
        <v>0</v>
      </c>
      <c r="CB43" s="53"/>
      <c r="CC43" s="45">
        <f t="shared" si="56"/>
        <v>0</v>
      </c>
      <c r="CD43" s="45">
        <f>BY43*Inputs!$F$6*Inputs!$G$6</f>
        <v>0</v>
      </c>
      <c r="CE43" s="45">
        <f>Inputs!$F$6*Inputs!$I$6*BZ43</f>
        <v>0</v>
      </c>
      <c r="CF43" s="55">
        <v>0</v>
      </c>
      <c r="CG43" s="41"/>
      <c r="CH43" s="41"/>
      <c r="CI43" s="41"/>
      <c r="CJ43" s="41"/>
      <c r="CK43" s="41"/>
      <c r="CL43" s="41"/>
      <c r="CM43" s="41"/>
      <c r="CN43" s="13">
        <f>Inputs!A40</f>
        <v>0</v>
      </c>
      <c r="CO43" s="13">
        <f>IF(Inputs!D40="Yes",999999,0)</f>
        <v>0</v>
      </c>
      <c r="CP43" s="41">
        <f t="shared" si="16"/>
        <v>0</v>
      </c>
      <c r="CQ43" s="41">
        <f>IF(Inputs!E40="Yes",999999,0)</f>
        <v>0</v>
      </c>
      <c r="CR43" s="41">
        <f t="shared" si="17"/>
        <v>0</v>
      </c>
      <c r="CS43" s="41"/>
      <c r="CT43" s="73"/>
      <c r="CU43" s="73"/>
      <c r="CV43" s="73"/>
      <c r="CW43" s="73"/>
      <c r="CX43" s="73"/>
      <c r="CY43" s="73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N43" s="6"/>
      <c r="DO43" s="36">
        <f t="shared" si="22"/>
        <v>0</v>
      </c>
      <c r="DP43" s="34">
        <f t="shared" si="48"/>
        <v>0</v>
      </c>
      <c r="DQ43" s="35">
        <f t="shared" si="23"/>
        <v>0</v>
      </c>
      <c r="DR43" s="10"/>
      <c r="DS43" s="28">
        <f>Inputs!A40</f>
        <v>0</v>
      </c>
      <c r="DT43" s="26">
        <f>Inputs!C40</f>
        <v>0</v>
      </c>
      <c r="DU43" s="24"/>
    </row>
    <row r="44" spans="1:125" ht="15.75" customHeight="1" x14ac:dyDescent="0.25">
      <c r="A44" s="116">
        <v>6</v>
      </c>
      <c r="B44" s="114" t="str">
        <f>Inputs!$A$6</f>
        <v>M3471400</v>
      </c>
      <c r="C44" s="45" t="str">
        <f>Inputs!$B$6</f>
        <v>MC</v>
      </c>
      <c r="D44" s="45" t="s">
        <v>57</v>
      </c>
      <c r="E44" s="45">
        <v>0</v>
      </c>
      <c r="F44" s="53"/>
      <c r="G44" s="118">
        <v>6</v>
      </c>
      <c r="H44" s="114" t="str">
        <f>Inputs!$A$6</f>
        <v>M3471400</v>
      </c>
      <c r="I44" s="45" t="str">
        <f>Inputs!$B$6</f>
        <v>MC</v>
      </c>
      <c r="J44" s="45" t="s">
        <v>58</v>
      </c>
      <c r="K44" s="45">
        <v>2.5366401000000001</v>
      </c>
      <c r="L44" s="53"/>
      <c r="M44" s="45">
        <v>0</v>
      </c>
      <c r="N44" s="45">
        <v>0</v>
      </c>
      <c r="O44" s="45">
        <f t="shared" si="49"/>
        <v>3.5574339918298392E-8</v>
      </c>
      <c r="P44" s="53"/>
      <c r="Q44" s="45">
        <f t="shared" si="50"/>
        <v>-3.5574339918298392E-8</v>
      </c>
      <c r="R44" s="45">
        <f>M44*Inputs!$F$6*Inputs!$G$6</f>
        <v>0</v>
      </c>
      <c r="S44" s="45">
        <f>Inputs!$F$6*Inputs!$I$6*N44</f>
        <v>0</v>
      </c>
      <c r="T44" s="18"/>
      <c r="U44" s="55">
        <v>2.53664013557434</v>
      </c>
      <c r="W44" s="116">
        <v>6</v>
      </c>
      <c r="X44" s="114" t="str">
        <f>Inputs!$A$6</f>
        <v>M3471400</v>
      </c>
      <c r="Y44" s="45" t="str">
        <f>Inputs!$B$6</f>
        <v>MC</v>
      </c>
      <c r="Z44" s="45" t="s">
        <v>57</v>
      </c>
      <c r="AA44" s="45">
        <f t="shared" si="0"/>
        <v>0</v>
      </c>
      <c r="AB44" s="53"/>
      <c r="AC44" s="118">
        <v>6</v>
      </c>
      <c r="AD44" s="114" t="str">
        <f>Inputs!$A$6</f>
        <v>M3471400</v>
      </c>
      <c r="AE44" s="45" t="str">
        <f>Inputs!$B$6</f>
        <v>MC</v>
      </c>
      <c r="AF44" s="45" t="s">
        <v>58</v>
      </c>
      <c r="AG44" s="45">
        <f t="shared" si="1"/>
        <v>2.5366401000000001</v>
      </c>
      <c r="AH44" s="53"/>
      <c r="AI44" s="45">
        <v>2.5366401000000001</v>
      </c>
      <c r="AJ44" s="45">
        <v>0</v>
      </c>
      <c r="AK44" s="45">
        <f t="shared" si="51"/>
        <v>-2.5366401000000001</v>
      </c>
      <c r="AL44" s="53"/>
      <c r="AM44" s="45">
        <f t="shared" si="52"/>
        <v>0</v>
      </c>
      <c r="AN44" s="45">
        <f>AI44*Inputs!$F$6*Inputs!$G$6</f>
        <v>6627.5252487917996</v>
      </c>
      <c r="AO44" s="45">
        <f>Inputs!$F$6*Inputs!$I$6*AJ44</f>
        <v>0</v>
      </c>
      <c r="AP44" s="55">
        <v>0</v>
      </c>
      <c r="AR44" s="116">
        <v>6</v>
      </c>
      <c r="AS44" s="114" t="str">
        <f>Inputs!$A$6</f>
        <v>M3471400</v>
      </c>
      <c r="AT44" s="45" t="str">
        <f>Inputs!$B$6</f>
        <v>MC</v>
      </c>
      <c r="AU44" s="45" t="s">
        <v>57</v>
      </c>
      <c r="AV44" s="45">
        <f t="shared" si="10"/>
        <v>0</v>
      </c>
      <c r="AW44" s="53"/>
      <c r="AX44" s="118">
        <v>6</v>
      </c>
      <c r="AY44" s="114" t="str">
        <f>Inputs!$A$6</f>
        <v>M3471400</v>
      </c>
      <c r="AZ44" s="45" t="str">
        <f>Inputs!$B$6</f>
        <v>MC</v>
      </c>
      <c r="BA44" s="45" t="s">
        <v>58</v>
      </c>
      <c r="BB44" s="45">
        <f t="shared" si="2"/>
        <v>2.5366401000000001</v>
      </c>
      <c r="BC44" s="53"/>
      <c r="BD44" s="45">
        <v>2.5366401000000001</v>
      </c>
      <c r="BE44" s="45">
        <v>0</v>
      </c>
      <c r="BF44" s="45">
        <f t="shared" si="53"/>
        <v>-2.5366401000000001</v>
      </c>
      <c r="BG44" s="53"/>
      <c r="BH44" s="45">
        <f t="shared" si="54"/>
        <v>0</v>
      </c>
      <c r="BI44" s="45">
        <f>BD44*Inputs!$F$6*Inputs!$G$6</f>
        <v>6627.5252487917996</v>
      </c>
      <c r="BJ44" s="45">
        <f>Inputs!$F$6*Inputs!$I$6*BE44</f>
        <v>0</v>
      </c>
      <c r="BK44" s="55">
        <v>0</v>
      </c>
      <c r="BM44" s="116">
        <v>6</v>
      </c>
      <c r="BN44" s="114" t="str">
        <f>Inputs!$A$6</f>
        <v>M3471400</v>
      </c>
      <c r="BO44" s="45" t="str">
        <f>Inputs!$B$6</f>
        <v>MC</v>
      </c>
      <c r="BP44" s="45" t="s">
        <v>57</v>
      </c>
      <c r="BQ44" s="45">
        <f t="shared" si="3"/>
        <v>0</v>
      </c>
      <c r="BR44" s="53"/>
      <c r="BS44" s="118">
        <v>6</v>
      </c>
      <c r="BT44" s="114" t="str">
        <f>Inputs!$A$6</f>
        <v>M3471400</v>
      </c>
      <c r="BU44" s="45" t="str">
        <f>Inputs!$B$6</f>
        <v>MC</v>
      </c>
      <c r="BV44" s="45" t="s">
        <v>58</v>
      </c>
      <c r="BW44" s="45">
        <f t="shared" si="4"/>
        <v>2.5366401000000001</v>
      </c>
      <c r="BX44" s="53"/>
      <c r="BY44" s="45">
        <v>2.5366401000000001</v>
      </c>
      <c r="BZ44" s="45">
        <v>0</v>
      </c>
      <c r="CA44" s="45">
        <f t="shared" si="55"/>
        <v>-2.5366401000000001</v>
      </c>
      <c r="CB44" s="53"/>
      <c r="CC44" s="45">
        <f t="shared" si="56"/>
        <v>0</v>
      </c>
      <c r="CD44" s="45">
        <f>BY44*Inputs!$F$6*Inputs!$G$6</f>
        <v>6627.5252487917996</v>
      </c>
      <c r="CE44" s="45">
        <f>Inputs!$F$6*Inputs!$I$6*BZ44</f>
        <v>0</v>
      </c>
      <c r="CF44" s="55">
        <v>0</v>
      </c>
      <c r="CG44" s="41"/>
      <c r="CH44" s="41"/>
      <c r="CI44" s="41"/>
      <c r="CJ44" s="41"/>
      <c r="CK44" s="41"/>
      <c r="CL44" s="41"/>
      <c r="CM44" s="41"/>
      <c r="CN44" s="13">
        <f>Inputs!A41</f>
        <v>0</v>
      </c>
      <c r="CO44" s="13">
        <f>IF(Inputs!D41="Yes",999999,0)</f>
        <v>0</v>
      </c>
      <c r="CP44" s="41">
        <f t="shared" si="16"/>
        <v>0</v>
      </c>
      <c r="CQ44" s="41">
        <f>IF(Inputs!E41="Yes",999999,0)</f>
        <v>0</v>
      </c>
      <c r="CR44" s="41">
        <f t="shared" si="17"/>
        <v>0</v>
      </c>
      <c r="CS44" s="41"/>
      <c r="CT44" s="73"/>
      <c r="CU44" s="73"/>
      <c r="CV44" s="73"/>
      <c r="CW44" s="73"/>
      <c r="CX44" s="73"/>
      <c r="CY44" s="73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N44" s="6"/>
      <c r="DO44" s="36">
        <f t="shared" si="22"/>
        <v>0</v>
      </c>
      <c r="DP44" s="34">
        <f t="shared" si="48"/>
        <v>0</v>
      </c>
      <c r="DQ44" s="35">
        <f t="shared" si="23"/>
        <v>0</v>
      </c>
      <c r="DR44" s="10"/>
      <c r="DS44" s="28">
        <f>Inputs!A41</f>
        <v>0</v>
      </c>
      <c r="DT44" s="26">
        <f>Inputs!C41</f>
        <v>0</v>
      </c>
      <c r="DU44" s="24"/>
    </row>
    <row r="45" spans="1:125" ht="15.75" customHeight="1" x14ac:dyDescent="0.25">
      <c r="A45" s="116">
        <v>7</v>
      </c>
      <c r="B45" s="114" t="str">
        <f>Inputs!$A$6</f>
        <v>M3471400</v>
      </c>
      <c r="C45" s="45" t="str">
        <f>Inputs!$B$6</f>
        <v>MC</v>
      </c>
      <c r="D45" s="45" t="s">
        <v>57</v>
      </c>
      <c r="E45" s="45">
        <v>0</v>
      </c>
      <c r="F45" s="53"/>
      <c r="G45" s="118">
        <v>7</v>
      </c>
      <c r="H45" s="114" t="str">
        <f>Inputs!$A$6</f>
        <v>M3471400</v>
      </c>
      <c r="I45" s="45" t="str">
        <f>Inputs!$B$6</f>
        <v>MC</v>
      </c>
      <c r="J45" s="45" t="s">
        <v>58</v>
      </c>
      <c r="K45" s="45">
        <v>78.438550000000006</v>
      </c>
      <c r="L45" s="53"/>
      <c r="M45" s="45">
        <v>62.542271999999997</v>
      </c>
      <c r="N45" s="45">
        <v>0</v>
      </c>
      <c r="O45" s="45">
        <f t="shared" si="49"/>
        <v>-62.54227181706748</v>
      </c>
      <c r="P45" s="53"/>
      <c r="Q45" s="45">
        <f t="shared" si="50"/>
        <v>-1.8293251713430436E-7</v>
      </c>
      <c r="R45" s="45">
        <f>M45*Inputs!$F$6*Inputs!$G$6</f>
        <v>163405.31981529595</v>
      </c>
      <c r="S45" s="45">
        <f>Inputs!$F$6*Inputs!$I$6*N45</f>
        <v>0</v>
      </c>
      <c r="T45" s="18"/>
      <c r="U45" s="55">
        <v>15.896278182932528</v>
      </c>
      <c r="W45" s="116">
        <v>7</v>
      </c>
      <c r="X45" s="114" t="str">
        <f>Inputs!$A$6</f>
        <v>M3471400</v>
      </c>
      <c r="Y45" s="45" t="str">
        <f>Inputs!$B$6</f>
        <v>MC</v>
      </c>
      <c r="Z45" s="45" t="s">
        <v>57</v>
      </c>
      <c r="AA45" s="45">
        <f t="shared" si="0"/>
        <v>0</v>
      </c>
      <c r="AB45" s="53"/>
      <c r="AC45" s="118">
        <v>7</v>
      </c>
      <c r="AD45" s="114" t="str">
        <f>Inputs!$A$6</f>
        <v>M3471400</v>
      </c>
      <c r="AE45" s="45" t="str">
        <f>Inputs!$B$6</f>
        <v>MC</v>
      </c>
      <c r="AF45" s="45" t="s">
        <v>58</v>
      </c>
      <c r="AG45" s="45">
        <f t="shared" si="1"/>
        <v>78.438550000000006</v>
      </c>
      <c r="AH45" s="53"/>
      <c r="AI45" s="45">
        <v>64.780152000000001</v>
      </c>
      <c r="AJ45" s="45">
        <v>0</v>
      </c>
      <c r="AK45" s="45">
        <f t="shared" si="51"/>
        <v>-64.780152078877606</v>
      </c>
      <c r="AL45" s="53"/>
      <c r="AM45" s="45">
        <f t="shared" si="52"/>
        <v>7.8877604892113595E-8</v>
      </c>
      <c r="AN45" s="45">
        <f>AI45*Inputs!$F$6*Inputs!$G$6</f>
        <v>169252.26917313598</v>
      </c>
      <c r="AO45" s="45">
        <f>Inputs!$F$6*Inputs!$I$6*AJ45</f>
        <v>0</v>
      </c>
      <c r="AP45" s="55">
        <v>16.195038021122397</v>
      </c>
      <c r="AR45" s="116">
        <v>7</v>
      </c>
      <c r="AS45" s="114" t="str">
        <f>Inputs!$A$6</f>
        <v>M3471400</v>
      </c>
      <c r="AT45" s="45" t="str">
        <f>Inputs!$B$6</f>
        <v>MC</v>
      </c>
      <c r="AU45" s="45" t="s">
        <v>57</v>
      </c>
      <c r="AV45" s="45">
        <f t="shared" si="10"/>
        <v>0</v>
      </c>
      <c r="AW45" s="53"/>
      <c r="AX45" s="118">
        <v>7</v>
      </c>
      <c r="AY45" s="114" t="str">
        <f>Inputs!$A$6</f>
        <v>M3471400</v>
      </c>
      <c r="AZ45" s="45" t="str">
        <f>Inputs!$B$6</f>
        <v>MC</v>
      </c>
      <c r="BA45" s="45" t="s">
        <v>58</v>
      </c>
      <c r="BB45" s="45">
        <f t="shared" si="2"/>
        <v>78.438550000000006</v>
      </c>
      <c r="BC45" s="53"/>
      <c r="BD45" s="45">
        <v>46.965609999999998</v>
      </c>
      <c r="BE45" s="45">
        <v>0</v>
      </c>
      <c r="BF45" s="45">
        <f t="shared" si="53"/>
        <v>-46.965610255642972</v>
      </c>
      <c r="BG45" s="53"/>
      <c r="BH45" s="45">
        <f t="shared" si="54"/>
        <v>2.5564297345681553E-7</v>
      </c>
      <c r="BI45" s="45">
        <f>BD45*Inputs!$F$6*Inputs!$G$6</f>
        <v>122707.89462797997</v>
      </c>
      <c r="BJ45" s="45">
        <f>Inputs!$F$6*Inputs!$I$6*BE45</f>
        <v>0</v>
      </c>
      <c r="BK45" s="55">
        <v>34.009579844357035</v>
      </c>
      <c r="BM45" s="116">
        <v>7</v>
      </c>
      <c r="BN45" s="114" t="str">
        <f>Inputs!$A$6</f>
        <v>M3471400</v>
      </c>
      <c r="BO45" s="45" t="str">
        <f>Inputs!$B$6</f>
        <v>MC</v>
      </c>
      <c r="BP45" s="45" t="s">
        <v>57</v>
      </c>
      <c r="BQ45" s="45">
        <f t="shared" si="3"/>
        <v>0</v>
      </c>
      <c r="BR45" s="53"/>
      <c r="BS45" s="118">
        <v>7</v>
      </c>
      <c r="BT45" s="114" t="str">
        <f>Inputs!$A$6</f>
        <v>M3471400</v>
      </c>
      <c r="BU45" s="45" t="str">
        <f>Inputs!$B$6</f>
        <v>MC</v>
      </c>
      <c r="BV45" s="45" t="s">
        <v>58</v>
      </c>
      <c r="BW45" s="45">
        <f t="shared" si="4"/>
        <v>78.438550000000006</v>
      </c>
      <c r="BX45" s="53"/>
      <c r="BY45" s="45">
        <v>0</v>
      </c>
      <c r="BZ45" s="45">
        <v>0</v>
      </c>
      <c r="CA45" s="45">
        <f t="shared" si="55"/>
        <v>5.6119660030162777E-9</v>
      </c>
      <c r="CB45" s="53"/>
      <c r="CC45" s="45">
        <f t="shared" si="56"/>
        <v>-5.6119655589270678E-9</v>
      </c>
      <c r="CD45" s="45">
        <f>BY45*Inputs!$F$6*Inputs!$G$6</f>
        <v>0</v>
      </c>
      <c r="CE45" s="45">
        <f>Inputs!$F$6*Inputs!$I$6*BZ45</f>
        <v>0</v>
      </c>
      <c r="CF45" s="55">
        <v>80.975190105611972</v>
      </c>
      <c r="CG45" s="41"/>
      <c r="CH45" s="41"/>
      <c r="CI45" s="41"/>
      <c r="CJ45" s="41"/>
      <c r="CK45" s="41"/>
      <c r="CL45" s="41"/>
      <c r="CM45" s="41"/>
      <c r="CN45" s="13">
        <f>Inputs!A42</f>
        <v>0</v>
      </c>
      <c r="CO45" s="13">
        <f>IF(Inputs!D42="Yes",999999,0)</f>
        <v>0</v>
      </c>
      <c r="CP45" s="41">
        <f t="shared" si="16"/>
        <v>0</v>
      </c>
      <c r="CQ45" s="41">
        <f>IF(Inputs!E42="Yes",999999,0)</f>
        <v>0</v>
      </c>
      <c r="CR45" s="41">
        <f t="shared" si="17"/>
        <v>0</v>
      </c>
      <c r="CS45" s="41"/>
      <c r="CT45" s="73"/>
      <c r="CU45" s="73"/>
      <c r="CV45" s="73"/>
      <c r="CW45" s="73"/>
      <c r="CX45" s="73"/>
      <c r="CY45" s="73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N45" s="6"/>
      <c r="DO45" s="36">
        <f t="shared" si="22"/>
        <v>0</v>
      </c>
      <c r="DP45" s="34">
        <f t="shared" si="48"/>
        <v>0</v>
      </c>
      <c r="DQ45" s="35">
        <f t="shared" si="23"/>
        <v>0</v>
      </c>
      <c r="DR45" s="10"/>
      <c r="DS45" s="28">
        <f>Inputs!A42</f>
        <v>0</v>
      </c>
      <c r="DT45" s="26">
        <f>Inputs!C42</f>
        <v>0</v>
      </c>
      <c r="DU45" s="24"/>
    </row>
    <row r="46" spans="1:125" ht="15.75" customHeight="1" x14ac:dyDescent="0.25">
      <c r="A46" s="116">
        <v>8</v>
      </c>
      <c r="B46" s="114" t="str">
        <f>Inputs!$A$6</f>
        <v>M3471400</v>
      </c>
      <c r="C46" s="45" t="str">
        <f>Inputs!$B$6</f>
        <v>MC</v>
      </c>
      <c r="D46" s="45" t="s">
        <v>57</v>
      </c>
      <c r="E46" s="45">
        <v>64.780152000000001</v>
      </c>
      <c r="F46" s="53"/>
      <c r="G46" s="118">
        <v>8</v>
      </c>
      <c r="H46" s="114" t="str">
        <f>Inputs!$A$6</f>
        <v>M3471400</v>
      </c>
      <c r="I46" s="45" t="str">
        <f>Inputs!$B$6</f>
        <v>MC</v>
      </c>
      <c r="J46" s="45" t="s">
        <v>58</v>
      </c>
      <c r="K46" s="45">
        <v>0</v>
      </c>
      <c r="L46" s="53"/>
      <c r="M46" s="45">
        <v>71.939114000000004</v>
      </c>
      <c r="N46" s="45">
        <v>0</v>
      </c>
      <c r="O46" s="45">
        <f t="shared" si="49"/>
        <v>-71.939114373293577</v>
      </c>
      <c r="P46" s="53"/>
      <c r="Q46" s="45">
        <f t="shared" si="50"/>
        <v>3.7329357382986927E-7</v>
      </c>
      <c r="R46" s="45">
        <f>M46*Inputs!$F$6*Inputs!$G$6</f>
        <v>187956.61805185201</v>
      </c>
      <c r="S46" s="45">
        <f>Inputs!$F$6*Inputs!$I$6*N46</f>
        <v>0</v>
      </c>
      <c r="T46" s="18"/>
      <c r="U46" s="55">
        <v>55.383309626706421</v>
      </c>
      <c r="W46" s="116">
        <v>8</v>
      </c>
      <c r="X46" s="114" t="str">
        <f>Inputs!$A$6</f>
        <v>M3471400</v>
      </c>
      <c r="Y46" s="45" t="str">
        <f>Inputs!$B$6</f>
        <v>MC</v>
      </c>
      <c r="Z46" s="45" t="s">
        <v>57</v>
      </c>
      <c r="AA46" s="45">
        <f t="shared" si="0"/>
        <v>64.780152000000001</v>
      </c>
      <c r="AB46" s="53"/>
      <c r="AC46" s="118">
        <v>8</v>
      </c>
      <c r="AD46" s="114" t="str">
        <f>Inputs!$A$6</f>
        <v>M3471400</v>
      </c>
      <c r="AE46" s="45" t="str">
        <f>Inputs!$B$6</f>
        <v>MC</v>
      </c>
      <c r="AF46" s="45" t="s">
        <v>58</v>
      </c>
      <c r="AG46" s="45">
        <f t="shared" si="1"/>
        <v>0</v>
      </c>
      <c r="AH46" s="53"/>
      <c r="AI46" s="45">
        <v>97.170227999999994</v>
      </c>
      <c r="AJ46" s="45">
        <v>0</v>
      </c>
      <c r="AK46" s="45">
        <f t="shared" si="51"/>
        <v>-97.170227957755202</v>
      </c>
      <c r="AL46" s="53"/>
      <c r="AM46" s="45">
        <f t="shared" si="52"/>
        <v>-4.2244792552992294E-8</v>
      </c>
      <c r="AN46" s="45">
        <f>AI46*Inputs!$F$6*Inputs!$G$6</f>
        <v>253878.40375970397</v>
      </c>
      <c r="AO46" s="45">
        <f>Inputs!$F$6*Inputs!$I$6*AJ46</f>
        <v>0</v>
      </c>
      <c r="AP46" s="55">
        <v>32.390076042244793</v>
      </c>
      <c r="AR46" s="116">
        <v>8</v>
      </c>
      <c r="AS46" s="114" t="str">
        <f>Inputs!$A$6</f>
        <v>M3471400</v>
      </c>
      <c r="AT46" s="45" t="str">
        <f>Inputs!$B$6</f>
        <v>MC</v>
      </c>
      <c r="AU46" s="45" t="s">
        <v>57</v>
      </c>
      <c r="AV46" s="45">
        <f t="shared" si="10"/>
        <v>64.780152000000001</v>
      </c>
      <c r="AW46" s="53"/>
      <c r="AX46" s="118">
        <v>8</v>
      </c>
      <c r="AY46" s="114" t="str">
        <f>Inputs!$A$6</f>
        <v>M3471400</v>
      </c>
      <c r="AZ46" s="45" t="str">
        <f>Inputs!$B$6</f>
        <v>MC</v>
      </c>
      <c r="BA46" s="45" t="s">
        <v>58</v>
      </c>
      <c r="BB46" s="45">
        <f t="shared" si="2"/>
        <v>0</v>
      </c>
      <c r="BC46" s="53"/>
      <c r="BD46" s="45">
        <v>55.872881</v>
      </c>
      <c r="BE46" s="45">
        <v>0</v>
      </c>
      <c r="BF46" s="45">
        <f t="shared" si="53"/>
        <v>-55.87288082712773</v>
      </c>
      <c r="BG46" s="53"/>
      <c r="BH46" s="45">
        <f t="shared" si="54"/>
        <v>-1.7287226938833555E-7</v>
      </c>
      <c r="BI46" s="45">
        <f>BD46*Inputs!$F$6*Inputs!$G$6</f>
        <v>145980.08190055797</v>
      </c>
      <c r="BJ46" s="45">
        <f>Inputs!$F$6*Inputs!$I$6*BE46</f>
        <v>0</v>
      </c>
      <c r="BK46" s="55">
        <v>55.872881172872269</v>
      </c>
      <c r="BM46" s="116">
        <v>8</v>
      </c>
      <c r="BN46" s="114" t="str">
        <f>Inputs!$A$6</f>
        <v>M3471400</v>
      </c>
      <c r="BO46" s="45" t="str">
        <f>Inputs!$B$6</f>
        <v>MC</v>
      </c>
      <c r="BP46" s="45" t="s">
        <v>57</v>
      </c>
      <c r="BQ46" s="45">
        <f t="shared" si="3"/>
        <v>64.780152000000001</v>
      </c>
      <c r="BR46" s="53"/>
      <c r="BS46" s="118">
        <v>8</v>
      </c>
      <c r="BT46" s="114" t="str">
        <f>Inputs!$A$6</f>
        <v>M3471400</v>
      </c>
      <c r="BU46" s="45" t="str">
        <f>Inputs!$B$6</f>
        <v>MC</v>
      </c>
      <c r="BV46" s="45" t="s">
        <v>58</v>
      </c>
      <c r="BW46" s="45">
        <f t="shared" si="4"/>
        <v>0</v>
      </c>
      <c r="BX46" s="53"/>
      <c r="BY46" s="45">
        <v>0</v>
      </c>
      <c r="BZ46" s="45">
        <v>0</v>
      </c>
      <c r="CA46" s="45">
        <f t="shared" si="55"/>
        <v>8.4489585105984588E-8</v>
      </c>
      <c r="CB46" s="53"/>
      <c r="CC46" s="45">
        <f t="shared" si="56"/>
        <v>-8.4489585105984588E-8</v>
      </c>
      <c r="CD46" s="45">
        <f>BY46*Inputs!$F$6*Inputs!$G$6</f>
        <v>0</v>
      </c>
      <c r="CE46" s="45">
        <f>Inputs!$F$6*Inputs!$I$6*BZ46</f>
        <v>0</v>
      </c>
      <c r="CF46" s="55">
        <v>64.780152084489586</v>
      </c>
      <c r="CG46" s="41"/>
      <c r="CH46" s="41"/>
      <c r="CI46" s="41"/>
      <c r="CJ46" s="41"/>
      <c r="CK46" s="41"/>
      <c r="CL46" s="41"/>
      <c r="CM46" s="41"/>
      <c r="CN46" s="13">
        <f>Inputs!A43</f>
        <v>0</v>
      </c>
      <c r="CO46" s="13">
        <f>IF(Inputs!D43="Yes",999999,0)</f>
        <v>0</v>
      </c>
      <c r="CP46" s="41">
        <f t="shared" si="16"/>
        <v>0</v>
      </c>
      <c r="CQ46" s="41">
        <f>IF(Inputs!E43="Yes",999999,0)</f>
        <v>0</v>
      </c>
      <c r="CR46" s="41">
        <f t="shared" si="17"/>
        <v>0</v>
      </c>
      <c r="CS46" s="41"/>
      <c r="CT46" s="73"/>
      <c r="CU46" s="73"/>
      <c r="CV46" s="73"/>
      <c r="CW46" s="73"/>
      <c r="CX46" s="73"/>
      <c r="CY46" s="73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N46" s="6"/>
      <c r="DO46" s="36">
        <f t="shared" si="22"/>
        <v>0</v>
      </c>
      <c r="DP46" s="34">
        <f t="shared" si="48"/>
        <v>0</v>
      </c>
      <c r="DQ46" s="35">
        <f t="shared" si="23"/>
        <v>0</v>
      </c>
      <c r="DR46" s="10"/>
      <c r="DS46" s="28">
        <f>Inputs!A43</f>
        <v>0</v>
      </c>
      <c r="DT46" s="26">
        <f>Inputs!C43</f>
        <v>0</v>
      </c>
      <c r="DU46" s="24"/>
    </row>
    <row r="47" spans="1:125" ht="15.75" customHeight="1" x14ac:dyDescent="0.25">
      <c r="A47" s="116">
        <v>9</v>
      </c>
      <c r="B47" s="114" t="str">
        <f>Inputs!$A$6</f>
        <v>M3471400</v>
      </c>
      <c r="C47" s="45" t="str">
        <f>Inputs!$B$6</f>
        <v>MC</v>
      </c>
      <c r="D47" s="45" t="s">
        <v>57</v>
      </c>
      <c r="E47" s="45">
        <v>0</v>
      </c>
      <c r="F47" s="53"/>
      <c r="G47" s="118">
        <v>9</v>
      </c>
      <c r="H47" s="114" t="str">
        <f>Inputs!$A$6</f>
        <v>M3471400</v>
      </c>
      <c r="I47" s="45" t="str">
        <f>Inputs!$B$6</f>
        <v>MC</v>
      </c>
      <c r="J47" s="45" t="s">
        <v>58</v>
      </c>
      <c r="K47" s="45">
        <v>48.974066000000001</v>
      </c>
      <c r="L47" s="53"/>
      <c r="M47" s="45">
        <v>0</v>
      </c>
      <c r="N47" s="45">
        <v>0</v>
      </c>
      <c r="O47" s="45">
        <f t="shared" si="49"/>
        <v>-2.0428979752296073E-7</v>
      </c>
      <c r="P47" s="53"/>
      <c r="Q47" s="45">
        <f t="shared" si="50"/>
        <v>2.0428980462838808E-7</v>
      </c>
      <c r="R47" s="45">
        <f>M47*Inputs!$F$6*Inputs!$G$6</f>
        <v>0</v>
      </c>
      <c r="S47" s="45">
        <f>Inputs!$F$6*Inputs!$I$6*N47</f>
        <v>0</v>
      </c>
      <c r="T47" s="18"/>
      <c r="U47" s="55">
        <v>120.91317979571021</v>
      </c>
      <c r="W47" s="116">
        <v>9</v>
      </c>
      <c r="X47" s="114" t="str">
        <f>Inputs!$A$6</f>
        <v>M3471400</v>
      </c>
      <c r="Y47" s="45" t="str">
        <f>Inputs!$B$6</f>
        <v>MC</v>
      </c>
      <c r="Z47" s="45" t="s">
        <v>57</v>
      </c>
      <c r="AA47" s="45">
        <f t="shared" si="0"/>
        <v>0</v>
      </c>
      <c r="AB47" s="53"/>
      <c r="AC47" s="118">
        <v>9</v>
      </c>
      <c r="AD47" s="114" t="str">
        <f>Inputs!$A$6</f>
        <v>M3471400</v>
      </c>
      <c r="AE47" s="45" t="str">
        <f>Inputs!$B$6</f>
        <v>MC</v>
      </c>
      <c r="AF47" s="45" t="s">
        <v>58</v>
      </c>
      <c r="AG47" s="45">
        <f t="shared" si="1"/>
        <v>48.974066000000001</v>
      </c>
      <c r="AH47" s="53"/>
      <c r="AI47" s="45">
        <v>97.559179999999998</v>
      </c>
      <c r="AJ47" s="45">
        <v>0</v>
      </c>
      <c r="AK47" s="45">
        <f t="shared" si="51"/>
        <v>-97.559179936632802</v>
      </c>
      <c r="AL47" s="53"/>
      <c r="AM47" s="45">
        <f t="shared" si="52"/>
        <v>-6.3367195934915799E-8</v>
      </c>
      <c r="AN47" s="45">
        <f>AI47*Inputs!$F$6*Inputs!$G$6</f>
        <v>254894.62565123994</v>
      </c>
      <c r="AO47" s="45">
        <f>Inputs!$F$6*Inputs!$I$6*AJ47</f>
        <v>0</v>
      </c>
      <c r="AP47" s="55">
        <v>48.585114063367186</v>
      </c>
      <c r="AR47" s="116">
        <v>9</v>
      </c>
      <c r="AS47" s="114" t="str">
        <f>Inputs!$A$6</f>
        <v>M3471400</v>
      </c>
      <c r="AT47" s="45" t="str">
        <f>Inputs!$B$6</f>
        <v>MC</v>
      </c>
      <c r="AU47" s="45" t="s">
        <v>57</v>
      </c>
      <c r="AV47" s="45">
        <f t="shared" si="10"/>
        <v>0</v>
      </c>
      <c r="AW47" s="53"/>
      <c r="AX47" s="118">
        <v>9</v>
      </c>
      <c r="AY47" s="114" t="str">
        <f>Inputs!$A$6</f>
        <v>M3471400</v>
      </c>
      <c r="AZ47" s="45" t="str">
        <f>Inputs!$B$6</f>
        <v>MC</v>
      </c>
      <c r="BA47" s="45" t="s">
        <v>58</v>
      </c>
      <c r="BB47" s="45">
        <f t="shared" si="2"/>
        <v>48.974066000000001</v>
      </c>
      <c r="BC47" s="53"/>
      <c r="BD47" s="45">
        <v>41.686298000000001</v>
      </c>
      <c r="BE47" s="45">
        <v>0</v>
      </c>
      <c r="BF47" s="45">
        <f t="shared" si="53"/>
        <v>-41.686298717622655</v>
      </c>
      <c r="BG47" s="53"/>
      <c r="BH47" s="45">
        <f t="shared" si="54"/>
        <v>7.176226546334874E-7</v>
      </c>
      <c r="BI47" s="45">
        <f>BD47*Inputs!$F$6*Inputs!$G$6</f>
        <v>108914.54113796398</v>
      </c>
      <c r="BJ47" s="45">
        <f>Inputs!$F$6*Inputs!$I$6*BE47</f>
        <v>0</v>
      </c>
      <c r="BK47" s="55">
        <v>63.160648282377345</v>
      </c>
      <c r="BM47" s="116">
        <v>9</v>
      </c>
      <c r="BN47" s="114" t="str">
        <f>Inputs!$A$6</f>
        <v>M3471400</v>
      </c>
      <c r="BO47" s="45" t="str">
        <f>Inputs!$B$6</f>
        <v>MC</v>
      </c>
      <c r="BP47" s="45" t="s">
        <v>57</v>
      </c>
      <c r="BQ47" s="45">
        <f t="shared" si="3"/>
        <v>0</v>
      </c>
      <c r="BR47" s="53"/>
      <c r="BS47" s="118">
        <v>9</v>
      </c>
      <c r="BT47" s="114" t="str">
        <f>Inputs!$A$6</f>
        <v>M3471400</v>
      </c>
      <c r="BU47" s="45" t="str">
        <f>Inputs!$B$6</f>
        <v>MC</v>
      </c>
      <c r="BV47" s="45" t="s">
        <v>58</v>
      </c>
      <c r="BW47" s="45">
        <f t="shared" si="4"/>
        <v>48.974066000000001</v>
      </c>
      <c r="BX47" s="53"/>
      <c r="BY47" s="45">
        <v>0.38895149000000001</v>
      </c>
      <c r="BZ47" s="45">
        <v>0</v>
      </c>
      <c r="CA47" s="45">
        <f t="shared" si="55"/>
        <v>-0.38895193663281447</v>
      </c>
      <c r="CB47" s="53"/>
      <c r="CC47" s="45">
        <f t="shared" si="56"/>
        <v>4.4663281445478376E-7</v>
      </c>
      <c r="CD47" s="45">
        <f>BY47*Inputs!$F$6*Inputs!$G$6</f>
        <v>1016.2205590498199</v>
      </c>
      <c r="CE47" s="45">
        <f>Inputs!$F$6*Inputs!$I$6*BZ47</f>
        <v>0</v>
      </c>
      <c r="CF47" s="55">
        <v>48.585114063367186</v>
      </c>
      <c r="CG47" s="41"/>
      <c r="CH47" s="41"/>
      <c r="CI47" s="41"/>
      <c r="CJ47" s="41"/>
      <c r="CK47" s="41"/>
      <c r="CL47" s="41"/>
      <c r="CM47" s="41"/>
      <c r="CN47" s="13">
        <f>Inputs!A44</f>
        <v>0</v>
      </c>
      <c r="CO47" s="13">
        <f>IF(Inputs!D44="Yes",999999,0)</f>
        <v>0</v>
      </c>
      <c r="CP47" s="41">
        <f t="shared" si="16"/>
        <v>0</v>
      </c>
      <c r="CQ47" s="41">
        <f>IF(Inputs!E44="Yes",999999,0)</f>
        <v>0</v>
      </c>
      <c r="CR47" s="41">
        <f t="shared" si="17"/>
        <v>0</v>
      </c>
      <c r="CS47" s="41"/>
      <c r="CT47" s="73"/>
      <c r="CU47" s="73"/>
      <c r="CV47" s="73"/>
      <c r="CW47" s="73"/>
      <c r="CX47" s="73"/>
      <c r="CY47" s="73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N47" s="6"/>
      <c r="DO47" s="36">
        <f t="shared" si="22"/>
        <v>0</v>
      </c>
      <c r="DP47" s="34">
        <f t="shared" si="48"/>
        <v>0</v>
      </c>
      <c r="DQ47" s="35">
        <f t="shared" si="23"/>
        <v>0</v>
      </c>
      <c r="DR47" s="10"/>
      <c r="DS47" s="28">
        <f>Inputs!A44</f>
        <v>0</v>
      </c>
      <c r="DT47" s="26">
        <f>Inputs!C44</f>
        <v>0</v>
      </c>
      <c r="DU47" s="24"/>
    </row>
    <row r="48" spans="1:125" ht="15.75" customHeight="1" x14ac:dyDescent="0.25">
      <c r="A48" s="116">
        <v>10</v>
      </c>
      <c r="B48" s="114" t="str">
        <f>Inputs!$A$6</f>
        <v>M3471400</v>
      </c>
      <c r="C48" s="45" t="str">
        <f>Inputs!$B$6</f>
        <v>MC</v>
      </c>
      <c r="D48" s="45" t="s">
        <v>57</v>
      </c>
      <c r="E48" s="45">
        <v>48.196162999999999</v>
      </c>
      <c r="F48" s="53"/>
      <c r="G48" s="118">
        <v>10</v>
      </c>
      <c r="H48" s="114" t="str">
        <f>Inputs!$A$6</f>
        <v>M3471400</v>
      </c>
      <c r="I48" s="45" t="str">
        <f>Inputs!$B$6</f>
        <v>MC</v>
      </c>
      <c r="J48" s="45" t="s">
        <v>58</v>
      </c>
      <c r="K48" s="45">
        <v>0</v>
      </c>
      <c r="L48" s="53"/>
      <c r="M48" s="45">
        <v>21.984214999999999</v>
      </c>
      <c r="N48" s="45">
        <v>0</v>
      </c>
      <c r="O48" s="45">
        <f t="shared" si="49"/>
        <v>-21.984214932398487</v>
      </c>
      <c r="P48" s="53"/>
      <c r="Q48" s="45">
        <f t="shared" si="50"/>
        <v>-6.7601511943848891E-8</v>
      </c>
      <c r="R48" s="45">
        <f>M48*Inputs!$F$6*Inputs!$G$6</f>
        <v>57438.554246369989</v>
      </c>
      <c r="S48" s="45">
        <f>Inputs!$F$6*Inputs!$I$6*N48</f>
        <v>0</v>
      </c>
      <c r="T48" s="18"/>
      <c r="U48" s="91">
        <v>26.211948067601512</v>
      </c>
      <c r="W48" s="116">
        <v>10</v>
      </c>
      <c r="X48" s="114" t="str">
        <f>Inputs!$A$6</f>
        <v>M3471400</v>
      </c>
      <c r="Y48" s="45" t="str">
        <f>Inputs!$B$6</f>
        <v>MC</v>
      </c>
      <c r="Z48" s="45" t="s">
        <v>57</v>
      </c>
      <c r="AA48" s="45">
        <f t="shared" si="0"/>
        <v>48.196162999999999</v>
      </c>
      <c r="AB48" s="53"/>
      <c r="AC48" s="118">
        <v>10</v>
      </c>
      <c r="AD48" s="114" t="str">
        <f>Inputs!$A$6</f>
        <v>M3471400</v>
      </c>
      <c r="AE48" s="45" t="str">
        <f>Inputs!$B$6</f>
        <v>MC</v>
      </c>
      <c r="AF48" s="45" t="s">
        <v>58</v>
      </c>
      <c r="AG48" s="45">
        <f t="shared" si="1"/>
        <v>0</v>
      </c>
      <c r="AH48" s="53"/>
      <c r="AI48" s="45">
        <v>80.975189999999998</v>
      </c>
      <c r="AJ48" s="45">
        <v>0</v>
      </c>
      <c r="AK48" s="45">
        <f t="shared" si="51"/>
        <v>-80.97519091551041</v>
      </c>
      <c r="AL48" s="53"/>
      <c r="AM48" s="45">
        <f t="shared" si="52"/>
        <v>9.1551041236925812E-7</v>
      </c>
      <c r="AN48" s="45">
        <f>AI48*Inputs!$F$6*Inputs!$G$6</f>
        <v>211565.33646641995</v>
      </c>
      <c r="AO48" s="45">
        <f>Inputs!$F$6*Inputs!$I$6*AJ48</f>
        <v>0</v>
      </c>
      <c r="AP48" s="91">
        <v>64.780152084489586</v>
      </c>
      <c r="AR48" s="116">
        <v>10</v>
      </c>
      <c r="AS48" s="114" t="str">
        <f>Inputs!$A$6</f>
        <v>M3471400</v>
      </c>
      <c r="AT48" s="45" t="str">
        <f>Inputs!$B$6</f>
        <v>MC</v>
      </c>
      <c r="AU48" s="45" t="s">
        <v>57</v>
      </c>
      <c r="AV48" s="45">
        <f t="shared" si="10"/>
        <v>48.196162999999999</v>
      </c>
      <c r="AW48" s="53"/>
      <c r="AX48" s="118">
        <v>10</v>
      </c>
      <c r="AY48" s="114" t="str">
        <f>Inputs!$A$6</f>
        <v>M3471400</v>
      </c>
      <c r="AZ48" s="45" t="str">
        <f>Inputs!$B$6</f>
        <v>MC</v>
      </c>
      <c r="BA48" s="45" t="s">
        <v>58</v>
      </c>
      <c r="BB48" s="45">
        <f t="shared" si="2"/>
        <v>0</v>
      </c>
      <c r="BC48" s="53"/>
      <c r="BD48" s="45">
        <v>34.00958</v>
      </c>
      <c r="BE48" s="45">
        <v>0</v>
      </c>
      <c r="BF48" s="45">
        <f t="shared" si="53"/>
        <v>-34.00957982712773</v>
      </c>
      <c r="BG48" s="53"/>
      <c r="BH48" s="45">
        <f t="shared" si="54"/>
        <v>-1.7287226938833555E-7</v>
      </c>
      <c r="BI48" s="45">
        <f>BD48*Inputs!$F$6*Inputs!$G$6</f>
        <v>88857.441838440005</v>
      </c>
      <c r="BJ48" s="45">
        <f>Inputs!$F$6*Inputs!$I$6*BE48</f>
        <v>0</v>
      </c>
      <c r="BK48" s="91">
        <v>55.872881172872269</v>
      </c>
      <c r="BM48" s="116">
        <v>10</v>
      </c>
      <c r="BN48" s="114" t="str">
        <f>Inputs!$A$6</f>
        <v>M3471400</v>
      </c>
      <c r="BO48" s="45" t="str">
        <f>Inputs!$B$6</f>
        <v>MC</v>
      </c>
      <c r="BP48" s="45" t="s">
        <v>57</v>
      </c>
      <c r="BQ48" s="45">
        <f t="shared" si="3"/>
        <v>48.196162999999999</v>
      </c>
      <c r="BR48" s="53"/>
      <c r="BS48" s="118">
        <v>10</v>
      </c>
      <c r="BT48" s="114" t="str">
        <f>Inputs!$A$6</f>
        <v>M3471400</v>
      </c>
      <c r="BU48" s="45" t="str">
        <f>Inputs!$B$6</f>
        <v>MC</v>
      </c>
      <c r="BV48" s="45" t="s">
        <v>58</v>
      </c>
      <c r="BW48" s="45">
        <f t="shared" si="4"/>
        <v>0</v>
      </c>
      <c r="BX48" s="53"/>
      <c r="BY48" s="45">
        <v>16.195038</v>
      </c>
      <c r="BZ48" s="45">
        <v>0</v>
      </c>
      <c r="CA48" s="45">
        <f t="shared" si="55"/>
        <v>-16.195038447755202</v>
      </c>
      <c r="CB48" s="53"/>
      <c r="CC48" s="45">
        <f t="shared" si="56"/>
        <v>4.4775520535722535E-7</v>
      </c>
      <c r="CD48" s="45">
        <f>BY48*Inputs!$F$6*Inputs!$G$6</f>
        <v>42313.067293283995</v>
      </c>
      <c r="CE48" s="45">
        <f>Inputs!$F$6*Inputs!$I$6*BZ48</f>
        <v>0</v>
      </c>
      <c r="CF48" s="91">
        <v>32.390076042244793</v>
      </c>
      <c r="CG48" s="41"/>
      <c r="CH48" s="41"/>
      <c r="CI48" s="41"/>
      <c r="CJ48" s="41"/>
      <c r="CK48" s="41"/>
      <c r="CL48" s="41"/>
      <c r="CM48" s="41"/>
      <c r="CN48" s="13">
        <f>Inputs!A45</f>
        <v>0</v>
      </c>
      <c r="CO48" s="13">
        <f>IF(Inputs!D45="Yes",999999,0)</f>
        <v>0</v>
      </c>
      <c r="CP48" s="41">
        <f t="shared" si="16"/>
        <v>0</v>
      </c>
      <c r="CQ48" s="41">
        <f>IF(Inputs!E45="Yes",999999,0)</f>
        <v>0</v>
      </c>
      <c r="CR48" s="41">
        <f t="shared" si="17"/>
        <v>0</v>
      </c>
      <c r="CS48" s="41"/>
      <c r="CT48" s="73"/>
      <c r="CU48" s="73"/>
      <c r="CV48" s="73"/>
      <c r="CW48" s="73"/>
      <c r="CX48" s="73"/>
      <c r="CY48" s="73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N48" s="6"/>
      <c r="DO48" s="36">
        <f t="shared" si="22"/>
        <v>0</v>
      </c>
      <c r="DP48" s="34">
        <f t="shared" si="48"/>
        <v>0</v>
      </c>
      <c r="DQ48" s="35">
        <f t="shared" si="23"/>
        <v>0</v>
      </c>
      <c r="DR48" s="10"/>
      <c r="DS48" s="28">
        <f>Inputs!A45</f>
        <v>0</v>
      </c>
      <c r="DT48" s="26">
        <f>Inputs!C45</f>
        <v>0</v>
      </c>
      <c r="DU48" s="24"/>
    </row>
    <row r="49" spans="1:125" ht="15.75" customHeight="1" x14ac:dyDescent="0.25">
      <c r="A49" s="116">
        <v>11</v>
      </c>
      <c r="B49" s="114" t="str">
        <f>Inputs!$A$6</f>
        <v>M3471400</v>
      </c>
      <c r="C49" s="45" t="str">
        <f>Inputs!$B$6</f>
        <v>MC</v>
      </c>
      <c r="D49" s="45" t="s">
        <v>57</v>
      </c>
      <c r="E49" s="45">
        <v>0</v>
      </c>
      <c r="F49" s="53"/>
      <c r="G49" s="118">
        <v>11</v>
      </c>
      <c r="H49" s="114" t="str">
        <f>Inputs!$A$6</f>
        <v>M3471400</v>
      </c>
      <c r="I49" s="45" t="str">
        <f>Inputs!$B$6</f>
        <v>MC</v>
      </c>
      <c r="J49" s="45" t="s">
        <v>58</v>
      </c>
      <c r="K49" s="45">
        <v>0</v>
      </c>
      <c r="L49" s="53"/>
      <c r="M49" s="45">
        <v>0</v>
      </c>
      <c r="N49" s="45">
        <v>0</v>
      </c>
      <c r="O49" s="45">
        <f t="shared" si="49"/>
        <v>-4.9168905391638873E-7</v>
      </c>
      <c r="P49" s="53"/>
      <c r="Q49" s="45">
        <f t="shared" si="50"/>
        <v>4.9168905391638873E-7</v>
      </c>
      <c r="R49" s="45">
        <f>M49*Inputs!$F$6*Inputs!$H$6</f>
        <v>0</v>
      </c>
      <c r="S49" s="45">
        <f>Inputs!$F$6*Inputs!$I$6*N49</f>
        <v>0</v>
      </c>
      <c r="T49" s="18"/>
      <c r="U49" s="56">
        <v>21.984214508310945</v>
      </c>
      <c r="W49" s="116">
        <v>11</v>
      </c>
      <c r="X49" s="114" t="str">
        <f>Inputs!$A$6</f>
        <v>M3471400</v>
      </c>
      <c r="Y49" s="45" t="str">
        <f>Inputs!$B$6</f>
        <v>MC</v>
      </c>
      <c r="Z49" s="45" t="s">
        <v>57</v>
      </c>
      <c r="AA49" s="45">
        <f t="shared" si="0"/>
        <v>0</v>
      </c>
      <c r="AB49" s="53"/>
      <c r="AC49" s="118">
        <v>11</v>
      </c>
      <c r="AD49" s="114" t="str">
        <f>Inputs!$A$6</f>
        <v>M3471400</v>
      </c>
      <c r="AE49" s="45" t="str">
        <f>Inputs!$B$6</f>
        <v>MC</v>
      </c>
      <c r="AF49" s="45" t="s">
        <v>58</v>
      </c>
      <c r="AG49" s="45">
        <f t="shared" si="1"/>
        <v>0</v>
      </c>
      <c r="AH49" s="53"/>
      <c r="AI49" s="45">
        <v>0</v>
      </c>
      <c r="AJ49" s="45">
        <v>0</v>
      </c>
      <c r="AK49" s="45">
        <f t="shared" si="51"/>
        <v>1.0561197427705338E-7</v>
      </c>
      <c r="AL49" s="53"/>
      <c r="AM49" s="45">
        <f t="shared" si="52"/>
        <v>-1.0561197427705338E-7</v>
      </c>
      <c r="AN49" s="45">
        <f>AI49*Inputs!$F$6*Inputs!$H$6</f>
        <v>0</v>
      </c>
      <c r="AO49" s="45">
        <f>Inputs!$F$6*Inputs!$I$6*AJ49</f>
        <v>0</v>
      </c>
      <c r="AP49" s="56">
        <v>80.975190105611972</v>
      </c>
      <c r="AR49" s="116">
        <v>11</v>
      </c>
      <c r="AS49" s="114" t="str">
        <f>Inputs!$A$6</f>
        <v>M3471400</v>
      </c>
      <c r="AT49" s="45" t="str">
        <f>Inputs!$B$6</f>
        <v>MC</v>
      </c>
      <c r="AU49" s="45" t="s">
        <v>57</v>
      </c>
      <c r="AV49" s="45">
        <f t="shared" si="10"/>
        <v>0</v>
      </c>
      <c r="AW49" s="53"/>
      <c r="AX49" s="118">
        <v>11</v>
      </c>
      <c r="AY49" s="114" t="str">
        <f>Inputs!$A$6</f>
        <v>M3471400</v>
      </c>
      <c r="AZ49" s="45" t="str">
        <f>Inputs!$B$6</f>
        <v>MC</v>
      </c>
      <c r="BA49" s="45" t="s">
        <v>58</v>
      </c>
      <c r="BB49" s="45">
        <f t="shared" si="2"/>
        <v>0</v>
      </c>
      <c r="BC49" s="53"/>
      <c r="BD49" s="45">
        <v>0</v>
      </c>
      <c r="BE49" s="45">
        <v>0</v>
      </c>
      <c r="BF49" s="45">
        <f t="shared" si="53"/>
        <v>-1.5564296518277843E-7</v>
      </c>
      <c r="BG49" s="53"/>
      <c r="BH49" s="45">
        <f t="shared" si="54"/>
        <v>1.5564296518277843E-7</v>
      </c>
      <c r="BI49" s="45">
        <f>BD49*Inputs!$F$6*Inputs!$H$6</f>
        <v>0</v>
      </c>
      <c r="BJ49" s="45">
        <f>Inputs!$F$6*Inputs!$I$6*BE49</f>
        <v>0</v>
      </c>
      <c r="BK49" s="56">
        <v>34.009579844357035</v>
      </c>
      <c r="BM49" s="116">
        <v>11</v>
      </c>
      <c r="BN49" s="114" t="str">
        <f>Inputs!$A$6</f>
        <v>M3471400</v>
      </c>
      <c r="BO49" s="45" t="str">
        <f>Inputs!$B$6</f>
        <v>MC</v>
      </c>
      <c r="BP49" s="45" t="s">
        <v>57</v>
      </c>
      <c r="BQ49" s="45">
        <f t="shared" si="3"/>
        <v>0</v>
      </c>
      <c r="BR49" s="53"/>
      <c r="BS49" s="118">
        <v>11</v>
      </c>
      <c r="BT49" s="114" t="str">
        <f>Inputs!$A$6</f>
        <v>M3471400</v>
      </c>
      <c r="BU49" s="45" t="str">
        <f>Inputs!$B$6</f>
        <v>MC</v>
      </c>
      <c r="BV49" s="45" t="s">
        <v>58</v>
      </c>
      <c r="BW49" s="45">
        <f t="shared" si="4"/>
        <v>0</v>
      </c>
      <c r="BX49" s="53"/>
      <c r="BY49" s="45">
        <v>0</v>
      </c>
      <c r="BZ49" s="45">
        <v>0</v>
      </c>
      <c r="CA49" s="45">
        <f t="shared" si="55"/>
        <v>2.1122396276496147E-8</v>
      </c>
      <c r="CB49" s="53"/>
      <c r="CC49" s="45">
        <f t="shared" si="56"/>
        <v>-2.1122396276496147E-8</v>
      </c>
      <c r="CD49" s="45">
        <f>BY49*Inputs!$F$6*Inputs!$H$6</f>
        <v>0</v>
      </c>
      <c r="CE49" s="45">
        <f>Inputs!$F$6*Inputs!$I$6*BZ49</f>
        <v>0</v>
      </c>
      <c r="CF49" s="56">
        <v>16.195038021122397</v>
      </c>
      <c r="CG49" s="41"/>
      <c r="CH49" s="41"/>
      <c r="CI49" s="41"/>
      <c r="CJ49" s="41"/>
      <c r="CK49" s="41"/>
      <c r="CL49" s="41"/>
      <c r="CM49" s="41"/>
      <c r="CN49" s="13">
        <f>Inputs!A46</f>
        <v>0</v>
      </c>
      <c r="CO49" s="13">
        <f>IF(Inputs!D46="Yes",999999,0)</f>
        <v>0</v>
      </c>
      <c r="CP49" s="41">
        <f t="shared" si="16"/>
        <v>0</v>
      </c>
      <c r="CQ49" s="41">
        <f>IF(Inputs!E46="Yes",999999,0)</f>
        <v>0</v>
      </c>
      <c r="CR49" s="41">
        <f t="shared" si="17"/>
        <v>0</v>
      </c>
      <c r="CS49" s="41"/>
      <c r="CT49" s="73"/>
      <c r="CU49" s="73"/>
      <c r="CV49" s="73"/>
      <c r="CW49" s="73"/>
      <c r="CX49" s="73"/>
      <c r="CY49" s="73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N49" s="6"/>
      <c r="DO49" s="36">
        <f t="shared" si="22"/>
        <v>0</v>
      </c>
      <c r="DP49" s="34">
        <f t="shared" si="48"/>
        <v>0</v>
      </c>
      <c r="DQ49" s="35">
        <f t="shared" si="23"/>
        <v>0</v>
      </c>
      <c r="DR49" s="10"/>
      <c r="DS49" s="28">
        <f>Inputs!A46</f>
        <v>0</v>
      </c>
      <c r="DT49" s="26">
        <f>Inputs!C46</f>
        <v>0</v>
      </c>
      <c r="DU49" s="24"/>
    </row>
    <row r="50" spans="1:125" ht="15.75" customHeight="1" x14ac:dyDescent="0.25">
      <c r="A50" s="117">
        <v>3</v>
      </c>
      <c r="B50" s="115" t="str">
        <f>Inputs!$A$7</f>
        <v>M3472400</v>
      </c>
      <c r="C50" s="44" t="str">
        <f>Inputs!$B$7</f>
        <v>MC</v>
      </c>
      <c r="D50" s="44" t="s">
        <v>57</v>
      </c>
      <c r="E50" s="44">
        <v>0</v>
      </c>
      <c r="F50" s="53"/>
      <c r="G50" s="119">
        <v>3</v>
      </c>
      <c r="H50" s="115" t="str">
        <f>Inputs!$A$7</f>
        <v>M3472400</v>
      </c>
      <c r="I50" s="44" t="str">
        <f>Inputs!$B$7</f>
        <v>MC</v>
      </c>
      <c r="J50" s="44" t="s">
        <v>58</v>
      </c>
      <c r="K50" s="44">
        <v>0</v>
      </c>
      <c r="L50" s="53"/>
      <c r="M50" s="44">
        <v>0</v>
      </c>
      <c r="N50" s="44">
        <v>0</v>
      </c>
      <c r="O50" s="44">
        <f>U50-0-E50-K50</f>
        <v>0</v>
      </c>
      <c r="P50" s="53"/>
      <c r="Q50" s="44">
        <f>E50+K50+N50-U50+0-M50</f>
        <v>0</v>
      </c>
      <c r="R50" s="44">
        <f>M50*Inputs!$F$7*Inputs!$G$7</f>
        <v>0</v>
      </c>
      <c r="S50" s="44">
        <f>Inputs!$F$7*Inputs!$I$7*N50</f>
        <v>0</v>
      </c>
      <c r="T50" s="18"/>
      <c r="U50" s="54">
        <v>0</v>
      </c>
      <c r="W50" s="117">
        <v>3</v>
      </c>
      <c r="X50" s="115" t="str">
        <f>Inputs!$A$7</f>
        <v>M3472400</v>
      </c>
      <c r="Y50" s="44" t="str">
        <f>Inputs!$B$7</f>
        <v>MC</v>
      </c>
      <c r="Z50" s="44" t="s">
        <v>57</v>
      </c>
      <c r="AA50" s="44">
        <f t="shared" si="0"/>
        <v>0</v>
      </c>
      <c r="AB50" s="53"/>
      <c r="AC50" s="119">
        <v>3</v>
      </c>
      <c r="AD50" s="115" t="str">
        <f>Inputs!$A$7</f>
        <v>M3472400</v>
      </c>
      <c r="AE50" s="44" t="str">
        <f>Inputs!$B$7</f>
        <v>MC</v>
      </c>
      <c r="AF50" s="44" t="s">
        <v>58</v>
      </c>
      <c r="AG50" s="44">
        <f t="shared" si="1"/>
        <v>0</v>
      </c>
      <c r="AH50" s="53"/>
      <c r="AI50" s="44">
        <v>0</v>
      </c>
      <c r="AJ50" s="44">
        <v>0</v>
      </c>
      <c r="AK50" s="44">
        <f>AP50-0-AA50-AG50</f>
        <v>0</v>
      </c>
      <c r="AL50" s="53"/>
      <c r="AM50" s="44">
        <f>AA50+AG50+AJ50-AP50+0-AI50</f>
        <v>0</v>
      </c>
      <c r="AN50" s="44">
        <f>AI50*Inputs!$F$7*Inputs!$G$7</f>
        <v>0</v>
      </c>
      <c r="AO50" s="44">
        <f>Inputs!$F$7*Inputs!$I$7*AJ50</f>
        <v>0</v>
      </c>
      <c r="AP50" s="54">
        <v>0</v>
      </c>
      <c r="AR50" s="117">
        <v>3</v>
      </c>
      <c r="AS50" s="115" t="str">
        <f>Inputs!$A$7</f>
        <v>M3472400</v>
      </c>
      <c r="AT50" s="44" t="str">
        <f>Inputs!$B$7</f>
        <v>MC</v>
      </c>
      <c r="AU50" s="44" t="s">
        <v>57</v>
      </c>
      <c r="AV50" s="44">
        <f t="shared" si="10"/>
        <v>0</v>
      </c>
      <c r="AW50" s="53"/>
      <c r="AX50" s="119">
        <v>3</v>
      </c>
      <c r="AY50" s="115" t="str">
        <f>Inputs!$A$7</f>
        <v>M3472400</v>
      </c>
      <c r="AZ50" s="44" t="str">
        <f>Inputs!$B$7</f>
        <v>MC</v>
      </c>
      <c r="BA50" s="44" t="s">
        <v>58</v>
      </c>
      <c r="BB50" s="44">
        <f t="shared" si="2"/>
        <v>0</v>
      </c>
      <c r="BC50" s="53"/>
      <c r="BD50" s="44">
        <v>0</v>
      </c>
      <c r="BE50" s="44">
        <v>0</v>
      </c>
      <c r="BF50" s="44">
        <f>BK50-0-AV50-BB50</f>
        <v>0</v>
      </c>
      <c r="BG50" s="53"/>
      <c r="BH50" s="44">
        <f>AV50+BB50+BE50-BK50+0-BD50</f>
        <v>0</v>
      </c>
      <c r="BI50" s="44">
        <f>BD50*Inputs!$F$7*Inputs!$G$7</f>
        <v>0</v>
      </c>
      <c r="BJ50" s="44">
        <f>Inputs!$F$7*Inputs!$I$7*BE50</f>
        <v>0</v>
      </c>
      <c r="BK50" s="54">
        <v>0</v>
      </c>
      <c r="BM50" s="117">
        <v>3</v>
      </c>
      <c r="BN50" s="115" t="str">
        <f>Inputs!$A$7</f>
        <v>M3472400</v>
      </c>
      <c r="BO50" s="44" t="str">
        <f>Inputs!$B$7</f>
        <v>MC</v>
      </c>
      <c r="BP50" s="44" t="s">
        <v>57</v>
      </c>
      <c r="BQ50" s="44">
        <f t="shared" si="3"/>
        <v>0</v>
      </c>
      <c r="BR50" s="53"/>
      <c r="BS50" s="119">
        <v>3</v>
      </c>
      <c r="BT50" s="115" t="str">
        <f>Inputs!$A$7</f>
        <v>M3472400</v>
      </c>
      <c r="BU50" s="44" t="str">
        <f>Inputs!$B$7</f>
        <v>MC</v>
      </c>
      <c r="BV50" s="44" t="s">
        <v>58</v>
      </c>
      <c r="BW50" s="44">
        <f t="shared" si="4"/>
        <v>0</v>
      </c>
      <c r="BX50" s="53"/>
      <c r="BY50" s="44">
        <v>0</v>
      </c>
      <c r="BZ50" s="44">
        <v>0</v>
      </c>
      <c r="CA50" s="44">
        <f>CF50-0-BQ50-BW50</f>
        <v>0</v>
      </c>
      <c r="CB50" s="53"/>
      <c r="CC50" s="44">
        <f>BQ50+BW50+BZ50-CF50+0-BY50</f>
        <v>0</v>
      </c>
      <c r="CD50" s="44">
        <f>BY50*Inputs!$F$7*Inputs!$G$7</f>
        <v>0</v>
      </c>
      <c r="CE50" s="44">
        <f>Inputs!$F$7*Inputs!$I$7*BZ50</f>
        <v>0</v>
      </c>
      <c r="CF50" s="54">
        <v>0</v>
      </c>
      <c r="CG50" s="41"/>
      <c r="CH50" s="41"/>
      <c r="CI50" s="41"/>
      <c r="CJ50" s="41"/>
      <c r="CK50" s="41"/>
      <c r="CL50" s="41"/>
      <c r="CM50" s="41"/>
      <c r="CN50" s="13">
        <f>Inputs!A47</f>
        <v>0</v>
      </c>
      <c r="CO50" s="13">
        <f>IF(Inputs!D47="Yes",999999,0)</f>
        <v>0</v>
      </c>
      <c r="CP50" s="41">
        <f t="shared" si="16"/>
        <v>0</v>
      </c>
      <c r="CQ50" s="41">
        <f>IF(Inputs!E47="Yes",999999,0)</f>
        <v>0</v>
      </c>
      <c r="CR50" s="41">
        <f t="shared" si="17"/>
        <v>0</v>
      </c>
      <c r="CS50" s="41"/>
      <c r="CT50" s="73"/>
      <c r="CU50" s="73"/>
      <c r="CV50" s="73"/>
      <c r="CW50" s="73"/>
      <c r="CX50" s="73"/>
      <c r="CY50" s="73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N50" s="6"/>
      <c r="DO50" s="36">
        <f t="shared" si="22"/>
        <v>0</v>
      </c>
      <c r="DP50" s="34">
        <f t="shared" si="48"/>
        <v>0</v>
      </c>
      <c r="DQ50" s="35">
        <f t="shared" si="23"/>
        <v>0</v>
      </c>
      <c r="DR50" s="10"/>
      <c r="DS50" s="28">
        <f>Inputs!A47</f>
        <v>0</v>
      </c>
      <c r="DT50" s="26">
        <f>Inputs!C47</f>
        <v>0</v>
      </c>
      <c r="DU50" s="24"/>
    </row>
    <row r="51" spans="1:125" ht="15.75" customHeight="1" x14ac:dyDescent="0.25">
      <c r="A51" s="117">
        <v>4</v>
      </c>
      <c r="B51" s="115" t="str">
        <f>Inputs!$A$7</f>
        <v>M3472400</v>
      </c>
      <c r="C51" s="44" t="str">
        <f>Inputs!$B$7</f>
        <v>MC</v>
      </c>
      <c r="D51" s="44" t="s">
        <v>57</v>
      </c>
      <c r="E51" s="44">
        <v>0</v>
      </c>
      <c r="F51" s="53"/>
      <c r="G51" s="119">
        <v>4</v>
      </c>
      <c r="H51" s="115" t="str">
        <f>Inputs!$A$7</f>
        <v>M3472400</v>
      </c>
      <c r="I51" s="44" t="str">
        <f>Inputs!$B$7</f>
        <v>MC</v>
      </c>
      <c r="J51" s="44" t="s">
        <v>58</v>
      </c>
      <c r="K51" s="44">
        <v>0</v>
      </c>
      <c r="L51" s="53"/>
      <c r="M51" s="44">
        <v>0</v>
      </c>
      <c r="N51" s="44">
        <v>0</v>
      </c>
      <c r="O51" s="44">
        <f t="shared" ref="O51:O58" si="57">U51-M50-E51-K51</f>
        <v>0</v>
      </c>
      <c r="P51" s="53"/>
      <c r="Q51" s="44">
        <f t="shared" ref="Q51:Q58" si="58">E51+K51+N51-U51+M50-M51</f>
        <v>0</v>
      </c>
      <c r="R51" s="44">
        <f>M51*Inputs!$F$7*Inputs!$G$7</f>
        <v>0</v>
      </c>
      <c r="S51" s="44">
        <f>Inputs!$F$7*Inputs!$I$7*N51</f>
        <v>0</v>
      </c>
      <c r="T51" s="18"/>
      <c r="U51" s="55">
        <v>0</v>
      </c>
      <c r="W51" s="117">
        <v>4</v>
      </c>
      <c r="X51" s="115" t="str">
        <f>Inputs!$A$7</f>
        <v>M3472400</v>
      </c>
      <c r="Y51" s="44" t="str">
        <f>Inputs!$B$7</f>
        <v>MC</v>
      </c>
      <c r="Z51" s="44" t="s">
        <v>57</v>
      </c>
      <c r="AA51" s="44">
        <f t="shared" si="0"/>
        <v>0</v>
      </c>
      <c r="AB51" s="53"/>
      <c r="AC51" s="119">
        <v>4</v>
      </c>
      <c r="AD51" s="115" t="str">
        <f>Inputs!$A$7</f>
        <v>M3472400</v>
      </c>
      <c r="AE51" s="44" t="str">
        <f>Inputs!$B$7</f>
        <v>MC</v>
      </c>
      <c r="AF51" s="44" t="s">
        <v>58</v>
      </c>
      <c r="AG51" s="44">
        <f t="shared" si="1"/>
        <v>0</v>
      </c>
      <c r="AH51" s="53"/>
      <c r="AI51" s="44">
        <v>0</v>
      </c>
      <c r="AJ51" s="44">
        <v>0</v>
      </c>
      <c r="AK51" s="44">
        <f t="shared" ref="AK51:AK58" si="59">AP51-AI50-AA51-AG51</f>
        <v>0</v>
      </c>
      <c r="AL51" s="53"/>
      <c r="AM51" s="44">
        <f t="shared" ref="AM51:AM58" si="60">AA51+AG51+AJ51-AP51+AI50-AI51</f>
        <v>0</v>
      </c>
      <c r="AN51" s="44">
        <f>AI51*Inputs!$F$7*Inputs!$G$7</f>
        <v>0</v>
      </c>
      <c r="AO51" s="44">
        <f>Inputs!$F$7*Inputs!$I$7*AJ51</f>
        <v>0</v>
      </c>
      <c r="AP51" s="55">
        <v>0</v>
      </c>
      <c r="AR51" s="117">
        <v>4</v>
      </c>
      <c r="AS51" s="115" t="str">
        <f>Inputs!$A$7</f>
        <v>M3472400</v>
      </c>
      <c r="AT51" s="44" t="str">
        <f>Inputs!$B$7</f>
        <v>MC</v>
      </c>
      <c r="AU51" s="44" t="s">
        <v>57</v>
      </c>
      <c r="AV51" s="44">
        <f t="shared" si="10"/>
        <v>0</v>
      </c>
      <c r="AW51" s="53"/>
      <c r="AX51" s="119">
        <v>4</v>
      </c>
      <c r="AY51" s="115" t="str">
        <f>Inputs!$A$7</f>
        <v>M3472400</v>
      </c>
      <c r="AZ51" s="44" t="str">
        <f>Inputs!$B$7</f>
        <v>MC</v>
      </c>
      <c r="BA51" s="44" t="s">
        <v>58</v>
      </c>
      <c r="BB51" s="44">
        <f t="shared" si="2"/>
        <v>0</v>
      </c>
      <c r="BC51" s="53"/>
      <c r="BD51" s="44">
        <v>0</v>
      </c>
      <c r="BE51" s="44">
        <v>0</v>
      </c>
      <c r="BF51" s="44">
        <f t="shared" ref="BF51:BF58" si="61">BK51-BD50-AV51-BB51</f>
        <v>0</v>
      </c>
      <c r="BG51" s="53"/>
      <c r="BH51" s="44">
        <f t="shared" ref="BH51:BH58" si="62">AV51+BB51+BE51-BK51+BD50-BD51</f>
        <v>0</v>
      </c>
      <c r="BI51" s="44">
        <f>BD51*Inputs!$F$7*Inputs!$G$7</f>
        <v>0</v>
      </c>
      <c r="BJ51" s="44">
        <f>Inputs!$F$7*Inputs!$I$7*BE51</f>
        <v>0</v>
      </c>
      <c r="BK51" s="55">
        <v>0</v>
      </c>
      <c r="BM51" s="117">
        <v>4</v>
      </c>
      <c r="BN51" s="115" t="str">
        <f>Inputs!$A$7</f>
        <v>M3472400</v>
      </c>
      <c r="BO51" s="44" t="str">
        <f>Inputs!$B$7</f>
        <v>MC</v>
      </c>
      <c r="BP51" s="44" t="s">
        <v>57</v>
      </c>
      <c r="BQ51" s="44">
        <f t="shared" si="3"/>
        <v>0</v>
      </c>
      <c r="BR51" s="53"/>
      <c r="BS51" s="119">
        <v>4</v>
      </c>
      <c r="BT51" s="115" t="str">
        <f>Inputs!$A$7</f>
        <v>M3472400</v>
      </c>
      <c r="BU51" s="44" t="str">
        <f>Inputs!$B$7</f>
        <v>MC</v>
      </c>
      <c r="BV51" s="44" t="s">
        <v>58</v>
      </c>
      <c r="BW51" s="44">
        <f t="shared" si="4"/>
        <v>0</v>
      </c>
      <c r="BX51" s="53"/>
      <c r="BY51" s="44">
        <v>0</v>
      </c>
      <c r="BZ51" s="44">
        <v>0</v>
      </c>
      <c r="CA51" s="44">
        <f t="shared" ref="CA51:CA58" si="63">CF51-BY50-BQ51-BW51</f>
        <v>0</v>
      </c>
      <c r="CB51" s="53"/>
      <c r="CC51" s="44">
        <f t="shared" ref="CC51:CC58" si="64">BQ51+BW51+BZ51-CF51+BY50-BY51</f>
        <v>0</v>
      </c>
      <c r="CD51" s="44">
        <f>BY51*Inputs!$F$7*Inputs!$G$7</f>
        <v>0</v>
      </c>
      <c r="CE51" s="44">
        <f>Inputs!$F$7*Inputs!$I$7*BZ51</f>
        <v>0</v>
      </c>
      <c r="CF51" s="55">
        <v>0</v>
      </c>
      <c r="CG51" s="41"/>
      <c r="CH51" s="41"/>
      <c r="CI51" s="41"/>
      <c r="CJ51" s="41"/>
      <c r="CK51" s="41"/>
      <c r="CL51" s="41"/>
      <c r="CM51" s="41"/>
      <c r="CN51" s="13">
        <f>Inputs!A48</f>
        <v>0</v>
      </c>
      <c r="CO51" s="13">
        <f>IF(Inputs!D48="Yes",999999,0)</f>
        <v>0</v>
      </c>
      <c r="CP51" s="41">
        <f t="shared" si="16"/>
        <v>0</v>
      </c>
      <c r="CQ51" s="41">
        <f>IF(Inputs!E48="Yes",999999,0)</f>
        <v>0</v>
      </c>
      <c r="CR51" s="41">
        <f t="shared" si="17"/>
        <v>0</v>
      </c>
      <c r="CS51" s="41"/>
      <c r="CT51" s="73"/>
      <c r="CU51" s="73"/>
      <c r="CV51" s="73"/>
      <c r="CW51" s="73"/>
      <c r="CX51" s="73"/>
      <c r="CY51" s="73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N51" s="6"/>
      <c r="DO51" s="36">
        <f t="shared" si="22"/>
        <v>0</v>
      </c>
      <c r="DP51" s="34">
        <f t="shared" si="48"/>
        <v>0</v>
      </c>
      <c r="DQ51" s="35">
        <f t="shared" si="23"/>
        <v>0</v>
      </c>
      <c r="DR51" s="10"/>
      <c r="DS51" s="28">
        <f>Inputs!A48</f>
        <v>0</v>
      </c>
      <c r="DT51" s="26">
        <f>Inputs!C48</f>
        <v>0</v>
      </c>
      <c r="DU51" s="24"/>
    </row>
    <row r="52" spans="1:125" ht="15.75" customHeight="1" x14ac:dyDescent="0.25">
      <c r="A52" s="117">
        <v>5</v>
      </c>
      <c r="B52" s="115" t="str">
        <f>Inputs!$A$7</f>
        <v>M3472400</v>
      </c>
      <c r="C52" s="44" t="str">
        <f>Inputs!$B$7</f>
        <v>MC</v>
      </c>
      <c r="D52" s="44" t="s">
        <v>57</v>
      </c>
      <c r="E52" s="44">
        <v>0</v>
      </c>
      <c r="F52" s="53"/>
      <c r="G52" s="119">
        <v>5</v>
      </c>
      <c r="H52" s="115" t="str">
        <f>Inputs!$A$7</f>
        <v>M3472400</v>
      </c>
      <c r="I52" s="44" t="str">
        <f>Inputs!$B$7</f>
        <v>MC</v>
      </c>
      <c r="J52" s="44" t="s">
        <v>58</v>
      </c>
      <c r="K52" s="44">
        <v>0</v>
      </c>
      <c r="L52" s="53"/>
      <c r="M52" s="44">
        <v>0</v>
      </c>
      <c r="N52" s="44">
        <v>0</v>
      </c>
      <c r="O52" s="44">
        <f t="shared" si="57"/>
        <v>0</v>
      </c>
      <c r="P52" s="53"/>
      <c r="Q52" s="44">
        <f t="shared" si="58"/>
        <v>0</v>
      </c>
      <c r="R52" s="44">
        <f>M52*Inputs!$F$7*Inputs!$G$7</f>
        <v>0</v>
      </c>
      <c r="S52" s="44">
        <f>Inputs!$F$7*Inputs!$I$7*N52</f>
        <v>0</v>
      </c>
      <c r="T52" s="18"/>
      <c r="U52" s="55">
        <v>0</v>
      </c>
      <c r="W52" s="117">
        <v>5</v>
      </c>
      <c r="X52" s="115" t="str">
        <f>Inputs!$A$7</f>
        <v>M3472400</v>
      </c>
      <c r="Y52" s="44" t="str">
        <f>Inputs!$B$7</f>
        <v>MC</v>
      </c>
      <c r="Z52" s="44" t="s">
        <v>57</v>
      </c>
      <c r="AA52" s="44">
        <f t="shared" si="0"/>
        <v>0</v>
      </c>
      <c r="AB52" s="53"/>
      <c r="AC52" s="119">
        <v>5</v>
      </c>
      <c r="AD52" s="115" t="str">
        <f>Inputs!$A$7</f>
        <v>M3472400</v>
      </c>
      <c r="AE52" s="44" t="str">
        <f>Inputs!$B$7</f>
        <v>MC</v>
      </c>
      <c r="AF52" s="44" t="s">
        <v>58</v>
      </c>
      <c r="AG52" s="44">
        <f t="shared" si="1"/>
        <v>0</v>
      </c>
      <c r="AH52" s="53"/>
      <c r="AI52" s="44">
        <v>0</v>
      </c>
      <c r="AJ52" s="44">
        <v>0</v>
      </c>
      <c r="AK52" s="44">
        <f t="shared" si="59"/>
        <v>0</v>
      </c>
      <c r="AL52" s="53"/>
      <c r="AM52" s="44">
        <f t="shared" si="60"/>
        <v>0</v>
      </c>
      <c r="AN52" s="44">
        <f>AI52*Inputs!$F$7*Inputs!$G$7</f>
        <v>0</v>
      </c>
      <c r="AO52" s="44">
        <f>Inputs!$F$7*Inputs!$I$7*AJ52</f>
        <v>0</v>
      </c>
      <c r="AP52" s="55">
        <v>0</v>
      </c>
      <c r="AR52" s="117">
        <v>5</v>
      </c>
      <c r="AS52" s="115" t="str">
        <f>Inputs!$A$7</f>
        <v>M3472400</v>
      </c>
      <c r="AT52" s="44" t="str">
        <f>Inputs!$B$7</f>
        <v>MC</v>
      </c>
      <c r="AU52" s="44" t="s">
        <v>57</v>
      </c>
      <c r="AV52" s="44">
        <f t="shared" si="10"/>
        <v>0</v>
      </c>
      <c r="AW52" s="53"/>
      <c r="AX52" s="119">
        <v>5</v>
      </c>
      <c r="AY52" s="115" t="str">
        <f>Inputs!$A$7</f>
        <v>M3472400</v>
      </c>
      <c r="AZ52" s="44" t="str">
        <f>Inputs!$B$7</f>
        <v>MC</v>
      </c>
      <c r="BA52" s="44" t="s">
        <v>58</v>
      </c>
      <c r="BB52" s="44">
        <f t="shared" si="2"/>
        <v>0</v>
      </c>
      <c r="BC52" s="53"/>
      <c r="BD52" s="44">
        <v>0</v>
      </c>
      <c r="BE52" s="44">
        <v>0</v>
      </c>
      <c r="BF52" s="44">
        <f t="shared" si="61"/>
        <v>0</v>
      </c>
      <c r="BG52" s="53"/>
      <c r="BH52" s="44">
        <f t="shared" si="62"/>
        <v>0</v>
      </c>
      <c r="BI52" s="44">
        <f>BD52*Inputs!$F$7*Inputs!$G$7</f>
        <v>0</v>
      </c>
      <c r="BJ52" s="44">
        <f>Inputs!$F$7*Inputs!$I$7*BE52</f>
        <v>0</v>
      </c>
      <c r="BK52" s="55">
        <v>0</v>
      </c>
      <c r="BM52" s="117">
        <v>5</v>
      </c>
      <c r="BN52" s="115" t="str">
        <f>Inputs!$A$7</f>
        <v>M3472400</v>
      </c>
      <c r="BO52" s="44" t="str">
        <f>Inputs!$B$7</f>
        <v>MC</v>
      </c>
      <c r="BP52" s="44" t="s">
        <v>57</v>
      </c>
      <c r="BQ52" s="44">
        <f t="shared" si="3"/>
        <v>0</v>
      </c>
      <c r="BR52" s="53"/>
      <c r="BS52" s="119">
        <v>5</v>
      </c>
      <c r="BT52" s="115" t="str">
        <f>Inputs!$A$7</f>
        <v>M3472400</v>
      </c>
      <c r="BU52" s="44" t="str">
        <f>Inputs!$B$7</f>
        <v>MC</v>
      </c>
      <c r="BV52" s="44" t="s">
        <v>58</v>
      </c>
      <c r="BW52" s="44">
        <f t="shared" si="4"/>
        <v>0</v>
      </c>
      <c r="BX52" s="53"/>
      <c r="BY52" s="44">
        <v>0</v>
      </c>
      <c r="BZ52" s="44">
        <v>0</v>
      </c>
      <c r="CA52" s="44">
        <f t="shared" si="63"/>
        <v>0</v>
      </c>
      <c r="CB52" s="53"/>
      <c r="CC52" s="44">
        <f t="shared" si="64"/>
        <v>0</v>
      </c>
      <c r="CD52" s="44">
        <f>BY52*Inputs!$F$7*Inputs!$G$7</f>
        <v>0</v>
      </c>
      <c r="CE52" s="44">
        <f>Inputs!$F$7*Inputs!$I$7*BZ52</f>
        <v>0</v>
      </c>
      <c r="CF52" s="55">
        <v>0</v>
      </c>
      <c r="CG52" s="41"/>
      <c r="CH52" s="41"/>
      <c r="CI52" s="41"/>
      <c r="CJ52" s="41"/>
      <c r="CK52" s="41"/>
      <c r="CL52" s="41"/>
      <c r="CM52" s="41"/>
      <c r="CN52" s="13">
        <f>Inputs!A49</f>
        <v>0</v>
      </c>
      <c r="CO52" s="13">
        <f>IF(Inputs!D49="Yes",999999,0)</f>
        <v>0</v>
      </c>
      <c r="CP52" s="41">
        <f t="shared" si="16"/>
        <v>0</v>
      </c>
      <c r="CQ52" s="41">
        <f>IF(Inputs!E49="Yes",999999,0)</f>
        <v>0</v>
      </c>
      <c r="CR52" s="41">
        <f t="shared" si="17"/>
        <v>0</v>
      </c>
      <c r="CS52" s="41"/>
      <c r="CT52" s="73"/>
      <c r="CU52" s="73"/>
      <c r="CV52" s="73"/>
      <c r="CW52" s="73"/>
      <c r="CX52" s="73"/>
      <c r="CY52" s="73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N52" s="6"/>
      <c r="DO52" s="36">
        <f>DS52</f>
        <v>0</v>
      </c>
      <c r="DP52" s="34">
        <f t="shared" si="48"/>
        <v>0</v>
      </c>
      <c r="DQ52" s="35">
        <f>DT52</f>
        <v>0</v>
      </c>
      <c r="DR52" s="10"/>
      <c r="DS52" s="28">
        <f>Inputs!A49</f>
        <v>0</v>
      </c>
      <c r="DT52" s="26">
        <f>Inputs!C49</f>
        <v>0</v>
      </c>
      <c r="DU52" s="24"/>
    </row>
    <row r="53" spans="1:125" ht="15.75" customHeight="1" x14ac:dyDescent="0.25">
      <c r="A53" s="117">
        <v>6</v>
      </c>
      <c r="B53" s="115" t="str">
        <f>Inputs!$A$7</f>
        <v>M3472400</v>
      </c>
      <c r="C53" s="44" t="str">
        <f>Inputs!$B$7</f>
        <v>MC</v>
      </c>
      <c r="D53" s="44" t="s">
        <v>57</v>
      </c>
      <c r="E53" s="44">
        <v>0</v>
      </c>
      <c r="F53" s="53"/>
      <c r="G53" s="119">
        <v>6</v>
      </c>
      <c r="H53" s="115" t="str">
        <f>Inputs!$A$7</f>
        <v>M3472400</v>
      </c>
      <c r="I53" s="44" t="str">
        <f>Inputs!$B$7</f>
        <v>MC</v>
      </c>
      <c r="J53" s="44" t="s">
        <v>58</v>
      </c>
      <c r="K53" s="44">
        <v>0</v>
      </c>
      <c r="L53" s="53"/>
      <c r="M53" s="44">
        <v>0</v>
      </c>
      <c r="N53" s="44">
        <v>0</v>
      </c>
      <c r="O53" s="44">
        <f t="shared" si="57"/>
        <v>0</v>
      </c>
      <c r="P53" s="53"/>
      <c r="Q53" s="44">
        <f t="shared" si="58"/>
        <v>0</v>
      </c>
      <c r="R53" s="44">
        <f>M53*Inputs!$F$7*Inputs!$G$7</f>
        <v>0</v>
      </c>
      <c r="S53" s="44">
        <f>Inputs!$F$7*Inputs!$I$7*N53</f>
        <v>0</v>
      </c>
      <c r="T53" s="18"/>
      <c r="U53" s="55">
        <v>0</v>
      </c>
      <c r="W53" s="117">
        <v>6</v>
      </c>
      <c r="X53" s="115" t="str">
        <f>Inputs!$A$7</f>
        <v>M3472400</v>
      </c>
      <c r="Y53" s="44" t="str">
        <f>Inputs!$B$7</f>
        <v>MC</v>
      </c>
      <c r="Z53" s="44" t="s">
        <v>57</v>
      </c>
      <c r="AA53" s="44">
        <f t="shared" si="0"/>
        <v>0</v>
      </c>
      <c r="AB53" s="53"/>
      <c r="AC53" s="119">
        <v>6</v>
      </c>
      <c r="AD53" s="115" t="str">
        <f>Inputs!$A$7</f>
        <v>M3472400</v>
      </c>
      <c r="AE53" s="44" t="str">
        <f>Inputs!$B$7</f>
        <v>MC</v>
      </c>
      <c r="AF53" s="44" t="s">
        <v>58</v>
      </c>
      <c r="AG53" s="44">
        <f t="shared" si="1"/>
        <v>0</v>
      </c>
      <c r="AH53" s="53"/>
      <c r="AI53" s="44">
        <v>0</v>
      </c>
      <c r="AJ53" s="44">
        <v>0</v>
      </c>
      <c r="AK53" s="44">
        <f t="shared" si="59"/>
        <v>0</v>
      </c>
      <c r="AL53" s="53"/>
      <c r="AM53" s="44">
        <f t="shared" si="60"/>
        <v>0</v>
      </c>
      <c r="AN53" s="44">
        <f>AI53*Inputs!$F$7*Inputs!$G$7</f>
        <v>0</v>
      </c>
      <c r="AO53" s="44">
        <f>Inputs!$F$7*Inputs!$I$7*AJ53</f>
        <v>0</v>
      </c>
      <c r="AP53" s="55">
        <v>0</v>
      </c>
      <c r="AR53" s="117">
        <v>6</v>
      </c>
      <c r="AS53" s="115" t="str">
        <f>Inputs!$A$7</f>
        <v>M3472400</v>
      </c>
      <c r="AT53" s="44" t="str">
        <f>Inputs!$B$7</f>
        <v>MC</v>
      </c>
      <c r="AU53" s="44" t="s">
        <v>57</v>
      </c>
      <c r="AV53" s="44">
        <f t="shared" si="10"/>
        <v>0</v>
      </c>
      <c r="AW53" s="53"/>
      <c r="AX53" s="119">
        <v>6</v>
      </c>
      <c r="AY53" s="115" t="str">
        <f>Inputs!$A$7</f>
        <v>M3472400</v>
      </c>
      <c r="AZ53" s="44" t="str">
        <f>Inputs!$B$7</f>
        <v>MC</v>
      </c>
      <c r="BA53" s="44" t="s">
        <v>58</v>
      </c>
      <c r="BB53" s="44">
        <f t="shared" si="2"/>
        <v>0</v>
      </c>
      <c r="BC53" s="53"/>
      <c r="BD53" s="44">
        <v>0</v>
      </c>
      <c r="BE53" s="44">
        <v>0</v>
      </c>
      <c r="BF53" s="44">
        <f t="shared" si="61"/>
        <v>0</v>
      </c>
      <c r="BG53" s="53"/>
      <c r="BH53" s="44">
        <f t="shared" si="62"/>
        <v>0</v>
      </c>
      <c r="BI53" s="44">
        <f>BD53*Inputs!$F$7*Inputs!$G$7</f>
        <v>0</v>
      </c>
      <c r="BJ53" s="44">
        <f>Inputs!$F$7*Inputs!$I$7*BE53</f>
        <v>0</v>
      </c>
      <c r="BK53" s="55">
        <v>0</v>
      </c>
      <c r="BM53" s="117">
        <v>6</v>
      </c>
      <c r="BN53" s="115" t="str">
        <f>Inputs!$A$7</f>
        <v>M3472400</v>
      </c>
      <c r="BO53" s="44" t="str">
        <f>Inputs!$B$7</f>
        <v>MC</v>
      </c>
      <c r="BP53" s="44" t="s">
        <v>57</v>
      </c>
      <c r="BQ53" s="44">
        <f t="shared" si="3"/>
        <v>0</v>
      </c>
      <c r="BR53" s="53"/>
      <c r="BS53" s="119">
        <v>6</v>
      </c>
      <c r="BT53" s="115" t="str">
        <f>Inputs!$A$7</f>
        <v>M3472400</v>
      </c>
      <c r="BU53" s="44" t="str">
        <f>Inputs!$B$7</f>
        <v>MC</v>
      </c>
      <c r="BV53" s="44" t="s">
        <v>58</v>
      </c>
      <c r="BW53" s="44">
        <f t="shared" si="4"/>
        <v>0</v>
      </c>
      <c r="BX53" s="53"/>
      <c r="BY53" s="44">
        <v>0</v>
      </c>
      <c r="BZ53" s="44">
        <v>0</v>
      </c>
      <c r="CA53" s="44">
        <f t="shared" si="63"/>
        <v>0</v>
      </c>
      <c r="CB53" s="53"/>
      <c r="CC53" s="44">
        <f t="shared" si="64"/>
        <v>0</v>
      </c>
      <c r="CD53" s="44">
        <f>BY53*Inputs!$F$7*Inputs!$G$7</f>
        <v>0</v>
      </c>
      <c r="CE53" s="44">
        <f>Inputs!$F$7*Inputs!$I$7*BZ53</f>
        <v>0</v>
      </c>
      <c r="CF53" s="55">
        <v>0</v>
      </c>
      <c r="CG53" s="8"/>
      <c r="CH53" s="8"/>
      <c r="CI53" s="8"/>
      <c r="CJ53" s="8"/>
      <c r="CK53" s="8"/>
      <c r="CL53" s="8"/>
      <c r="CM53" s="8"/>
      <c r="CN53" s="13">
        <f>Inputs!A50</f>
        <v>0</v>
      </c>
      <c r="CO53" s="13">
        <f>IF(Inputs!D50="Yes",999999,0)</f>
        <v>0</v>
      </c>
      <c r="CP53" s="41">
        <f t="shared" si="16"/>
        <v>0</v>
      </c>
      <c r="CQ53" s="41">
        <f>IF(Inputs!E50="Yes",999999,0)</f>
        <v>0</v>
      </c>
      <c r="CR53" s="41">
        <f t="shared" si="17"/>
        <v>0</v>
      </c>
      <c r="CS53" s="8"/>
      <c r="CT53" s="74"/>
      <c r="CU53" s="74"/>
      <c r="CV53" s="74"/>
      <c r="CW53" s="74"/>
      <c r="CX53" s="74"/>
      <c r="CY53" s="74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N53" s="6"/>
      <c r="DO53" s="36">
        <f>DS53</f>
        <v>0</v>
      </c>
      <c r="DP53" s="34">
        <f t="shared" si="48"/>
        <v>0</v>
      </c>
      <c r="DQ53" s="35">
        <f>DT53</f>
        <v>0</v>
      </c>
      <c r="DR53" s="10"/>
      <c r="DS53" s="28">
        <f>Inputs!A50</f>
        <v>0</v>
      </c>
      <c r="DT53" s="26">
        <f>Inputs!C50</f>
        <v>0</v>
      </c>
      <c r="DU53" s="24"/>
    </row>
    <row r="54" spans="1:125" ht="15.75" customHeight="1" x14ac:dyDescent="0.25">
      <c r="A54" s="117">
        <v>7</v>
      </c>
      <c r="B54" s="115" t="str">
        <f>Inputs!$A$7</f>
        <v>M3472400</v>
      </c>
      <c r="C54" s="44" t="str">
        <f>Inputs!$B$7</f>
        <v>MC</v>
      </c>
      <c r="D54" s="44" t="s">
        <v>57</v>
      </c>
      <c r="E54" s="44">
        <v>0</v>
      </c>
      <c r="F54" s="53"/>
      <c r="G54" s="119">
        <v>7</v>
      </c>
      <c r="H54" s="115" t="str">
        <f>Inputs!$A$7</f>
        <v>M3472400</v>
      </c>
      <c r="I54" s="44" t="str">
        <f>Inputs!$B$7</f>
        <v>MC</v>
      </c>
      <c r="J54" s="44" t="s">
        <v>58</v>
      </c>
      <c r="K54" s="44">
        <v>80.273206999999999</v>
      </c>
      <c r="L54" s="53"/>
      <c r="M54" s="44">
        <v>80.273206999999999</v>
      </c>
      <c r="N54" s="44">
        <v>0</v>
      </c>
      <c r="O54" s="44">
        <f t="shared" si="57"/>
        <v>-80.273206999999999</v>
      </c>
      <c r="P54" s="53"/>
      <c r="Q54" s="44">
        <f t="shared" si="58"/>
        <v>0</v>
      </c>
      <c r="R54" s="44">
        <f>M54*Inputs!$F$7*Inputs!$G$7</f>
        <v>209738.47743525601</v>
      </c>
      <c r="S54" s="44">
        <f>Inputs!$F$7*Inputs!$I$7*N54</f>
        <v>0</v>
      </c>
      <c r="T54" s="18"/>
      <c r="U54" s="55">
        <v>0</v>
      </c>
      <c r="W54" s="117">
        <v>7</v>
      </c>
      <c r="X54" s="115" t="str">
        <f>Inputs!$A$7</f>
        <v>M3472400</v>
      </c>
      <c r="Y54" s="44" t="str">
        <f>Inputs!$B$7</f>
        <v>MC</v>
      </c>
      <c r="Z54" s="44" t="s">
        <v>57</v>
      </c>
      <c r="AA54" s="44">
        <f t="shared" si="0"/>
        <v>0</v>
      </c>
      <c r="AB54" s="53"/>
      <c r="AC54" s="119">
        <v>7</v>
      </c>
      <c r="AD54" s="115" t="str">
        <f>Inputs!$A$7</f>
        <v>M3472400</v>
      </c>
      <c r="AE54" s="44" t="str">
        <f>Inputs!$B$7</f>
        <v>MC</v>
      </c>
      <c r="AF54" s="44" t="s">
        <v>58</v>
      </c>
      <c r="AG54" s="44">
        <f t="shared" si="1"/>
        <v>80.273206999999999</v>
      </c>
      <c r="AH54" s="53"/>
      <c r="AI54" s="44">
        <v>64.218565999999996</v>
      </c>
      <c r="AJ54" s="44">
        <v>0</v>
      </c>
      <c r="AK54" s="44">
        <f t="shared" si="59"/>
        <v>-64.218565506558392</v>
      </c>
      <c r="AL54" s="53"/>
      <c r="AM54" s="44">
        <f t="shared" si="60"/>
        <v>-4.9344160402142734E-7</v>
      </c>
      <c r="AN54" s="44">
        <f>AI54*Inputs!$F$7*Inputs!$G$7</f>
        <v>167790.782993328</v>
      </c>
      <c r="AO54" s="44">
        <f>Inputs!$F$7*Inputs!$I$7*AJ54</f>
        <v>0</v>
      </c>
      <c r="AP54" s="55">
        <v>16.054641493441604</v>
      </c>
      <c r="AR54" s="117">
        <v>7</v>
      </c>
      <c r="AS54" s="115" t="str">
        <f>Inputs!$A$7</f>
        <v>M3472400</v>
      </c>
      <c r="AT54" s="44" t="str">
        <f>Inputs!$B$7</f>
        <v>MC</v>
      </c>
      <c r="AU54" s="44" t="s">
        <v>57</v>
      </c>
      <c r="AV54" s="44">
        <f t="shared" si="10"/>
        <v>0</v>
      </c>
      <c r="AW54" s="53"/>
      <c r="AX54" s="119">
        <v>7</v>
      </c>
      <c r="AY54" s="115" t="str">
        <f>Inputs!$A$7</f>
        <v>M3472400</v>
      </c>
      <c r="AZ54" s="44" t="str">
        <f>Inputs!$B$7</f>
        <v>MC</v>
      </c>
      <c r="BA54" s="44" t="s">
        <v>58</v>
      </c>
      <c r="BB54" s="44">
        <f t="shared" si="2"/>
        <v>80.273206999999999</v>
      </c>
      <c r="BC54" s="53"/>
      <c r="BD54" s="44">
        <v>46.558459999999997</v>
      </c>
      <c r="BE54" s="44">
        <v>0</v>
      </c>
      <c r="BF54" s="44">
        <f t="shared" si="61"/>
        <v>-46.558459863772626</v>
      </c>
      <c r="BG54" s="53"/>
      <c r="BH54" s="44">
        <f t="shared" si="62"/>
        <v>-1.3622737071727897E-7</v>
      </c>
      <c r="BI54" s="44">
        <f>BD54*Inputs!$F$7*Inputs!$G$7</f>
        <v>121648.31675567999</v>
      </c>
      <c r="BJ54" s="44">
        <f>Inputs!$F$7*Inputs!$I$7*BE54</f>
        <v>0</v>
      </c>
      <c r="BK54" s="55">
        <v>33.714747136227373</v>
      </c>
      <c r="BM54" s="117">
        <v>7</v>
      </c>
      <c r="BN54" s="115" t="str">
        <f>Inputs!$A$7</f>
        <v>M3472400</v>
      </c>
      <c r="BO54" s="44" t="str">
        <f>Inputs!$B$7</f>
        <v>MC</v>
      </c>
      <c r="BP54" s="44" t="s">
        <v>57</v>
      </c>
      <c r="BQ54" s="44">
        <f t="shared" si="3"/>
        <v>0</v>
      </c>
      <c r="BR54" s="53"/>
      <c r="BS54" s="119">
        <v>7</v>
      </c>
      <c r="BT54" s="115" t="str">
        <f>Inputs!$A$7</f>
        <v>M3472400</v>
      </c>
      <c r="BU54" s="44" t="str">
        <f>Inputs!$B$7</f>
        <v>MC</v>
      </c>
      <c r="BV54" s="44" t="s">
        <v>58</v>
      </c>
      <c r="BW54" s="44">
        <f t="shared" si="4"/>
        <v>80.273206999999999</v>
      </c>
      <c r="BX54" s="53"/>
      <c r="BY54" s="44">
        <v>0</v>
      </c>
      <c r="BZ54" s="44">
        <v>0</v>
      </c>
      <c r="CA54" s="44">
        <f t="shared" si="63"/>
        <v>4.6720802515665127E-7</v>
      </c>
      <c r="CB54" s="53"/>
      <c r="CC54" s="44">
        <f t="shared" si="64"/>
        <v>-4.6720802515665127E-7</v>
      </c>
      <c r="CD54" s="44">
        <f>BY54*Inputs!$F$7*Inputs!$G$7</f>
        <v>0</v>
      </c>
      <c r="CE54" s="44">
        <f>Inputs!$F$7*Inputs!$I$7*BZ54</f>
        <v>0</v>
      </c>
      <c r="CF54" s="55">
        <v>80.273207467208024</v>
      </c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74"/>
      <c r="CU54" s="74"/>
      <c r="CV54" s="74"/>
      <c r="CW54" s="74"/>
      <c r="CX54" s="74"/>
      <c r="CY54" s="74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N54" s="6"/>
      <c r="DO54" s="37">
        <f>DS54</f>
        <v>0</v>
      </c>
      <c r="DP54" s="34">
        <f t="shared" si="48"/>
        <v>0</v>
      </c>
      <c r="DQ54" s="38">
        <f>DT54</f>
        <v>0</v>
      </c>
      <c r="DR54" s="10"/>
      <c r="DS54" s="28">
        <f>Inputs!A51</f>
        <v>0</v>
      </c>
      <c r="DT54" s="26">
        <f>Inputs!C51</f>
        <v>0</v>
      </c>
      <c r="DU54" s="24"/>
    </row>
    <row r="55" spans="1:125" x14ac:dyDescent="0.25">
      <c r="A55" s="117">
        <v>8</v>
      </c>
      <c r="B55" s="115" t="str">
        <f>Inputs!$A$7</f>
        <v>M3472400</v>
      </c>
      <c r="C55" s="44" t="str">
        <f>Inputs!$B$7</f>
        <v>MC</v>
      </c>
      <c r="D55" s="44" t="s">
        <v>57</v>
      </c>
      <c r="E55" s="44">
        <v>0</v>
      </c>
      <c r="F55" s="53"/>
      <c r="G55" s="119">
        <v>8</v>
      </c>
      <c r="H55" s="115" t="str">
        <f>Inputs!$A$7</f>
        <v>M3472400</v>
      </c>
      <c r="I55" s="44" t="str">
        <f>Inputs!$B$7</f>
        <v>MC</v>
      </c>
      <c r="J55" s="44" t="s">
        <v>58</v>
      </c>
      <c r="K55" s="44">
        <v>64.218565999999996</v>
      </c>
      <c r="L55" s="53"/>
      <c r="M55" s="44">
        <v>130.04968</v>
      </c>
      <c r="N55" s="44">
        <v>0</v>
      </c>
      <c r="O55" s="44">
        <f t="shared" si="57"/>
        <v>-130.04968379784225</v>
      </c>
      <c r="P55" s="53"/>
      <c r="Q55" s="44">
        <f t="shared" si="58"/>
        <v>3.7978422540163592E-6</v>
      </c>
      <c r="R55" s="44">
        <f>M55*Inputs!$F$7*Inputs!$G$7</f>
        <v>339794.84430144</v>
      </c>
      <c r="S55" s="44">
        <f>Inputs!$F$7*Inputs!$I$7*N55</f>
        <v>0</v>
      </c>
      <c r="T55" s="18"/>
      <c r="U55" s="55">
        <v>14.442089202157735</v>
      </c>
      <c r="W55" s="117">
        <v>8</v>
      </c>
      <c r="X55" s="115" t="str">
        <f>Inputs!$A$7</f>
        <v>M3472400</v>
      </c>
      <c r="Y55" s="44" t="str">
        <f>Inputs!$B$7</f>
        <v>MC</v>
      </c>
      <c r="Z55" s="44" t="s">
        <v>57</v>
      </c>
      <c r="AA55" s="44">
        <f t="shared" si="0"/>
        <v>0</v>
      </c>
      <c r="AB55" s="53"/>
      <c r="AC55" s="119">
        <v>8</v>
      </c>
      <c r="AD55" s="115" t="str">
        <f>Inputs!$A$7</f>
        <v>M3472400</v>
      </c>
      <c r="AE55" s="44" t="str">
        <f>Inputs!$B$7</f>
        <v>MC</v>
      </c>
      <c r="AF55" s="44" t="s">
        <v>58</v>
      </c>
      <c r="AG55" s="44">
        <f t="shared" si="1"/>
        <v>64.218565999999996</v>
      </c>
      <c r="AH55" s="53"/>
      <c r="AI55" s="44">
        <v>96.327849000000001</v>
      </c>
      <c r="AJ55" s="44">
        <v>0</v>
      </c>
      <c r="AK55" s="44">
        <f t="shared" si="59"/>
        <v>-96.327849013116776</v>
      </c>
      <c r="AL55" s="53"/>
      <c r="AM55" s="44">
        <f t="shared" si="60"/>
        <v>1.3116775221533317E-8</v>
      </c>
      <c r="AN55" s="44">
        <f>AI55*Inputs!$F$7*Inputs!$G$7</f>
        <v>251686.174489992</v>
      </c>
      <c r="AO55" s="44">
        <f>Inputs!$F$7*Inputs!$I$7*AJ55</f>
        <v>0</v>
      </c>
      <c r="AP55" s="55">
        <v>32.109282986883208</v>
      </c>
      <c r="AR55" s="117">
        <v>8</v>
      </c>
      <c r="AS55" s="115" t="str">
        <f>Inputs!$A$7</f>
        <v>M3472400</v>
      </c>
      <c r="AT55" s="44" t="str">
        <f>Inputs!$B$7</f>
        <v>MC</v>
      </c>
      <c r="AU55" s="44" t="s">
        <v>57</v>
      </c>
      <c r="AV55" s="44">
        <f t="shared" si="10"/>
        <v>0</v>
      </c>
      <c r="AW55" s="53"/>
      <c r="AX55" s="119">
        <v>8</v>
      </c>
      <c r="AY55" s="115" t="str">
        <f>Inputs!$A$7</f>
        <v>M3472400</v>
      </c>
      <c r="AZ55" s="44" t="str">
        <f>Inputs!$B$7</f>
        <v>MC</v>
      </c>
      <c r="BA55" s="44" t="s">
        <v>58</v>
      </c>
      <c r="BB55" s="44">
        <f t="shared" si="2"/>
        <v>64.218565999999996</v>
      </c>
      <c r="BC55" s="53"/>
      <c r="BD55" s="44">
        <v>55.388513000000003</v>
      </c>
      <c r="BE55" s="44">
        <v>0</v>
      </c>
      <c r="BF55" s="44">
        <f t="shared" si="61"/>
        <v>-55.388512847626451</v>
      </c>
      <c r="BG55" s="53"/>
      <c r="BH55" s="44">
        <f t="shared" si="62"/>
        <v>-1.5237355199815283E-7</v>
      </c>
      <c r="BI55" s="44">
        <f>BD55*Inputs!$F$7*Inputs!$G$7</f>
        <v>144719.54987450401</v>
      </c>
      <c r="BJ55" s="44">
        <f>Inputs!$F$7*Inputs!$I$7*BE55</f>
        <v>0</v>
      </c>
      <c r="BK55" s="55">
        <v>55.388513152373541</v>
      </c>
      <c r="BM55" s="117">
        <v>8</v>
      </c>
      <c r="BN55" s="115" t="str">
        <f>Inputs!$A$7</f>
        <v>M3472400</v>
      </c>
      <c r="BO55" s="44" t="str">
        <f>Inputs!$B$7</f>
        <v>MC</v>
      </c>
      <c r="BP55" s="44" t="s">
        <v>57</v>
      </c>
      <c r="BQ55" s="44">
        <f t="shared" si="3"/>
        <v>0</v>
      </c>
      <c r="BR55" s="53"/>
      <c r="BS55" s="119">
        <v>8</v>
      </c>
      <c r="BT55" s="115" t="str">
        <f>Inputs!$A$7</f>
        <v>M3472400</v>
      </c>
      <c r="BU55" s="44" t="str">
        <f>Inputs!$B$7</f>
        <v>MC</v>
      </c>
      <c r="BV55" s="44" t="s">
        <v>58</v>
      </c>
      <c r="BW55" s="44">
        <f t="shared" si="4"/>
        <v>64.218565999999996</v>
      </c>
      <c r="BX55" s="53"/>
      <c r="BY55" s="44">
        <v>0</v>
      </c>
      <c r="BZ55" s="44">
        <v>0</v>
      </c>
      <c r="CA55" s="44">
        <f t="shared" si="63"/>
        <v>-2.6233578864776064E-8</v>
      </c>
      <c r="CB55" s="53"/>
      <c r="CC55" s="44">
        <f t="shared" si="64"/>
        <v>2.6233578864776064E-8</v>
      </c>
      <c r="CD55" s="44">
        <f>BY55*Inputs!$F$7*Inputs!$G$7</f>
        <v>0</v>
      </c>
      <c r="CE55" s="44">
        <f>Inputs!$F$7*Inputs!$I$7*BZ55</f>
        <v>0</v>
      </c>
      <c r="CF55" s="55">
        <v>64.218565973766417</v>
      </c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74"/>
      <c r="CU55" s="74"/>
      <c r="CV55" s="74"/>
      <c r="CW55" s="74"/>
      <c r="CX55" s="74"/>
      <c r="CY55" s="74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N55" s="6"/>
      <c r="DO55" s="6"/>
      <c r="DP55" s="10"/>
      <c r="DQ55" s="10"/>
      <c r="DR55" s="10"/>
    </row>
    <row r="56" spans="1:125" x14ac:dyDescent="0.25">
      <c r="A56" s="117">
        <v>9</v>
      </c>
      <c r="B56" s="115" t="str">
        <f>Inputs!$A$7</f>
        <v>M3472400</v>
      </c>
      <c r="C56" s="44" t="str">
        <f>Inputs!$B$7</f>
        <v>MC</v>
      </c>
      <c r="D56" s="44" t="s">
        <v>57</v>
      </c>
      <c r="E56" s="44">
        <v>0</v>
      </c>
      <c r="F56" s="53"/>
      <c r="G56" s="119">
        <v>9</v>
      </c>
      <c r="H56" s="115" t="str">
        <f>Inputs!$A$7</f>
        <v>M3472400</v>
      </c>
      <c r="I56" s="44" t="str">
        <f>Inputs!$B$7</f>
        <v>MC</v>
      </c>
      <c r="J56" s="44" t="s">
        <v>58</v>
      </c>
      <c r="K56" s="44">
        <v>48.163924000000002</v>
      </c>
      <c r="L56" s="53"/>
      <c r="M56" s="44">
        <v>67.018382000000003</v>
      </c>
      <c r="N56" s="44">
        <v>0</v>
      </c>
      <c r="O56" s="44">
        <f t="shared" si="57"/>
        <v>-67.01837732081006</v>
      </c>
      <c r="P56" s="53"/>
      <c r="Q56" s="44">
        <f t="shared" si="58"/>
        <v>-4.6791899421805283E-6</v>
      </c>
      <c r="R56" s="44">
        <f>M56*Inputs!$F$7*Inputs!$G$7</f>
        <v>175106.16463665603</v>
      </c>
      <c r="S56" s="44">
        <f>Inputs!$F$7*Inputs!$I$7*N56</f>
        <v>0</v>
      </c>
      <c r="T56" s="18"/>
      <c r="U56" s="55">
        <v>111.19522667918993</v>
      </c>
      <c r="W56" s="117">
        <v>9</v>
      </c>
      <c r="X56" s="115" t="str">
        <f>Inputs!$A$7</f>
        <v>M3472400</v>
      </c>
      <c r="Y56" s="44" t="str">
        <f>Inputs!$B$7</f>
        <v>MC</v>
      </c>
      <c r="Z56" s="44" t="s">
        <v>57</v>
      </c>
      <c r="AA56" s="44">
        <f t="shared" si="0"/>
        <v>0</v>
      </c>
      <c r="AB56" s="53"/>
      <c r="AC56" s="119">
        <v>9</v>
      </c>
      <c r="AD56" s="115" t="str">
        <f>Inputs!$A$7</f>
        <v>M3472400</v>
      </c>
      <c r="AE56" s="44" t="str">
        <f>Inputs!$B$7</f>
        <v>MC</v>
      </c>
      <c r="AF56" s="44" t="s">
        <v>58</v>
      </c>
      <c r="AG56" s="44">
        <f t="shared" si="1"/>
        <v>48.163924000000002</v>
      </c>
      <c r="AH56" s="53"/>
      <c r="AI56" s="44">
        <v>96.327849000000001</v>
      </c>
      <c r="AJ56" s="44">
        <v>0</v>
      </c>
      <c r="AK56" s="44">
        <f t="shared" si="59"/>
        <v>-96.327848519675186</v>
      </c>
      <c r="AL56" s="53"/>
      <c r="AM56" s="44">
        <f t="shared" si="60"/>
        <v>-4.8032481458903931E-7</v>
      </c>
      <c r="AN56" s="44">
        <f>AI56*Inputs!$F$7*Inputs!$G$7</f>
        <v>251686.174489992</v>
      </c>
      <c r="AO56" s="44">
        <f>Inputs!$F$7*Inputs!$I$7*AJ56</f>
        <v>0</v>
      </c>
      <c r="AP56" s="55">
        <v>48.163924480324816</v>
      </c>
      <c r="AR56" s="117">
        <v>9</v>
      </c>
      <c r="AS56" s="115" t="str">
        <f>Inputs!$A$7</f>
        <v>M3472400</v>
      </c>
      <c r="AT56" s="44" t="str">
        <f>Inputs!$B$7</f>
        <v>MC</v>
      </c>
      <c r="AU56" s="44" t="s">
        <v>57</v>
      </c>
      <c r="AV56" s="44">
        <f t="shared" si="10"/>
        <v>0</v>
      </c>
      <c r="AW56" s="53"/>
      <c r="AX56" s="119">
        <v>9</v>
      </c>
      <c r="AY56" s="115" t="str">
        <f>Inputs!$A$7</f>
        <v>M3472400</v>
      </c>
      <c r="AZ56" s="44" t="str">
        <f>Inputs!$B$7</f>
        <v>MC</v>
      </c>
      <c r="BA56" s="44" t="s">
        <v>58</v>
      </c>
      <c r="BB56" s="44">
        <f t="shared" si="2"/>
        <v>48.163924000000002</v>
      </c>
      <c r="BC56" s="53"/>
      <c r="BD56" s="44">
        <v>40.939335999999997</v>
      </c>
      <c r="BE56" s="44">
        <v>0</v>
      </c>
      <c r="BF56" s="44">
        <f t="shared" si="61"/>
        <v>-40.939335175577739</v>
      </c>
      <c r="BG56" s="53"/>
      <c r="BH56" s="44">
        <f t="shared" si="62"/>
        <v>-8.2442225846079964E-7</v>
      </c>
      <c r="BI56" s="44">
        <f>BD56*Inputs!$F$7*Inputs!$G$7</f>
        <v>106966.62461548801</v>
      </c>
      <c r="BJ56" s="44">
        <f>Inputs!$F$7*Inputs!$I$7*BE56</f>
        <v>0</v>
      </c>
      <c r="BK56" s="55">
        <v>62.613101824422266</v>
      </c>
      <c r="BM56" s="117">
        <v>9</v>
      </c>
      <c r="BN56" s="115" t="str">
        <f>Inputs!$A$7</f>
        <v>M3472400</v>
      </c>
      <c r="BO56" s="44" t="str">
        <f>Inputs!$B$7</f>
        <v>MC</v>
      </c>
      <c r="BP56" s="44" t="s">
        <v>57</v>
      </c>
      <c r="BQ56" s="44">
        <f t="shared" si="3"/>
        <v>0</v>
      </c>
      <c r="BR56" s="53"/>
      <c r="BS56" s="119">
        <v>9</v>
      </c>
      <c r="BT56" s="115" t="str">
        <f>Inputs!$A$7</f>
        <v>M3472400</v>
      </c>
      <c r="BU56" s="44" t="str">
        <f>Inputs!$B$7</f>
        <v>MC</v>
      </c>
      <c r="BV56" s="44" t="s">
        <v>58</v>
      </c>
      <c r="BW56" s="44">
        <f t="shared" si="4"/>
        <v>48.163924000000002</v>
      </c>
      <c r="BX56" s="53"/>
      <c r="BY56" s="44">
        <v>0</v>
      </c>
      <c r="BZ56" s="44">
        <v>0</v>
      </c>
      <c r="CA56" s="44">
        <f t="shared" si="63"/>
        <v>4.8032481458903931E-7</v>
      </c>
      <c r="CB56" s="53"/>
      <c r="CC56" s="44">
        <f t="shared" si="64"/>
        <v>-4.8032481458903931E-7</v>
      </c>
      <c r="CD56" s="44">
        <f>BY56*Inputs!$F$7*Inputs!$G$7</f>
        <v>0</v>
      </c>
      <c r="CE56" s="44">
        <f>Inputs!$F$7*Inputs!$I$7*BZ56</f>
        <v>0</v>
      </c>
      <c r="CF56" s="55">
        <v>48.163924480324816</v>
      </c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74"/>
      <c r="CU56" s="74"/>
      <c r="CV56" s="74"/>
      <c r="CW56" s="74"/>
      <c r="CX56" s="74"/>
      <c r="CY56" s="74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N56" s="6"/>
      <c r="DO56" s="6"/>
      <c r="DP56" s="10"/>
      <c r="DQ56" s="10"/>
      <c r="DR56" s="10"/>
    </row>
    <row r="57" spans="1:125" x14ac:dyDescent="0.25">
      <c r="A57" s="117">
        <v>10</v>
      </c>
      <c r="B57" s="115" t="str">
        <f>Inputs!$A$7</f>
        <v>M3472400</v>
      </c>
      <c r="C57" s="44" t="str">
        <f>Inputs!$B$7</f>
        <v>MC</v>
      </c>
      <c r="D57" s="44" t="s">
        <v>57</v>
      </c>
      <c r="E57" s="44">
        <v>48.163924000000002</v>
      </c>
      <c r="F57" s="53"/>
      <c r="G57" s="119">
        <v>10</v>
      </c>
      <c r="H57" s="115" t="str">
        <f>Inputs!$A$7</f>
        <v>M3472400</v>
      </c>
      <c r="I57" s="44" t="str">
        <f>Inputs!$B$7</f>
        <v>MC</v>
      </c>
      <c r="J57" s="44" t="s">
        <v>58</v>
      </c>
      <c r="K57" s="44">
        <v>0</v>
      </c>
      <c r="L57" s="53"/>
      <c r="M57" s="44">
        <v>0</v>
      </c>
      <c r="N57" s="44">
        <v>0</v>
      </c>
      <c r="O57" s="44">
        <f t="shared" si="57"/>
        <v>5.2027640862206681E-7</v>
      </c>
      <c r="P57" s="53"/>
      <c r="Q57" s="44">
        <f t="shared" si="58"/>
        <v>-5.2027641572749417E-7</v>
      </c>
      <c r="R57" s="44">
        <f>M57*Inputs!$F$7*Inputs!$G$7</f>
        <v>0</v>
      </c>
      <c r="S57" s="44">
        <f>Inputs!$F$7*Inputs!$I$7*N57</f>
        <v>0</v>
      </c>
      <c r="T57" s="18"/>
      <c r="U57" s="91">
        <v>115.18230652027641</v>
      </c>
      <c r="W57" s="117">
        <v>10</v>
      </c>
      <c r="X57" s="115" t="str">
        <f>Inputs!$A$7</f>
        <v>M3472400</v>
      </c>
      <c r="Y57" s="44" t="str">
        <f>Inputs!$B$7</f>
        <v>MC</v>
      </c>
      <c r="Z57" s="44" t="s">
        <v>57</v>
      </c>
      <c r="AA57" s="44">
        <f t="shared" si="0"/>
        <v>48.163924000000002</v>
      </c>
      <c r="AB57" s="53"/>
      <c r="AC57" s="119">
        <v>10</v>
      </c>
      <c r="AD57" s="115" t="str">
        <f>Inputs!$A$7</f>
        <v>M3472400</v>
      </c>
      <c r="AE57" s="44" t="str">
        <f>Inputs!$B$7</f>
        <v>MC</v>
      </c>
      <c r="AF57" s="44" t="s">
        <v>58</v>
      </c>
      <c r="AG57" s="44">
        <f t="shared" si="1"/>
        <v>0</v>
      </c>
      <c r="AH57" s="53"/>
      <c r="AI57" s="44">
        <v>80.273206999999999</v>
      </c>
      <c r="AJ57" s="44">
        <v>0</v>
      </c>
      <c r="AK57" s="44">
        <f t="shared" si="59"/>
        <v>-80.273207026233592</v>
      </c>
      <c r="AL57" s="53"/>
      <c r="AM57" s="44">
        <f t="shared" si="60"/>
        <v>2.6233593075630779E-8</v>
      </c>
      <c r="AN57" s="44">
        <f>AI57*Inputs!$F$7*Inputs!$G$7</f>
        <v>209738.47743525601</v>
      </c>
      <c r="AO57" s="44">
        <f>Inputs!$F$7*Inputs!$I$7*AJ57</f>
        <v>0</v>
      </c>
      <c r="AP57" s="91">
        <v>64.218565973766417</v>
      </c>
      <c r="AR57" s="117">
        <v>10</v>
      </c>
      <c r="AS57" s="115" t="str">
        <f>Inputs!$A$7</f>
        <v>M3472400</v>
      </c>
      <c r="AT57" s="44" t="str">
        <f>Inputs!$B$7</f>
        <v>MC</v>
      </c>
      <c r="AU57" s="44" t="s">
        <v>57</v>
      </c>
      <c r="AV57" s="44">
        <f t="shared" si="10"/>
        <v>48.163924000000002</v>
      </c>
      <c r="AW57" s="53"/>
      <c r="AX57" s="119">
        <v>10</v>
      </c>
      <c r="AY57" s="115" t="str">
        <f>Inputs!$A$7</f>
        <v>M3472400</v>
      </c>
      <c r="AZ57" s="44" t="str">
        <f>Inputs!$B$7</f>
        <v>MC</v>
      </c>
      <c r="BA57" s="44" t="s">
        <v>58</v>
      </c>
      <c r="BB57" s="44">
        <f t="shared" si="2"/>
        <v>0</v>
      </c>
      <c r="BC57" s="53"/>
      <c r="BD57" s="44">
        <v>33.714747000000003</v>
      </c>
      <c r="BE57" s="44">
        <v>0</v>
      </c>
      <c r="BF57" s="44">
        <f t="shared" si="61"/>
        <v>-33.714746847626458</v>
      </c>
      <c r="BG57" s="53"/>
      <c r="BH57" s="44">
        <f t="shared" si="62"/>
        <v>-1.5237354489272548E-7</v>
      </c>
      <c r="BI57" s="44">
        <f>BD57*Inputs!$F$7*Inputs!$G$7</f>
        <v>88090.160679576002</v>
      </c>
      <c r="BJ57" s="44">
        <f>Inputs!$F$7*Inputs!$I$7*BE57</f>
        <v>0</v>
      </c>
      <c r="BK57" s="91">
        <v>55.388513152373541</v>
      </c>
      <c r="BM57" s="117">
        <v>10</v>
      </c>
      <c r="BN57" s="115" t="str">
        <f>Inputs!$A$7</f>
        <v>M3472400</v>
      </c>
      <c r="BO57" s="44" t="str">
        <f>Inputs!$B$7</f>
        <v>MC</v>
      </c>
      <c r="BP57" s="44" t="s">
        <v>57</v>
      </c>
      <c r="BQ57" s="44">
        <f t="shared" si="3"/>
        <v>48.163924000000002</v>
      </c>
      <c r="BR57" s="53"/>
      <c r="BS57" s="119">
        <v>10</v>
      </c>
      <c r="BT57" s="115" t="str">
        <f>Inputs!$A$7</f>
        <v>M3472400</v>
      </c>
      <c r="BU57" s="44" t="str">
        <f>Inputs!$B$7</f>
        <v>MC</v>
      </c>
      <c r="BV57" s="44" t="s">
        <v>58</v>
      </c>
      <c r="BW57" s="44">
        <f t="shared" si="4"/>
        <v>0</v>
      </c>
      <c r="BX57" s="53"/>
      <c r="BY57" s="44">
        <v>16.054641</v>
      </c>
      <c r="BZ57" s="44">
        <v>0</v>
      </c>
      <c r="CA57" s="44">
        <f t="shared" si="63"/>
        <v>-16.054641013116793</v>
      </c>
      <c r="CB57" s="53"/>
      <c r="CC57" s="44">
        <f t="shared" si="64"/>
        <v>1.3116792985101711E-8</v>
      </c>
      <c r="CD57" s="44">
        <f>BY57*Inputs!$F$7*Inputs!$G$7</f>
        <v>41947.694441928004</v>
      </c>
      <c r="CE57" s="44">
        <f>Inputs!$F$7*Inputs!$I$7*BZ57</f>
        <v>0</v>
      </c>
      <c r="CF57" s="91">
        <v>32.109282986883208</v>
      </c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74"/>
      <c r="CU57" s="74"/>
      <c r="CV57" s="74"/>
      <c r="CW57" s="74"/>
      <c r="CX57" s="74"/>
      <c r="CY57" s="74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N57" s="6"/>
      <c r="DO57" s="6"/>
    </row>
    <row r="58" spans="1:125" x14ac:dyDescent="0.25">
      <c r="A58" s="117">
        <v>11</v>
      </c>
      <c r="B58" s="115" t="str">
        <f>Inputs!$A$7</f>
        <v>M3472400</v>
      </c>
      <c r="C58" s="44" t="str">
        <f>Inputs!$B$7</f>
        <v>MC</v>
      </c>
      <c r="D58" s="44" t="s">
        <v>57</v>
      </c>
      <c r="E58" s="44">
        <v>0</v>
      </c>
      <c r="F58" s="53"/>
      <c r="G58" s="119">
        <v>11</v>
      </c>
      <c r="H58" s="115" t="str">
        <f>Inputs!$A$7</f>
        <v>M3472400</v>
      </c>
      <c r="I58" s="44" t="str">
        <f>Inputs!$B$7</f>
        <v>MC</v>
      </c>
      <c r="J58" s="44" t="s">
        <v>58</v>
      </c>
      <c r="K58" s="44">
        <v>0</v>
      </c>
      <c r="L58" s="53"/>
      <c r="M58" s="44">
        <v>0</v>
      </c>
      <c r="N58" s="44">
        <v>0</v>
      </c>
      <c r="O58" s="44">
        <f t="shared" si="57"/>
        <v>0</v>
      </c>
      <c r="P58" s="53"/>
      <c r="Q58" s="44">
        <f t="shared" si="58"/>
        <v>0</v>
      </c>
      <c r="R58" s="44">
        <f>M58*Inputs!$F$7*Inputs!$H$7</f>
        <v>0</v>
      </c>
      <c r="S58" s="44">
        <f>Inputs!$F$7*Inputs!$I$7*N58</f>
        <v>0</v>
      </c>
      <c r="T58" s="18"/>
      <c r="U58" s="56">
        <v>0</v>
      </c>
      <c r="W58" s="117">
        <v>11</v>
      </c>
      <c r="X58" s="115" t="str">
        <f>Inputs!$A$7</f>
        <v>M3472400</v>
      </c>
      <c r="Y58" s="44" t="str">
        <f>Inputs!$B$7</f>
        <v>MC</v>
      </c>
      <c r="Z58" s="44" t="s">
        <v>57</v>
      </c>
      <c r="AA58" s="44">
        <f t="shared" si="0"/>
        <v>0</v>
      </c>
      <c r="AB58" s="53"/>
      <c r="AC58" s="119">
        <v>11</v>
      </c>
      <c r="AD58" s="115" t="str">
        <f>Inputs!$A$7</f>
        <v>M3472400</v>
      </c>
      <c r="AE58" s="44" t="str">
        <f>Inputs!$B$7</f>
        <v>MC</v>
      </c>
      <c r="AF58" s="44" t="s">
        <v>58</v>
      </c>
      <c r="AG58" s="44">
        <f t="shared" si="1"/>
        <v>0</v>
      </c>
      <c r="AH58" s="53"/>
      <c r="AI58" s="44">
        <v>0</v>
      </c>
      <c r="AJ58" s="44">
        <v>0</v>
      </c>
      <c r="AK58" s="44">
        <f t="shared" si="59"/>
        <v>4.6720802515665127E-7</v>
      </c>
      <c r="AL58" s="53"/>
      <c r="AM58" s="44">
        <f t="shared" si="60"/>
        <v>-4.6720802515665127E-7</v>
      </c>
      <c r="AN58" s="44">
        <f>AI58*Inputs!$F$7*Inputs!$H$7</f>
        <v>0</v>
      </c>
      <c r="AO58" s="44">
        <f>Inputs!$F$7*Inputs!$I$7*AJ58</f>
        <v>0</v>
      </c>
      <c r="AP58" s="56">
        <v>80.273207467208024</v>
      </c>
      <c r="AR58" s="117">
        <v>11</v>
      </c>
      <c r="AS58" s="115" t="str">
        <f>Inputs!$A$7</f>
        <v>M3472400</v>
      </c>
      <c r="AT58" s="44" t="str">
        <f>Inputs!$B$7</f>
        <v>MC</v>
      </c>
      <c r="AU58" s="44" t="s">
        <v>57</v>
      </c>
      <c r="AV58" s="44">
        <f t="shared" si="10"/>
        <v>0</v>
      </c>
      <c r="AW58" s="53"/>
      <c r="AX58" s="119">
        <v>11</v>
      </c>
      <c r="AY58" s="115" t="str">
        <f>Inputs!$A$7</f>
        <v>M3472400</v>
      </c>
      <c r="AZ58" s="44" t="str">
        <f>Inputs!$B$7</f>
        <v>MC</v>
      </c>
      <c r="BA58" s="44" t="s">
        <v>58</v>
      </c>
      <c r="BB58" s="44">
        <f t="shared" si="2"/>
        <v>0</v>
      </c>
      <c r="BC58" s="53"/>
      <c r="BD58" s="44">
        <v>0</v>
      </c>
      <c r="BE58" s="44">
        <v>0</v>
      </c>
      <c r="BF58" s="44">
        <f t="shared" si="61"/>
        <v>1.3622737071727897E-7</v>
      </c>
      <c r="BG58" s="53"/>
      <c r="BH58" s="44">
        <f t="shared" si="62"/>
        <v>-1.3622737071727897E-7</v>
      </c>
      <c r="BI58" s="44">
        <f>BD58*Inputs!$F$7*Inputs!$H$7</f>
        <v>0</v>
      </c>
      <c r="BJ58" s="44">
        <f>Inputs!$F$7*Inputs!$I$7*BE58</f>
        <v>0</v>
      </c>
      <c r="BK58" s="56">
        <v>33.714747136227373</v>
      </c>
      <c r="BM58" s="117">
        <v>11</v>
      </c>
      <c r="BN58" s="115" t="str">
        <f>Inputs!$A$7</f>
        <v>M3472400</v>
      </c>
      <c r="BO58" s="44" t="str">
        <f>Inputs!$B$7</f>
        <v>MC</v>
      </c>
      <c r="BP58" s="44" t="s">
        <v>57</v>
      </c>
      <c r="BQ58" s="44">
        <f t="shared" si="3"/>
        <v>0</v>
      </c>
      <c r="BR58" s="53"/>
      <c r="BS58" s="119">
        <v>11</v>
      </c>
      <c r="BT58" s="115" t="str">
        <f>Inputs!$A$7</f>
        <v>M3472400</v>
      </c>
      <c r="BU58" s="44" t="str">
        <f>Inputs!$B$7</f>
        <v>MC</v>
      </c>
      <c r="BV58" s="44" t="s">
        <v>58</v>
      </c>
      <c r="BW58" s="44">
        <f t="shared" si="4"/>
        <v>0</v>
      </c>
      <c r="BX58" s="53"/>
      <c r="BY58" s="44">
        <v>0</v>
      </c>
      <c r="BZ58" s="44">
        <v>0</v>
      </c>
      <c r="CA58" s="44">
        <f t="shared" si="63"/>
        <v>4.9344160402142734E-7</v>
      </c>
      <c r="CB58" s="53"/>
      <c r="CC58" s="44">
        <f t="shared" si="64"/>
        <v>-4.9344160402142734E-7</v>
      </c>
      <c r="CD58" s="44">
        <f>BY58*Inputs!$F$7*Inputs!$H$7</f>
        <v>0</v>
      </c>
      <c r="CE58" s="44">
        <f>Inputs!$F$7*Inputs!$I$7*BZ58</f>
        <v>0</v>
      </c>
      <c r="CF58" s="56">
        <v>16.054641493441604</v>
      </c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74"/>
      <c r="CU58" s="74"/>
      <c r="CV58" s="74"/>
      <c r="CW58" s="74"/>
      <c r="CX58" s="74"/>
      <c r="CY58" s="74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N58" s="6"/>
      <c r="DO58" s="6"/>
    </row>
    <row r="59" spans="1:125" x14ac:dyDescent="0.25">
      <c r="A59" s="116">
        <v>3</v>
      </c>
      <c r="B59" s="114" t="str">
        <f>Inputs!$A$8</f>
        <v>M4103300</v>
      </c>
      <c r="C59" s="57" t="str">
        <f>Inputs!$B$8</f>
        <v>MC</v>
      </c>
      <c r="D59" s="57" t="s">
        <v>57</v>
      </c>
      <c r="E59" s="57">
        <v>0</v>
      </c>
      <c r="F59" s="50"/>
      <c r="G59" s="118">
        <v>3</v>
      </c>
      <c r="H59" s="114" t="str">
        <f>Inputs!$A$8</f>
        <v>M4103300</v>
      </c>
      <c r="I59" s="57" t="str">
        <f>Inputs!$B$8</f>
        <v>MC</v>
      </c>
      <c r="J59" s="45" t="s">
        <v>58</v>
      </c>
      <c r="K59" s="57">
        <v>0</v>
      </c>
      <c r="L59" s="50"/>
      <c r="M59" s="57">
        <v>0</v>
      </c>
      <c r="N59" s="57">
        <v>0</v>
      </c>
      <c r="O59" s="45">
        <f>U59-0-E59-K59</f>
        <v>0</v>
      </c>
      <c r="P59" s="53"/>
      <c r="Q59" s="45">
        <f>E59+K59+N59-U59+0-M59</f>
        <v>0</v>
      </c>
      <c r="R59" s="45">
        <f>M59*Inputs!$F$8*Inputs!$G$8</f>
        <v>0</v>
      </c>
      <c r="S59" s="45">
        <f>Inputs!$F$8*Inputs!$I$8*N59</f>
        <v>0</v>
      </c>
      <c r="T59" s="18"/>
      <c r="U59" s="54">
        <v>0</v>
      </c>
      <c r="W59" s="116">
        <v>3</v>
      </c>
      <c r="X59" s="114" t="str">
        <f>Inputs!$A$8</f>
        <v>M4103300</v>
      </c>
      <c r="Y59" s="57" t="str">
        <f>Inputs!$B$8</f>
        <v>MC</v>
      </c>
      <c r="Z59" s="57" t="s">
        <v>57</v>
      </c>
      <c r="AA59" s="57">
        <f t="shared" si="0"/>
        <v>0</v>
      </c>
      <c r="AB59" s="50"/>
      <c r="AC59" s="118">
        <v>3</v>
      </c>
      <c r="AD59" s="114" t="str">
        <f>Inputs!$A$8</f>
        <v>M4103300</v>
      </c>
      <c r="AE59" s="57" t="str">
        <f>Inputs!$B$8</f>
        <v>MC</v>
      </c>
      <c r="AF59" s="45" t="s">
        <v>58</v>
      </c>
      <c r="AG59" s="57">
        <f t="shared" si="1"/>
        <v>0</v>
      </c>
      <c r="AH59" s="50"/>
      <c r="AI59" s="57">
        <v>0</v>
      </c>
      <c r="AJ59" s="57">
        <v>0</v>
      </c>
      <c r="AK59" s="45">
        <f>AP59-0-AA59-AG59</f>
        <v>0</v>
      </c>
      <c r="AL59" s="53"/>
      <c r="AM59" s="45">
        <f>AA59+AG59+AJ59-AP59+0-AI59</f>
        <v>0</v>
      </c>
      <c r="AN59" s="45">
        <f>AI59*Inputs!$F$8*Inputs!$G$8</f>
        <v>0</v>
      </c>
      <c r="AO59" s="45">
        <f>Inputs!$F$8*Inputs!$I$8*AJ59</f>
        <v>0</v>
      </c>
      <c r="AP59" s="54">
        <v>0</v>
      </c>
      <c r="AR59" s="116">
        <v>3</v>
      </c>
      <c r="AS59" s="114" t="str">
        <f>Inputs!$A$8</f>
        <v>M4103300</v>
      </c>
      <c r="AT59" s="57" t="str">
        <f>Inputs!$B$8</f>
        <v>MC</v>
      </c>
      <c r="AU59" s="57" t="s">
        <v>57</v>
      </c>
      <c r="AV59" s="57">
        <f t="shared" si="10"/>
        <v>0</v>
      </c>
      <c r="AW59" s="50"/>
      <c r="AX59" s="118">
        <v>3</v>
      </c>
      <c r="AY59" s="114" t="str">
        <f>Inputs!$A$8</f>
        <v>M4103300</v>
      </c>
      <c r="AZ59" s="57" t="str">
        <f>Inputs!$B$8</f>
        <v>MC</v>
      </c>
      <c r="BA59" s="45" t="s">
        <v>58</v>
      </c>
      <c r="BB59" s="57">
        <f t="shared" si="2"/>
        <v>0</v>
      </c>
      <c r="BC59" s="50"/>
      <c r="BD59" s="57">
        <v>0</v>
      </c>
      <c r="BE59" s="57">
        <v>0</v>
      </c>
      <c r="BF59" s="45">
        <f>BK59-0-AV59-BB59</f>
        <v>0</v>
      </c>
      <c r="BG59" s="53"/>
      <c r="BH59" s="45">
        <f>AV59+BB59+BE59-BK59+0-BD59</f>
        <v>0</v>
      </c>
      <c r="BI59" s="45">
        <f>BD59*Inputs!$F$8*Inputs!$G$8</f>
        <v>0</v>
      </c>
      <c r="BJ59" s="45">
        <f>Inputs!$F$8*Inputs!$I$8*BE59</f>
        <v>0</v>
      </c>
      <c r="BK59" s="54">
        <v>0</v>
      </c>
      <c r="BM59" s="116">
        <v>3</v>
      </c>
      <c r="BN59" s="114" t="str">
        <f>Inputs!$A$8</f>
        <v>M4103300</v>
      </c>
      <c r="BO59" s="57" t="str">
        <f>Inputs!$B$8</f>
        <v>MC</v>
      </c>
      <c r="BP59" s="57" t="s">
        <v>57</v>
      </c>
      <c r="BQ59" s="57">
        <f t="shared" si="3"/>
        <v>0</v>
      </c>
      <c r="BR59" s="50"/>
      <c r="BS59" s="118">
        <v>3</v>
      </c>
      <c r="BT59" s="114" t="str">
        <f>Inputs!$A$8</f>
        <v>M4103300</v>
      </c>
      <c r="BU59" s="57" t="str">
        <f>Inputs!$B$8</f>
        <v>MC</v>
      </c>
      <c r="BV59" s="45" t="s">
        <v>58</v>
      </c>
      <c r="BW59" s="57">
        <f t="shared" si="4"/>
        <v>0</v>
      </c>
      <c r="BX59" s="50"/>
      <c r="BY59" s="57">
        <v>0</v>
      </c>
      <c r="BZ59" s="57">
        <v>0</v>
      </c>
      <c r="CA59" s="45">
        <f>CF59-0-BQ59-BW59</f>
        <v>0</v>
      </c>
      <c r="CB59" s="53"/>
      <c r="CC59" s="45">
        <f>BQ59+BW59+BZ59-CF59+0-BY59</f>
        <v>0</v>
      </c>
      <c r="CD59" s="45">
        <f>BY59*Inputs!$F$8*Inputs!$G$8</f>
        <v>0</v>
      </c>
      <c r="CE59" s="45">
        <f>Inputs!$F$8*Inputs!$I$8*BZ59</f>
        <v>0</v>
      </c>
      <c r="CF59" s="54">
        <v>0</v>
      </c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74"/>
      <c r="CU59" s="74"/>
      <c r="CV59" s="74"/>
      <c r="CW59" s="74"/>
      <c r="CX59" s="74"/>
      <c r="CY59" s="74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N59" s="6"/>
      <c r="DO59" s="6"/>
    </row>
    <row r="60" spans="1:125" x14ac:dyDescent="0.25">
      <c r="A60" s="116">
        <v>4</v>
      </c>
      <c r="B60" s="114" t="str">
        <f>Inputs!$A$8</f>
        <v>M4103300</v>
      </c>
      <c r="C60" s="57" t="str">
        <f>Inputs!$B$8</f>
        <v>MC</v>
      </c>
      <c r="D60" s="57" t="s">
        <v>57</v>
      </c>
      <c r="E60" s="57">
        <v>0</v>
      </c>
      <c r="F60" s="50"/>
      <c r="G60" s="118">
        <v>4</v>
      </c>
      <c r="H60" s="114" t="str">
        <f>Inputs!$A$8</f>
        <v>M4103300</v>
      </c>
      <c r="I60" s="57" t="str">
        <f>Inputs!$B$8</f>
        <v>MC</v>
      </c>
      <c r="J60" s="45" t="s">
        <v>58</v>
      </c>
      <c r="K60" s="57">
        <v>0</v>
      </c>
      <c r="L60" s="50"/>
      <c r="M60" s="57">
        <v>0</v>
      </c>
      <c r="N60" s="57">
        <v>0</v>
      </c>
      <c r="O60" s="45">
        <f t="shared" ref="O60:O67" si="65">U60-M59-E60-K60</f>
        <v>0</v>
      </c>
      <c r="P60" s="53"/>
      <c r="Q60" s="45">
        <f t="shared" ref="Q60:Q67" si="66">E60+K60+N60-U60+M59-M60</f>
        <v>0</v>
      </c>
      <c r="R60" s="45">
        <f>M60*Inputs!$F$8*Inputs!$G$8</f>
        <v>0</v>
      </c>
      <c r="S60" s="45">
        <f>Inputs!$F$8*Inputs!$I$8*N60</f>
        <v>0</v>
      </c>
      <c r="T60" s="18"/>
      <c r="U60" s="55">
        <v>0</v>
      </c>
      <c r="W60" s="116">
        <v>4</v>
      </c>
      <c r="X60" s="114" t="str">
        <f>Inputs!$A$8</f>
        <v>M4103300</v>
      </c>
      <c r="Y60" s="57" t="str">
        <f>Inputs!$B$8</f>
        <v>MC</v>
      </c>
      <c r="Z60" s="57" t="s">
        <v>57</v>
      </c>
      <c r="AA60" s="57">
        <f t="shared" si="0"/>
        <v>0</v>
      </c>
      <c r="AB60" s="50"/>
      <c r="AC60" s="118">
        <v>4</v>
      </c>
      <c r="AD60" s="114" t="str">
        <f>Inputs!$A$8</f>
        <v>M4103300</v>
      </c>
      <c r="AE60" s="57" t="str">
        <f>Inputs!$B$8</f>
        <v>MC</v>
      </c>
      <c r="AF60" s="45" t="s">
        <v>58</v>
      </c>
      <c r="AG60" s="57">
        <f t="shared" si="1"/>
        <v>0</v>
      </c>
      <c r="AH60" s="50"/>
      <c r="AI60" s="57">
        <v>0</v>
      </c>
      <c r="AJ60" s="57">
        <v>0</v>
      </c>
      <c r="AK60" s="45">
        <f t="shared" ref="AK60:AK67" si="67">AP60-AI59-AA60-AG60</f>
        <v>0</v>
      </c>
      <c r="AL60" s="53"/>
      <c r="AM60" s="45">
        <f t="shared" ref="AM60:AM67" si="68">AA60+AG60+AJ60-AP60+AI59-AI60</f>
        <v>0</v>
      </c>
      <c r="AN60" s="45">
        <f>AI60*Inputs!$F$8*Inputs!$G$8</f>
        <v>0</v>
      </c>
      <c r="AO60" s="45">
        <f>Inputs!$F$8*Inputs!$I$8*AJ60</f>
        <v>0</v>
      </c>
      <c r="AP60" s="55">
        <v>0</v>
      </c>
      <c r="AR60" s="116">
        <v>4</v>
      </c>
      <c r="AS60" s="114" t="str">
        <f>Inputs!$A$8</f>
        <v>M4103300</v>
      </c>
      <c r="AT60" s="57" t="str">
        <f>Inputs!$B$8</f>
        <v>MC</v>
      </c>
      <c r="AU60" s="57" t="s">
        <v>57</v>
      </c>
      <c r="AV60" s="57">
        <f t="shared" si="10"/>
        <v>0</v>
      </c>
      <c r="AW60" s="50"/>
      <c r="AX60" s="118">
        <v>4</v>
      </c>
      <c r="AY60" s="114" t="str">
        <f>Inputs!$A$8</f>
        <v>M4103300</v>
      </c>
      <c r="AZ60" s="57" t="str">
        <f>Inputs!$B$8</f>
        <v>MC</v>
      </c>
      <c r="BA60" s="45" t="s">
        <v>58</v>
      </c>
      <c r="BB60" s="57">
        <f t="shared" si="2"/>
        <v>0</v>
      </c>
      <c r="BC60" s="50"/>
      <c r="BD60" s="57">
        <v>0</v>
      </c>
      <c r="BE60" s="57">
        <v>0</v>
      </c>
      <c r="BF60" s="45">
        <f t="shared" ref="BF60:BF67" si="69">BK60-BD59-AV60-BB60</f>
        <v>0</v>
      </c>
      <c r="BG60" s="53"/>
      <c r="BH60" s="45">
        <f t="shared" ref="BH60:BH67" si="70">AV60+BB60+BE60-BK60+BD59-BD60</f>
        <v>0</v>
      </c>
      <c r="BI60" s="45">
        <f>BD60*Inputs!$F$8*Inputs!$G$8</f>
        <v>0</v>
      </c>
      <c r="BJ60" s="45">
        <f>Inputs!$F$8*Inputs!$I$8*BE60</f>
        <v>0</v>
      </c>
      <c r="BK60" s="55">
        <v>0</v>
      </c>
      <c r="BM60" s="116">
        <v>4</v>
      </c>
      <c r="BN60" s="114" t="str">
        <f>Inputs!$A$8</f>
        <v>M4103300</v>
      </c>
      <c r="BO60" s="57" t="str">
        <f>Inputs!$B$8</f>
        <v>MC</v>
      </c>
      <c r="BP60" s="57" t="s">
        <v>57</v>
      </c>
      <c r="BQ60" s="57">
        <f t="shared" si="3"/>
        <v>0</v>
      </c>
      <c r="BR60" s="50"/>
      <c r="BS60" s="118">
        <v>4</v>
      </c>
      <c r="BT60" s="114" t="str">
        <f>Inputs!$A$8</f>
        <v>M4103300</v>
      </c>
      <c r="BU60" s="57" t="str">
        <f>Inputs!$B$8</f>
        <v>MC</v>
      </c>
      <c r="BV60" s="45" t="s">
        <v>58</v>
      </c>
      <c r="BW60" s="57">
        <f t="shared" si="4"/>
        <v>0</v>
      </c>
      <c r="BX60" s="50"/>
      <c r="BY60" s="57">
        <v>0</v>
      </c>
      <c r="BZ60" s="57">
        <v>0</v>
      </c>
      <c r="CA60" s="45">
        <f t="shared" ref="CA60:CA67" si="71">CF60-BY59-BQ60-BW60</f>
        <v>0</v>
      </c>
      <c r="CB60" s="53"/>
      <c r="CC60" s="45">
        <f t="shared" ref="CC60:CC67" si="72">BQ60+BW60+BZ60-CF60+BY59-BY60</f>
        <v>0</v>
      </c>
      <c r="CD60" s="45">
        <f>BY60*Inputs!$F$8*Inputs!$G$8</f>
        <v>0</v>
      </c>
      <c r="CE60" s="45">
        <f>Inputs!$F$8*Inputs!$I$8*BZ60</f>
        <v>0</v>
      </c>
      <c r="CF60" s="55">
        <v>0</v>
      </c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5"/>
      <c r="CU60" s="75"/>
      <c r="CV60" s="75"/>
      <c r="CW60" s="75"/>
      <c r="CX60" s="75"/>
      <c r="CY60" s="75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N60" s="6"/>
      <c r="DO60" s="6"/>
    </row>
    <row r="61" spans="1:125" x14ac:dyDescent="0.25">
      <c r="A61" s="116">
        <v>5</v>
      </c>
      <c r="B61" s="114" t="str">
        <f>Inputs!$A$8</f>
        <v>M4103300</v>
      </c>
      <c r="C61" s="57" t="str">
        <f>Inputs!$B$8</f>
        <v>MC</v>
      </c>
      <c r="D61" s="57" t="s">
        <v>57</v>
      </c>
      <c r="E61" s="57">
        <v>0</v>
      </c>
      <c r="F61" s="50"/>
      <c r="G61" s="118">
        <v>5</v>
      </c>
      <c r="H61" s="114" t="str">
        <f>Inputs!$A$8</f>
        <v>M4103300</v>
      </c>
      <c r="I61" s="57" t="str">
        <f>Inputs!$B$8</f>
        <v>MC</v>
      </c>
      <c r="J61" s="45" t="s">
        <v>58</v>
      </c>
      <c r="K61" s="57">
        <v>0</v>
      </c>
      <c r="L61" s="50"/>
      <c r="M61" s="57">
        <v>0</v>
      </c>
      <c r="N61" s="57">
        <v>0</v>
      </c>
      <c r="O61" s="45">
        <f t="shared" si="65"/>
        <v>0</v>
      </c>
      <c r="P61" s="53"/>
      <c r="Q61" s="45">
        <f t="shared" si="66"/>
        <v>0</v>
      </c>
      <c r="R61" s="45">
        <f>M61*Inputs!$F$8*Inputs!$G$8</f>
        <v>0</v>
      </c>
      <c r="S61" s="45">
        <f>Inputs!$F$8*Inputs!$I$8*N61</f>
        <v>0</v>
      </c>
      <c r="T61" s="18"/>
      <c r="U61" s="55">
        <v>0</v>
      </c>
      <c r="W61" s="116">
        <v>5</v>
      </c>
      <c r="X61" s="114" t="str">
        <f>Inputs!$A$8</f>
        <v>M4103300</v>
      </c>
      <c r="Y61" s="57" t="str">
        <f>Inputs!$B$8</f>
        <v>MC</v>
      </c>
      <c r="Z61" s="57" t="s">
        <v>57</v>
      </c>
      <c r="AA61" s="57">
        <f t="shared" si="0"/>
        <v>0</v>
      </c>
      <c r="AB61" s="50"/>
      <c r="AC61" s="118">
        <v>5</v>
      </c>
      <c r="AD61" s="114" t="str">
        <f>Inputs!$A$8</f>
        <v>M4103300</v>
      </c>
      <c r="AE61" s="57" t="str">
        <f>Inputs!$B$8</f>
        <v>MC</v>
      </c>
      <c r="AF61" s="45" t="s">
        <v>58</v>
      </c>
      <c r="AG61" s="57">
        <f t="shared" si="1"/>
        <v>0</v>
      </c>
      <c r="AH61" s="50"/>
      <c r="AI61" s="57">
        <v>0</v>
      </c>
      <c r="AJ61" s="57">
        <v>0</v>
      </c>
      <c r="AK61" s="45">
        <f t="shared" si="67"/>
        <v>0</v>
      </c>
      <c r="AL61" s="53"/>
      <c r="AM61" s="45">
        <f t="shared" si="68"/>
        <v>0</v>
      </c>
      <c r="AN61" s="45">
        <f>AI61*Inputs!$F$8*Inputs!$G$8</f>
        <v>0</v>
      </c>
      <c r="AO61" s="45">
        <f>Inputs!$F$8*Inputs!$I$8*AJ61</f>
        <v>0</v>
      </c>
      <c r="AP61" s="55">
        <v>0</v>
      </c>
      <c r="AR61" s="116">
        <v>5</v>
      </c>
      <c r="AS61" s="114" t="str">
        <f>Inputs!$A$8</f>
        <v>M4103300</v>
      </c>
      <c r="AT61" s="57" t="str">
        <f>Inputs!$B$8</f>
        <v>MC</v>
      </c>
      <c r="AU61" s="57" t="s">
        <v>57</v>
      </c>
      <c r="AV61" s="57">
        <f t="shared" si="10"/>
        <v>0</v>
      </c>
      <c r="AW61" s="50"/>
      <c r="AX61" s="118">
        <v>5</v>
      </c>
      <c r="AY61" s="114" t="str">
        <f>Inputs!$A$8</f>
        <v>M4103300</v>
      </c>
      <c r="AZ61" s="57" t="str">
        <f>Inputs!$B$8</f>
        <v>MC</v>
      </c>
      <c r="BA61" s="45" t="s">
        <v>58</v>
      </c>
      <c r="BB61" s="57">
        <f t="shared" si="2"/>
        <v>0</v>
      </c>
      <c r="BC61" s="50"/>
      <c r="BD61" s="57">
        <v>0</v>
      </c>
      <c r="BE61" s="57">
        <v>0</v>
      </c>
      <c r="BF61" s="45">
        <f t="shared" si="69"/>
        <v>0</v>
      </c>
      <c r="BG61" s="53"/>
      <c r="BH61" s="45">
        <f t="shared" si="70"/>
        <v>0</v>
      </c>
      <c r="BI61" s="45">
        <f>BD61*Inputs!$F$8*Inputs!$G$8</f>
        <v>0</v>
      </c>
      <c r="BJ61" s="45">
        <f>Inputs!$F$8*Inputs!$I$8*BE61</f>
        <v>0</v>
      </c>
      <c r="BK61" s="55">
        <v>0</v>
      </c>
      <c r="BM61" s="116">
        <v>5</v>
      </c>
      <c r="BN61" s="114" t="str">
        <f>Inputs!$A$8</f>
        <v>M4103300</v>
      </c>
      <c r="BO61" s="57" t="str">
        <f>Inputs!$B$8</f>
        <v>MC</v>
      </c>
      <c r="BP61" s="57" t="s">
        <v>57</v>
      </c>
      <c r="BQ61" s="57">
        <f t="shared" si="3"/>
        <v>0</v>
      </c>
      <c r="BR61" s="50"/>
      <c r="BS61" s="118">
        <v>5</v>
      </c>
      <c r="BT61" s="114" t="str">
        <f>Inputs!$A$8</f>
        <v>M4103300</v>
      </c>
      <c r="BU61" s="57" t="str">
        <f>Inputs!$B$8</f>
        <v>MC</v>
      </c>
      <c r="BV61" s="45" t="s">
        <v>58</v>
      </c>
      <c r="BW61" s="57">
        <f t="shared" si="4"/>
        <v>0</v>
      </c>
      <c r="BX61" s="50"/>
      <c r="BY61" s="57">
        <v>0</v>
      </c>
      <c r="BZ61" s="57">
        <v>0</v>
      </c>
      <c r="CA61" s="45">
        <f t="shared" si="71"/>
        <v>0</v>
      </c>
      <c r="CB61" s="53"/>
      <c r="CC61" s="45">
        <f t="shared" si="72"/>
        <v>0</v>
      </c>
      <c r="CD61" s="45">
        <f>BY61*Inputs!$F$8*Inputs!$G$8</f>
        <v>0</v>
      </c>
      <c r="CE61" s="45">
        <f>Inputs!$F$8*Inputs!$I$8*BZ61</f>
        <v>0</v>
      </c>
      <c r="CF61" s="55">
        <v>0</v>
      </c>
    </row>
    <row r="62" spans="1:125" x14ac:dyDescent="0.25">
      <c r="A62" s="116">
        <v>6</v>
      </c>
      <c r="B62" s="114" t="str">
        <f>Inputs!$A$8</f>
        <v>M4103300</v>
      </c>
      <c r="C62" s="57" t="str">
        <f>Inputs!$B$8</f>
        <v>MC</v>
      </c>
      <c r="D62" s="57" t="s">
        <v>57</v>
      </c>
      <c r="E62" s="57">
        <v>0</v>
      </c>
      <c r="F62" s="50"/>
      <c r="G62" s="118">
        <v>6</v>
      </c>
      <c r="H62" s="114" t="str">
        <f>Inputs!$A$8</f>
        <v>M4103300</v>
      </c>
      <c r="I62" s="57" t="str">
        <f>Inputs!$B$8</f>
        <v>MC</v>
      </c>
      <c r="J62" s="45" t="s">
        <v>58</v>
      </c>
      <c r="K62" s="57">
        <v>0</v>
      </c>
      <c r="L62" s="50"/>
      <c r="M62" s="57">
        <v>0</v>
      </c>
      <c r="N62" s="57">
        <v>0</v>
      </c>
      <c r="O62" s="45">
        <f t="shared" si="65"/>
        <v>0</v>
      </c>
      <c r="P62" s="53"/>
      <c r="Q62" s="45">
        <f t="shared" si="66"/>
        <v>0</v>
      </c>
      <c r="R62" s="45">
        <f>M62*Inputs!$F$8*Inputs!$G$8</f>
        <v>0</v>
      </c>
      <c r="S62" s="45">
        <f>Inputs!$F$8*Inputs!$I$8*N62</f>
        <v>0</v>
      </c>
      <c r="T62" s="18"/>
      <c r="U62" s="55">
        <v>0</v>
      </c>
      <c r="W62" s="116">
        <v>6</v>
      </c>
      <c r="X62" s="114" t="str">
        <f>Inputs!$A$8</f>
        <v>M4103300</v>
      </c>
      <c r="Y62" s="57" t="str">
        <f>Inputs!$B$8</f>
        <v>MC</v>
      </c>
      <c r="Z62" s="57" t="s">
        <v>57</v>
      </c>
      <c r="AA62" s="57">
        <f t="shared" si="0"/>
        <v>0</v>
      </c>
      <c r="AB62" s="50"/>
      <c r="AC62" s="118">
        <v>6</v>
      </c>
      <c r="AD62" s="114" t="str">
        <f>Inputs!$A$8</f>
        <v>M4103300</v>
      </c>
      <c r="AE62" s="57" t="str">
        <f>Inputs!$B$8</f>
        <v>MC</v>
      </c>
      <c r="AF62" s="45" t="s">
        <v>58</v>
      </c>
      <c r="AG62" s="57">
        <f t="shared" si="1"/>
        <v>0</v>
      </c>
      <c r="AH62" s="50"/>
      <c r="AI62" s="57">
        <v>0</v>
      </c>
      <c r="AJ62" s="57">
        <v>0</v>
      </c>
      <c r="AK62" s="45">
        <f t="shared" si="67"/>
        <v>0</v>
      </c>
      <c r="AL62" s="53"/>
      <c r="AM62" s="45">
        <f t="shared" si="68"/>
        <v>0</v>
      </c>
      <c r="AN62" s="45">
        <f>AI62*Inputs!$F$8*Inputs!$G$8</f>
        <v>0</v>
      </c>
      <c r="AO62" s="45">
        <f>Inputs!$F$8*Inputs!$I$8*AJ62</f>
        <v>0</v>
      </c>
      <c r="AP62" s="55">
        <v>0</v>
      </c>
      <c r="AR62" s="116">
        <v>6</v>
      </c>
      <c r="AS62" s="114" t="str">
        <f>Inputs!$A$8</f>
        <v>M4103300</v>
      </c>
      <c r="AT62" s="57" t="str">
        <f>Inputs!$B$8</f>
        <v>MC</v>
      </c>
      <c r="AU62" s="57" t="s">
        <v>57</v>
      </c>
      <c r="AV62" s="57">
        <f t="shared" si="10"/>
        <v>0</v>
      </c>
      <c r="AW62" s="50"/>
      <c r="AX62" s="118">
        <v>6</v>
      </c>
      <c r="AY62" s="114" t="str">
        <f>Inputs!$A$8</f>
        <v>M4103300</v>
      </c>
      <c r="AZ62" s="57" t="str">
        <f>Inputs!$B$8</f>
        <v>MC</v>
      </c>
      <c r="BA62" s="45" t="s">
        <v>58</v>
      </c>
      <c r="BB62" s="57">
        <f t="shared" si="2"/>
        <v>0</v>
      </c>
      <c r="BC62" s="50"/>
      <c r="BD62" s="57">
        <v>0</v>
      </c>
      <c r="BE62" s="57">
        <v>0</v>
      </c>
      <c r="BF62" s="45">
        <f t="shared" si="69"/>
        <v>0</v>
      </c>
      <c r="BG62" s="53"/>
      <c r="BH62" s="45">
        <f t="shared" si="70"/>
        <v>0</v>
      </c>
      <c r="BI62" s="45">
        <f>BD62*Inputs!$F$8*Inputs!$G$8</f>
        <v>0</v>
      </c>
      <c r="BJ62" s="45">
        <f>Inputs!$F$8*Inputs!$I$8*BE62</f>
        <v>0</v>
      </c>
      <c r="BK62" s="55">
        <v>0</v>
      </c>
      <c r="BM62" s="116">
        <v>6</v>
      </c>
      <c r="BN62" s="114" t="str">
        <f>Inputs!$A$8</f>
        <v>M4103300</v>
      </c>
      <c r="BO62" s="57" t="str">
        <f>Inputs!$B$8</f>
        <v>MC</v>
      </c>
      <c r="BP62" s="57" t="s">
        <v>57</v>
      </c>
      <c r="BQ62" s="57">
        <f t="shared" si="3"/>
        <v>0</v>
      </c>
      <c r="BR62" s="50"/>
      <c r="BS62" s="118">
        <v>6</v>
      </c>
      <c r="BT62" s="114" t="str">
        <f>Inputs!$A$8</f>
        <v>M4103300</v>
      </c>
      <c r="BU62" s="57" t="str">
        <f>Inputs!$B$8</f>
        <v>MC</v>
      </c>
      <c r="BV62" s="45" t="s">
        <v>58</v>
      </c>
      <c r="BW62" s="57">
        <f t="shared" si="4"/>
        <v>0</v>
      </c>
      <c r="BX62" s="50"/>
      <c r="BY62" s="57">
        <v>0</v>
      </c>
      <c r="BZ62" s="57">
        <v>0</v>
      </c>
      <c r="CA62" s="45">
        <f t="shared" si="71"/>
        <v>0</v>
      </c>
      <c r="CB62" s="53"/>
      <c r="CC62" s="45">
        <f t="shared" si="72"/>
        <v>0</v>
      </c>
      <c r="CD62" s="45">
        <f>BY62*Inputs!$F$8*Inputs!$G$8</f>
        <v>0</v>
      </c>
      <c r="CE62" s="45">
        <f>Inputs!$F$8*Inputs!$I$8*BZ62</f>
        <v>0</v>
      </c>
      <c r="CF62" s="55">
        <v>0</v>
      </c>
    </row>
    <row r="63" spans="1:125" x14ac:dyDescent="0.25">
      <c r="A63" s="116">
        <v>7</v>
      </c>
      <c r="B63" s="114" t="str">
        <f>Inputs!$A$8</f>
        <v>M4103300</v>
      </c>
      <c r="C63" s="57" t="str">
        <f>Inputs!$B$8</f>
        <v>MC</v>
      </c>
      <c r="D63" s="57" t="s">
        <v>57</v>
      </c>
      <c r="E63" s="57">
        <v>0</v>
      </c>
      <c r="F63" s="50"/>
      <c r="G63" s="118">
        <v>7</v>
      </c>
      <c r="H63" s="114" t="str">
        <f>Inputs!$A$8</f>
        <v>M4103300</v>
      </c>
      <c r="I63" s="57" t="str">
        <f>Inputs!$B$8</f>
        <v>MC</v>
      </c>
      <c r="J63" s="45" t="s">
        <v>58</v>
      </c>
      <c r="K63" s="57">
        <v>36.048195999999997</v>
      </c>
      <c r="L63" s="50"/>
      <c r="M63" s="57">
        <v>36.048195999999997</v>
      </c>
      <c r="N63" s="57">
        <v>0</v>
      </c>
      <c r="O63" s="45">
        <f t="shared" si="65"/>
        <v>-36.048195999999997</v>
      </c>
      <c r="P63" s="53"/>
      <c r="Q63" s="45">
        <f t="shared" si="66"/>
        <v>0</v>
      </c>
      <c r="R63" s="45">
        <f>M63*Inputs!$F$8*Inputs!$G$8</f>
        <v>84664.235053440003</v>
      </c>
      <c r="S63" s="45">
        <f>Inputs!$F$8*Inputs!$I$8*N63</f>
        <v>0</v>
      </c>
      <c r="T63" s="18"/>
      <c r="U63" s="55">
        <v>0</v>
      </c>
      <c r="W63" s="116">
        <v>7</v>
      </c>
      <c r="X63" s="114" t="str">
        <f>Inputs!$A$8</f>
        <v>M4103300</v>
      </c>
      <c r="Y63" s="57" t="str">
        <f>Inputs!$B$8</f>
        <v>MC</v>
      </c>
      <c r="Z63" s="57" t="s">
        <v>57</v>
      </c>
      <c r="AA63" s="57">
        <f t="shared" si="0"/>
        <v>0</v>
      </c>
      <c r="AB63" s="50"/>
      <c r="AC63" s="118">
        <v>7</v>
      </c>
      <c r="AD63" s="114" t="str">
        <f>Inputs!$A$8</f>
        <v>M4103300</v>
      </c>
      <c r="AE63" s="57" t="str">
        <f>Inputs!$B$8</f>
        <v>MC</v>
      </c>
      <c r="AF63" s="45" t="s">
        <v>58</v>
      </c>
      <c r="AG63" s="57">
        <f t="shared" si="1"/>
        <v>36.048195999999997</v>
      </c>
      <c r="AH63" s="50"/>
      <c r="AI63" s="57">
        <v>28.838557000000002</v>
      </c>
      <c r="AJ63" s="57">
        <v>0</v>
      </c>
      <c r="AK63" s="45">
        <f t="shared" si="67"/>
        <v>-28.83855680207866</v>
      </c>
      <c r="AL63" s="53"/>
      <c r="AM63" s="45">
        <f t="shared" si="68"/>
        <v>-1.9792134153817642E-7</v>
      </c>
      <c r="AN63" s="45">
        <f>AI63*Inputs!$F$8*Inputs!$G$8</f>
        <v>67731.38851248</v>
      </c>
      <c r="AO63" s="45">
        <f>Inputs!$F$8*Inputs!$I$8*AJ63</f>
        <v>0</v>
      </c>
      <c r="AP63" s="55">
        <v>7.2096391979213372</v>
      </c>
      <c r="AR63" s="116">
        <v>7</v>
      </c>
      <c r="AS63" s="114" t="str">
        <f>Inputs!$A$8</f>
        <v>M4103300</v>
      </c>
      <c r="AT63" s="57" t="str">
        <f>Inputs!$B$8</f>
        <v>MC</v>
      </c>
      <c r="AU63" s="57" t="s">
        <v>57</v>
      </c>
      <c r="AV63" s="57">
        <f t="shared" si="10"/>
        <v>0</v>
      </c>
      <c r="AW63" s="50"/>
      <c r="AX63" s="118">
        <v>7</v>
      </c>
      <c r="AY63" s="114" t="str">
        <f>Inputs!$A$8</f>
        <v>M4103300</v>
      </c>
      <c r="AZ63" s="57" t="str">
        <f>Inputs!$B$8</f>
        <v>MC</v>
      </c>
      <c r="BA63" s="45" t="s">
        <v>58</v>
      </c>
      <c r="BB63" s="57">
        <f t="shared" si="2"/>
        <v>36.048195999999997</v>
      </c>
      <c r="BC63" s="50"/>
      <c r="BD63" s="57">
        <v>20.907954</v>
      </c>
      <c r="BE63" s="57">
        <v>0</v>
      </c>
      <c r="BF63" s="45">
        <f t="shared" si="69"/>
        <v>-20.907953684365189</v>
      </c>
      <c r="BG63" s="53"/>
      <c r="BH63" s="45">
        <f t="shared" si="70"/>
        <v>-3.1563481073249022E-7</v>
      </c>
      <c r="BI63" s="45">
        <f>BD63*Inputs!$F$8*Inputs!$G$8</f>
        <v>49105.257082559998</v>
      </c>
      <c r="BJ63" s="45">
        <f>Inputs!$F$8*Inputs!$I$8*BE63</f>
        <v>0</v>
      </c>
      <c r="BK63" s="55">
        <v>15.14024231563481</v>
      </c>
      <c r="BM63" s="116">
        <v>7</v>
      </c>
      <c r="BN63" s="114" t="str">
        <f>Inputs!$A$8</f>
        <v>M4103300</v>
      </c>
      <c r="BO63" s="57" t="str">
        <f>Inputs!$B$8</f>
        <v>MC</v>
      </c>
      <c r="BP63" s="57" t="s">
        <v>57</v>
      </c>
      <c r="BQ63" s="57">
        <f t="shared" si="3"/>
        <v>0</v>
      </c>
      <c r="BR63" s="50"/>
      <c r="BS63" s="118">
        <v>7</v>
      </c>
      <c r="BT63" s="114" t="str">
        <f>Inputs!$A$8</f>
        <v>M4103300</v>
      </c>
      <c r="BU63" s="57" t="str">
        <f>Inputs!$B$8</f>
        <v>MC</v>
      </c>
      <c r="BV63" s="45" t="s">
        <v>58</v>
      </c>
      <c r="BW63" s="57">
        <f t="shared" si="4"/>
        <v>36.048195999999997</v>
      </c>
      <c r="BX63" s="50"/>
      <c r="BY63" s="57">
        <v>0</v>
      </c>
      <c r="BZ63" s="57">
        <v>0</v>
      </c>
      <c r="CA63" s="45">
        <f t="shared" si="71"/>
        <v>-1.0393314653356356E-8</v>
      </c>
      <c r="CB63" s="53"/>
      <c r="CC63" s="45">
        <f t="shared" si="72"/>
        <v>1.0393314653356356E-8</v>
      </c>
      <c r="CD63" s="45">
        <f>BY63*Inputs!$F$8*Inputs!$G$8</f>
        <v>0</v>
      </c>
      <c r="CE63" s="45">
        <f>Inputs!$F$8*Inputs!$I$8*BZ63</f>
        <v>0</v>
      </c>
      <c r="CF63" s="55">
        <v>36.048195989606683</v>
      </c>
    </row>
    <row r="64" spans="1:125" x14ac:dyDescent="0.25">
      <c r="A64" s="116">
        <v>8</v>
      </c>
      <c r="B64" s="114" t="str">
        <f>Inputs!$A$8</f>
        <v>M4103300</v>
      </c>
      <c r="C64" s="57" t="str">
        <f>Inputs!$B$8</f>
        <v>MC</v>
      </c>
      <c r="D64" s="57" t="s">
        <v>57</v>
      </c>
      <c r="E64" s="57">
        <v>0</v>
      </c>
      <c r="F64" s="50"/>
      <c r="G64" s="118">
        <v>8</v>
      </c>
      <c r="H64" s="114" t="str">
        <f>Inputs!$A$8</f>
        <v>M4103300</v>
      </c>
      <c r="I64" s="57" t="str">
        <f>Inputs!$B$8</f>
        <v>MC</v>
      </c>
      <c r="J64" s="45" t="s">
        <v>58</v>
      </c>
      <c r="K64" s="57">
        <v>65.938693000000001</v>
      </c>
      <c r="L64" s="50"/>
      <c r="M64" s="57">
        <v>0</v>
      </c>
      <c r="N64" s="57">
        <v>0</v>
      </c>
      <c r="O64" s="45">
        <f t="shared" si="65"/>
        <v>9.7413419553049607E-9</v>
      </c>
      <c r="P64" s="53"/>
      <c r="Q64" s="45">
        <f t="shared" si="66"/>
        <v>-9.7413348498776031E-9</v>
      </c>
      <c r="R64" s="45">
        <f>M64*Inputs!$F$8*Inputs!$G$8</f>
        <v>0</v>
      </c>
      <c r="S64" s="45">
        <f>Inputs!$F$8*Inputs!$I$8*N64</f>
        <v>0</v>
      </c>
      <c r="T64" s="18"/>
      <c r="U64" s="55">
        <v>101.98688900974133</v>
      </c>
      <c r="W64" s="116">
        <v>8</v>
      </c>
      <c r="X64" s="114" t="str">
        <f>Inputs!$A$8</f>
        <v>M4103300</v>
      </c>
      <c r="Y64" s="57" t="str">
        <f>Inputs!$B$8</f>
        <v>MC</v>
      </c>
      <c r="Z64" s="57" t="s">
        <v>57</v>
      </c>
      <c r="AA64" s="57">
        <f t="shared" si="0"/>
        <v>0</v>
      </c>
      <c r="AB64" s="50"/>
      <c r="AC64" s="118">
        <v>8</v>
      </c>
      <c r="AD64" s="114" t="str">
        <f>Inputs!$A$8</f>
        <v>M4103300</v>
      </c>
      <c r="AE64" s="57" t="str">
        <f>Inputs!$B$8</f>
        <v>MC</v>
      </c>
      <c r="AF64" s="45" t="s">
        <v>58</v>
      </c>
      <c r="AG64" s="57">
        <f t="shared" si="1"/>
        <v>65.938693000000001</v>
      </c>
      <c r="AH64" s="50"/>
      <c r="AI64" s="57">
        <v>80.357971000000006</v>
      </c>
      <c r="AJ64" s="57">
        <v>0</v>
      </c>
      <c r="AK64" s="45">
        <f t="shared" si="67"/>
        <v>-80.357971604157328</v>
      </c>
      <c r="AL64" s="53"/>
      <c r="AM64" s="45">
        <f t="shared" si="68"/>
        <v>6.0415732150431722E-7</v>
      </c>
      <c r="AN64" s="45">
        <f>AI64*Inputs!$F$8*Inputs!$G$8</f>
        <v>188731.94500944004</v>
      </c>
      <c r="AO64" s="45">
        <f>Inputs!$F$8*Inputs!$I$8*AJ64</f>
        <v>0</v>
      </c>
      <c r="AP64" s="55">
        <v>14.419278395842674</v>
      </c>
      <c r="AR64" s="116">
        <v>8</v>
      </c>
      <c r="AS64" s="114" t="str">
        <f>Inputs!$A$8</f>
        <v>M4103300</v>
      </c>
      <c r="AT64" s="57" t="str">
        <f>Inputs!$B$8</f>
        <v>MC</v>
      </c>
      <c r="AU64" s="57" t="s">
        <v>57</v>
      </c>
      <c r="AV64" s="57">
        <f t="shared" si="10"/>
        <v>0</v>
      </c>
      <c r="AW64" s="50"/>
      <c r="AX64" s="118">
        <v>8</v>
      </c>
      <c r="AY64" s="114" t="str">
        <f>Inputs!$A$8</f>
        <v>M4103300</v>
      </c>
      <c r="AZ64" s="57" t="str">
        <f>Inputs!$B$8</f>
        <v>MC</v>
      </c>
      <c r="BA64" s="45" t="s">
        <v>58</v>
      </c>
      <c r="BB64" s="57">
        <f t="shared" si="2"/>
        <v>65.938693000000001</v>
      </c>
      <c r="BC64" s="50"/>
      <c r="BD64" s="57">
        <v>61.973390999999999</v>
      </c>
      <c r="BE64" s="57">
        <v>0</v>
      </c>
      <c r="BF64" s="45">
        <f t="shared" si="69"/>
        <v>-61.973391767171385</v>
      </c>
      <c r="BG64" s="53"/>
      <c r="BH64" s="45">
        <f t="shared" si="70"/>
        <v>7.6717139307902471E-7</v>
      </c>
      <c r="BI64" s="45">
        <f>BD64*Inputs!$F$8*Inputs!$G$8</f>
        <v>145553.18503823999</v>
      </c>
      <c r="BJ64" s="45">
        <f>Inputs!$F$8*Inputs!$I$8*BE64</f>
        <v>0</v>
      </c>
      <c r="BK64" s="55">
        <v>24.873255232828615</v>
      </c>
      <c r="BM64" s="116">
        <v>8</v>
      </c>
      <c r="BN64" s="114" t="str">
        <f>Inputs!$A$8</f>
        <v>M4103300</v>
      </c>
      <c r="BO64" s="57" t="str">
        <f>Inputs!$B$8</f>
        <v>MC</v>
      </c>
      <c r="BP64" s="57" t="s">
        <v>57</v>
      </c>
      <c r="BQ64" s="57">
        <f t="shared" si="3"/>
        <v>0</v>
      </c>
      <c r="BR64" s="50"/>
      <c r="BS64" s="118">
        <v>8</v>
      </c>
      <c r="BT64" s="114" t="str">
        <f>Inputs!$A$8</f>
        <v>M4103300</v>
      </c>
      <c r="BU64" s="57" t="str">
        <f>Inputs!$B$8</f>
        <v>MC</v>
      </c>
      <c r="BV64" s="45" t="s">
        <v>58</v>
      </c>
      <c r="BW64" s="57">
        <f t="shared" si="4"/>
        <v>65.938693000000001</v>
      </c>
      <c r="BX64" s="50"/>
      <c r="BY64" s="57">
        <v>37.100135999999999</v>
      </c>
      <c r="BZ64" s="57">
        <v>0</v>
      </c>
      <c r="CA64" s="45">
        <f t="shared" si="71"/>
        <v>-37.100136208314652</v>
      </c>
      <c r="CB64" s="53"/>
      <c r="CC64" s="45">
        <f t="shared" si="72"/>
        <v>2.083146526388191E-7</v>
      </c>
      <c r="CD64" s="45">
        <f>BY64*Inputs!$F$8*Inputs!$G$8</f>
        <v>87134.863415039988</v>
      </c>
      <c r="CE64" s="45">
        <f>Inputs!$F$8*Inputs!$I$8*BZ64</f>
        <v>0</v>
      </c>
      <c r="CF64" s="55">
        <v>28.838556791685349</v>
      </c>
    </row>
    <row r="65" spans="1:84" x14ac:dyDescent="0.25">
      <c r="A65" s="116">
        <v>9</v>
      </c>
      <c r="B65" s="114" t="str">
        <f>Inputs!$A$8</f>
        <v>M4103300</v>
      </c>
      <c r="C65" s="57" t="str">
        <f>Inputs!$B$8</f>
        <v>MC</v>
      </c>
      <c r="D65" s="57" t="s">
        <v>57</v>
      </c>
      <c r="E65" s="57">
        <v>0</v>
      </c>
      <c r="F65" s="50"/>
      <c r="G65" s="118">
        <v>9</v>
      </c>
      <c r="H65" s="114" t="str">
        <f>Inputs!$A$8</f>
        <v>M4103300</v>
      </c>
      <c r="I65" s="57" t="str">
        <f>Inputs!$B$8</f>
        <v>MC</v>
      </c>
      <c r="J65" s="45" t="s">
        <v>58</v>
      </c>
      <c r="K65" s="57">
        <v>6.157699</v>
      </c>
      <c r="L65" s="50"/>
      <c r="M65" s="57">
        <v>0</v>
      </c>
      <c r="N65" s="57">
        <v>0</v>
      </c>
      <c r="O65" s="45">
        <f t="shared" si="65"/>
        <v>-4.0921277921768251E-8</v>
      </c>
      <c r="P65" s="53"/>
      <c r="Q65" s="45">
        <f t="shared" si="66"/>
        <v>4.0921277921768251E-8</v>
      </c>
      <c r="R65" s="45">
        <f>M65*Inputs!$F$8*Inputs!$G$8</f>
        <v>0</v>
      </c>
      <c r="S65" s="45">
        <f>Inputs!$F$8*Inputs!$I$8*N65</f>
        <v>0</v>
      </c>
      <c r="T65" s="18"/>
      <c r="U65" s="55">
        <v>6.1576989590787221</v>
      </c>
      <c r="W65" s="116">
        <v>9</v>
      </c>
      <c r="X65" s="114" t="str">
        <f>Inputs!$A$8</f>
        <v>M4103300</v>
      </c>
      <c r="Y65" s="57" t="str">
        <f>Inputs!$B$8</f>
        <v>MC</v>
      </c>
      <c r="Z65" s="57" t="s">
        <v>57</v>
      </c>
      <c r="AA65" s="57">
        <f t="shared" si="0"/>
        <v>0</v>
      </c>
      <c r="AB65" s="50"/>
      <c r="AC65" s="118">
        <v>9</v>
      </c>
      <c r="AD65" s="114" t="str">
        <f>Inputs!$A$8</f>
        <v>M4103300</v>
      </c>
      <c r="AE65" s="57" t="str">
        <f>Inputs!$B$8</f>
        <v>MC</v>
      </c>
      <c r="AF65" s="45" t="s">
        <v>58</v>
      </c>
      <c r="AG65" s="57">
        <f t="shared" si="1"/>
        <v>6.157699</v>
      </c>
      <c r="AH65" s="50"/>
      <c r="AI65" s="57">
        <v>64.886752999999999</v>
      </c>
      <c r="AJ65" s="57">
        <v>0</v>
      </c>
      <c r="AK65" s="45">
        <f t="shared" si="67"/>
        <v>-64.886752406235985</v>
      </c>
      <c r="AL65" s="53"/>
      <c r="AM65" s="45">
        <f t="shared" si="68"/>
        <v>-5.9376399974553351E-7</v>
      </c>
      <c r="AN65" s="45">
        <f>AI65*Inputs!$F$8*Inputs!$G$8</f>
        <v>152395.62356591999</v>
      </c>
      <c r="AO65" s="45">
        <f>Inputs!$F$8*Inputs!$I$8*AJ65</f>
        <v>0</v>
      </c>
      <c r="AP65" s="55">
        <v>21.628917593764012</v>
      </c>
      <c r="AR65" s="116">
        <v>9</v>
      </c>
      <c r="AS65" s="114" t="str">
        <f>Inputs!$A$8</f>
        <v>M4103300</v>
      </c>
      <c r="AT65" s="57" t="str">
        <f>Inputs!$B$8</f>
        <v>MC</v>
      </c>
      <c r="AU65" s="57" t="s">
        <v>57</v>
      </c>
      <c r="AV65" s="57">
        <f t="shared" si="10"/>
        <v>0</v>
      </c>
      <c r="AW65" s="50"/>
      <c r="AX65" s="118">
        <v>9</v>
      </c>
      <c r="AY65" s="114" t="str">
        <f>Inputs!$A$8</f>
        <v>M4103300</v>
      </c>
      <c r="AZ65" s="57" t="str">
        <f>Inputs!$B$8</f>
        <v>MC</v>
      </c>
      <c r="BA65" s="45" t="s">
        <v>58</v>
      </c>
      <c r="BB65" s="57">
        <f t="shared" si="2"/>
        <v>6.157699</v>
      </c>
      <c r="BC65" s="50"/>
      <c r="BD65" s="57">
        <v>40.013497999999998</v>
      </c>
      <c r="BE65" s="57">
        <v>0</v>
      </c>
      <c r="BF65" s="45">
        <f t="shared" si="69"/>
        <v>-40.013497128106785</v>
      </c>
      <c r="BG65" s="53"/>
      <c r="BH65" s="45">
        <f t="shared" si="70"/>
        <v>-8.7189321362757255E-7</v>
      </c>
      <c r="BI65" s="45">
        <f>BD65*Inputs!$F$8*Inputs!$G$8</f>
        <v>93977.301942719991</v>
      </c>
      <c r="BJ65" s="45">
        <f>Inputs!$F$8*Inputs!$I$8*BE65</f>
        <v>0</v>
      </c>
      <c r="BK65" s="55">
        <v>28.117592871893216</v>
      </c>
      <c r="BM65" s="116">
        <v>9</v>
      </c>
      <c r="BN65" s="114" t="str">
        <f>Inputs!$A$8</f>
        <v>M4103300</v>
      </c>
      <c r="BO65" s="57" t="str">
        <f>Inputs!$B$8</f>
        <v>MC</v>
      </c>
      <c r="BP65" s="57" t="s">
        <v>57</v>
      </c>
      <c r="BQ65" s="57">
        <f t="shared" si="3"/>
        <v>0</v>
      </c>
      <c r="BR65" s="50"/>
      <c r="BS65" s="118">
        <v>9</v>
      </c>
      <c r="BT65" s="114" t="str">
        <f>Inputs!$A$8</f>
        <v>M4103300</v>
      </c>
      <c r="BU65" s="57" t="str">
        <f>Inputs!$B$8</f>
        <v>MC</v>
      </c>
      <c r="BV65" s="45" t="s">
        <v>58</v>
      </c>
      <c r="BW65" s="57">
        <f t="shared" si="4"/>
        <v>6.157699</v>
      </c>
      <c r="BX65" s="50"/>
      <c r="BY65" s="57">
        <v>21.628917999999999</v>
      </c>
      <c r="BZ65" s="57">
        <v>0</v>
      </c>
      <c r="CA65" s="45">
        <f t="shared" si="71"/>
        <v>-21.628917406235988</v>
      </c>
      <c r="CB65" s="53"/>
      <c r="CC65" s="45">
        <f t="shared" si="72"/>
        <v>-5.9376401040367455E-7</v>
      </c>
      <c r="CD65" s="45">
        <f>BY65*Inputs!$F$8*Inputs!$G$8</f>
        <v>50798.54197151999</v>
      </c>
      <c r="CE65" s="45">
        <f>Inputs!$F$8*Inputs!$I$8*BZ65</f>
        <v>0</v>
      </c>
      <c r="CF65" s="55">
        <v>21.628917593764012</v>
      </c>
    </row>
    <row r="66" spans="1:84" x14ac:dyDescent="0.25">
      <c r="A66" s="116">
        <v>10</v>
      </c>
      <c r="B66" s="114" t="str">
        <f>Inputs!$A$8</f>
        <v>M4103300</v>
      </c>
      <c r="C66" s="57" t="str">
        <f>Inputs!$B$8</f>
        <v>MC</v>
      </c>
      <c r="D66" s="57" t="s">
        <v>57</v>
      </c>
      <c r="E66" s="57">
        <v>0</v>
      </c>
      <c r="F66" s="50"/>
      <c r="G66" s="118">
        <v>10</v>
      </c>
      <c r="H66" s="114" t="str">
        <f>Inputs!$A$8</f>
        <v>M4103300</v>
      </c>
      <c r="I66" s="57" t="str">
        <f>Inputs!$B$8</f>
        <v>MC</v>
      </c>
      <c r="J66" s="45" t="s">
        <v>58</v>
      </c>
      <c r="K66" s="57">
        <v>0</v>
      </c>
      <c r="L66" s="50"/>
      <c r="M66" s="57">
        <v>0</v>
      </c>
      <c r="N66" s="57">
        <v>0</v>
      </c>
      <c r="O66" s="45">
        <f t="shared" si="65"/>
        <v>0</v>
      </c>
      <c r="P66" s="53"/>
      <c r="Q66" s="45">
        <f t="shared" si="66"/>
        <v>0</v>
      </c>
      <c r="R66" s="45">
        <f>M66*Inputs!$F$8*Inputs!$G$8</f>
        <v>0</v>
      </c>
      <c r="S66" s="45">
        <f>Inputs!$F$8*Inputs!$I$8*N66</f>
        <v>0</v>
      </c>
      <c r="T66" s="18"/>
      <c r="U66" s="91">
        <v>0</v>
      </c>
      <c r="W66" s="116">
        <v>10</v>
      </c>
      <c r="X66" s="114" t="str">
        <f>Inputs!$A$8</f>
        <v>M4103300</v>
      </c>
      <c r="Y66" s="57" t="str">
        <f>Inputs!$B$8</f>
        <v>MC</v>
      </c>
      <c r="Z66" s="57" t="s">
        <v>57</v>
      </c>
      <c r="AA66" s="57">
        <f t="shared" si="0"/>
        <v>0</v>
      </c>
      <c r="AB66" s="50"/>
      <c r="AC66" s="118">
        <v>10</v>
      </c>
      <c r="AD66" s="114" t="str">
        <f>Inputs!$A$8</f>
        <v>M4103300</v>
      </c>
      <c r="AE66" s="57" t="str">
        <f>Inputs!$B$8</f>
        <v>MC</v>
      </c>
      <c r="AF66" s="45" t="s">
        <v>58</v>
      </c>
      <c r="AG66" s="57">
        <f t="shared" si="1"/>
        <v>0</v>
      </c>
      <c r="AH66" s="50"/>
      <c r="AI66" s="57">
        <v>36.048195999999997</v>
      </c>
      <c r="AJ66" s="57">
        <v>0</v>
      </c>
      <c r="AK66" s="45">
        <f t="shared" si="67"/>
        <v>-36.04819620831465</v>
      </c>
      <c r="AL66" s="53"/>
      <c r="AM66" s="45">
        <f t="shared" si="68"/>
        <v>2.083146526388191E-7</v>
      </c>
      <c r="AN66" s="45">
        <f>AI66*Inputs!$F$8*Inputs!$G$8</f>
        <v>84664.235053440003</v>
      </c>
      <c r="AO66" s="45">
        <f>Inputs!$F$8*Inputs!$I$8*AJ66</f>
        <v>0</v>
      </c>
      <c r="AP66" s="91">
        <v>28.838556791685349</v>
      </c>
      <c r="AR66" s="116">
        <v>10</v>
      </c>
      <c r="AS66" s="114" t="str">
        <f>Inputs!$A$8</f>
        <v>M4103300</v>
      </c>
      <c r="AT66" s="57" t="str">
        <f>Inputs!$B$8</f>
        <v>MC</v>
      </c>
      <c r="AU66" s="57" t="s">
        <v>57</v>
      </c>
      <c r="AV66" s="57">
        <f t="shared" si="10"/>
        <v>0</v>
      </c>
      <c r="AW66" s="50"/>
      <c r="AX66" s="118">
        <v>10</v>
      </c>
      <c r="AY66" s="114" t="str">
        <f>Inputs!$A$8</f>
        <v>M4103300</v>
      </c>
      <c r="AZ66" s="57" t="str">
        <f>Inputs!$B$8</f>
        <v>MC</v>
      </c>
      <c r="BA66" s="45" t="s">
        <v>58</v>
      </c>
      <c r="BB66" s="57">
        <f t="shared" si="2"/>
        <v>0</v>
      </c>
      <c r="BC66" s="50"/>
      <c r="BD66" s="57">
        <v>15.140242000000001</v>
      </c>
      <c r="BE66" s="57">
        <v>0</v>
      </c>
      <c r="BF66" s="45">
        <f t="shared" si="69"/>
        <v>-15.140242767171383</v>
      </c>
      <c r="BG66" s="53"/>
      <c r="BH66" s="45">
        <f t="shared" si="70"/>
        <v>7.6717138242088367E-7</v>
      </c>
      <c r="BI66" s="45">
        <f>BD66*Inputs!$F$8*Inputs!$G$8</f>
        <v>35558.977970879998</v>
      </c>
      <c r="BJ66" s="45">
        <f>Inputs!$F$8*Inputs!$I$8*BE66</f>
        <v>0</v>
      </c>
      <c r="BK66" s="91">
        <v>24.873255232828615</v>
      </c>
      <c r="BM66" s="116">
        <v>10</v>
      </c>
      <c r="BN66" s="114" t="str">
        <f>Inputs!$A$8</f>
        <v>M4103300</v>
      </c>
      <c r="BO66" s="57" t="str">
        <f>Inputs!$B$8</f>
        <v>MC</v>
      </c>
      <c r="BP66" s="57" t="s">
        <v>57</v>
      </c>
      <c r="BQ66" s="57">
        <f t="shared" si="3"/>
        <v>0</v>
      </c>
      <c r="BR66" s="50"/>
      <c r="BS66" s="118">
        <v>10</v>
      </c>
      <c r="BT66" s="114" t="str">
        <f>Inputs!$A$8</f>
        <v>M4103300</v>
      </c>
      <c r="BU66" s="57" t="str">
        <f>Inputs!$B$8</f>
        <v>MC</v>
      </c>
      <c r="BV66" s="45" t="s">
        <v>58</v>
      </c>
      <c r="BW66" s="57">
        <f t="shared" si="4"/>
        <v>0</v>
      </c>
      <c r="BX66" s="50"/>
      <c r="BY66" s="57">
        <v>7.2096391999999998</v>
      </c>
      <c r="BZ66" s="57">
        <v>0</v>
      </c>
      <c r="CA66" s="45">
        <f t="shared" si="71"/>
        <v>-7.2096396041573243</v>
      </c>
      <c r="CB66" s="53"/>
      <c r="CC66" s="45">
        <f t="shared" si="72"/>
        <v>4.0415732449616826E-7</v>
      </c>
      <c r="CD66" s="45">
        <f>BY66*Inputs!$F$8*Inputs!$G$8</f>
        <v>16932.847010688001</v>
      </c>
      <c r="CE66" s="45">
        <f>Inputs!$F$8*Inputs!$I$8*BZ66</f>
        <v>0</v>
      </c>
      <c r="CF66" s="91">
        <v>14.419278395842674</v>
      </c>
    </row>
    <row r="67" spans="1:84" x14ac:dyDescent="0.25">
      <c r="A67" s="116">
        <v>11</v>
      </c>
      <c r="B67" s="114" t="str">
        <f>Inputs!$A$8</f>
        <v>M4103300</v>
      </c>
      <c r="C67" s="57" t="str">
        <f>Inputs!$B$8</f>
        <v>MC</v>
      </c>
      <c r="D67" s="57" t="s">
        <v>57</v>
      </c>
      <c r="E67" s="57">
        <v>0</v>
      </c>
      <c r="F67" s="50"/>
      <c r="G67" s="118">
        <v>11</v>
      </c>
      <c r="H67" s="114" t="str">
        <f>Inputs!$A$8</f>
        <v>M4103300</v>
      </c>
      <c r="I67" s="57" t="str">
        <f>Inputs!$B$8</f>
        <v>MC</v>
      </c>
      <c r="J67" s="45" t="s">
        <v>58</v>
      </c>
      <c r="K67" s="57">
        <v>0</v>
      </c>
      <c r="L67" s="50"/>
      <c r="M67" s="57">
        <v>0</v>
      </c>
      <c r="N67" s="57">
        <v>0</v>
      </c>
      <c r="O67" s="45">
        <f t="shared" si="65"/>
        <v>0</v>
      </c>
      <c r="P67" s="53"/>
      <c r="Q67" s="45">
        <f t="shared" si="66"/>
        <v>0</v>
      </c>
      <c r="R67" s="45">
        <f>M67*Inputs!$F$8*Inputs!$H$8</f>
        <v>0</v>
      </c>
      <c r="S67" s="45">
        <f>Inputs!$F$8*Inputs!$I$8*N67</f>
        <v>0</v>
      </c>
      <c r="T67" s="18"/>
      <c r="U67" s="56">
        <v>0</v>
      </c>
      <c r="W67" s="116">
        <v>11</v>
      </c>
      <c r="X67" s="114" t="str">
        <f>Inputs!$A$8</f>
        <v>M4103300</v>
      </c>
      <c r="Y67" s="57" t="str">
        <f>Inputs!$B$8</f>
        <v>MC</v>
      </c>
      <c r="Z67" s="57" t="s">
        <v>57</v>
      </c>
      <c r="AA67" s="57">
        <f t="shared" si="0"/>
        <v>0</v>
      </c>
      <c r="AB67" s="50"/>
      <c r="AC67" s="118">
        <v>11</v>
      </c>
      <c r="AD67" s="114" t="str">
        <f>Inputs!$A$8</f>
        <v>M4103300</v>
      </c>
      <c r="AE67" s="57" t="str">
        <f>Inputs!$B$8</f>
        <v>MC</v>
      </c>
      <c r="AF67" s="45" t="s">
        <v>58</v>
      </c>
      <c r="AG67" s="57">
        <f t="shared" si="1"/>
        <v>0</v>
      </c>
      <c r="AH67" s="50"/>
      <c r="AI67" s="57">
        <v>0</v>
      </c>
      <c r="AJ67" s="57">
        <v>0</v>
      </c>
      <c r="AK67" s="45">
        <f t="shared" si="67"/>
        <v>-1.0393314653356356E-8</v>
      </c>
      <c r="AL67" s="53"/>
      <c r="AM67" s="45">
        <f t="shared" si="68"/>
        <v>1.0393314653356356E-8</v>
      </c>
      <c r="AN67" s="45">
        <f>AI67*Inputs!$F$8*Inputs!$H$8</f>
        <v>0</v>
      </c>
      <c r="AO67" s="45">
        <f>Inputs!$F$8*Inputs!$I$8*AJ67</f>
        <v>0</v>
      </c>
      <c r="AP67" s="56">
        <v>36.048195989606683</v>
      </c>
      <c r="AR67" s="116">
        <v>11</v>
      </c>
      <c r="AS67" s="114" t="str">
        <f>Inputs!$A$8</f>
        <v>M4103300</v>
      </c>
      <c r="AT67" s="57" t="str">
        <f>Inputs!$B$8</f>
        <v>MC</v>
      </c>
      <c r="AU67" s="57" t="s">
        <v>57</v>
      </c>
      <c r="AV67" s="57">
        <f t="shared" si="10"/>
        <v>0</v>
      </c>
      <c r="AW67" s="50"/>
      <c r="AX67" s="118">
        <v>11</v>
      </c>
      <c r="AY67" s="114" t="str">
        <f>Inputs!$A$8</f>
        <v>M4103300</v>
      </c>
      <c r="AZ67" s="57" t="str">
        <f>Inputs!$B$8</f>
        <v>MC</v>
      </c>
      <c r="BA67" s="45" t="s">
        <v>58</v>
      </c>
      <c r="BB67" s="57">
        <f t="shared" si="2"/>
        <v>0</v>
      </c>
      <c r="BC67" s="50"/>
      <c r="BD67" s="57">
        <v>0</v>
      </c>
      <c r="BE67" s="57">
        <v>0</v>
      </c>
      <c r="BF67" s="45">
        <f t="shared" si="69"/>
        <v>3.1563480895613338E-7</v>
      </c>
      <c r="BG67" s="53"/>
      <c r="BH67" s="45">
        <f t="shared" si="70"/>
        <v>-3.1563480895613338E-7</v>
      </c>
      <c r="BI67" s="45">
        <f>BD67*Inputs!$F$8*Inputs!$H$8</f>
        <v>0</v>
      </c>
      <c r="BJ67" s="45">
        <f>Inputs!$F$8*Inputs!$I$8*BE67</f>
        <v>0</v>
      </c>
      <c r="BK67" s="56">
        <v>15.14024231563481</v>
      </c>
      <c r="BM67" s="116">
        <v>11</v>
      </c>
      <c r="BN67" s="114" t="str">
        <f>Inputs!$A$8</f>
        <v>M4103300</v>
      </c>
      <c r="BO67" s="57" t="str">
        <f>Inputs!$B$8</f>
        <v>MC</v>
      </c>
      <c r="BP67" s="57" t="s">
        <v>57</v>
      </c>
      <c r="BQ67" s="57">
        <f t="shared" si="3"/>
        <v>0</v>
      </c>
      <c r="BR67" s="50"/>
      <c r="BS67" s="118">
        <v>11</v>
      </c>
      <c r="BT67" s="114" t="str">
        <f>Inputs!$A$8</f>
        <v>M4103300</v>
      </c>
      <c r="BU67" s="57" t="str">
        <f>Inputs!$B$8</f>
        <v>MC</v>
      </c>
      <c r="BV67" s="45" t="s">
        <v>58</v>
      </c>
      <c r="BW67" s="57">
        <f t="shared" si="4"/>
        <v>0</v>
      </c>
      <c r="BX67" s="50"/>
      <c r="BY67" s="57">
        <v>0</v>
      </c>
      <c r="BZ67" s="57">
        <v>0</v>
      </c>
      <c r="CA67" s="45">
        <f t="shared" si="71"/>
        <v>-2.0786625753999033E-9</v>
      </c>
      <c r="CB67" s="53"/>
      <c r="CC67" s="45">
        <f t="shared" si="72"/>
        <v>2.0786625753999033E-9</v>
      </c>
      <c r="CD67" s="45">
        <f>BY67*Inputs!$F$8*Inputs!$H$8</f>
        <v>0</v>
      </c>
      <c r="CE67" s="45">
        <f>Inputs!$F$8*Inputs!$I$8*BZ67</f>
        <v>0</v>
      </c>
      <c r="CF67" s="56">
        <v>7.2096391979213372</v>
      </c>
    </row>
    <row r="68" spans="1:84" x14ac:dyDescent="0.25">
      <c r="A68" s="117">
        <v>3</v>
      </c>
      <c r="B68" s="115" t="str">
        <f>Inputs!$A$9</f>
        <v>M4348701</v>
      </c>
      <c r="C68" s="44" t="str">
        <f>Inputs!$B$9</f>
        <v>MC</v>
      </c>
      <c r="D68" s="44" t="s">
        <v>57</v>
      </c>
      <c r="E68" s="44">
        <v>0</v>
      </c>
      <c r="F68" s="50"/>
      <c r="G68" s="119">
        <v>3</v>
      </c>
      <c r="H68" s="115" t="str">
        <f>Inputs!$A$9</f>
        <v>M4348701</v>
      </c>
      <c r="I68" s="44" t="str">
        <f>Inputs!$B$9</f>
        <v>MC</v>
      </c>
      <c r="J68" s="44" t="s">
        <v>58</v>
      </c>
      <c r="K68" s="44">
        <v>0</v>
      </c>
      <c r="L68" s="50"/>
      <c r="M68" s="44">
        <v>0</v>
      </c>
      <c r="N68" s="44">
        <v>0</v>
      </c>
      <c r="O68" s="44">
        <f>U68-0-E68-K68</f>
        <v>0</v>
      </c>
      <c r="P68" s="50"/>
      <c r="Q68" s="44">
        <f>E68+K68+N68-U68+0-M68</f>
        <v>0</v>
      </c>
      <c r="R68" s="63">
        <f>M68*Inputs!$F$9*Inputs!$G$9</f>
        <v>0</v>
      </c>
      <c r="S68" s="44">
        <f>Inputs!$F$9*Inputs!$I$9*N68</f>
        <v>0</v>
      </c>
      <c r="T68" s="18"/>
      <c r="U68" s="54">
        <v>0</v>
      </c>
      <c r="W68" s="117">
        <v>3</v>
      </c>
      <c r="X68" s="115" t="str">
        <f>Inputs!$A$9</f>
        <v>M4348701</v>
      </c>
      <c r="Y68" s="44" t="str">
        <f>Inputs!$B$9</f>
        <v>MC</v>
      </c>
      <c r="Z68" s="44" t="s">
        <v>57</v>
      </c>
      <c r="AA68" s="44">
        <f t="shared" si="0"/>
        <v>0</v>
      </c>
      <c r="AB68" s="50"/>
      <c r="AC68" s="119">
        <v>3</v>
      </c>
      <c r="AD68" s="115" t="str">
        <f>Inputs!$A$9</f>
        <v>M4348701</v>
      </c>
      <c r="AE68" s="44" t="str">
        <f>Inputs!$B$9</f>
        <v>MC</v>
      </c>
      <c r="AF68" s="44" t="s">
        <v>58</v>
      </c>
      <c r="AG68" s="44">
        <f t="shared" si="1"/>
        <v>0</v>
      </c>
      <c r="AH68" s="50"/>
      <c r="AI68" s="44">
        <v>0</v>
      </c>
      <c r="AJ68" s="44">
        <v>0</v>
      </c>
      <c r="AK68" s="44">
        <f>AP68-0-AA68-AG68</f>
        <v>0</v>
      </c>
      <c r="AL68" s="50"/>
      <c r="AM68" s="44">
        <f>AA68+AG68+AJ68-AP68+0-AI68</f>
        <v>0</v>
      </c>
      <c r="AN68" s="63">
        <f>AI68*Inputs!$F$9*Inputs!$G$9</f>
        <v>0</v>
      </c>
      <c r="AO68" s="44">
        <f>Inputs!$F$9*Inputs!$I$9*AJ68</f>
        <v>0</v>
      </c>
      <c r="AP68" s="54">
        <v>0</v>
      </c>
      <c r="AR68" s="117">
        <v>3</v>
      </c>
      <c r="AS68" s="115" t="str">
        <f>Inputs!$A$9</f>
        <v>M4348701</v>
      </c>
      <c r="AT68" s="44" t="str">
        <f>Inputs!$B$9</f>
        <v>MC</v>
      </c>
      <c r="AU68" s="44" t="s">
        <v>57</v>
      </c>
      <c r="AV68" s="44">
        <f t="shared" si="10"/>
        <v>0</v>
      </c>
      <c r="AW68" s="50"/>
      <c r="AX68" s="119">
        <v>3</v>
      </c>
      <c r="AY68" s="115" t="str">
        <f>Inputs!$A$9</f>
        <v>M4348701</v>
      </c>
      <c r="AZ68" s="44" t="str">
        <f>Inputs!$B$9</f>
        <v>MC</v>
      </c>
      <c r="BA68" s="44" t="s">
        <v>58</v>
      </c>
      <c r="BB68" s="44">
        <f t="shared" si="2"/>
        <v>0</v>
      </c>
      <c r="BC68" s="50"/>
      <c r="BD68" s="44">
        <v>0</v>
      </c>
      <c r="BE68" s="44">
        <v>0</v>
      </c>
      <c r="BF68" s="44">
        <f>BK68-0-AV68-BB68</f>
        <v>0</v>
      </c>
      <c r="BG68" s="50"/>
      <c r="BH68" s="44">
        <f>AV68+BB68+BE68-BK68+0-BD68</f>
        <v>0</v>
      </c>
      <c r="BI68" s="63">
        <f>BD68*Inputs!$F$9*Inputs!$G$9</f>
        <v>0</v>
      </c>
      <c r="BJ68" s="44">
        <f>Inputs!$F$9*Inputs!$I$9*BE68</f>
        <v>0</v>
      </c>
      <c r="BK68" s="54">
        <v>0</v>
      </c>
      <c r="BM68" s="117">
        <v>3</v>
      </c>
      <c r="BN68" s="115" t="str">
        <f>Inputs!$A$9</f>
        <v>M4348701</v>
      </c>
      <c r="BO68" s="44" t="str">
        <f>Inputs!$B$9</f>
        <v>MC</v>
      </c>
      <c r="BP68" s="44" t="s">
        <v>57</v>
      </c>
      <c r="BQ68" s="44">
        <f t="shared" si="3"/>
        <v>0</v>
      </c>
      <c r="BR68" s="50"/>
      <c r="BS68" s="119">
        <v>3</v>
      </c>
      <c r="BT68" s="115" t="str">
        <f>Inputs!$A$9</f>
        <v>M4348701</v>
      </c>
      <c r="BU68" s="44" t="str">
        <f>Inputs!$B$9</f>
        <v>MC</v>
      </c>
      <c r="BV68" s="44" t="s">
        <v>58</v>
      </c>
      <c r="BW68" s="44">
        <f t="shared" si="4"/>
        <v>0</v>
      </c>
      <c r="BX68" s="50"/>
      <c r="BY68" s="44">
        <v>0</v>
      </c>
      <c r="BZ68" s="44">
        <v>0</v>
      </c>
      <c r="CA68" s="44">
        <f>CF68-0-BQ68-BW68</f>
        <v>0</v>
      </c>
      <c r="CB68" s="50"/>
      <c r="CC68" s="44">
        <f>BQ68+BW68+BZ68-CF68+0-BY68</f>
        <v>0</v>
      </c>
      <c r="CD68" s="63">
        <f>BY68*Inputs!$F$9*Inputs!$G$9</f>
        <v>0</v>
      </c>
      <c r="CE68" s="44">
        <f>Inputs!$F$9*Inputs!$I$9*BZ68</f>
        <v>0</v>
      </c>
      <c r="CF68" s="54">
        <v>0</v>
      </c>
    </row>
    <row r="69" spans="1:84" x14ac:dyDescent="0.25">
      <c r="A69" s="117">
        <v>4</v>
      </c>
      <c r="B69" s="115" t="str">
        <f>Inputs!$A$9</f>
        <v>M4348701</v>
      </c>
      <c r="C69" s="44" t="str">
        <f>Inputs!$B$9</f>
        <v>MC</v>
      </c>
      <c r="D69" s="44" t="s">
        <v>57</v>
      </c>
      <c r="E69" s="44">
        <v>0</v>
      </c>
      <c r="F69" s="50"/>
      <c r="G69" s="119">
        <v>4</v>
      </c>
      <c r="H69" s="115" t="str">
        <f>Inputs!$A$9</f>
        <v>M4348701</v>
      </c>
      <c r="I69" s="44" t="str">
        <f>Inputs!$B$9</f>
        <v>MC</v>
      </c>
      <c r="J69" s="44" t="s">
        <v>58</v>
      </c>
      <c r="K69" s="44">
        <v>0</v>
      </c>
      <c r="L69" s="50"/>
      <c r="M69" s="44">
        <v>0</v>
      </c>
      <c r="N69" s="44">
        <v>0</v>
      </c>
      <c r="O69" s="44">
        <f t="shared" ref="O69:O76" si="73">U69-M68-E69-K69</f>
        <v>0</v>
      </c>
      <c r="P69" s="50"/>
      <c r="Q69" s="44">
        <f t="shared" ref="Q69:Q76" si="74">E69+K69+N69-U69+M68-M69</f>
        <v>0</v>
      </c>
      <c r="R69" s="63">
        <f>M69*Inputs!$F$9*Inputs!$G$9</f>
        <v>0</v>
      </c>
      <c r="S69" s="44">
        <f>Inputs!$F$9*Inputs!$I$9*N69</f>
        <v>0</v>
      </c>
      <c r="T69" s="18"/>
      <c r="U69" s="55">
        <v>0</v>
      </c>
      <c r="W69" s="117">
        <v>4</v>
      </c>
      <c r="X69" s="115" t="str">
        <f>Inputs!$A$9</f>
        <v>M4348701</v>
      </c>
      <c r="Y69" s="44" t="str">
        <f>Inputs!$B$9</f>
        <v>MC</v>
      </c>
      <c r="Z69" s="44" t="s">
        <v>57</v>
      </c>
      <c r="AA69" s="44">
        <f t="shared" ref="AA69:AA132" si="75">E69</f>
        <v>0</v>
      </c>
      <c r="AB69" s="50"/>
      <c r="AC69" s="119">
        <v>4</v>
      </c>
      <c r="AD69" s="115" t="str">
        <f>Inputs!$A$9</f>
        <v>M4348701</v>
      </c>
      <c r="AE69" s="44" t="str">
        <f>Inputs!$B$9</f>
        <v>MC</v>
      </c>
      <c r="AF69" s="44" t="s">
        <v>58</v>
      </c>
      <c r="AG69" s="44">
        <f t="shared" ref="AG69:AG132" si="76">K69</f>
        <v>0</v>
      </c>
      <c r="AH69" s="50"/>
      <c r="AI69" s="44">
        <v>0</v>
      </c>
      <c r="AJ69" s="44">
        <v>0</v>
      </c>
      <c r="AK69" s="44">
        <f t="shared" ref="AK69:AK76" si="77">AP69-AI68-AA69-AG69</f>
        <v>0</v>
      </c>
      <c r="AL69" s="50"/>
      <c r="AM69" s="44">
        <f t="shared" ref="AM69:AM76" si="78">AA69+AG69+AJ69-AP69+AI68-AI69</f>
        <v>0</v>
      </c>
      <c r="AN69" s="63">
        <f>AI69*Inputs!$F$9*Inputs!$G$9</f>
        <v>0</v>
      </c>
      <c r="AO69" s="44">
        <f>Inputs!$F$9*Inputs!$I$9*AJ69</f>
        <v>0</v>
      </c>
      <c r="AP69" s="55">
        <v>0</v>
      </c>
      <c r="AR69" s="117">
        <v>4</v>
      </c>
      <c r="AS69" s="115" t="str">
        <f>Inputs!$A$9</f>
        <v>M4348701</v>
      </c>
      <c r="AT69" s="44" t="str">
        <f>Inputs!$B$9</f>
        <v>MC</v>
      </c>
      <c r="AU69" s="44" t="s">
        <v>57</v>
      </c>
      <c r="AV69" s="44">
        <f t="shared" si="10"/>
        <v>0</v>
      </c>
      <c r="AW69" s="50"/>
      <c r="AX69" s="119">
        <v>4</v>
      </c>
      <c r="AY69" s="115" t="str">
        <f>Inputs!$A$9</f>
        <v>M4348701</v>
      </c>
      <c r="AZ69" s="44" t="str">
        <f>Inputs!$B$9</f>
        <v>MC</v>
      </c>
      <c r="BA69" s="44" t="s">
        <v>58</v>
      </c>
      <c r="BB69" s="44">
        <f t="shared" ref="BB69:BB132" si="79">K69</f>
        <v>0</v>
      </c>
      <c r="BC69" s="50"/>
      <c r="BD69" s="44">
        <v>0</v>
      </c>
      <c r="BE69" s="44">
        <v>0</v>
      </c>
      <c r="BF69" s="44">
        <f t="shared" ref="BF69:BF76" si="80">BK69-BD68-AV69-BB69</f>
        <v>0</v>
      </c>
      <c r="BG69" s="50"/>
      <c r="BH69" s="44">
        <f t="shared" ref="BH69:BH76" si="81">AV69+BB69+BE69-BK69+BD68-BD69</f>
        <v>0</v>
      </c>
      <c r="BI69" s="63">
        <f>BD69*Inputs!$F$9*Inputs!$G$9</f>
        <v>0</v>
      </c>
      <c r="BJ69" s="44">
        <f>Inputs!$F$9*Inputs!$I$9*BE69</f>
        <v>0</v>
      </c>
      <c r="BK69" s="55">
        <v>0</v>
      </c>
      <c r="BM69" s="117">
        <v>4</v>
      </c>
      <c r="BN69" s="115" t="str">
        <f>Inputs!$A$9</f>
        <v>M4348701</v>
      </c>
      <c r="BO69" s="44" t="str">
        <f>Inputs!$B$9</f>
        <v>MC</v>
      </c>
      <c r="BP69" s="44" t="s">
        <v>57</v>
      </c>
      <c r="BQ69" s="44">
        <f t="shared" ref="BQ69:BQ132" si="82">E69</f>
        <v>0</v>
      </c>
      <c r="BR69" s="50"/>
      <c r="BS69" s="119">
        <v>4</v>
      </c>
      <c r="BT69" s="115" t="str">
        <f>Inputs!$A$9</f>
        <v>M4348701</v>
      </c>
      <c r="BU69" s="44" t="str">
        <f>Inputs!$B$9</f>
        <v>MC</v>
      </c>
      <c r="BV69" s="44" t="s">
        <v>58</v>
      </c>
      <c r="BW69" s="44">
        <f t="shared" ref="BW69:BW132" si="83">K69</f>
        <v>0</v>
      </c>
      <c r="BX69" s="50"/>
      <c r="BY69" s="44">
        <v>0</v>
      </c>
      <c r="BZ69" s="44">
        <v>0</v>
      </c>
      <c r="CA69" s="44">
        <f t="shared" ref="CA69:CA76" si="84">CF69-BY68-BQ69-BW69</f>
        <v>0</v>
      </c>
      <c r="CB69" s="50"/>
      <c r="CC69" s="44">
        <f t="shared" ref="CC69:CC76" si="85">BQ69+BW69+BZ69-CF69+BY68-BY69</f>
        <v>0</v>
      </c>
      <c r="CD69" s="63">
        <f>BY69*Inputs!$F$9*Inputs!$G$9</f>
        <v>0</v>
      </c>
      <c r="CE69" s="44">
        <f>Inputs!$F$9*Inputs!$I$9*BZ69</f>
        <v>0</v>
      </c>
      <c r="CF69" s="55">
        <v>0</v>
      </c>
    </row>
    <row r="70" spans="1:84" x14ac:dyDescent="0.25">
      <c r="A70" s="117">
        <v>5</v>
      </c>
      <c r="B70" s="115" t="str">
        <f>Inputs!$A$9</f>
        <v>M4348701</v>
      </c>
      <c r="C70" s="44" t="str">
        <f>Inputs!$B$9</f>
        <v>MC</v>
      </c>
      <c r="D70" s="44" t="s">
        <v>57</v>
      </c>
      <c r="E70" s="44">
        <v>0</v>
      </c>
      <c r="F70" s="50"/>
      <c r="G70" s="119">
        <v>5</v>
      </c>
      <c r="H70" s="115" t="str">
        <f>Inputs!$A$9</f>
        <v>M4348701</v>
      </c>
      <c r="I70" s="44" t="str">
        <f>Inputs!$B$9</f>
        <v>MC</v>
      </c>
      <c r="J70" s="44" t="s">
        <v>58</v>
      </c>
      <c r="K70" s="44">
        <v>1.250544E-2</v>
      </c>
      <c r="L70" s="50"/>
      <c r="M70" s="44">
        <v>0</v>
      </c>
      <c r="N70" s="44">
        <v>0</v>
      </c>
      <c r="O70" s="44">
        <f t="shared" si="73"/>
        <v>8.9616952747562095E-11</v>
      </c>
      <c r="P70" s="50"/>
      <c r="Q70" s="44">
        <f t="shared" si="74"/>
        <v>-8.9616952747562095E-11</v>
      </c>
      <c r="R70" s="63">
        <f>M70*Inputs!$F$9*Inputs!$G$9</f>
        <v>0</v>
      </c>
      <c r="S70" s="44">
        <f>Inputs!$F$9*Inputs!$I$9*N70</f>
        <v>0</v>
      </c>
      <c r="T70" s="18"/>
      <c r="U70" s="55">
        <v>1.2505440089616952E-2</v>
      </c>
      <c r="W70" s="117">
        <v>5</v>
      </c>
      <c r="X70" s="115" t="str">
        <f>Inputs!$A$9</f>
        <v>M4348701</v>
      </c>
      <c r="Y70" s="44" t="str">
        <f>Inputs!$B$9</f>
        <v>MC</v>
      </c>
      <c r="Z70" s="44" t="s">
        <v>57</v>
      </c>
      <c r="AA70" s="44">
        <f t="shared" si="75"/>
        <v>0</v>
      </c>
      <c r="AB70" s="50"/>
      <c r="AC70" s="119">
        <v>5</v>
      </c>
      <c r="AD70" s="115" t="str">
        <f>Inputs!$A$9</f>
        <v>M4348701</v>
      </c>
      <c r="AE70" s="44" t="str">
        <f>Inputs!$B$9</f>
        <v>MC</v>
      </c>
      <c r="AF70" s="44" t="s">
        <v>58</v>
      </c>
      <c r="AG70" s="44">
        <f t="shared" si="76"/>
        <v>1.250544E-2</v>
      </c>
      <c r="AH70" s="50"/>
      <c r="AI70" s="44">
        <v>1.250544E-2</v>
      </c>
      <c r="AJ70" s="44">
        <v>0</v>
      </c>
      <c r="AK70" s="44">
        <f t="shared" si="77"/>
        <v>-1.250544E-2</v>
      </c>
      <c r="AL70" s="50"/>
      <c r="AM70" s="44">
        <f t="shared" si="78"/>
        <v>0</v>
      </c>
      <c r="AN70" s="63">
        <f>AI70*Inputs!$F$9*Inputs!$G$9</f>
        <v>27.784811689919998</v>
      </c>
      <c r="AO70" s="44">
        <f>Inputs!$F$9*Inputs!$I$9*AJ70</f>
        <v>0</v>
      </c>
      <c r="AP70" s="55">
        <v>0</v>
      </c>
      <c r="AR70" s="117">
        <v>5</v>
      </c>
      <c r="AS70" s="115" t="str">
        <f>Inputs!$A$9</f>
        <v>M4348701</v>
      </c>
      <c r="AT70" s="44" t="str">
        <f>Inputs!$B$9</f>
        <v>MC</v>
      </c>
      <c r="AU70" s="44" t="s">
        <v>57</v>
      </c>
      <c r="AV70" s="44">
        <f t="shared" ref="AV70:AV133" si="86">E70</f>
        <v>0</v>
      </c>
      <c r="AW70" s="50"/>
      <c r="AX70" s="119">
        <v>5</v>
      </c>
      <c r="AY70" s="115" t="str">
        <f>Inputs!$A$9</f>
        <v>M4348701</v>
      </c>
      <c r="AZ70" s="44" t="str">
        <f>Inputs!$B$9</f>
        <v>MC</v>
      </c>
      <c r="BA70" s="44" t="s">
        <v>58</v>
      </c>
      <c r="BB70" s="44">
        <f t="shared" si="79"/>
        <v>1.250544E-2</v>
      </c>
      <c r="BC70" s="50"/>
      <c r="BD70" s="44">
        <v>1.250544E-2</v>
      </c>
      <c r="BE70" s="44">
        <v>0</v>
      </c>
      <c r="BF70" s="44">
        <f t="shared" si="80"/>
        <v>-1.250544E-2</v>
      </c>
      <c r="BG70" s="50"/>
      <c r="BH70" s="44">
        <f t="shared" si="81"/>
        <v>0</v>
      </c>
      <c r="BI70" s="63">
        <f>BD70*Inputs!$F$9*Inputs!$G$9</f>
        <v>27.784811689919998</v>
      </c>
      <c r="BJ70" s="44">
        <f>Inputs!$F$9*Inputs!$I$9*BE70</f>
        <v>0</v>
      </c>
      <c r="BK70" s="55">
        <v>0</v>
      </c>
      <c r="BM70" s="117">
        <v>5</v>
      </c>
      <c r="BN70" s="115" t="str">
        <f>Inputs!$A$9</f>
        <v>M4348701</v>
      </c>
      <c r="BO70" s="44" t="str">
        <f>Inputs!$B$9</f>
        <v>MC</v>
      </c>
      <c r="BP70" s="44" t="s">
        <v>57</v>
      </c>
      <c r="BQ70" s="44">
        <f t="shared" si="82"/>
        <v>0</v>
      </c>
      <c r="BR70" s="50"/>
      <c r="BS70" s="119">
        <v>5</v>
      </c>
      <c r="BT70" s="115" t="str">
        <f>Inputs!$A$9</f>
        <v>M4348701</v>
      </c>
      <c r="BU70" s="44" t="str">
        <f>Inputs!$B$9</f>
        <v>MC</v>
      </c>
      <c r="BV70" s="44" t="s">
        <v>58</v>
      </c>
      <c r="BW70" s="44">
        <f t="shared" si="83"/>
        <v>1.250544E-2</v>
      </c>
      <c r="BX70" s="50"/>
      <c r="BY70" s="44">
        <v>1.250544E-2</v>
      </c>
      <c r="BZ70" s="44">
        <v>0</v>
      </c>
      <c r="CA70" s="44">
        <f t="shared" si="84"/>
        <v>-1.250544E-2</v>
      </c>
      <c r="CB70" s="50"/>
      <c r="CC70" s="44">
        <f t="shared" si="85"/>
        <v>0</v>
      </c>
      <c r="CD70" s="63">
        <f>BY70*Inputs!$F$9*Inputs!$G$9</f>
        <v>27.784811689919998</v>
      </c>
      <c r="CE70" s="44">
        <f>Inputs!$F$9*Inputs!$I$9*BZ70</f>
        <v>0</v>
      </c>
      <c r="CF70" s="55">
        <v>0</v>
      </c>
    </row>
    <row r="71" spans="1:84" x14ac:dyDescent="0.25">
      <c r="A71" s="117">
        <v>6</v>
      </c>
      <c r="B71" s="115" t="str">
        <f>Inputs!$A$9</f>
        <v>M4348701</v>
      </c>
      <c r="C71" s="44" t="str">
        <f>Inputs!$B$9</f>
        <v>MC</v>
      </c>
      <c r="D71" s="44" t="s">
        <v>57</v>
      </c>
      <c r="E71" s="44">
        <v>0</v>
      </c>
      <c r="F71" s="50"/>
      <c r="G71" s="119">
        <v>6</v>
      </c>
      <c r="H71" s="115" t="str">
        <f>Inputs!$A$9</f>
        <v>M4348701</v>
      </c>
      <c r="I71" s="44" t="str">
        <f>Inputs!$B$9</f>
        <v>MC</v>
      </c>
      <c r="J71" s="44" t="s">
        <v>58</v>
      </c>
      <c r="K71" s="44">
        <v>2.1491492000000001</v>
      </c>
      <c r="L71" s="50"/>
      <c r="M71" s="44">
        <v>0</v>
      </c>
      <c r="N71" s="44">
        <v>0</v>
      </c>
      <c r="O71" s="44">
        <f t="shared" si="73"/>
        <v>3.9727421352608872E-9</v>
      </c>
      <c r="P71" s="50"/>
      <c r="Q71" s="44">
        <f t="shared" si="74"/>
        <v>-3.9727421352608872E-9</v>
      </c>
      <c r="R71" s="63">
        <f>M71*Inputs!$F$9*Inputs!$G$9</f>
        <v>0</v>
      </c>
      <c r="S71" s="44">
        <f>Inputs!$F$9*Inputs!$I$9*N71</f>
        <v>0</v>
      </c>
      <c r="T71" s="18"/>
      <c r="U71" s="55">
        <v>2.1491492039727422</v>
      </c>
      <c r="W71" s="117">
        <v>6</v>
      </c>
      <c r="X71" s="115" t="str">
        <f>Inputs!$A$9</f>
        <v>M4348701</v>
      </c>
      <c r="Y71" s="44" t="str">
        <f>Inputs!$B$9</f>
        <v>MC</v>
      </c>
      <c r="Z71" s="44" t="s">
        <v>57</v>
      </c>
      <c r="AA71" s="44">
        <f t="shared" si="75"/>
        <v>0</v>
      </c>
      <c r="AB71" s="50"/>
      <c r="AC71" s="119">
        <v>6</v>
      </c>
      <c r="AD71" s="115" t="str">
        <f>Inputs!$A$9</f>
        <v>M4348701</v>
      </c>
      <c r="AE71" s="44" t="str">
        <f>Inputs!$B$9</f>
        <v>MC</v>
      </c>
      <c r="AF71" s="44" t="s">
        <v>58</v>
      </c>
      <c r="AG71" s="44">
        <f t="shared" si="76"/>
        <v>2.1491492000000001</v>
      </c>
      <c r="AH71" s="50"/>
      <c r="AI71" s="44">
        <v>2.1616545999999999</v>
      </c>
      <c r="AJ71" s="44">
        <v>0</v>
      </c>
      <c r="AK71" s="44">
        <f t="shared" si="77"/>
        <v>-2.1616546400000001</v>
      </c>
      <c r="AL71" s="50"/>
      <c r="AM71" s="44">
        <f t="shared" si="78"/>
        <v>4.0000000200990371E-8</v>
      </c>
      <c r="AN71" s="63">
        <f>AI71*Inputs!$F$9*Inputs!$G$9</f>
        <v>4802.8031000627998</v>
      </c>
      <c r="AO71" s="44">
        <f>Inputs!$F$9*Inputs!$I$9*AJ71</f>
        <v>0</v>
      </c>
      <c r="AP71" s="55">
        <v>0</v>
      </c>
      <c r="AR71" s="117">
        <v>6</v>
      </c>
      <c r="AS71" s="115" t="str">
        <f>Inputs!$A$9</f>
        <v>M4348701</v>
      </c>
      <c r="AT71" s="44" t="str">
        <f>Inputs!$B$9</f>
        <v>MC</v>
      </c>
      <c r="AU71" s="44" t="s">
        <v>57</v>
      </c>
      <c r="AV71" s="44">
        <f t="shared" si="86"/>
        <v>0</v>
      </c>
      <c r="AW71" s="50"/>
      <c r="AX71" s="119">
        <v>6</v>
      </c>
      <c r="AY71" s="115" t="str">
        <f>Inputs!$A$9</f>
        <v>M4348701</v>
      </c>
      <c r="AZ71" s="44" t="str">
        <f>Inputs!$B$9</f>
        <v>MC</v>
      </c>
      <c r="BA71" s="44" t="s">
        <v>58</v>
      </c>
      <c r="BB71" s="44">
        <f t="shared" si="79"/>
        <v>2.1491492000000001</v>
      </c>
      <c r="BC71" s="50"/>
      <c r="BD71" s="44">
        <v>2.1616545999999999</v>
      </c>
      <c r="BE71" s="44">
        <v>0</v>
      </c>
      <c r="BF71" s="44">
        <f t="shared" si="80"/>
        <v>-2.1616546400000001</v>
      </c>
      <c r="BG71" s="50"/>
      <c r="BH71" s="44">
        <f t="shared" si="81"/>
        <v>4.0000000200990371E-8</v>
      </c>
      <c r="BI71" s="63">
        <f>BD71*Inputs!$F$9*Inputs!$G$9</f>
        <v>4802.8031000627998</v>
      </c>
      <c r="BJ71" s="44">
        <f>Inputs!$F$9*Inputs!$I$9*BE71</f>
        <v>0</v>
      </c>
      <c r="BK71" s="55">
        <v>0</v>
      </c>
      <c r="BM71" s="117">
        <v>6</v>
      </c>
      <c r="BN71" s="115" t="str">
        <f>Inputs!$A$9</f>
        <v>M4348701</v>
      </c>
      <c r="BO71" s="44" t="str">
        <f>Inputs!$B$9</f>
        <v>MC</v>
      </c>
      <c r="BP71" s="44" t="s">
        <v>57</v>
      </c>
      <c r="BQ71" s="44">
        <f t="shared" si="82"/>
        <v>0</v>
      </c>
      <c r="BR71" s="50"/>
      <c r="BS71" s="119">
        <v>6</v>
      </c>
      <c r="BT71" s="115" t="str">
        <f>Inputs!$A$9</f>
        <v>M4348701</v>
      </c>
      <c r="BU71" s="44" t="str">
        <f>Inputs!$B$9</f>
        <v>MC</v>
      </c>
      <c r="BV71" s="44" t="s">
        <v>58</v>
      </c>
      <c r="BW71" s="44">
        <f t="shared" si="83"/>
        <v>2.1491492000000001</v>
      </c>
      <c r="BX71" s="50"/>
      <c r="BY71" s="44">
        <v>2.1616545999999999</v>
      </c>
      <c r="BZ71" s="44">
        <v>0</v>
      </c>
      <c r="CA71" s="44">
        <f t="shared" si="84"/>
        <v>-2.1616546400000001</v>
      </c>
      <c r="CB71" s="50"/>
      <c r="CC71" s="44">
        <f t="shared" si="85"/>
        <v>4.0000000200990371E-8</v>
      </c>
      <c r="CD71" s="63">
        <f>BY71*Inputs!$F$9*Inputs!$G$9</f>
        <v>4802.8031000627998</v>
      </c>
      <c r="CE71" s="44">
        <f>Inputs!$F$9*Inputs!$I$9*BZ71</f>
        <v>0</v>
      </c>
      <c r="CF71" s="55">
        <v>0</v>
      </c>
    </row>
    <row r="72" spans="1:84" x14ac:dyDescent="0.25">
      <c r="A72" s="117">
        <v>7</v>
      </c>
      <c r="B72" s="115" t="str">
        <f>Inputs!$A$9</f>
        <v>M4348701</v>
      </c>
      <c r="C72" s="44" t="str">
        <f>Inputs!$B$9</f>
        <v>MC</v>
      </c>
      <c r="D72" s="44" t="s">
        <v>57</v>
      </c>
      <c r="E72" s="44">
        <v>0</v>
      </c>
      <c r="F72" s="50"/>
      <c r="G72" s="119">
        <v>7</v>
      </c>
      <c r="H72" s="115" t="str">
        <f>Inputs!$A$9</f>
        <v>M4348701</v>
      </c>
      <c r="I72" s="44" t="str">
        <f>Inputs!$B$9</f>
        <v>MC</v>
      </c>
      <c r="J72" s="44" t="s">
        <v>58</v>
      </c>
      <c r="K72" s="44">
        <v>218.07402999999999</v>
      </c>
      <c r="L72" s="50"/>
      <c r="M72" s="44">
        <v>165.02791999999999</v>
      </c>
      <c r="N72" s="44">
        <v>0</v>
      </c>
      <c r="O72" s="44">
        <f t="shared" si="73"/>
        <v>-165.02791251755477</v>
      </c>
      <c r="P72" s="50"/>
      <c r="Q72" s="44">
        <f t="shared" si="74"/>
        <v>-7.482445226969503E-6</v>
      </c>
      <c r="R72" s="63">
        <f>M72*Inputs!$F$9*Inputs!$G$9</f>
        <v>366662.00315855996</v>
      </c>
      <c r="S72" s="44">
        <f>Inputs!$F$9*Inputs!$I$9*N72</f>
        <v>0</v>
      </c>
      <c r="T72" s="18"/>
      <c r="U72" s="55">
        <v>53.046117482445226</v>
      </c>
      <c r="W72" s="117">
        <v>7</v>
      </c>
      <c r="X72" s="115" t="str">
        <f>Inputs!$A$9</f>
        <v>M4348701</v>
      </c>
      <c r="Y72" s="44" t="str">
        <f>Inputs!$B$9</f>
        <v>MC</v>
      </c>
      <c r="Z72" s="44" t="s">
        <v>57</v>
      </c>
      <c r="AA72" s="44">
        <f t="shared" si="75"/>
        <v>0</v>
      </c>
      <c r="AB72" s="50"/>
      <c r="AC72" s="119">
        <v>7</v>
      </c>
      <c r="AD72" s="115" t="str">
        <f>Inputs!$A$9</f>
        <v>M4348701</v>
      </c>
      <c r="AE72" s="44" t="str">
        <f>Inputs!$B$9</f>
        <v>MC</v>
      </c>
      <c r="AF72" s="44" t="s">
        <v>58</v>
      </c>
      <c r="AG72" s="44">
        <f t="shared" si="76"/>
        <v>218.07402999999999</v>
      </c>
      <c r="AH72" s="50"/>
      <c r="AI72" s="44">
        <v>176.18854999999999</v>
      </c>
      <c r="AJ72" s="44">
        <v>0</v>
      </c>
      <c r="AK72" s="44">
        <f t="shared" si="77"/>
        <v>-176.18854711863347</v>
      </c>
      <c r="AL72" s="50"/>
      <c r="AM72" s="44">
        <f t="shared" si="78"/>
        <v>-2.8813665267080069E-6</v>
      </c>
      <c r="AN72" s="63">
        <f>AI72*Inputs!$F$9*Inputs!$G$9</f>
        <v>391458.89178390004</v>
      </c>
      <c r="AO72" s="44">
        <f>Inputs!$F$9*Inputs!$I$9*AJ72</f>
        <v>0</v>
      </c>
      <c r="AP72" s="55">
        <v>44.047137481366534</v>
      </c>
      <c r="AR72" s="117">
        <v>7</v>
      </c>
      <c r="AS72" s="115" t="str">
        <f>Inputs!$A$9</f>
        <v>M4348701</v>
      </c>
      <c r="AT72" s="44" t="str">
        <f>Inputs!$B$9</f>
        <v>MC</v>
      </c>
      <c r="AU72" s="44" t="s">
        <v>57</v>
      </c>
      <c r="AV72" s="44">
        <f t="shared" si="86"/>
        <v>0</v>
      </c>
      <c r="AW72" s="50"/>
      <c r="AX72" s="119">
        <v>7</v>
      </c>
      <c r="AY72" s="115" t="str">
        <f>Inputs!$A$9</f>
        <v>M4348701</v>
      </c>
      <c r="AZ72" s="44" t="str">
        <f>Inputs!$B$9</f>
        <v>MC</v>
      </c>
      <c r="BA72" s="44" t="s">
        <v>58</v>
      </c>
      <c r="BB72" s="44">
        <f t="shared" si="79"/>
        <v>218.07402999999999</v>
      </c>
      <c r="BC72" s="50"/>
      <c r="BD72" s="44">
        <v>127.7367</v>
      </c>
      <c r="BE72" s="44">
        <v>0</v>
      </c>
      <c r="BF72" s="44">
        <f t="shared" si="80"/>
        <v>-127.73669588913027</v>
      </c>
      <c r="BG72" s="50"/>
      <c r="BH72" s="44">
        <f t="shared" si="81"/>
        <v>-4.1108697246272641E-6</v>
      </c>
      <c r="BI72" s="63">
        <f>BD72*Inputs!$F$9*Inputs!$G$9</f>
        <v>283807.69932060002</v>
      </c>
      <c r="BJ72" s="44">
        <f>Inputs!$F$9*Inputs!$I$9*BE72</f>
        <v>0</v>
      </c>
      <c r="BK72" s="55">
        <v>92.498988710869725</v>
      </c>
      <c r="BM72" s="117">
        <v>7</v>
      </c>
      <c r="BN72" s="115" t="str">
        <f>Inputs!$A$9</f>
        <v>M4348701</v>
      </c>
      <c r="BO72" s="44" t="str">
        <f>Inputs!$B$9</f>
        <v>MC</v>
      </c>
      <c r="BP72" s="44" t="s">
        <v>57</v>
      </c>
      <c r="BQ72" s="44">
        <f t="shared" si="82"/>
        <v>0</v>
      </c>
      <c r="BR72" s="50"/>
      <c r="BS72" s="119">
        <v>7</v>
      </c>
      <c r="BT72" s="115" t="str">
        <f>Inputs!$A$9</f>
        <v>M4348701</v>
      </c>
      <c r="BU72" s="44" t="str">
        <f>Inputs!$B$9</f>
        <v>MC</v>
      </c>
      <c r="BV72" s="44" t="s">
        <v>58</v>
      </c>
      <c r="BW72" s="44">
        <f t="shared" si="83"/>
        <v>218.07402999999999</v>
      </c>
      <c r="BX72" s="50"/>
      <c r="BY72" s="44">
        <v>0</v>
      </c>
      <c r="BZ72" s="44">
        <v>0</v>
      </c>
      <c r="CA72" s="44">
        <f t="shared" si="84"/>
        <v>2.8068326685115608E-6</v>
      </c>
      <c r="CB72" s="50"/>
      <c r="CC72" s="44">
        <f t="shared" si="85"/>
        <v>-2.8068326600738658E-6</v>
      </c>
      <c r="CD72" s="63">
        <f>BY72*Inputs!$F$9*Inputs!$G$9</f>
        <v>0</v>
      </c>
      <c r="CE72" s="44">
        <f>Inputs!$F$9*Inputs!$I$9*BZ72</f>
        <v>0</v>
      </c>
      <c r="CF72" s="55">
        <v>220.23568740683265</v>
      </c>
    </row>
    <row r="73" spans="1:84" x14ac:dyDescent="0.25">
      <c r="A73" s="117">
        <v>8</v>
      </c>
      <c r="B73" s="115" t="str">
        <f>Inputs!$A$9</f>
        <v>M4348701</v>
      </c>
      <c r="C73" s="44" t="str">
        <f>Inputs!$B$9</f>
        <v>MC</v>
      </c>
      <c r="D73" s="44" t="s">
        <v>57</v>
      </c>
      <c r="E73" s="44">
        <v>0</v>
      </c>
      <c r="F73" s="50"/>
      <c r="G73" s="119">
        <v>8</v>
      </c>
      <c r="H73" s="115" t="str">
        <f>Inputs!$A$9</f>
        <v>M4348701</v>
      </c>
      <c r="I73" s="44" t="str">
        <f>Inputs!$B$9</f>
        <v>MC</v>
      </c>
      <c r="J73" s="44" t="s">
        <v>58</v>
      </c>
      <c r="K73" s="44">
        <v>176.18854999999999</v>
      </c>
      <c r="L73" s="50"/>
      <c r="M73" s="44">
        <v>173.02520999999999</v>
      </c>
      <c r="N73" s="44">
        <v>0</v>
      </c>
      <c r="O73" s="44">
        <f t="shared" si="73"/>
        <v>-173.02521624539276</v>
      </c>
      <c r="P73" s="50"/>
      <c r="Q73" s="44">
        <f t="shared" si="74"/>
        <v>6.2453927682781796E-6</v>
      </c>
      <c r="R73" s="63">
        <f>M73*Inputs!$F$9*Inputs!$G$9</f>
        <v>384430.52603178</v>
      </c>
      <c r="S73" s="44">
        <f>Inputs!$F$9*Inputs!$I$9*N73</f>
        <v>0</v>
      </c>
      <c r="T73" s="18"/>
      <c r="U73" s="55">
        <v>168.19125375460723</v>
      </c>
      <c r="W73" s="117">
        <v>8</v>
      </c>
      <c r="X73" s="115" t="str">
        <f>Inputs!$A$9</f>
        <v>M4348701</v>
      </c>
      <c r="Y73" s="44" t="str">
        <f>Inputs!$B$9</f>
        <v>MC</v>
      </c>
      <c r="Z73" s="44" t="s">
        <v>57</v>
      </c>
      <c r="AA73" s="44">
        <f t="shared" si="75"/>
        <v>0</v>
      </c>
      <c r="AB73" s="50"/>
      <c r="AC73" s="119">
        <v>8</v>
      </c>
      <c r="AD73" s="115" t="str">
        <f>Inputs!$A$9</f>
        <v>M4348701</v>
      </c>
      <c r="AE73" s="44" t="str">
        <f>Inputs!$B$9</f>
        <v>MC</v>
      </c>
      <c r="AF73" s="44" t="s">
        <v>58</v>
      </c>
      <c r="AG73" s="44">
        <f t="shared" si="76"/>
        <v>176.18854999999999</v>
      </c>
      <c r="AH73" s="50"/>
      <c r="AI73" s="44">
        <v>264.28282000000002</v>
      </c>
      <c r="AJ73" s="44">
        <v>0</v>
      </c>
      <c r="AK73" s="44">
        <f t="shared" si="77"/>
        <v>-264.28282503726689</v>
      </c>
      <c r="AL73" s="50"/>
      <c r="AM73" s="44">
        <f t="shared" si="78"/>
        <v>5.0372668738418724E-6</v>
      </c>
      <c r="AN73" s="63">
        <f>AI73*Inputs!$F$9*Inputs!$G$9</f>
        <v>587188.32656675996</v>
      </c>
      <c r="AO73" s="44">
        <f>Inputs!$F$9*Inputs!$I$9*AJ73</f>
        <v>0</v>
      </c>
      <c r="AP73" s="55">
        <v>88.094274962733067</v>
      </c>
      <c r="AR73" s="117">
        <v>8</v>
      </c>
      <c r="AS73" s="115" t="str">
        <f>Inputs!$A$9</f>
        <v>M4348701</v>
      </c>
      <c r="AT73" s="44" t="str">
        <f>Inputs!$B$9</f>
        <v>MC</v>
      </c>
      <c r="AU73" s="44" t="s">
        <v>57</v>
      </c>
      <c r="AV73" s="44">
        <f t="shared" si="86"/>
        <v>0</v>
      </c>
      <c r="AW73" s="50"/>
      <c r="AX73" s="119">
        <v>8</v>
      </c>
      <c r="AY73" s="115" t="str">
        <f>Inputs!$A$9</f>
        <v>M4348701</v>
      </c>
      <c r="AZ73" s="44" t="str">
        <f>Inputs!$B$9</f>
        <v>MC</v>
      </c>
      <c r="BA73" s="44" t="s">
        <v>58</v>
      </c>
      <c r="BB73" s="44">
        <f t="shared" si="79"/>
        <v>176.18854999999999</v>
      </c>
      <c r="BC73" s="50"/>
      <c r="BD73" s="44">
        <v>151.96261999999999</v>
      </c>
      <c r="BE73" s="44">
        <v>0</v>
      </c>
      <c r="BF73" s="44">
        <f t="shared" si="80"/>
        <v>-151.96262568928546</v>
      </c>
      <c r="BG73" s="50"/>
      <c r="BH73" s="44">
        <f t="shared" si="81"/>
        <v>5.6892854729539977E-6</v>
      </c>
      <c r="BI73" s="63">
        <f>BD73*Inputs!$F$9*Inputs!$G$9</f>
        <v>337633.28444315994</v>
      </c>
      <c r="BJ73" s="44">
        <f>Inputs!$F$9*Inputs!$I$9*BE73</f>
        <v>0</v>
      </c>
      <c r="BK73" s="55">
        <v>151.96262431071455</v>
      </c>
      <c r="BM73" s="117">
        <v>8</v>
      </c>
      <c r="BN73" s="115" t="str">
        <f>Inputs!$A$9</f>
        <v>M4348701</v>
      </c>
      <c r="BO73" s="44" t="str">
        <f>Inputs!$B$9</f>
        <v>MC</v>
      </c>
      <c r="BP73" s="44" t="s">
        <v>57</v>
      </c>
      <c r="BQ73" s="44">
        <f t="shared" si="82"/>
        <v>0</v>
      </c>
      <c r="BR73" s="50"/>
      <c r="BS73" s="119">
        <v>8</v>
      </c>
      <c r="BT73" s="115" t="str">
        <f>Inputs!$A$9</f>
        <v>M4348701</v>
      </c>
      <c r="BU73" s="44" t="str">
        <f>Inputs!$B$9</f>
        <v>MC</v>
      </c>
      <c r="BV73" s="44" t="s">
        <v>58</v>
      </c>
      <c r="BW73" s="44">
        <f t="shared" si="83"/>
        <v>176.18854999999999</v>
      </c>
      <c r="BX73" s="50"/>
      <c r="BY73" s="44">
        <v>0</v>
      </c>
      <c r="BZ73" s="44">
        <v>0</v>
      </c>
      <c r="CA73" s="44">
        <f t="shared" si="84"/>
        <v>-7.453385819644609E-8</v>
      </c>
      <c r="CB73" s="50"/>
      <c r="CC73" s="44">
        <f t="shared" si="85"/>
        <v>7.453385819644609E-8</v>
      </c>
      <c r="CD73" s="63">
        <f>BY73*Inputs!$F$9*Inputs!$G$9</f>
        <v>0</v>
      </c>
      <c r="CE73" s="44">
        <f>Inputs!$F$9*Inputs!$I$9*BZ73</f>
        <v>0</v>
      </c>
      <c r="CF73" s="55">
        <v>176.18854992546613</v>
      </c>
    </row>
    <row r="74" spans="1:84" x14ac:dyDescent="0.25">
      <c r="A74" s="117">
        <v>9</v>
      </c>
      <c r="B74" s="115" t="str">
        <f>Inputs!$A$9</f>
        <v>M4348701</v>
      </c>
      <c r="C74" s="44" t="str">
        <f>Inputs!$B$9</f>
        <v>MC</v>
      </c>
      <c r="D74" s="44" t="s">
        <v>57</v>
      </c>
      <c r="E74" s="44">
        <v>0</v>
      </c>
      <c r="F74" s="50"/>
      <c r="G74" s="119">
        <v>9</v>
      </c>
      <c r="H74" s="115" t="str">
        <f>Inputs!$A$9</f>
        <v>M4348701</v>
      </c>
      <c r="I74" s="44" t="str">
        <f>Inputs!$B$9</f>
        <v>MC</v>
      </c>
      <c r="J74" s="44" t="s">
        <v>58</v>
      </c>
      <c r="K74" s="44">
        <v>132.14141000000001</v>
      </c>
      <c r="L74" s="50"/>
      <c r="M74" s="44">
        <v>69.848241999999999</v>
      </c>
      <c r="N74" s="44">
        <v>0</v>
      </c>
      <c r="O74" s="44">
        <f t="shared" si="73"/>
        <v>-69.848238479551213</v>
      </c>
      <c r="P74" s="50"/>
      <c r="Q74" s="44">
        <f t="shared" si="74"/>
        <v>-3.5204487858209177E-6</v>
      </c>
      <c r="R74" s="63">
        <f>M74*Inputs!$F$9*Inputs!$G$9</f>
        <v>155190.081343956</v>
      </c>
      <c r="S74" s="44">
        <f>Inputs!$F$9*Inputs!$I$9*N74</f>
        <v>0</v>
      </c>
      <c r="T74" s="18"/>
      <c r="U74" s="55">
        <v>235.31838152044878</v>
      </c>
      <c r="W74" s="117">
        <v>9</v>
      </c>
      <c r="X74" s="115" t="str">
        <f>Inputs!$A$9</f>
        <v>M4348701</v>
      </c>
      <c r="Y74" s="44" t="str">
        <f>Inputs!$B$9</f>
        <v>MC</v>
      </c>
      <c r="Z74" s="44" t="s">
        <v>57</v>
      </c>
      <c r="AA74" s="44">
        <f t="shared" si="75"/>
        <v>0</v>
      </c>
      <c r="AB74" s="50"/>
      <c r="AC74" s="119">
        <v>9</v>
      </c>
      <c r="AD74" s="115" t="str">
        <f>Inputs!$A$9</f>
        <v>M4348701</v>
      </c>
      <c r="AE74" s="44" t="str">
        <f>Inputs!$B$9</f>
        <v>MC</v>
      </c>
      <c r="AF74" s="44" t="s">
        <v>58</v>
      </c>
      <c r="AG74" s="44">
        <f t="shared" si="76"/>
        <v>132.14141000000001</v>
      </c>
      <c r="AH74" s="50"/>
      <c r="AI74" s="44">
        <v>264.28282000000002</v>
      </c>
      <c r="AJ74" s="44">
        <v>0</v>
      </c>
      <c r="AK74" s="44">
        <f t="shared" si="77"/>
        <v>-264.28281755590046</v>
      </c>
      <c r="AL74" s="50"/>
      <c r="AM74" s="44">
        <f t="shared" si="78"/>
        <v>-2.4440995503027807E-6</v>
      </c>
      <c r="AN74" s="63">
        <f>AI74*Inputs!$F$9*Inputs!$G$9</f>
        <v>587188.32656675996</v>
      </c>
      <c r="AO74" s="44">
        <f>Inputs!$F$9*Inputs!$I$9*AJ74</f>
        <v>0</v>
      </c>
      <c r="AP74" s="55">
        <v>132.14141244409959</v>
      </c>
      <c r="AR74" s="117">
        <v>9</v>
      </c>
      <c r="AS74" s="115" t="str">
        <f>Inputs!$A$9</f>
        <v>M4348701</v>
      </c>
      <c r="AT74" s="44" t="str">
        <f>Inputs!$B$9</f>
        <v>MC</v>
      </c>
      <c r="AU74" s="44" t="s">
        <v>57</v>
      </c>
      <c r="AV74" s="44">
        <f t="shared" si="86"/>
        <v>0</v>
      </c>
      <c r="AW74" s="50"/>
      <c r="AX74" s="119">
        <v>9</v>
      </c>
      <c r="AY74" s="115" t="str">
        <f>Inputs!$A$9</f>
        <v>M4348701</v>
      </c>
      <c r="AZ74" s="44" t="str">
        <f>Inputs!$B$9</f>
        <v>MC</v>
      </c>
      <c r="BA74" s="44" t="s">
        <v>58</v>
      </c>
      <c r="BB74" s="44">
        <f t="shared" si="79"/>
        <v>132.14141000000001</v>
      </c>
      <c r="BC74" s="50"/>
      <c r="BD74" s="44">
        <v>112.3202</v>
      </c>
      <c r="BE74" s="44">
        <v>0</v>
      </c>
      <c r="BF74" s="44">
        <f t="shared" si="80"/>
        <v>-112.32019382267052</v>
      </c>
      <c r="BG74" s="50"/>
      <c r="BH74" s="44">
        <f t="shared" si="81"/>
        <v>-6.1773294817157876E-6</v>
      </c>
      <c r="BI74" s="63">
        <f>BD74*Inputs!$F$9*Inputs!$G$9</f>
        <v>249555.0421236</v>
      </c>
      <c r="BJ74" s="44">
        <f>Inputs!$F$9*Inputs!$I$9*BE74</f>
        <v>0</v>
      </c>
      <c r="BK74" s="55">
        <v>171.78383617732948</v>
      </c>
      <c r="BM74" s="117">
        <v>9</v>
      </c>
      <c r="BN74" s="115" t="str">
        <f>Inputs!$A$9</f>
        <v>M4348701</v>
      </c>
      <c r="BO74" s="44" t="str">
        <f>Inputs!$B$9</f>
        <v>MC</v>
      </c>
      <c r="BP74" s="44" t="s">
        <v>57</v>
      </c>
      <c r="BQ74" s="44">
        <f t="shared" si="82"/>
        <v>0</v>
      </c>
      <c r="BR74" s="50"/>
      <c r="BS74" s="119">
        <v>9</v>
      </c>
      <c r="BT74" s="115" t="str">
        <f>Inputs!$A$9</f>
        <v>M4348701</v>
      </c>
      <c r="BU74" s="44" t="str">
        <f>Inputs!$B$9</f>
        <v>MC</v>
      </c>
      <c r="BV74" s="44" t="s">
        <v>58</v>
      </c>
      <c r="BW74" s="44">
        <f t="shared" si="83"/>
        <v>132.14141000000001</v>
      </c>
      <c r="BX74" s="50"/>
      <c r="BY74" s="44">
        <v>0</v>
      </c>
      <c r="BZ74" s="44">
        <v>0</v>
      </c>
      <c r="CA74" s="44">
        <f t="shared" si="84"/>
        <v>2.4440995787244901E-6</v>
      </c>
      <c r="CB74" s="50"/>
      <c r="CC74" s="44">
        <f t="shared" si="85"/>
        <v>-2.4440995787244901E-6</v>
      </c>
      <c r="CD74" s="63">
        <f>BY74*Inputs!$F$9*Inputs!$G$9</f>
        <v>0</v>
      </c>
      <c r="CE74" s="44">
        <f>Inputs!$F$9*Inputs!$I$9*BZ74</f>
        <v>0</v>
      </c>
      <c r="CF74" s="55">
        <v>132.14141244409959</v>
      </c>
    </row>
    <row r="75" spans="1:84" x14ac:dyDescent="0.25">
      <c r="A75" s="117">
        <v>10</v>
      </c>
      <c r="B75" s="115" t="str">
        <f>Inputs!$A$9</f>
        <v>M4348701</v>
      </c>
      <c r="C75" s="44" t="str">
        <f>Inputs!$B$9</f>
        <v>MC</v>
      </c>
      <c r="D75" s="44" t="s">
        <v>57</v>
      </c>
      <c r="E75" s="44">
        <v>0</v>
      </c>
      <c r="F75" s="50"/>
      <c r="G75" s="119">
        <v>10</v>
      </c>
      <c r="H75" s="115" t="str">
        <f>Inputs!$A$9</f>
        <v>M4348701</v>
      </c>
      <c r="I75" s="44" t="str">
        <f>Inputs!$B$9</f>
        <v>MC</v>
      </c>
      <c r="J75" s="44" t="s">
        <v>58</v>
      </c>
      <c r="K75" s="44">
        <v>132.14141000000001</v>
      </c>
      <c r="L75" s="50"/>
      <c r="M75" s="44">
        <v>46.821924000000003</v>
      </c>
      <c r="N75" s="44">
        <v>0</v>
      </c>
      <c r="O75" s="44">
        <f t="shared" si="73"/>
        <v>-46.821920853008152</v>
      </c>
      <c r="P75" s="50"/>
      <c r="Q75" s="44">
        <f t="shared" si="74"/>
        <v>-3.1469918511106698E-6</v>
      </c>
      <c r="R75" s="63">
        <f>M75*Inputs!$F$9*Inputs!$G$9</f>
        <v>104029.79353783201</v>
      </c>
      <c r="S75" s="44">
        <f>Inputs!$F$9*Inputs!$I$9*N75</f>
        <v>0</v>
      </c>
      <c r="T75" s="18"/>
      <c r="U75" s="91">
        <v>155.16773114699185</v>
      </c>
      <c r="W75" s="117">
        <v>10</v>
      </c>
      <c r="X75" s="115" t="str">
        <f>Inputs!$A$9</f>
        <v>M4348701</v>
      </c>
      <c r="Y75" s="44" t="str">
        <f>Inputs!$B$9</f>
        <v>MC</v>
      </c>
      <c r="Z75" s="44" t="s">
        <v>57</v>
      </c>
      <c r="AA75" s="44">
        <f t="shared" si="75"/>
        <v>0</v>
      </c>
      <c r="AB75" s="50"/>
      <c r="AC75" s="119">
        <v>10</v>
      </c>
      <c r="AD75" s="115" t="str">
        <f>Inputs!$A$9</f>
        <v>M4348701</v>
      </c>
      <c r="AE75" s="44" t="str">
        <f>Inputs!$B$9</f>
        <v>MC</v>
      </c>
      <c r="AF75" s="44" t="s">
        <v>58</v>
      </c>
      <c r="AG75" s="44">
        <f t="shared" si="76"/>
        <v>132.14141000000001</v>
      </c>
      <c r="AH75" s="50"/>
      <c r="AI75" s="44">
        <v>220.23569000000001</v>
      </c>
      <c r="AJ75" s="44">
        <v>0</v>
      </c>
      <c r="AK75" s="44">
        <f t="shared" si="77"/>
        <v>-220.23568007453389</v>
      </c>
      <c r="AL75" s="50"/>
      <c r="AM75" s="44">
        <f t="shared" si="78"/>
        <v>-9.925466116555981E-6</v>
      </c>
      <c r="AN75" s="63">
        <f>AI75*Inputs!$F$9*Inputs!$G$9</f>
        <v>489323.62028442003</v>
      </c>
      <c r="AO75" s="44">
        <f>Inputs!$F$9*Inputs!$I$9*AJ75</f>
        <v>0</v>
      </c>
      <c r="AP75" s="91">
        <v>176.18854992546613</v>
      </c>
      <c r="AR75" s="117">
        <v>10</v>
      </c>
      <c r="AS75" s="115" t="str">
        <f>Inputs!$A$9</f>
        <v>M4348701</v>
      </c>
      <c r="AT75" s="44" t="str">
        <f>Inputs!$B$9</f>
        <v>MC</v>
      </c>
      <c r="AU75" s="44" t="s">
        <v>57</v>
      </c>
      <c r="AV75" s="44">
        <f t="shared" si="86"/>
        <v>0</v>
      </c>
      <c r="AW75" s="50"/>
      <c r="AX75" s="119">
        <v>10</v>
      </c>
      <c r="AY75" s="115" t="str">
        <f>Inputs!$A$9</f>
        <v>M4348701</v>
      </c>
      <c r="AZ75" s="44" t="str">
        <f>Inputs!$B$9</f>
        <v>MC</v>
      </c>
      <c r="BA75" s="44" t="s">
        <v>58</v>
      </c>
      <c r="BB75" s="44">
        <f t="shared" si="79"/>
        <v>132.14141000000001</v>
      </c>
      <c r="BC75" s="50"/>
      <c r="BD75" s="44">
        <v>92.498988999999995</v>
      </c>
      <c r="BE75" s="44">
        <v>0</v>
      </c>
      <c r="BF75" s="44">
        <f t="shared" si="80"/>
        <v>-92.498985689285462</v>
      </c>
      <c r="BG75" s="50"/>
      <c r="BH75" s="44">
        <f t="shared" si="81"/>
        <v>-3.3107145327448961E-6</v>
      </c>
      <c r="BI75" s="63">
        <f>BD75*Inputs!$F$9*Inputs!$G$9</f>
        <v>205515.91874200199</v>
      </c>
      <c r="BJ75" s="44">
        <f>Inputs!$F$9*Inputs!$I$9*BE75</f>
        <v>0</v>
      </c>
      <c r="BK75" s="91">
        <v>151.96262431071455</v>
      </c>
      <c r="BM75" s="117">
        <v>10</v>
      </c>
      <c r="BN75" s="115" t="str">
        <f>Inputs!$A$9</f>
        <v>M4348701</v>
      </c>
      <c r="BO75" s="44" t="str">
        <f>Inputs!$B$9</f>
        <v>MC</v>
      </c>
      <c r="BP75" s="44" t="s">
        <v>57</v>
      </c>
      <c r="BQ75" s="44">
        <f t="shared" si="82"/>
        <v>0</v>
      </c>
      <c r="BR75" s="50"/>
      <c r="BS75" s="119">
        <v>10</v>
      </c>
      <c r="BT75" s="115" t="str">
        <f>Inputs!$A$9</f>
        <v>M4348701</v>
      </c>
      <c r="BU75" s="44" t="str">
        <f>Inputs!$B$9</f>
        <v>MC</v>
      </c>
      <c r="BV75" s="44" t="s">
        <v>58</v>
      </c>
      <c r="BW75" s="44">
        <f t="shared" si="83"/>
        <v>132.14141000000001</v>
      </c>
      <c r="BX75" s="50"/>
      <c r="BY75" s="44">
        <v>44.047136999999999</v>
      </c>
      <c r="BZ75" s="44">
        <v>0</v>
      </c>
      <c r="CA75" s="44">
        <f t="shared" si="84"/>
        <v>-44.047135037266941</v>
      </c>
      <c r="CB75" s="50"/>
      <c r="CC75" s="44">
        <f t="shared" si="85"/>
        <v>-1.962733058746835E-6</v>
      </c>
      <c r="CD75" s="63">
        <f>BY75*Inputs!$F$9*Inputs!$G$9</f>
        <v>97864.721835065997</v>
      </c>
      <c r="CE75" s="44">
        <f>Inputs!$F$9*Inputs!$I$9*BZ75</f>
        <v>0</v>
      </c>
      <c r="CF75" s="91">
        <v>88.094274962733067</v>
      </c>
    </row>
    <row r="76" spans="1:84" x14ac:dyDescent="0.25">
      <c r="A76" s="117">
        <v>11</v>
      </c>
      <c r="B76" s="115" t="str">
        <f>Inputs!$A$9</f>
        <v>M4348701</v>
      </c>
      <c r="C76" s="44" t="str">
        <f>Inputs!$B$9</f>
        <v>MC</v>
      </c>
      <c r="D76" s="44" t="s">
        <v>57</v>
      </c>
      <c r="E76" s="44">
        <v>0</v>
      </c>
      <c r="F76" s="50"/>
      <c r="G76" s="119">
        <v>11</v>
      </c>
      <c r="H76" s="115" t="str">
        <f>Inputs!$A$9</f>
        <v>M4348701</v>
      </c>
      <c r="I76" s="44" t="str">
        <f>Inputs!$B$9</f>
        <v>MC</v>
      </c>
      <c r="J76" s="44" t="s">
        <v>58</v>
      </c>
      <c r="K76" s="44">
        <v>0</v>
      </c>
      <c r="L76" s="50"/>
      <c r="M76" s="44">
        <v>0</v>
      </c>
      <c r="N76" s="44">
        <v>0</v>
      </c>
      <c r="O76" s="44">
        <f t="shared" si="73"/>
        <v>-3.2805744609731846E-7</v>
      </c>
      <c r="P76" s="50"/>
      <c r="Q76" s="44">
        <f t="shared" si="74"/>
        <v>3.2805744609731846E-7</v>
      </c>
      <c r="R76" s="63">
        <f>M76*Inputs!$F$9*Inputs!$H$9</f>
        <v>0</v>
      </c>
      <c r="S76" s="44">
        <f>Inputs!$F$9*Inputs!$I$9*N76</f>
        <v>0</v>
      </c>
      <c r="T76" s="18"/>
      <c r="U76" s="56">
        <v>46.821923671942557</v>
      </c>
      <c r="W76" s="117">
        <v>11</v>
      </c>
      <c r="X76" s="115" t="str">
        <f>Inputs!$A$9</f>
        <v>M4348701</v>
      </c>
      <c r="Y76" s="44" t="str">
        <f>Inputs!$B$9</f>
        <v>MC</v>
      </c>
      <c r="Z76" s="44" t="s">
        <v>57</v>
      </c>
      <c r="AA76" s="44">
        <f t="shared" si="75"/>
        <v>0</v>
      </c>
      <c r="AB76" s="50"/>
      <c r="AC76" s="119">
        <v>11</v>
      </c>
      <c r="AD76" s="115" t="str">
        <f>Inputs!$A$9</f>
        <v>M4348701</v>
      </c>
      <c r="AE76" s="44" t="str">
        <f>Inputs!$B$9</f>
        <v>MC</v>
      </c>
      <c r="AF76" s="44" t="s">
        <v>58</v>
      </c>
      <c r="AG76" s="44">
        <f t="shared" si="76"/>
        <v>0</v>
      </c>
      <c r="AH76" s="50"/>
      <c r="AI76" s="44">
        <v>0</v>
      </c>
      <c r="AJ76" s="44">
        <v>0</v>
      </c>
      <c r="AK76" s="44">
        <f t="shared" si="77"/>
        <v>-2.5931673519608012E-6</v>
      </c>
      <c r="AL76" s="50"/>
      <c r="AM76" s="44">
        <f t="shared" si="78"/>
        <v>2.5931673519608012E-6</v>
      </c>
      <c r="AN76" s="63">
        <f>AI76*Inputs!$F$9*Inputs!$H$9</f>
        <v>0</v>
      </c>
      <c r="AO76" s="44">
        <f>Inputs!$F$9*Inputs!$I$9*AJ76</f>
        <v>0</v>
      </c>
      <c r="AP76" s="56">
        <v>220.23568740683265</v>
      </c>
      <c r="AR76" s="117">
        <v>11</v>
      </c>
      <c r="AS76" s="115" t="str">
        <f>Inputs!$A$9</f>
        <v>M4348701</v>
      </c>
      <c r="AT76" s="44" t="str">
        <f>Inputs!$B$9</f>
        <v>MC</v>
      </c>
      <c r="AU76" s="44" t="s">
        <v>57</v>
      </c>
      <c r="AV76" s="44">
        <f t="shared" si="86"/>
        <v>0</v>
      </c>
      <c r="AW76" s="50"/>
      <c r="AX76" s="119">
        <v>11</v>
      </c>
      <c r="AY76" s="115" t="str">
        <f>Inputs!$A$9</f>
        <v>M4348701</v>
      </c>
      <c r="AZ76" s="44" t="str">
        <f>Inputs!$B$9</f>
        <v>MC</v>
      </c>
      <c r="BA76" s="44" t="s">
        <v>58</v>
      </c>
      <c r="BB76" s="44">
        <f t="shared" si="79"/>
        <v>0</v>
      </c>
      <c r="BC76" s="50"/>
      <c r="BD76" s="44">
        <v>0</v>
      </c>
      <c r="BE76" s="44">
        <v>0</v>
      </c>
      <c r="BF76" s="44">
        <f t="shared" si="80"/>
        <v>-2.8913026994814572E-7</v>
      </c>
      <c r="BG76" s="50"/>
      <c r="BH76" s="44">
        <f t="shared" si="81"/>
        <v>2.8913026994814572E-7</v>
      </c>
      <c r="BI76" s="63">
        <f>BD76*Inputs!$F$9*Inputs!$H$9</f>
        <v>0</v>
      </c>
      <c r="BJ76" s="44">
        <f>Inputs!$F$9*Inputs!$I$9*BE76</f>
        <v>0</v>
      </c>
      <c r="BK76" s="56">
        <v>92.498988710869725</v>
      </c>
      <c r="BM76" s="117">
        <v>11</v>
      </c>
      <c r="BN76" s="115" t="str">
        <f>Inputs!$A$9</f>
        <v>M4348701</v>
      </c>
      <c r="BO76" s="44" t="str">
        <f>Inputs!$B$9</f>
        <v>MC</v>
      </c>
      <c r="BP76" s="44" t="s">
        <v>57</v>
      </c>
      <c r="BQ76" s="44">
        <f t="shared" si="82"/>
        <v>0</v>
      </c>
      <c r="BR76" s="50"/>
      <c r="BS76" s="119">
        <v>11</v>
      </c>
      <c r="BT76" s="115" t="str">
        <f>Inputs!$A$9</f>
        <v>M4348701</v>
      </c>
      <c r="BU76" s="44" t="str">
        <f>Inputs!$B$9</f>
        <v>MC</v>
      </c>
      <c r="BV76" s="44" t="s">
        <v>58</v>
      </c>
      <c r="BW76" s="44">
        <f t="shared" si="83"/>
        <v>0</v>
      </c>
      <c r="BX76" s="50"/>
      <c r="BY76" s="44">
        <v>0</v>
      </c>
      <c r="BZ76" s="44">
        <v>0</v>
      </c>
      <c r="CA76" s="44">
        <f t="shared" si="84"/>
        <v>4.8136653418850983E-7</v>
      </c>
      <c r="CB76" s="50"/>
      <c r="CC76" s="44">
        <f t="shared" si="85"/>
        <v>-4.8136653418850983E-7</v>
      </c>
      <c r="CD76" s="63">
        <f>BY76*Inputs!$F$9*Inputs!$H$9</f>
        <v>0</v>
      </c>
      <c r="CE76" s="44">
        <f>Inputs!$F$9*Inputs!$I$9*BZ76</f>
        <v>0</v>
      </c>
      <c r="CF76" s="56">
        <v>44.047137481366534</v>
      </c>
    </row>
    <row r="77" spans="1:84" x14ac:dyDescent="0.25">
      <c r="A77" s="116">
        <v>3</v>
      </c>
      <c r="B77" s="114" t="str">
        <f>Inputs!$A$10</f>
        <v>M4597400</v>
      </c>
      <c r="C77" s="45" t="str">
        <f>Inputs!$B$10</f>
        <v>MC</v>
      </c>
      <c r="D77" s="45" t="s">
        <v>57</v>
      </c>
      <c r="E77" s="45">
        <v>0</v>
      </c>
      <c r="F77" s="50"/>
      <c r="G77" s="118">
        <v>3</v>
      </c>
      <c r="H77" s="114" t="str">
        <f>Inputs!$A$10</f>
        <v>M4597400</v>
      </c>
      <c r="I77" s="45" t="str">
        <f>Inputs!$B$10</f>
        <v>MC</v>
      </c>
      <c r="J77" s="45" t="s">
        <v>58</v>
      </c>
      <c r="K77" s="45">
        <v>0</v>
      </c>
      <c r="L77" s="50"/>
      <c r="M77" s="45">
        <v>0</v>
      </c>
      <c r="N77" s="45">
        <v>0</v>
      </c>
      <c r="O77" s="45">
        <f>U77-0-E77-K77</f>
        <v>0</v>
      </c>
      <c r="P77" s="50"/>
      <c r="Q77" s="45">
        <f>E77+K77+N77-U77+0-M77</f>
        <v>0</v>
      </c>
      <c r="R77" s="64">
        <f>M77*Inputs!$F$10*Inputs!$G$10</f>
        <v>0</v>
      </c>
      <c r="S77" s="45">
        <f>Inputs!$F$10*Inputs!$I$10*N77</f>
        <v>0</v>
      </c>
      <c r="T77" s="18"/>
      <c r="U77" s="54">
        <v>0</v>
      </c>
      <c r="W77" s="116">
        <v>3</v>
      </c>
      <c r="X77" s="114" t="str">
        <f>Inputs!$A$10</f>
        <v>M4597400</v>
      </c>
      <c r="Y77" s="45" t="str">
        <f>Inputs!$B$10</f>
        <v>MC</v>
      </c>
      <c r="Z77" s="45" t="s">
        <v>57</v>
      </c>
      <c r="AA77" s="45">
        <f t="shared" si="75"/>
        <v>0</v>
      </c>
      <c r="AB77" s="50"/>
      <c r="AC77" s="118">
        <v>3</v>
      </c>
      <c r="AD77" s="114" t="str">
        <f>Inputs!$A$10</f>
        <v>M4597400</v>
      </c>
      <c r="AE77" s="45" t="str">
        <f>Inputs!$B$10</f>
        <v>MC</v>
      </c>
      <c r="AF77" s="45" t="s">
        <v>58</v>
      </c>
      <c r="AG77" s="45">
        <f t="shared" si="76"/>
        <v>0</v>
      </c>
      <c r="AH77" s="50"/>
      <c r="AI77" s="45">
        <v>0</v>
      </c>
      <c r="AJ77" s="45">
        <v>0</v>
      </c>
      <c r="AK77" s="45">
        <f>AP77-0-AA77-AG77</f>
        <v>0</v>
      </c>
      <c r="AL77" s="50"/>
      <c r="AM77" s="45">
        <f>AA77+AG77+AJ77-AP77+0-AI77</f>
        <v>0</v>
      </c>
      <c r="AN77" s="64">
        <f>AI77*Inputs!$F$10*Inputs!$G$10</f>
        <v>0</v>
      </c>
      <c r="AO77" s="45">
        <f>Inputs!$F$10*Inputs!$I$10*AJ77</f>
        <v>0</v>
      </c>
      <c r="AP77" s="54">
        <v>0</v>
      </c>
      <c r="AR77" s="116">
        <v>3</v>
      </c>
      <c r="AS77" s="114" t="str">
        <f>Inputs!$A$10</f>
        <v>M4597400</v>
      </c>
      <c r="AT77" s="45" t="str">
        <f>Inputs!$B$10</f>
        <v>MC</v>
      </c>
      <c r="AU77" s="45" t="s">
        <v>57</v>
      </c>
      <c r="AV77" s="45">
        <f t="shared" si="86"/>
        <v>0</v>
      </c>
      <c r="AW77" s="50"/>
      <c r="AX77" s="118">
        <v>3</v>
      </c>
      <c r="AY77" s="114" t="str">
        <f>Inputs!$A$10</f>
        <v>M4597400</v>
      </c>
      <c r="AZ77" s="45" t="str">
        <f>Inputs!$B$10</f>
        <v>MC</v>
      </c>
      <c r="BA77" s="45" t="s">
        <v>58</v>
      </c>
      <c r="BB77" s="45">
        <f t="shared" si="79"/>
        <v>0</v>
      </c>
      <c r="BC77" s="50"/>
      <c r="BD77" s="45">
        <v>0</v>
      </c>
      <c r="BE77" s="45">
        <v>0</v>
      </c>
      <c r="BF77" s="45">
        <f>BK77-0-AV77-BB77</f>
        <v>0</v>
      </c>
      <c r="BG77" s="50"/>
      <c r="BH77" s="45">
        <f>AV77+BB77+BE77-BK77+0-BD77</f>
        <v>0</v>
      </c>
      <c r="BI77" s="64">
        <f>BD77*Inputs!$F$10*Inputs!$G$10</f>
        <v>0</v>
      </c>
      <c r="BJ77" s="45">
        <f>Inputs!$F$10*Inputs!$I$10*BE77</f>
        <v>0</v>
      </c>
      <c r="BK77" s="54">
        <v>0</v>
      </c>
      <c r="BM77" s="116">
        <v>3</v>
      </c>
      <c r="BN77" s="114" t="str">
        <f>Inputs!$A$10</f>
        <v>M4597400</v>
      </c>
      <c r="BO77" s="45" t="str">
        <f>Inputs!$B$10</f>
        <v>MC</v>
      </c>
      <c r="BP77" s="45" t="s">
        <v>57</v>
      </c>
      <c r="BQ77" s="45">
        <f t="shared" si="82"/>
        <v>0</v>
      </c>
      <c r="BR77" s="50"/>
      <c r="BS77" s="118">
        <v>3</v>
      </c>
      <c r="BT77" s="114" t="str">
        <f>Inputs!$A$10</f>
        <v>M4597400</v>
      </c>
      <c r="BU77" s="45" t="str">
        <f>Inputs!$B$10</f>
        <v>MC</v>
      </c>
      <c r="BV77" s="45" t="s">
        <v>58</v>
      </c>
      <c r="BW77" s="45">
        <f t="shared" si="83"/>
        <v>0</v>
      </c>
      <c r="BX77" s="50"/>
      <c r="BY77" s="45">
        <v>0</v>
      </c>
      <c r="BZ77" s="45">
        <v>0</v>
      </c>
      <c r="CA77" s="45">
        <f>CF77-0-BQ77-BW77</f>
        <v>0</v>
      </c>
      <c r="CB77" s="50"/>
      <c r="CC77" s="45">
        <f>BQ77+BW77+BZ77-CF77+0-BY77</f>
        <v>0</v>
      </c>
      <c r="CD77" s="64">
        <f>BY77*Inputs!$F$10*Inputs!$G$10</f>
        <v>0</v>
      </c>
      <c r="CE77" s="45">
        <f>Inputs!$F$10*Inputs!$I$10*BZ77</f>
        <v>0</v>
      </c>
      <c r="CF77" s="54">
        <v>0</v>
      </c>
    </row>
    <row r="78" spans="1:84" x14ac:dyDescent="0.25">
      <c r="A78" s="116">
        <v>4</v>
      </c>
      <c r="B78" s="114" t="str">
        <f>Inputs!$A$10</f>
        <v>M4597400</v>
      </c>
      <c r="C78" s="45" t="str">
        <f>Inputs!$B$10</f>
        <v>MC</v>
      </c>
      <c r="D78" s="45" t="s">
        <v>57</v>
      </c>
      <c r="E78" s="45">
        <v>0</v>
      </c>
      <c r="F78" s="50"/>
      <c r="G78" s="118">
        <v>4</v>
      </c>
      <c r="H78" s="114" t="str">
        <f>Inputs!$A$10</f>
        <v>M4597400</v>
      </c>
      <c r="I78" s="45" t="str">
        <f>Inputs!$B$10</f>
        <v>MC</v>
      </c>
      <c r="J78" s="45" t="s">
        <v>58</v>
      </c>
      <c r="K78" s="45">
        <v>0</v>
      </c>
      <c r="L78" s="50"/>
      <c r="M78" s="45">
        <v>0</v>
      </c>
      <c r="N78" s="45">
        <v>0</v>
      </c>
      <c r="O78" s="45">
        <f t="shared" ref="O78:O85" si="87">U78-M77-E78-K78</f>
        <v>0</v>
      </c>
      <c r="P78" s="50"/>
      <c r="Q78" s="45">
        <f t="shared" ref="Q78:Q85" si="88">E78+K78+N78-U78+M77-M78</f>
        <v>0</v>
      </c>
      <c r="R78" s="64">
        <f>M78*Inputs!$F$10*Inputs!$G$10</f>
        <v>0</v>
      </c>
      <c r="S78" s="45">
        <f>Inputs!$F$10*Inputs!$I$10*N78</f>
        <v>0</v>
      </c>
      <c r="T78" s="18"/>
      <c r="U78" s="55">
        <v>0</v>
      </c>
      <c r="W78" s="116">
        <v>4</v>
      </c>
      <c r="X78" s="114" t="str">
        <f>Inputs!$A$10</f>
        <v>M4597400</v>
      </c>
      <c r="Y78" s="45" t="str">
        <f>Inputs!$B$10</f>
        <v>MC</v>
      </c>
      <c r="Z78" s="45" t="s">
        <v>57</v>
      </c>
      <c r="AA78" s="45">
        <f t="shared" si="75"/>
        <v>0</v>
      </c>
      <c r="AB78" s="50"/>
      <c r="AC78" s="118">
        <v>4</v>
      </c>
      <c r="AD78" s="114" t="str">
        <f>Inputs!$A$10</f>
        <v>M4597400</v>
      </c>
      <c r="AE78" s="45" t="str">
        <f>Inputs!$B$10</f>
        <v>MC</v>
      </c>
      <c r="AF78" s="45" t="s">
        <v>58</v>
      </c>
      <c r="AG78" s="45">
        <f t="shared" si="76"/>
        <v>0</v>
      </c>
      <c r="AH78" s="50"/>
      <c r="AI78" s="45">
        <v>0</v>
      </c>
      <c r="AJ78" s="45">
        <v>0</v>
      </c>
      <c r="AK78" s="45">
        <f t="shared" ref="AK78:AK85" si="89">AP78-AI77-AA78-AG78</f>
        <v>0</v>
      </c>
      <c r="AL78" s="50"/>
      <c r="AM78" s="45">
        <f t="shared" ref="AM78:AM85" si="90">AA78+AG78+AJ78-AP78+AI77-AI78</f>
        <v>0</v>
      </c>
      <c r="AN78" s="64">
        <f>AI78*Inputs!$F$10*Inputs!$G$10</f>
        <v>0</v>
      </c>
      <c r="AO78" s="45">
        <f>Inputs!$F$10*Inputs!$I$10*AJ78</f>
        <v>0</v>
      </c>
      <c r="AP78" s="55">
        <v>0</v>
      </c>
      <c r="AR78" s="116">
        <v>4</v>
      </c>
      <c r="AS78" s="114" t="str">
        <f>Inputs!$A$10</f>
        <v>M4597400</v>
      </c>
      <c r="AT78" s="45" t="str">
        <f>Inputs!$B$10</f>
        <v>MC</v>
      </c>
      <c r="AU78" s="45" t="s">
        <v>57</v>
      </c>
      <c r="AV78" s="45">
        <f t="shared" si="86"/>
        <v>0</v>
      </c>
      <c r="AW78" s="50"/>
      <c r="AX78" s="118">
        <v>4</v>
      </c>
      <c r="AY78" s="114" t="str">
        <f>Inputs!$A$10</f>
        <v>M4597400</v>
      </c>
      <c r="AZ78" s="45" t="str">
        <f>Inputs!$B$10</f>
        <v>MC</v>
      </c>
      <c r="BA78" s="45" t="s">
        <v>58</v>
      </c>
      <c r="BB78" s="45">
        <f t="shared" si="79"/>
        <v>0</v>
      </c>
      <c r="BC78" s="50"/>
      <c r="BD78" s="45">
        <v>0</v>
      </c>
      <c r="BE78" s="45">
        <v>0</v>
      </c>
      <c r="BF78" s="45">
        <f t="shared" ref="BF78:BF85" si="91">BK78-BD77-AV78-BB78</f>
        <v>0</v>
      </c>
      <c r="BG78" s="50"/>
      <c r="BH78" s="45">
        <f t="shared" ref="BH78:BH85" si="92">AV78+BB78+BE78-BK78+BD77-BD78</f>
        <v>0</v>
      </c>
      <c r="BI78" s="64">
        <f>BD78*Inputs!$F$10*Inputs!$G$10</f>
        <v>0</v>
      </c>
      <c r="BJ78" s="45">
        <f>Inputs!$F$10*Inputs!$I$10*BE78</f>
        <v>0</v>
      </c>
      <c r="BK78" s="55">
        <v>0</v>
      </c>
      <c r="BM78" s="116">
        <v>4</v>
      </c>
      <c r="BN78" s="114" t="str">
        <f>Inputs!$A$10</f>
        <v>M4597400</v>
      </c>
      <c r="BO78" s="45" t="str">
        <f>Inputs!$B$10</f>
        <v>MC</v>
      </c>
      <c r="BP78" s="45" t="s">
        <v>57</v>
      </c>
      <c r="BQ78" s="45">
        <f t="shared" si="82"/>
        <v>0</v>
      </c>
      <c r="BR78" s="50"/>
      <c r="BS78" s="118">
        <v>4</v>
      </c>
      <c r="BT78" s="114" t="str">
        <f>Inputs!$A$10</f>
        <v>M4597400</v>
      </c>
      <c r="BU78" s="45" t="str">
        <f>Inputs!$B$10</f>
        <v>MC</v>
      </c>
      <c r="BV78" s="45" t="s">
        <v>58</v>
      </c>
      <c r="BW78" s="45">
        <f t="shared" si="83"/>
        <v>0</v>
      </c>
      <c r="BX78" s="50"/>
      <c r="BY78" s="45">
        <v>0</v>
      </c>
      <c r="BZ78" s="45">
        <v>0</v>
      </c>
      <c r="CA78" s="45">
        <f t="shared" ref="CA78:CA85" si="93">CF78-BY77-BQ78-BW78</f>
        <v>0</v>
      </c>
      <c r="CB78" s="50"/>
      <c r="CC78" s="45">
        <f t="shared" ref="CC78:CC85" si="94">BQ78+BW78+BZ78-CF78+BY77-BY78</f>
        <v>0</v>
      </c>
      <c r="CD78" s="64">
        <f>BY78*Inputs!$F$10*Inputs!$G$10</f>
        <v>0</v>
      </c>
      <c r="CE78" s="45">
        <f>Inputs!$F$10*Inputs!$I$10*BZ78</f>
        <v>0</v>
      </c>
      <c r="CF78" s="55">
        <v>0</v>
      </c>
    </row>
    <row r="79" spans="1:84" x14ac:dyDescent="0.25">
      <c r="A79" s="116">
        <v>5</v>
      </c>
      <c r="B79" s="114" t="str">
        <f>Inputs!$A$10</f>
        <v>M4597400</v>
      </c>
      <c r="C79" s="45" t="str">
        <f>Inputs!$B$10</f>
        <v>MC</v>
      </c>
      <c r="D79" s="45" t="s">
        <v>57</v>
      </c>
      <c r="E79" s="45">
        <v>0</v>
      </c>
      <c r="F79" s="50"/>
      <c r="G79" s="118">
        <v>5</v>
      </c>
      <c r="H79" s="114" t="str">
        <f>Inputs!$A$10</f>
        <v>M4597400</v>
      </c>
      <c r="I79" s="45" t="str">
        <f>Inputs!$B$10</f>
        <v>MC</v>
      </c>
      <c r="J79" s="45" t="s">
        <v>58</v>
      </c>
      <c r="K79" s="45">
        <v>0</v>
      </c>
      <c r="L79" s="50"/>
      <c r="M79" s="45">
        <v>0</v>
      </c>
      <c r="N79" s="45">
        <v>0</v>
      </c>
      <c r="O79" s="45">
        <f t="shared" si="87"/>
        <v>0</v>
      </c>
      <c r="P79" s="50"/>
      <c r="Q79" s="45">
        <f t="shared" si="88"/>
        <v>0</v>
      </c>
      <c r="R79" s="64">
        <f>M79*Inputs!$F$10*Inputs!$G$10</f>
        <v>0</v>
      </c>
      <c r="S79" s="45">
        <f>Inputs!$F$10*Inputs!$I$10*N79</f>
        <v>0</v>
      </c>
      <c r="T79" s="18"/>
      <c r="U79" s="55">
        <v>0</v>
      </c>
      <c r="W79" s="116">
        <v>5</v>
      </c>
      <c r="X79" s="114" t="str">
        <f>Inputs!$A$10</f>
        <v>M4597400</v>
      </c>
      <c r="Y79" s="45" t="str">
        <f>Inputs!$B$10</f>
        <v>MC</v>
      </c>
      <c r="Z79" s="45" t="s">
        <v>57</v>
      </c>
      <c r="AA79" s="45">
        <f t="shared" si="75"/>
        <v>0</v>
      </c>
      <c r="AB79" s="50"/>
      <c r="AC79" s="118">
        <v>5</v>
      </c>
      <c r="AD79" s="114" t="str">
        <f>Inputs!$A$10</f>
        <v>M4597400</v>
      </c>
      <c r="AE79" s="45" t="str">
        <f>Inputs!$B$10</f>
        <v>MC</v>
      </c>
      <c r="AF79" s="45" t="s">
        <v>58</v>
      </c>
      <c r="AG79" s="45">
        <f t="shared" si="76"/>
        <v>0</v>
      </c>
      <c r="AH79" s="50"/>
      <c r="AI79" s="45">
        <v>0</v>
      </c>
      <c r="AJ79" s="45">
        <v>0</v>
      </c>
      <c r="AK79" s="45">
        <f t="shared" si="89"/>
        <v>0</v>
      </c>
      <c r="AL79" s="50"/>
      <c r="AM79" s="45">
        <f t="shared" si="90"/>
        <v>0</v>
      </c>
      <c r="AN79" s="64">
        <f>AI79*Inputs!$F$10*Inputs!$G$10</f>
        <v>0</v>
      </c>
      <c r="AO79" s="45">
        <f>Inputs!$F$10*Inputs!$I$10*AJ79</f>
        <v>0</v>
      </c>
      <c r="AP79" s="55">
        <v>0</v>
      </c>
      <c r="AR79" s="116">
        <v>5</v>
      </c>
      <c r="AS79" s="114" t="str">
        <f>Inputs!$A$10</f>
        <v>M4597400</v>
      </c>
      <c r="AT79" s="45" t="str">
        <f>Inputs!$B$10</f>
        <v>MC</v>
      </c>
      <c r="AU79" s="45" t="s">
        <v>57</v>
      </c>
      <c r="AV79" s="45">
        <f t="shared" si="86"/>
        <v>0</v>
      </c>
      <c r="AW79" s="50"/>
      <c r="AX79" s="118">
        <v>5</v>
      </c>
      <c r="AY79" s="114" t="str">
        <f>Inputs!$A$10</f>
        <v>M4597400</v>
      </c>
      <c r="AZ79" s="45" t="str">
        <f>Inputs!$B$10</f>
        <v>MC</v>
      </c>
      <c r="BA79" s="45" t="s">
        <v>58</v>
      </c>
      <c r="BB79" s="45">
        <f t="shared" si="79"/>
        <v>0</v>
      </c>
      <c r="BC79" s="50"/>
      <c r="BD79" s="45">
        <v>0</v>
      </c>
      <c r="BE79" s="45">
        <v>0</v>
      </c>
      <c r="BF79" s="45">
        <f t="shared" si="91"/>
        <v>0</v>
      </c>
      <c r="BG79" s="50"/>
      <c r="BH79" s="45">
        <f t="shared" si="92"/>
        <v>0</v>
      </c>
      <c r="BI79" s="64">
        <f>BD79*Inputs!$F$10*Inputs!$G$10</f>
        <v>0</v>
      </c>
      <c r="BJ79" s="45">
        <f>Inputs!$F$10*Inputs!$I$10*BE79</f>
        <v>0</v>
      </c>
      <c r="BK79" s="55">
        <v>0</v>
      </c>
      <c r="BM79" s="116">
        <v>5</v>
      </c>
      <c r="BN79" s="114" t="str">
        <f>Inputs!$A$10</f>
        <v>M4597400</v>
      </c>
      <c r="BO79" s="45" t="str">
        <f>Inputs!$B$10</f>
        <v>MC</v>
      </c>
      <c r="BP79" s="45" t="s">
        <v>57</v>
      </c>
      <c r="BQ79" s="45">
        <f t="shared" si="82"/>
        <v>0</v>
      </c>
      <c r="BR79" s="50"/>
      <c r="BS79" s="118">
        <v>5</v>
      </c>
      <c r="BT79" s="114" t="str">
        <f>Inputs!$A$10</f>
        <v>M4597400</v>
      </c>
      <c r="BU79" s="45" t="str">
        <f>Inputs!$B$10</f>
        <v>MC</v>
      </c>
      <c r="BV79" s="45" t="s">
        <v>58</v>
      </c>
      <c r="BW79" s="45">
        <f t="shared" si="83"/>
        <v>0</v>
      </c>
      <c r="BX79" s="50"/>
      <c r="BY79" s="45">
        <v>0</v>
      </c>
      <c r="BZ79" s="45">
        <v>0</v>
      </c>
      <c r="CA79" s="45">
        <f t="shared" si="93"/>
        <v>0</v>
      </c>
      <c r="CB79" s="50"/>
      <c r="CC79" s="45">
        <f t="shared" si="94"/>
        <v>0</v>
      </c>
      <c r="CD79" s="64">
        <f>BY79*Inputs!$F$10*Inputs!$G$10</f>
        <v>0</v>
      </c>
      <c r="CE79" s="45">
        <f>Inputs!$F$10*Inputs!$I$10*BZ79</f>
        <v>0</v>
      </c>
      <c r="CF79" s="55">
        <v>0</v>
      </c>
    </row>
    <row r="80" spans="1:84" x14ac:dyDescent="0.25">
      <c r="A80" s="116">
        <v>6</v>
      </c>
      <c r="B80" s="114" t="str">
        <f>Inputs!$A$10</f>
        <v>M4597400</v>
      </c>
      <c r="C80" s="45" t="str">
        <f>Inputs!$B$10</f>
        <v>MC</v>
      </c>
      <c r="D80" s="45" t="s">
        <v>57</v>
      </c>
      <c r="E80" s="45">
        <v>0</v>
      </c>
      <c r="F80" s="50"/>
      <c r="G80" s="118">
        <v>6</v>
      </c>
      <c r="H80" s="114" t="str">
        <f>Inputs!$A$10</f>
        <v>M4597400</v>
      </c>
      <c r="I80" s="45" t="str">
        <f>Inputs!$B$10</f>
        <v>MC</v>
      </c>
      <c r="J80" s="45" t="s">
        <v>58</v>
      </c>
      <c r="K80" s="45">
        <v>0</v>
      </c>
      <c r="L80" s="50"/>
      <c r="M80" s="45">
        <v>0</v>
      </c>
      <c r="N80" s="45">
        <v>0</v>
      </c>
      <c r="O80" s="45">
        <f t="shared" si="87"/>
        <v>0</v>
      </c>
      <c r="P80" s="50"/>
      <c r="Q80" s="45">
        <f t="shared" si="88"/>
        <v>0</v>
      </c>
      <c r="R80" s="64">
        <f>M80*Inputs!$F$10*Inputs!$G$10</f>
        <v>0</v>
      </c>
      <c r="S80" s="45">
        <f>Inputs!$F$10*Inputs!$I$10*N80</f>
        <v>0</v>
      </c>
      <c r="T80" s="18"/>
      <c r="U80" s="55">
        <v>0</v>
      </c>
      <c r="W80" s="116">
        <v>6</v>
      </c>
      <c r="X80" s="114" t="str">
        <f>Inputs!$A$10</f>
        <v>M4597400</v>
      </c>
      <c r="Y80" s="45" t="str">
        <f>Inputs!$B$10</f>
        <v>MC</v>
      </c>
      <c r="Z80" s="45" t="s">
        <v>57</v>
      </c>
      <c r="AA80" s="45">
        <f t="shared" si="75"/>
        <v>0</v>
      </c>
      <c r="AB80" s="50"/>
      <c r="AC80" s="118">
        <v>6</v>
      </c>
      <c r="AD80" s="114" t="str">
        <f>Inputs!$A$10</f>
        <v>M4597400</v>
      </c>
      <c r="AE80" s="45" t="str">
        <f>Inputs!$B$10</f>
        <v>MC</v>
      </c>
      <c r="AF80" s="45" t="s">
        <v>58</v>
      </c>
      <c r="AG80" s="45">
        <f t="shared" si="76"/>
        <v>0</v>
      </c>
      <c r="AH80" s="50"/>
      <c r="AI80" s="45">
        <v>0</v>
      </c>
      <c r="AJ80" s="45">
        <v>0</v>
      </c>
      <c r="AK80" s="45">
        <f t="shared" si="89"/>
        <v>0</v>
      </c>
      <c r="AL80" s="50"/>
      <c r="AM80" s="45">
        <f t="shared" si="90"/>
        <v>0</v>
      </c>
      <c r="AN80" s="64">
        <f>AI80*Inputs!$F$10*Inputs!$G$10</f>
        <v>0</v>
      </c>
      <c r="AO80" s="45">
        <f>Inputs!$F$10*Inputs!$I$10*AJ80</f>
        <v>0</v>
      </c>
      <c r="AP80" s="55">
        <v>0</v>
      </c>
      <c r="AR80" s="116">
        <v>6</v>
      </c>
      <c r="AS80" s="114" t="str">
        <f>Inputs!$A$10</f>
        <v>M4597400</v>
      </c>
      <c r="AT80" s="45" t="str">
        <f>Inputs!$B$10</f>
        <v>MC</v>
      </c>
      <c r="AU80" s="45" t="s">
        <v>57</v>
      </c>
      <c r="AV80" s="45">
        <f t="shared" si="86"/>
        <v>0</v>
      </c>
      <c r="AW80" s="50"/>
      <c r="AX80" s="118">
        <v>6</v>
      </c>
      <c r="AY80" s="114" t="str">
        <f>Inputs!$A$10</f>
        <v>M4597400</v>
      </c>
      <c r="AZ80" s="45" t="str">
        <f>Inputs!$B$10</f>
        <v>MC</v>
      </c>
      <c r="BA80" s="45" t="s">
        <v>58</v>
      </c>
      <c r="BB80" s="45">
        <f t="shared" si="79"/>
        <v>0</v>
      </c>
      <c r="BC80" s="50"/>
      <c r="BD80" s="45">
        <v>0</v>
      </c>
      <c r="BE80" s="45">
        <v>0</v>
      </c>
      <c r="BF80" s="45">
        <f t="shared" si="91"/>
        <v>0</v>
      </c>
      <c r="BG80" s="50"/>
      <c r="BH80" s="45">
        <f t="shared" si="92"/>
        <v>0</v>
      </c>
      <c r="BI80" s="64">
        <f>BD80*Inputs!$F$10*Inputs!$G$10</f>
        <v>0</v>
      </c>
      <c r="BJ80" s="45">
        <f>Inputs!$F$10*Inputs!$I$10*BE80</f>
        <v>0</v>
      </c>
      <c r="BK80" s="55">
        <v>0</v>
      </c>
      <c r="BM80" s="116">
        <v>6</v>
      </c>
      <c r="BN80" s="114" t="str">
        <f>Inputs!$A$10</f>
        <v>M4597400</v>
      </c>
      <c r="BO80" s="45" t="str">
        <f>Inputs!$B$10</f>
        <v>MC</v>
      </c>
      <c r="BP80" s="45" t="s">
        <v>57</v>
      </c>
      <c r="BQ80" s="45">
        <f t="shared" si="82"/>
        <v>0</v>
      </c>
      <c r="BR80" s="50"/>
      <c r="BS80" s="118">
        <v>6</v>
      </c>
      <c r="BT80" s="114" t="str">
        <f>Inputs!$A$10</f>
        <v>M4597400</v>
      </c>
      <c r="BU80" s="45" t="str">
        <f>Inputs!$B$10</f>
        <v>MC</v>
      </c>
      <c r="BV80" s="45" t="s">
        <v>58</v>
      </c>
      <c r="BW80" s="45">
        <f t="shared" si="83"/>
        <v>0</v>
      </c>
      <c r="BX80" s="50"/>
      <c r="BY80" s="45">
        <v>0</v>
      </c>
      <c r="BZ80" s="45">
        <v>0</v>
      </c>
      <c r="CA80" s="45">
        <f t="shared" si="93"/>
        <v>0</v>
      </c>
      <c r="CB80" s="50"/>
      <c r="CC80" s="45">
        <f t="shared" si="94"/>
        <v>0</v>
      </c>
      <c r="CD80" s="64">
        <f>BY80*Inputs!$F$10*Inputs!$G$10</f>
        <v>0</v>
      </c>
      <c r="CE80" s="45">
        <f>Inputs!$F$10*Inputs!$I$10*BZ80</f>
        <v>0</v>
      </c>
      <c r="CF80" s="55">
        <v>0</v>
      </c>
    </row>
    <row r="81" spans="1:97" x14ac:dyDescent="0.25">
      <c r="A81" s="116">
        <v>7</v>
      </c>
      <c r="B81" s="114" t="str">
        <f>Inputs!$A$10</f>
        <v>M4597400</v>
      </c>
      <c r="C81" s="45" t="str">
        <f>Inputs!$B$10</f>
        <v>MC</v>
      </c>
      <c r="D81" s="45" t="s">
        <v>57</v>
      </c>
      <c r="E81" s="45">
        <v>0</v>
      </c>
      <c r="F81" s="50"/>
      <c r="G81" s="118">
        <v>7</v>
      </c>
      <c r="H81" s="114" t="str">
        <f>Inputs!$A$10</f>
        <v>M4597400</v>
      </c>
      <c r="I81" s="45" t="str">
        <f>Inputs!$B$10</f>
        <v>MC</v>
      </c>
      <c r="J81" s="45" t="s">
        <v>58</v>
      </c>
      <c r="K81" s="45">
        <v>36.766666999999998</v>
      </c>
      <c r="L81" s="50"/>
      <c r="M81" s="45">
        <v>36.766666999999998</v>
      </c>
      <c r="N81" s="45">
        <v>0</v>
      </c>
      <c r="O81" s="45">
        <f t="shared" si="87"/>
        <v>-36.766666999999998</v>
      </c>
      <c r="P81" s="50"/>
      <c r="Q81" s="45">
        <f t="shared" si="88"/>
        <v>0</v>
      </c>
      <c r="R81" s="64">
        <f>M81*Inputs!$F$10*Inputs!$G$10</f>
        <v>76273.663991510984</v>
      </c>
      <c r="S81" s="45">
        <f>Inputs!$F$10*Inputs!$I$10*N81</f>
        <v>0</v>
      </c>
      <c r="T81" s="18"/>
      <c r="U81" s="55">
        <v>0</v>
      </c>
      <c r="W81" s="116">
        <v>7</v>
      </c>
      <c r="X81" s="114" t="str">
        <f>Inputs!$A$10</f>
        <v>M4597400</v>
      </c>
      <c r="Y81" s="45" t="str">
        <f>Inputs!$B$10</f>
        <v>MC</v>
      </c>
      <c r="Z81" s="45" t="s">
        <v>57</v>
      </c>
      <c r="AA81" s="45">
        <f t="shared" si="75"/>
        <v>0</v>
      </c>
      <c r="AB81" s="50"/>
      <c r="AC81" s="118">
        <v>7</v>
      </c>
      <c r="AD81" s="114" t="str">
        <f>Inputs!$A$10</f>
        <v>M4597400</v>
      </c>
      <c r="AE81" s="45" t="str">
        <f>Inputs!$B$10</f>
        <v>MC</v>
      </c>
      <c r="AF81" s="45" t="s">
        <v>58</v>
      </c>
      <c r="AG81" s="45">
        <f t="shared" si="76"/>
        <v>36.766666999999998</v>
      </c>
      <c r="AH81" s="50"/>
      <c r="AI81" s="45">
        <v>29.413333000000002</v>
      </c>
      <c r="AJ81" s="45">
        <v>0</v>
      </c>
      <c r="AK81" s="45">
        <f t="shared" si="89"/>
        <v>-29.413333666666666</v>
      </c>
      <c r="AL81" s="50"/>
      <c r="AM81" s="45">
        <f t="shared" si="90"/>
        <v>6.6666666498349514E-7</v>
      </c>
      <c r="AN81" s="64">
        <f>AI81*Inputs!$F$10*Inputs!$G$10</f>
        <v>61018.929948489</v>
      </c>
      <c r="AO81" s="45">
        <f>Inputs!$F$10*Inputs!$I$10*AJ81</f>
        <v>0</v>
      </c>
      <c r="AP81" s="55">
        <v>7.3533333333333326</v>
      </c>
      <c r="AR81" s="116">
        <v>7</v>
      </c>
      <c r="AS81" s="114" t="str">
        <f>Inputs!$A$10</f>
        <v>M4597400</v>
      </c>
      <c r="AT81" s="45" t="str">
        <f>Inputs!$B$10</f>
        <v>MC</v>
      </c>
      <c r="AU81" s="45" t="s">
        <v>57</v>
      </c>
      <c r="AV81" s="45">
        <f t="shared" si="86"/>
        <v>0</v>
      </c>
      <c r="AW81" s="50"/>
      <c r="AX81" s="118">
        <v>7</v>
      </c>
      <c r="AY81" s="114" t="str">
        <f>Inputs!$A$10</f>
        <v>M4597400</v>
      </c>
      <c r="AZ81" s="45" t="str">
        <f>Inputs!$B$10</f>
        <v>MC</v>
      </c>
      <c r="BA81" s="45" t="s">
        <v>58</v>
      </c>
      <c r="BB81" s="45">
        <f t="shared" si="79"/>
        <v>36.766666999999998</v>
      </c>
      <c r="BC81" s="50"/>
      <c r="BD81" s="45">
        <v>21.324667000000002</v>
      </c>
      <c r="BE81" s="45">
        <v>0</v>
      </c>
      <c r="BF81" s="45">
        <f t="shared" si="91"/>
        <v>-21.324666999999998</v>
      </c>
      <c r="BG81" s="50"/>
      <c r="BH81" s="45">
        <f t="shared" si="92"/>
        <v>0</v>
      </c>
      <c r="BI81" s="64">
        <f>BD81*Inputs!$F$10*Inputs!$G$10</f>
        <v>44238.725405510995</v>
      </c>
      <c r="BJ81" s="45">
        <f>Inputs!$F$10*Inputs!$I$10*BE81</f>
        <v>0</v>
      </c>
      <c r="BK81" s="55">
        <v>15.442000000000002</v>
      </c>
      <c r="BM81" s="116">
        <v>7</v>
      </c>
      <c r="BN81" s="114" t="str">
        <f>Inputs!$A$10</f>
        <v>M4597400</v>
      </c>
      <c r="BO81" s="45" t="str">
        <f>Inputs!$B$10</f>
        <v>MC</v>
      </c>
      <c r="BP81" s="45" t="s">
        <v>57</v>
      </c>
      <c r="BQ81" s="45">
        <f t="shared" si="82"/>
        <v>0</v>
      </c>
      <c r="BR81" s="50"/>
      <c r="BS81" s="118">
        <v>7</v>
      </c>
      <c r="BT81" s="114" t="str">
        <f>Inputs!$A$10</f>
        <v>M4597400</v>
      </c>
      <c r="BU81" s="45" t="str">
        <f>Inputs!$B$10</f>
        <v>MC</v>
      </c>
      <c r="BV81" s="45" t="s">
        <v>58</v>
      </c>
      <c r="BW81" s="45">
        <f t="shared" si="83"/>
        <v>36.766666999999998</v>
      </c>
      <c r="BX81" s="50"/>
      <c r="BY81" s="45">
        <v>0</v>
      </c>
      <c r="BZ81" s="45">
        <v>0</v>
      </c>
      <c r="CA81" s="45">
        <f t="shared" si="93"/>
        <v>-3.3333333249174757E-7</v>
      </c>
      <c r="CB81" s="50"/>
      <c r="CC81" s="45">
        <f t="shared" si="94"/>
        <v>3.3333333249174757E-7</v>
      </c>
      <c r="CD81" s="64">
        <f>BY81*Inputs!$F$10*Inputs!$G$10</f>
        <v>0</v>
      </c>
      <c r="CE81" s="45">
        <f>Inputs!$F$10*Inputs!$I$10*BZ81</f>
        <v>0</v>
      </c>
      <c r="CF81" s="55">
        <v>36.766666666666666</v>
      </c>
      <c r="CS81" s="66"/>
    </row>
    <row r="82" spans="1:97" x14ac:dyDescent="0.25">
      <c r="A82" s="116">
        <v>8</v>
      </c>
      <c r="B82" s="114" t="str">
        <f>Inputs!$A$10</f>
        <v>M4597400</v>
      </c>
      <c r="C82" s="45" t="str">
        <f>Inputs!$B$10</f>
        <v>MC</v>
      </c>
      <c r="D82" s="45" t="s">
        <v>57</v>
      </c>
      <c r="E82" s="45">
        <v>0</v>
      </c>
      <c r="F82" s="50"/>
      <c r="G82" s="118">
        <v>8</v>
      </c>
      <c r="H82" s="114" t="str">
        <f>Inputs!$A$10</f>
        <v>M4597400</v>
      </c>
      <c r="I82" s="45" t="str">
        <f>Inputs!$B$10</f>
        <v>MC</v>
      </c>
      <c r="J82" s="45" t="s">
        <v>58</v>
      </c>
      <c r="K82" s="45">
        <v>57.021357000000002</v>
      </c>
      <c r="L82" s="50"/>
      <c r="M82" s="45">
        <v>2.2291167999999999</v>
      </c>
      <c r="N82" s="45">
        <v>0</v>
      </c>
      <c r="O82" s="45">
        <f t="shared" si="87"/>
        <v>-2.2291168143712596</v>
      </c>
      <c r="P82" s="50"/>
      <c r="Q82" s="45">
        <f t="shared" si="88"/>
        <v>1.4371259737799846E-8</v>
      </c>
      <c r="R82" s="64">
        <f>M82*Inputs!$F$10*Inputs!$G$10</f>
        <v>4624.3763624543999</v>
      </c>
      <c r="S82" s="45">
        <f>Inputs!$F$10*Inputs!$I$10*N82</f>
        <v>0</v>
      </c>
      <c r="T82" s="18"/>
      <c r="U82" s="55">
        <v>91.55890718562874</v>
      </c>
      <c r="W82" s="116">
        <v>8</v>
      </c>
      <c r="X82" s="114" t="str">
        <f>Inputs!$A$10</f>
        <v>M4597400</v>
      </c>
      <c r="Y82" s="45" t="str">
        <f>Inputs!$B$10</f>
        <v>MC</v>
      </c>
      <c r="Z82" s="45" t="s">
        <v>57</v>
      </c>
      <c r="AA82" s="45">
        <f t="shared" si="75"/>
        <v>0</v>
      </c>
      <c r="AB82" s="50"/>
      <c r="AC82" s="118">
        <v>8</v>
      </c>
      <c r="AD82" s="114" t="str">
        <f>Inputs!$A$10</f>
        <v>M4597400</v>
      </c>
      <c r="AE82" s="45" t="str">
        <f>Inputs!$B$10</f>
        <v>MC</v>
      </c>
      <c r="AF82" s="45" t="s">
        <v>58</v>
      </c>
      <c r="AG82" s="45">
        <f t="shared" si="76"/>
        <v>57.021357000000002</v>
      </c>
      <c r="AH82" s="50"/>
      <c r="AI82" s="45">
        <v>71.728024000000005</v>
      </c>
      <c r="AJ82" s="45">
        <v>0</v>
      </c>
      <c r="AK82" s="45">
        <f t="shared" si="89"/>
        <v>-71.72802333333334</v>
      </c>
      <c r="AL82" s="50"/>
      <c r="AM82" s="45">
        <f t="shared" si="90"/>
        <v>-6.6666666498349514E-7</v>
      </c>
      <c r="AN82" s="64">
        <f>AI82*Inputs!$F$10*Inputs!$G$10</f>
        <v>148802.15281279199</v>
      </c>
      <c r="AO82" s="45">
        <f>Inputs!$F$10*Inputs!$I$10*AJ82</f>
        <v>0</v>
      </c>
      <c r="AP82" s="55">
        <v>14.706666666666665</v>
      </c>
      <c r="AR82" s="116">
        <v>8</v>
      </c>
      <c r="AS82" s="114" t="str">
        <f>Inputs!$A$10</f>
        <v>M4597400</v>
      </c>
      <c r="AT82" s="45" t="str">
        <f>Inputs!$B$10</f>
        <v>MC</v>
      </c>
      <c r="AU82" s="45" t="s">
        <v>57</v>
      </c>
      <c r="AV82" s="45">
        <f t="shared" si="86"/>
        <v>0</v>
      </c>
      <c r="AW82" s="50"/>
      <c r="AX82" s="118">
        <v>8</v>
      </c>
      <c r="AY82" s="114" t="str">
        <f>Inputs!$A$10</f>
        <v>M4597400</v>
      </c>
      <c r="AZ82" s="45" t="str">
        <f>Inputs!$B$10</f>
        <v>MC</v>
      </c>
      <c r="BA82" s="45" t="s">
        <v>58</v>
      </c>
      <c r="BB82" s="45">
        <f t="shared" si="79"/>
        <v>57.021357000000002</v>
      </c>
      <c r="BC82" s="50"/>
      <c r="BD82" s="45">
        <v>52.977024</v>
      </c>
      <c r="BE82" s="45">
        <v>0</v>
      </c>
      <c r="BF82" s="45">
        <f t="shared" si="91"/>
        <v>-52.977024</v>
      </c>
      <c r="BG82" s="50"/>
      <c r="BH82" s="45">
        <f t="shared" si="92"/>
        <v>0</v>
      </c>
      <c r="BI82" s="64">
        <f>BD82*Inputs!$F$10*Inputs!$G$10</f>
        <v>109902.584529792</v>
      </c>
      <c r="BJ82" s="45">
        <f>Inputs!$F$10*Inputs!$I$10*BE82</f>
        <v>0</v>
      </c>
      <c r="BK82" s="55">
        <v>25.369</v>
      </c>
      <c r="BM82" s="116">
        <v>8</v>
      </c>
      <c r="BN82" s="114" t="str">
        <f>Inputs!$A$10</f>
        <v>M4597400</v>
      </c>
      <c r="BO82" s="45" t="str">
        <f>Inputs!$B$10</f>
        <v>MC</v>
      </c>
      <c r="BP82" s="45" t="s">
        <v>57</v>
      </c>
      <c r="BQ82" s="45">
        <f t="shared" si="82"/>
        <v>0</v>
      </c>
      <c r="BR82" s="50"/>
      <c r="BS82" s="118">
        <v>8</v>
      </c>
      <c r="BT82" s="114" t="str">
        <f>Inputs!$A$10</f>
        <v>M4597400</v>
      </c>
      <c r="BU82" s="45" t="str">
        <f>Inputs!$B$10</f>
        <v>MC</v>
      </c>
      <c r="BV82" s="45" t="s">
        <v>58</v>
      </c>
      <c r="BW82" s="45">
        <f t="shared" si="83"/>
        <v>57.021357000000002</v>
      </c>
      <c r="BX82" s="50"/>
      <c r="BY82" s="45">
        <v>27.608024</v>
      </c>
      <c r="BZ82" s="45">
        <v>0</v>
      </c>
      <c r="CA82" s="45">
        <f t="shared" si="93"/>
        <v>-27.608023666666671</v>
      </c>
      <c r="CB82" s="50"/>
      <c r="CC82" s="45">
        <f t="shared" si="94"/>
        <v>-3.3333332893903389E-7</v>
      </c>
      <c r="CD82" s="64">
        <f>BY82*Inputs!$F$10*Inputs!$G$10</f>
        <v>57273.756852792001</v>
      </c>
      <c r="CE82" s="45">
        <f>Inputs!$F$10*Inputs!$I$10*BZ82</f>
        <v>0</v>
      </c>
      <c r="CF82" s="55">
        <v>29.41333333333333</v>
      </c>
    </row>
    <row r="83" spans="1:97" x14ac:dyDescent="0.25">
      <c r="A83" s="116">
        <v>9</v>
      </c>
      <c r="B83" s="114" t="str">
        <f>Inputs!$A$10</f>
        <v>M4597400</v>
      </c>
      <c r="C83" s="45" t="str">
        <f>Inputs!$B$10</f>
        <v>MC</v>
      </c>
      <c r="D83" s="45" t="s">
        <v>57</v>
      </c>
      <c r="E83" s="45">
        <v>0</v>
      </c>
      <c r="F83" s="50"/>
      <c r="G83" s="118">
        <v>9</v>
      </c>
      <c r="H83" s="114" t="str">
        <f>Inputs!$A$10</f>
        <v>M4597400</v>
      </c>
      <c r="I83" s="45" t="str">
        <f>Inputs!$B$10</f>
        <v>MC</v>
      </c>
      <c r="J83" s="45" t="s">
        <v>58</v>
      </c>
      <c r="K83" s="45">
        <v>0</v>
      </c>
      <c r="L83" s="50"/>
      <c r="M83" s="45">
        <v>0</v>
      </c>
      <c r="N83" s="45">
        <v>0</v>
      </c>
      <c r="O83" s="45">
        <f t="shared" si="87"/>
        <v>-3.353293420715886E-8</v>
      </c>
      <c r="P83" s="50"/>
      <c r="Q83" s="45">
        <f t="shared" si="88"/>
        <v>3.353293420715886E-8</v>
      </c>
      <c r="R83" s="64">
        <f>M83*Inputs!$F$10*Inputs!$G$10</f>
        <v>0</v>
      </c>
      <c r="S83" s="45">
        <f>Inputs!$F$10*Inputs!$I$10*N83</f>
        <v>0</v>
      </c>
      <c r="T83" s="18"/>
      <c r="U83" s="55">
        <v>2.2291167664670657</v>
      </c>
      <c r="W83" s="116">
        <v>9</v>
      </c>
      <c r="X83" s="114" t="str">
        <f>Inputs!$A$10</f>
        <v>M4597400</v>
      </c>
      <c r="Y83" s="45" t="str">
        <f>Inputs!$B$10</f>
        <v>MC</v>
      </c>
      <c r="Z83" s="45" t="s">
        <v>57</v>
      </c>
      <c r="AA83" s="45">
        <f t="shared" si="75"/>
        <v>0</v>
      </c>
      <c r="AB83" s="50"/>
      <c r="AC83" s="118">
        <v>9</v>
      </c>
      <c r="AD83" s="114" t="str">
        <f>Inputs!$A$10</f>
        <v>M4597400</v>
      </c>
      <c r="AE83" s="45" t="str">
        <f>Inputs!$B$10</f>
        <v>MC</v>
      </c>
      <c r="AF83" s="45" t="s">
        <v>58</v>
      </c>
      <c r="AG83" s="45">
        <f t="shared" si="76"/>
        <v>0</v>
      </c>
      <c r="AH83" s="50"/>
      <c r="AI83" s="45">
        <v>49.668024000000003</v>
      </c>
      <c r="AJ83" s="45">
        <v>0</v>
      </c>
      <c r="AK83" s="45">
        <f t="shared" si="89"/>
        <v>-49.668024000000003</v>
      </c>
      <c r="AL83" s="50"/>
      <c r="AM83" s="45">
        <f t="shared" si="90"/>
        <v>0</v>
      </c>
      <c r="AN83" s="64">
        <f>AI83*Inputs!$F$10*Inputs!$G$10</f>
        <v>103037.95483279201</v>
      </c>
      <c r="AO83" s="45">
        <f>Inputs!$F$10*Inputs!$I$10*AJ83</f>
        <v>0</v>
      </c>
      <c r="AP83" s="55">
        <v>22.06</v>
      </c>
      <c r="AR83" s="116">
        <v>9</v>
      </c>
      <c r="AS83" s="114" t="str">
        <f>Inputs!$A$10</f>
        <v>M4597400</v>
      </c>
      <c r="AT83" s="45" t="str">
        <f>Inputs!$B$10</f>
        <v>MC</v>
      </c>
      <c r="AU83" s="45" t="s">
        <v>57</v>
      </c>
      <c r="AV83" s="45">
        <f t="shared" si="86"/>
        <v>0</v>
      </c>
      <c r="AW83" s="50"/>
      <c r="AX83" s="118">
        <v>9</v>
      </c>
      <c r="AY83" s="114" t="str">
        <f>Inputs!$A$10</f>
        <v>M4597400</v>
      </c>
      <c r="AZ83" s="45" t="str">
        <f>Inputs!$B$10</f>
        <v>MC</v>
      </c>
      <c r="BA83" s="45" t="s">
        <v>58</v>
      </c>
      <c r="BB83" s="45">
        <f t="shared" si="79"/>
        <v>0</v>
      </c>
      <c r="BC83" s="50"/>
      <c r="BD83" s="45">
        <v>24.299023999999999</v>
      </c>
      <c r="BE83" s="45">
        <v>0</v>
      </c>
      <c r="BF83" s="45">
        <f t="shared" si="91"/>
        <v>-24.299023999999999</v>
      </c>
      <c r="BG83" s="50"/>
      <c r="BH83" s="45">
        <f t="shared" si="92"/>
        <v>0</v>
      </c>
      <c r="BI83" s="64">
        <f>BD83*Inputs!$F$10*Inputs!$G$10</f>
        <v>50409.127155791997</v>
      </c>
      <c r="BJ83" s="45">
        <f>Inputs!$F$10*Inputs!$I$10*BE83</f>
        <v>0</v>
      </c>
      <c r="BK83" s="55">
        <v>28.678000000000001</v>
      </c>
      <c r="BM83" s="116">
        <v>9</v>
      </c>
      <c r="BN83" s="114" t="str">
        <f>Inputs!$A$10</f>
        <v>M4597400</v>
      </c>
      <c r="BO83" s="45" t="str">
        <f>Inputs!$B$10</f>
        <v>MC</v>
      </c>
      <c r="BP83" s="45" t="s">
        <v>57</v>
      </c>
      <c r="BQ83" s="45">
        <f t="shared" si="82"/>
        <v>0</v>
      </c>
      <c r="BR83" s="50"/>
      <c r="BS83" s="118">
        <v>9</v>
      </c>
      <c r="BT83" s="114" t="str">
        <f>Inputs!$A$10</f>
        <v>M4597400</v>
      </c>
      <c r="BU83" s="45" t="str">
        <f>Inputs!$B$10</f>
        <v>MC</v>
      </c>
      <c r="BV83" s="45" t="s">
        <v>58</v>
      </c>
      <c r="BW83" s="45">
        <f t="shared" si="83"/>
        <v>0</v>
      </c>
      <c r="BX83" s="50"/>
      <c r="BY83" s="45">
        <v>5.5480239999999998</v>
      </c>
      <c r="BZ83" s="45">
        <v>0</v>
      </c>
      <c r="CA83" s="45">
        <f t="shared" si="93"/>
        <v>-5.5480240000000016</v>
      </c>
      <c r="CB83" s="50"/>
      <c r="CC83" s="45">
        <f t="shared" si="94"/>
        <v>0</v>
      </c>
      <c r="CD83" s="64">
        <f>BY83*Inputs!$F$10*Inputs!$G$10</f>
        <v>11509.558872791999</v>
      </c>
      <c r="CE83" s="45">
        <f>Inputs!$F$10*Inputs!$I$10*BZ83</f>
        <v>0</v>
      </c>
      <c r="CF83" s="55">
        <v>22.06</v>
      </c>
    </row>
    <row r="84" spans="1:97" x14ac:dyDescent="0.25">
      <c r="A84" s="116">
        <v>10</v>
      </c>
      <c r="B84" s="114" t="str">
        <f>Inputs!$A$10</f>
        <v>M4597400</v>
      </c>
      <c r="C84" s="45" t="str">
        <f>Inputs!$B$10</f>
        <v>MC</v>
      </c>
      <c r="D84" s="45" t="s">
        <v>57</v>
      </c>
      <c r="E84" s="45">
        <v>16.511976000000001</v>
      </c>
      <c r="F84" s="50"/>
      <c r="G84" s="118">
        <v>10</v>
      </c>
      <c r="H84" s="114" t="str">
        <f>Inputs!$A$10</f>
        <v>M4597400</v>
      </c>
      <c r="I84" s="45" t="str">
        <f>Inputs!$B$10</f>
        <v>MC</v>
      </c>
      <c r="J84" s="45" t="s">
        <v>58</v>
      </c>
      <c r="K84" s="45">
        <v>0</v>
      </c>
      <c r="L84" s="50"/>
      <c r="M84" s="45">
        <v>16.511976000000001</v>
      </c>
      <c r="N84" s="45">
        <v>0</v>
      </c>
      <c r="O84" s="45">
        <f t="shared" si="87"/>
        <v>-16.511976000000001</v>
      </c>
      <c r="P84" s="50"/>
      <c r="Q84" s="45">
        <f t="shared" si="88"/>
        <v>0</v>
      </c>
      <c r="R84" s="64">
        <f>M84*Inputs!$F$10*Inputs!$G$10</f>
        <v>34254.639107208</v>
      </c>
      <c r="S84" s="45">
        <f>Inputs!$F$10*Inputs!$I$10*N84</f>
        <v>0</v>
      </c>
      <c r="T84" s="18"/>
      <c r="U84" s="91">
        <v>0</v>
      </c>
      <c r="W84" s="116">
        <v>10</v>
      </c>
      <c r="X84" s="114" t="str">
        <f>Inputs!$A$10</f>
        <v>M4597400</v>
      </c>
      <c r="Y84" s="45" t="str">
        <f>Inputs!$B$10</f>
        <v>MC</v>
      </c>
      <c r="Z84" s="45" t="s">
        <v>57</v>
      </c>
      <c r="AA84" s="45">
        <f t="shared" si="75"/>
        <v>16.511976000000001</v>
      </c>
      <c r="AB84" s="50"/>
      <c r="AC84" s="118">
        <v>10</v>
      </c>
      <c r="AD84" s="114" t="str">
        <f>Inputs!$A$10</f>
        <v>M4597400</v>
      </c>
      <c r="AE84" s="45" t="str">
        <f>Inputs!$B$10</f>
        <v>MC</v>
      </c>
      <c r="AF84" s="45" t="s">
        <v>58</v>
      </c>
      <c r="AG84" s="45">
        <f t="shared" si="76"/>
        <v>0</v>
      </c>
      <c r="AH84" s="50"/>
      <c r="AI84" s="45">
        <v>36.766666999999998</v>
      </c>
      <c r="AJ84" s="45">
        <v>0</v>
      </c>
      <c r="AK84" s="45">
        <f t="shared" si="89"/>
        <v>-36.766666666666673</v>
      </c>
      <c r="AL84" s="50"/>
      <c r="AM84" s="45">
        <f t="shared" si="90"/>
        <v>-3.3333332538632021E-7</v>
      </c>
      <c r="AN84" s="64">
        <f>AI84*Inputs!$F$10*Inputs!$G$10</f>
        <v>76273.663991510984</v>
      </c>
      <c r="AO84" s="45">
        <f>Inputs!$F$10*Inputs!$I$10*AJ84</f>
        <v>0</v>
      </c>
      <c r="AP84" s="91">
        <v>29.41333333333333</v>
      </c>
      <c r="AR84" s="116">
        <v>10</v>
      </c>
      <c r="AS84" s="114" t="str">
        <f>Inputs!$A$10</f>
        <v>M4597400</v>
      </c>
      <c r="AT84" s="45" t="str">
        <f>Inputs!$B$10</f>
        <v>MC</v>
      </c>
      <c r="AU84" s="45" t="s">
        <v>57</v>
      </c>
      <c r="AV84" s="45">
        <f t="shared" si="86"/>
        <v>16.511976000000001</v>
      </c>
      <c r="AW84" s="50"/>
      <c r="AX84" s="118">
        <v>10</v>
      </c>
      <c r="AY84" s="114" t="str">
        <f>Inputs!$A$10</f>
        <v>M4597400</v>
      </c>
      <c r="AZ84" s="45" t="str">
        <f>Inputs!$B$10</f>
        <v>MC</v>
      </c>
      <c r="BA84" s="45" t="s">
        <v>58</v>
      </c>
      <c r="BB84" s="45">
        <f t="shared" si="79"/>
        <v>0</v>
      </c>
      <c r="BC84" s="50"/>
      <c r="BD84" s="45">
        <v>15.442</v>
      </c>
      <c r="BE84" s="45">
        <v>0</v>
      </c>
      <c r="BF84" s="45">
        <f t="shared" si="91"/>
        <v>-15.442</v>
      </c>
      <c r="BG84" s="50"/>
      <c r="BH84" s="45">
        <f t="shared" si="92"/>
        <v>0</v>
      </c>
      <c r="BI84" s="64">
        <f>BD84*Inputs!$F$10*Inputs!$G$10</f>
        <v>32034.938586</v>
      </c>
      <c r="BJ84" s="45">
        <f>Inputs!$F$10*Inputs!$I$10*BE84</f>
        <v>0</v>
      </c>
      <c r="BK84" s="91">
        <v>25.369</v>
      </c>
      <c r="BM84" s="116">
        <v>10</v>
      </c>
      <c r="BN84" s="114" t="str">
        <f>Inputs!$A$10</f>
        <v>M4597400</v>
      </c>
      <c r="BO84" s="45" t="str">
        <f>Inputs!$B$10</f>
        <v>MC</v>
      </c>
      <c r="BP84" s="45" t="s">
        <v>57</v>
      </c>
      <c r="BQ84" s="45">
        <f t="shared" si="82"/>
        <v>16.511976000000001</v>
      </c>
      <c r="BR84" s="50"/>
      <c r="BS84" s="118">
        <v>10</v>
      </c>
      <c r="BT84" s="114" t="str">
        <f>Inputs!$A$10</f>
        <v>M4597400</v>
      </c>
      <c r="BU84" s="45" t="str">
        <f>Inputs!$B$10</f>
        <v>MC</v>
      </c>
      <c r="BV84" s="45" t="s">
        <v>58</v>
      </c>
      <c r="BW84" s="45">
        <f t="shared" si="83"/>
        <v>0</v>
      </c>
      <c r="BX84" s="50"/>
      <c r="BY84" s="45">
        <v>7.3533333000000001</v>
      </c>
      <c r="BZ84" s="45">
        <v>0</v>
      </c>
      <c r="CA84" s="45">
        <f t="shared" si="93"/>
        <v>-7.3533333333333353</v>
      </c>
      <c r="CB84" s="50"/>
      <c r="CC84" s="45">
        <f t="shared" si="94"/>
        <v>3.333333520316728E-8</v>
      </c>
      <c r="CD84" s="64">
        <f>BY84*Inputs!$F$10*Inputs!$G$10</f>
        <v>15254.7325908489</v>
      </c>
      <c r="CE84" s="45">
        <f>Inputs!$F$10*Inputs!$I$10*BZ84</f>
        <v>0</v>
      </c>
      <c r="CF84" s="91">
        <v>14.706666666666665</v>
      </c>
      <c r="CS84" s="67"/>
    </row>
    <row r="85" spans="1:97" x14ac:dyDescent="0.25">
      <c r="A85" s="116">
        <v>11</v>
      </c>
      <c r="B85" s="114" t="str">
        <f>Inputs!$A$10</f>
        <v>M4597400</v>
      </c>
      <c r="C85" s="45" t="str">
        <f>Inputs!$B$10</f>
        <v>MC</v>
      </c>
      <c r="D85" s="45" t="s">
        <v>57</v>
      </c>
      <c r="E85" s="45">
        <v>0</v>
      </c>
      <c r="F85" s="50"/>
      <c r="G85" s="118">
        <v>11</v>
      </c>
      <c r="H85" s="114" t="str">
        <f>Inputs!$A$10</f>
        <v>M4597400</v>
      </c>
      <c r="I85" s="45" t="str">
        <f>Inputs!$B$10</f>
        <v>MC</v>
      </c>
      <c r="J85" s="45" t="s">
        <v>58</v>
      </c>
      <c r="K85" s="45">
        <v>0</v>
      </c>
      <c r="L85" s="50"/>
      <c r="M85" s="45">
        <v>0</v>
      </c>
      <c r="N85" s="45">
        <v>0</v>
      </c>
      <c r="O85" s="45">
        <f t="shared" si="87"/>
        <v>4.7904190836334237E-8</v>
      </c>
      <c r="P85" s="50"/>
      <c r="Q85" s="45">
        <f t="shared" si="88"/>
        <v>-4.7904190836334237E-8</v>
      </c>
      <c r="R85" s="64">
        <f>M85*Inputs!$F$10*Inputs!$H$10</f>
        <v>0</v>
      </c>
      <c r="S85" s="45">
        <f>Inputs!$F$10*Inputs!$I$10*N85</f>
        <v>0</v>
      </c>
      <c r="T85" s="18"/>
      <c r="U85" s="56">
        <v>16.511976047904191</v>
      </c>
      <c r="W85" s="116">
        <v>11</v>
      </c>
      <c r="X85" s="114" t="str">
        <f>Inputs!$A$10</f>
        <v>M4597400</v>
      </c>
      <c r="Y85" s="45" t="str">
        <f>Inputs!$B$10</f>
        <v>MC</v>
      </c>
      <c r="Z85" s="45" t="s">
        <v>57</v>
      </c>
      <c r="AA85" s="45">
        <f t="shared" si="75"/>
        <v>0</v>
      </c>
      <c r="AB85" s="50"/>
      <c r="AC85" s="118">
        <v>11</v>
      </c>
      <c r="AD85" s="114" t="str">
        <f>Inputs!$A$10</f>
        <v>M4597400</v>
      </c>
      <c r="AE85" s="45" t="str">
        <f>Inputs!$B$10</f>
        <v>MC</v>
      </c>
      <c r="AF85" s="45" t="s">
        <v>58</v>
      </c>
      <c r="AG85" s="45">
        <f t="shared" si="76"/>
        <v>0</v>
      </c>
      <c r="AH85" s="50"/>
      <c r="AI85" s="45">
        <v>0</v>
      </c>
      <c r="AJ85" s="45">
        <v>0</v>
      </c>
      <c r="AK85" s="45">
        <f t="shared" si="89"/>
        <v>-3.3333333249174757E-7</v>
      </c>
      <c r="AL85" s="50"/>
      <c r="AM85" s="45">
        <f t="shared" si="90"/>
        <v>3.3333333249174757E-7</v>
      </c>
      <c r="AN85" s="64">
        <f>AI85*Inputs!$F$10*Inputs!$H$10</f>
        <v>0</v>
      </c>
      <c r="AO85" s="45">
        <f>Inputs!$F$10*Inputs!$I$10*AJ85</f>
        <v>0</v>
      </c>
      <c r="AP85" s="56">
        <v>36.766666666666666</v>
      </c>
      <c r="AR85" s="116">
        <v>11</v>
      </c>
      <c r="AS85" s="114" t="str">
        <f>Inputs!$A$10</f>
        <v>M4597400</v>
      </c>
      <c r="AT85" s="45" t="str">
        <f>Inputs!$B$10</f>
        <v>MC</v>
      </c>
      <c r="AU85" s="45" t="s">
        <v>57</v>
      </c>
      <c r="AV85" s="45">
        <f t="shared" si="86"/>
        <v>0</v>
      </c>
      <c r="AW85" s="50"/>
      <c r="AX85" s="118">
        <v>11</v>
      </c>
      <c r="AY85" s="114" t="str">
        <f>Inputs!$A$10</f>
        <v>M4597400</v>
      </c>
      <c r="AZ85" s="45" t="str">
        <f>Inputs!$B$10</f>
        <v>MC</v>
      </c>
      <c r="BA85" s="45" t="s">
        <v>58</v>
      </c>
      <c r="BB85" s="45">
        <f t="shared" si="79"/>
        <v>0</v>
      </c>
      <c r="BC85" s="50"/>
      <c r="BD85" s="45">
        <v>0</v>
      </c>
      <c r="BE85" s="45">
        <v>0</v>
      </c>
      <c r="BF85" s="45">
        <f t="shared" si="91"/>
        <v>1.7763568394002505E-15</v>
      </c>
      <c r="BG85" s="50"/>
      <c r="BH85" s="45">
        <f t="shared" si="92"/>
        <v>-1.7763568394002505E-15</v>
      </c>
      <c r="BI85" s="64">
        <f>BD85*Inputs!$F$10*Inputs!$H$10</f>
        <v>0</v>
      </c>
      <c r="BJ85" s="45">
        <f>Inputs!$F$10*Inputs!$I$10*BE85</f>
        <v>0</v>
      </c>
      <c r="BK85" s="56">
        <v>15.442000000000002</v>
      </c>
      <c r="BM85" s="116">
        <v>11</v>
      </c>
      <c r="BN85" s="114" t="str">
        <f>Inputs!$A$10</f>
        <v>M4597400</v>
      </c>
      <c r="BO85" s="45" t="str">
        <f>Inputs!$B$10</f>
        <v>MC</v>
      </c>
      <c r="BP85" s="45" t="s">
        <v>57</v>
      </c>
      <c r="BQ85" s="45">
        <f t="shared" si="82"/>
        <v>0</v>
      </c>
      <c r="BR85" s="50"/>
      <c r="BS85" s="118">
        <v>11</v>
      </c>
      <c r="BT85" s="114" t="str">
        <f>Inputs!$A$10</f>
        <v>M4597400</v>
      </c>
      <c r="BU85" s="45" t="str">
        <f>Inputs!$B$10</f>
        <v>MC</v>
      </c>
      <c r="BV85" s="45" t="s">
        <v>58</v>
      </c>
      <c r="BW85" s="45">
        <f t="shared" si="83"/>
        <v>0</v>
      </c>
      <c r="BX85" s="50"/>
      <c r="BY85" s="45">
        <v>0</v>
      </c>
      <c r="BZ85" s="45">
        <v>0</v>
      </c>
      <c r="CA85" s="45">
        <f t="shared" si="93"/>
        <v>3.3333332538632021E-8</v>
      </c>
      <c r="CB85" s="50"/>
      <c r="CC85" s="45">
        <f t="shared" si="94"/>
        <v>-3.3333332538632021E-8</v>
      </c>
      <c r="CD85" s="64">
        <f>BY85*Inputs!$F$10*Inputs!$H$10</f>
        <v>0</v>
      </c>
      <c r="CE85" s="45">
        <f>Inputs!$F$10*Inputs!$I$10*BZ85</f>
        <v>0</v>
      </c>
      <c r="CF85" s="56">
        <v>7.3533333333333326</v>
      </c>
      <c r="CS85" s="68"/>
    </row>
    <row r="86" spans="1:97" x14ac:dyDescent="0.25">
      <c r="A86" s="117">
        <v>3</v>
      </c>
      <c r="B86" s="115" t="str">
        <f>Inputs!$A$11</f>
        <v>M3134800</v>
      </c>
      <c r="C86" s="44" t="str">
        <f>Inputs!$B$11</f>
        <v>PNT</v>
      </c>
      <c r="D86" s="44" t="s">
        <v>57</v>
      </c>
      <c r="E86" s="44">
        <v>0</v>
      </c>
      <c r="F86" s="50"/>
      <c r="G86" s="119">
        <v>3</v>
      </c>
      <c r="H86" s="115" t="str">
        <f>Inputs!$A$11</f>
        <v>M3134800</v>
      </c>
      <c r="I86" s="44" t="str">
        <f>Inputs!$B$11</f>
        <v>PNT</v>
      </c>
      <c r="J86" s="44" t="s">
        <v>58</v>
      </c>
      <c r="K86" s="44">
        <v>0</v>
      </c>
      <c r="L86" s="50"/>
      <c r="M86" s="44">
        <v>0</v>
      </c>
      <c r="N86" s="44">
        <v>0</v>
      </c>
      <c r="O86" s="44">
        <f>U86-0-E86-K86</f>
        <v>0</v>
      </c>
      <c r="P86" s="50"/>
      <c r="Q86" s="44">
        <f>E86+K86+N86-U86+0-M86</f>
        <v>0</v>
      </c>
      <c r="R86" s="63">
        <f>M86*Inputs!$F$11*Inputs!$G$11</f>
        <v>0</v>
      </c>
      <c r="S86" s="44">
        <f>Inputs!$F$11*Inputs!$I$11*N86</f>
        <v>0</v>
      </c>
      <c r="T86" s="18"/>
      <c r="U86" s="54">
        <v>0</v>
      </c>
      <c r="W86" s="117">
        <v>3</v>
      </c>
      <c r="X86" s="115" t="str">
        <f>Inputs!$A$11</f>
        <v>M3134800</v>
      </c>
      <c r="Y86" s="44" t="str">
        <f>Inputs!$B$11</f>
        <v>PNT</v>
      </c>
      <c r="Z86" s="44" t="s">
        <v>57</v>
      </c>
      <c r="AA86" s="44">
        <f t="shared" si="75"/>
        <v>0</v>
      </c>
      <c r="AB86" s="50"/>
      <c r="AC86" s="119">
        <v>3</v>
      </c>
      <c r="AD86" s="115" t="str">
        <f>Inputs!$A$11</f>
        <v>M3134800</v>
      </c>
      <c r="AE86" s="44" t="str">
        <f>Inputs!$B$11</f>
        <v>PNT</v>
      </c>
      <c r="AF86" s="44" t="s">
        <v>58</v>
      </c>
      <c r="AG86" s="44">
        <f t="shared" si="76"/>
        <v>0</v>
      </c>
      <c r="AH86" s="50"/>
      <c r="AI86" s="44">
        <v>0</v>
      </c>
      <c r="AJ86" s="44">
        <v>0</v>
      </c>
      <c r="AK86" s="44">
        <f>AP86-0-AA86-AG86</f>
        <v>0</v>
      </c>
      <c r="AL86" s="50"/>
      <c r="AM86" s="44">
        <f>AA86+AG86+AJ86-AP86+0-AI86</f>
        <v>0</v>
      </c>
      <c r="AN86" s="63">
        <f>AI86*Inputs!$F$11*Inputs!$G$11</f>
        <v>0</v>
      </c>
      <c r="AO86" s="44">
        <f>Inputs!$F$11*Inputs!$I$11*AJ86</f>
        <v>0</v>
      </c>
      <c r="AP86" s="54">
        <v>0</v>
      </c>
      <c r="AR86" s="117">
        <v>3</v>
      </c>
      <c r="AS86" s="115" t="str">
        <f>Inputs!$A$11</f>
        <v>M3134800</v>
      </c>
      <c r="AT86" s="44" t="str">
        <f>Inputs!$B$11</f>
        <v>PNT</v>
      </c>
      <c r="AU86" s="44" t="s">
        <v>57</v>
      </c>
      <c r="AV86" s="44">
        <f t="shared" si="86"/>
        <v>0</v>
      </c>
      <c r="AW86" s="50"/>
      <c r="AX86" s="119">
        <v>3</v>
      </c>
      <c r="AY86" s="115" t="str">
        <f>Inputs!$A$11</f>
        <v>M3134800</v>
      </c>
      <c r="AZ86" s="44" t="str">
        <f>Inputs!$B$11</f>
        <v>PNT</v>
      </c>
      <c r="BA86" s="44" t="s">
        <v>58</v>
      </c>
      <c r="BB86" s="44">
        <f t="shared" si="79"/>
        <v>0</v>
      </c>
      <c r="BC86" s="50"/>
      <c r="BD86" s="44">
        <v>0</v>
      </c>
      <c r="BE86" s="44">
        <v>0</v>
      </c>
      <c r="BF86" s="44">
        <f>BK86-0-AV86-BB86</f>
        <v>0</v>
      </c>
      <c r="BG86" s="50"/>
      <c r="BH86" s="44">
        <f>AV86+BB86+BE86-BK86+0-BD86</f>
        <v>0</v>
      </c>
      <c r="BI86" s="63">
        <f>BD86*Inputs!$F$11*Inputs!$G$11</f>
        <v>0</v>
      </c>
      <c r="BJ86" s="44">
        <f>Inputs!$F$11*Inputs!$I$11*BE86</f>
        <v>0</v>
      </c>
      <c r="BK86" s="54">
        <v>0</v>
      </c>
      <c r="BM86" s="117">
        <v>3</v>
      </c>
      <c r="BN86" s="115" t="str">
        <f>Inputs!$A$11</f>
        <v>M3134800</v>
      </c>
      <c r="BO86" s="44" t="str">
        <f>Inputs!$B$11</f>
        <v>PNT</v>
      </c>
      <c r="BP86" s="44" t="s">
        <v>57</v>
      </c>
      <c r="BQ86" s="44">
        <f t="shared" si="82"/>
        <v>0</v>
      </c>
      <c r="BR86" s="50"/>
      <c r="BS86" s="119">
        <v>3</v>
      </c>
      <c r="BT86" s="115" t="str">
        <f>Inputs!$A$11</f>
        <v>M3134800</v>
      </c>
      <c r="BU86" s="44" t="str">
        <f>Inputs!$B$11</f>
        <v>PNT</v>
      </c>
      <c r="BV86" s="44" t="s">
        <v>58</v>
      </c>
      <c r="BW86" s="44">
        <f t="shared" si="83"/>
        <v>0</v>
      </c>
      <c r="BX86" s="50"/>
      <c r="BY86" s="44">
        <v>0</v>
      </c>
      <c r="BZ86" s="44">
        <v>0</v>
      </c>
      <c r="CA86" s="44">
        <f>CF86-0-BQ86-BW86</f>
        <v>0</v>
      </c>
      <c r="CB86" s="50"/>
      <c r="CC86" s="44">
        <f>BQ86+BW86+BZ86-CF86+0-BY86</f>
        <v>0</v>
      </c>
      <c r="CD86" s="63">
        <f>BY86*Inputs!$F$11*Inputs!$G$11</f>
        <v>0</v>
      </c>
      <c r="CE86" s="44">
        <f>Inputs!$F$11*Inputs!$I$11*BZ86</f>
        <v>0</v>
      </c>
      <c r="CF86" s="54">
        <v>0</v>
      </c>
      <c r="CS86" s="65"/>
    </row>
    <row r="87" spans="1:97" x14ac:dyDescent="0.25">
      <c r="A87" s="117">
        <v>4</v>
      </c>
      <c r="B87" s="115" t="str">
        <f>Inputs!$A$11</f>
        <v>M3134800</v>
      </c>
      <c r="C87" s="44" t="str">
        <f>Inputs!$B$11</f>
        <v>PNT</v>
      </c>
      <c r="D87" s="44" t="s">
        <v>57</v>
      </c>
      <c r="E87" s="44">
        <v>0</v>
      </c>
      <c r="F87" s="50"/>
      <c r="G87" s="119">
        <v>4</v>
      </c>
      <c r="H87" s="115" t="str">
        <f>Inputs!$A$11</f>
        <v>M3134800</v>
      </c>
      <c r="I87" s="44" t="str">
        <f>Inputs!$B$11</f>
        <v>PNT</v>
      </c>
      <c r="J87" s="44" t="s">
        <v>58</v>
      </c>
      <c r="K87" s="44">
        <v>0</v>
      </c>
      <c r="L87" s="50"/>
      <c r="M87" s="44">
        <v>0</v>
      </c>
      <c r="N87" s="44">
        <v>0</v>
      </c>
      <c r="O87" s="44">
        <f t="shared" ref="O87:O94" si="95">U87-M86-E87-K87</f>
        <v>0</v>
      </c>
      <c r="P87" s="50"/>
      <c r="Q87" s="44">
        <f t="shared" ref="Q87:Q94" si="96">E87+K87+N87-U87+M86-M87</f>
        <v>0</v>
      </c>
      <c r="R87" s="63">
        <f>M87*Inputs!$F$11*Inputs!$G$11</f>
        <v>0</v>
      </c>
      <c r="S87" s="44">
        <f>Inputs!$F$11*Inputs!$I$11*N87</f>
        <v>0</v>
      </c>
      <c r="T87" s="18"/>
      <c r="U87" s="55">
        <v>0</v>
      </c>
      <c r="W87" s="117">
        <v>4</v>
      </c>
      <c r="X87" s="115" t="str">
        <f>Inputs!$A$11</f>
        <v>M3134800</v>
      </c>
      <c r="Y87" s="44" t="str">
        <f>Inputs!$B$11</f>
        <v>PNT</v>
      </c>
      <c r="Z87" s="44" t="s">
        <v>57</v>
      </c>
      <c r="AA87" s="44">
        <f t="shared" si="75"/>
        <v>0</v>
      </c>
      <c r="AB87" s="50"/>
      <c r="AC87" s="119">
        <v>4</v>
      </c>
      <c r="AD87" s="115" t="str">
        <f>Inputs!$A$11</f>
        <v>M3134800</v>
      </c>
      <c r="AE87" s="44" t="str">
        <f>Inputs!$B$11</f>
        <v>PNT</v>
      </c>
      <c r="AF87" s="44" t="s">
        <v>58</v>
      </c>
      <c r="AG87" s="44">
        <f t="shared" si="76"/>
        <v>0</v>
      </c>
      <c r="AH87" s="50"/>
      <c r="AI87" s="44">
        <v>0</v>
      </c>
      <c r="AJ87" s="44">
        <v>0</v>
      </c>
      <c r="AK87" s="44">
        <f t="shared" ref="AK87:AK94" si="97">AP87-AI86-AA87-AG87</f>
        <v>0</v>
      </c>
      <c r="AL87" s="50"/>
      <c r="AM87" s="44">
        <f t="shared" ref="AM87:AM94" si="98">AA87+AG87+AJ87-AP87+AI86-AI87</f>
        <v>0</v>
      </c>
      <c r="AN87" s="63">
        <f>AI87*Inputs!$F$11*Inputs!$G$11</f>
        <v>0</v>
      </c>
      <c r="AO87" s="44">
        <f>Inputs!$F$11*Inputs!$I$11*AJ87</f>
        <v>0</v>
      </c>
      <c r="AP87" s="55">
        <v>0</v>
      </c>
      <c r="AR87" s="117">
        <v>4</v>
      </c>
      <c r="AS87" s="115" t="str">
        <f>Inputs!$A$11</f>
        <v>M3134800</v>
      </c>
      <c r="AT87" s="44" t="str">
        <f>Inputs!$B$11</f>
        <v>PNT</v>
      </c>
      <c r="AU87" s="44" t="s">
        <v>57</v>
      </c>
      <c r="AV87" s="44">
        <f t="shared" si="86"/>
        <v>0</v>
      </c>
      <c r="AW87" s="50"/>
      <c r="AX87" s="119">
        <v>4</v>
      </c>
      <c r="AY87" s="115" t="str">
        <f>Inputs!$A$11</f>
        <v>M3134800</v>
      </c>
      <c r="AZ87" s="44" t="str">
        <f>Inputs!$B$11</f>
        <v>PNT</v>
      </c>
      <c r="BA87" s="44" t="s">
        <v>58</v>
      </c>
      <c r="BB87" s="44">
        <f t="shared" si="79"/>
        <v>0</v>
      </c>
      <c r="BC87" s="50"/>
      <c r="BD87" s="44">
        <v>0</v>
      </c>
      <c r="BE87" s="44">
        <v>0</v>
      </c>
      <c r="BF87" s="44">
        <f t="shared" ref="BF87:BF94" si="99">BK87-BD86-AV87-BB87</f>
        <v>0</v>
      </c>
      <c r="BG87" s="50"/>
      <c r="BH87" s="44">
        <f t="shared" ref="BH87:BH94" si="100">AV87+BB87+BE87-BK87+BD86-BD87</f>
        <v>0</v>
      </c>
      <c r="BI87" s="63">
        <f>BD87*Inputs!$F$11*Inputs!$G$11</f>
        <v>0</v>
      </c>
      <c r="BJ87" s="44">
        <f>Inputs!$F$11*Inputs!$I$11*BE87</f>
        <v>0</v>
      </c>
      <c r="BK87" s="55">
        <v>0</v>
      </c>
      <c r="BM87" s="117">
        <v>4</v>
      </c>
      <c r="BN87" s="115" t="str">
        <f>Inputs!$A$11</f>
        <v>M3134800</v>
      </c>
      <c r="BO87" s="44" t="str">
        <f>Inputs!$B$11</f>
        <v>PNT</v>
      </c>
      <c r="BP87" s="44" t="s">
        <v>57</v>
      </c>
      <c r="BQ87" s="44">
        <f t="shared" si="82"/>
        <v>0</v>
      </c>
      <c r="BR87" s="50"/>
      <c r="BS87" s="119">
        <v>4</v>
      </c>
      <c r="BT87" s="115" t="str">
        <f>Inputs!$A$11</f>
        <v>M3134800</v>
      </c>
      <c r="BU87" s="44" t="str">
        <f>Inputs!$B$11</f>
        <v>PNT</v>
      </c>
      <c r="BV87" s="44" t="s">
        <v>58</v>
      </c>
      <c r="BW87" s="44">
        <f t="shared" si="83"/>
        <v>0</v>
      </c>
      <c r="BX87" s="50"/>
      <c r="BY87" s="44">
        <v>0</v>
      </c>
      <c r="BZ87" s="44">
        <v>0</v>
      </c>
      <c r="CA87" s="44">
        <f t="shared" ref="CA87:CA94" si="101">CF87-BY86-BQ87-BW87</f>
        <v>0</v>
      </c>
      <c r="CB87" s="50"/>
      <c r="CC87" s="44">
        <f t="shared" ref="CC87:CC94" si="102">BQ87+BW87+BZ87-CF87+BY86-BY87</f>
        <v>0</v>
      </c>
      <c r="CD87" s="63">
        <f>BY87*Inputs!$F$11*Inputs!$G$11</f>
        <v>0</v>
      </c>
      <c r="CE87" s="44">
        <f>Inputs!$F$11*Inputs!$I$11*BZ87</f>
        <v>0</v>
      </c>
      <c r="CF87" s="55">
        <v>0</v>
      </c>
    </row>
    <row r="88" spans="1:97" x14ac:dyDescent="0.25">
      <c r="A88" s="117">
        <v>5</v>
      </c>
      <c r="B88" s="115" t="str">
        <f>Inputs!$A$11</f>
        <v>M3134800</v>
      </c>
      <c r="C88" s="44" t="str">
        <f>Inputs!$B$11</f>
        <v>PNT</v>
      </c>
      <c r="D88" s="44" t="s">
        <v>57</v>
      </c>
      <c r="E88" s="44">
        <v>0</v>
      </c>
      <c r="F88" s="50"/>
      <c r="G88" s="119">
        <v>5</v>
      </c>
      <c r="H88" s="115" t="str">
        <f>Inputs!$A$11</f>
        <v>M3134800</v>
      </c>
      <c r="I88" s="44" t="str">
        <f>Inputs!$B$11</f>
        <v>PNT</v>
      </c>
      <c r="J88" s="44" t="s">
        <v>58</v>
      </c>
      <c r="K88" s="44">
        <v>0</v>
      </c>
      <c r="L88" s="50"/>
      <c r="M88" s="44">
        <v>0</v>
      </c>
      <c r="N88" s="44">
        <v>0</v>
      </c>
      <c r="O88" s="44">
        <f t="shared" si="95"/>
        <v>0</v>
      </c>
      <c r="P88" s="50"/>
      <c r="Q88" s="44">
        <f t="shared" si="96"/>
        <v>0</v>
      </c>
      <c r="R88" s="63">
        <f>M88*Inputs!$F$11*Inputs!$G$11</f>
        <v>0</v>
      </c>
      <c r="S88" s="44">
        <f>Inputs!$F$11*Inputs!$I$11*N88</f>
        <v>0</v>
      </c>
      <c r="T88" s="18"/>
      <c r="U88" s="55">
        <v>0</v>
      </c>
      <c r="W88" s="117">
        <v>5</v>
      </c>
      <c r="X88" s="115" t="str">
        <f>Inputs!$A$11</f>
        <v>M3134800</v>
      </c>
      <c r="Y88" s="44" t="str">
        <f>Inputs!$B$11</f>
        <v>PNT</v>
      </c>
      <c r="Z88" s="44" t="s">
        <v>57</v>
      </c>
      <c r="AA88" s="44">
        <f t="shared" si="75"/>
        <v>0</v>
      </c>
      <c r="AB88" s="50"/>
      <c r="AC88" s="119">
        <v>5</v>
      </c>
      <c r="AD88" s="115" t="str">
        <f>Inputs!$A$11</f>
        <v>M3134800</v>
      </c>
      <c r="AE88" s="44" t="str">
        <f>Inputs!$B$11</f>
        <v>PNT</v>
      </c>
      <c r="AF88" s="44" t="s">
        <v>58</v>
      </c>
      <c r="AG88" s="44">
        <f t="shared" si="76"/>
        <v>0</v>
      </c>
      <c r="AH88" s="50"/>
      <c r="AI88" s="44">
        <v>0</v>
      </c>
      <c r="AJ88" s="44">
        <v>0</v>
      </c>
      <c r="AK88" s="44">
        <f t="shared" si="97"/>
        <v>0</v>
      </c>
      <c r="AL88" s="50"/>
      <c r="AM88" s="44">
        <f t="shared" si="98"/>
        <v>0</v>
      </c>
      <c r="AN88" s="63">
        <f>AI88*Inputs!$F$11*Inputs!$G$11</f>
        <v>0</v>
      </c>
      <c r="AO88" s="44">
        <f>Inputs!$F$11*Inputs!$I$11*AJ88</f>
        <v>0</v>
      </c>
      <c r="AP88" s="55">
        <v>0</v>
      </c>
      <c r="AR88" s="117">
        <v>5</v>
      </c>
      <c r="AS88" s="115" t="str">
        <f>Inputs!$A$11</f>
        <v>M3134800</v>
      </c>
      <c r="AT88" s="44" t="str">
        <f>Inputs!$B$11</f>
        <v>PNT</v>
      </c>
      <c r="AU88" s="44" t="s">
        <v>57</v>
      </c>
      <c r="AV88" s="44">
        <f t="shared" si="86"/>
        <v>0</v>
      </c>
      <c r="AW88" s="50"/>
      <c r="AX88" s="119">
        <v>5</v>
      </c>
      <c r="AY88" s="115" t="str">
        <f>Inputs!$A$11</f>
        <v>M3134800</v>
      </c>
      <c r="AZ88" s="44" t="str">
        <f>Inputs!$B$11</f>
        <v>PNT</v>
      </c>
      <c r="BA88" s="44" t="s">
        <v>58</v>
      </c>
      <c r="BB88" s="44">
        <f t="shared" si="79"/>
        <v>0</v>
      </c>
      <c r="BC88" s="50"/>
      <c r="BD88" s="44">
        <v>0</v>
      </c>
      <c r="BE88" s="44">
        <v>0</v>
      </c>
      <c r="BF88" s="44">
        <f t="shared" si="99"/>
        <v>0</v>
      </c>
      <c r="BG88" s="50"/>
      <c r="BH88" s="44">
        <f t="shared" si="100"/>
        <v>0</v>
      </c>
      <c r="BI88" s="63">
        <f>BD88*Inputs!$F$11*Inputs!$G$11</f>
        <v>0</v>
      </c>
      <c r="BJ88" s="44">
        <f>Inputs!$F$11*Inputs!$I$11*BE88</f>
        <v>0</v>
      </c>
      <c r="BK88" s="55">
        <v>0</v>
      </c>
      <c r="BM88" s="117">
        <v>5</v>
      </c>
      <c r="BN88" s="115" t="str">
        <f>Inputs!$A$11</f>
        <v>M3134800</v>
      </c>
      <c r="BO88" s="44" t="str">
        <f>Inputs!$B$11</f>
        <v>PNT</v>
      </c>
      <c r="BP88" s="44" t="s">
        <v>57</v>
      </c>
      <c r="BQ88" s="44">
        <f t="shared" si="82"/>
        <v>0</v>
      </c>
      <c r="BR88" s="50"/>
      <c r="BS88" s="119">
        <v>5</v>
      </c>
      <c r="BT88" s="115" t="str">
        <f>Inputs!$A$11</f>
        <v>M3134800</v>
      </c>
      <c r="BU88" s="44" t="str">
        <f>Inputs!$B$11</f>
        <v>PNT</v>
      </c>
      <c r="BV88" s="44" t="s">
        <v>58</v>
      </c>
      <c r="BW88" s="44">
        <f t="shared" si="83"/>
        <v>0</v>
      </c>
      <c r="BX88" s="50"/>
      <c r="BY88" s="44">
        <v>0</v>
      </c>
      <c r="BZ88" s="44">
        <v>0</v>
      </c>
      <c r="CA88" s="44">
        <f t="shared" si="101"/>
        <v>0</v>
      </c>
      <c r="CB88" s="50"/>
      <c r="CC88" s="44">
        <f t="shared" si="102"/>
        <v>0</v>
      </c>
      <c r="CD88" s="63">
        <f>BY88*Inputs!$F$11*Inputs!$G$11</f>
        <v>0</v>
      </c>
      <c r="CE88" s="44">
        <f>Inputs!$F$11*Inputs!$I$11*BZ88</f>
        <v>0</v>
      </c>
      <c r="CF88" s="55">
        <v>0</v>
      </c>
    </row>
    <row r="89" spans="1:97" x14ac:dyDescent="0.25">
      <c r="A89" s="117">
        <v>6</v>
      </c>
      <c r="B89" s="115" t="str">
        <f>Inputs!$A$11</f>
        <v>M3134800</v>
      </c>
      <c r="C89" s="44" t="str">
        <f>Inputs!$B$11</f>
        <v>PNT</v>
      </c>
      <c r="D89" s="44" t="s">
        <v>57</v>
      </c>
      <c r="E89" s="44">
        <v>454.7</v>
      </c>
      <c r="F89" s="50"/>
      <c r="G89" s="119">
        <v>6</v>
      </c>
      <c r="H89" s="115" t="str">
        <f>Inputs!$A$11</f>
        <v>M3134800</v>
      </c>
      <c r="I89" s="44" t="str">
        <f>Inputs!$B$11</f>
        <v>PNT</v>
      </c>
      <c r="J89" s="44" t="s">
        <v>58</v>
      </c>
      <c r="K89" s="44">
        <v>0</v>
      </c>
      <c r="L89" s="50"/>
      <c r="M89" s="44">
        <v>454.7</v>
      </c>
      <c r="N89" s="44">
        <v>0</v>
      </c>
      <c r="O89" s="44">
        <f t="shared" si="95"/>
        <v>-454.7</v>
      </c>
      <c r="P89" s="50"/>
      <c r="Q89" s="44">
        <f t="shared" si="96"/>
        <v>0</v>
      </c>
      <c r="R89" s="63">
        <f>M89*Inputs!$F$11*Inputs!$G$11</f>
        <v>936359.16299999994</v>
      </c>
      <c r="S89" s="44">
        <f>Inputs!$F$11*Inputs!$I$11*N89</f>
        <v>0</v>
      </c>
      <c r="T89" s="18"/>
      <c r="U89" s="55">
        <v>0</v>
      </c>
      <c r="W89" s="117">
        <v>6</v>
      </c>
      <c r="X89" s="115" t="str">
        <f>Inputs!$A$11</f>
        <v>M3134800</v>
      </c>
      <c r="Y89" s="44" t="str">
        <f>Inputs!$B$11</f>
        <v>PNT</v>
      </c>
      <c r="Z89" s="44" t="s">
        <v>57</v>
      </c>
      <c r="AA89" s="44">
        <f t="shared" si="75"/>
        <v>454.7</v>
      </c>
      <c r="AB89" s="50"/>
      <c r="AC89" s="119">
        <v>6</v>
      </c>
      <c r="AD89" s="115" t="str">
        <f>Inputs!$A$11</f>
        <v>M3134800</v>
      </c>
      <c r="AE89" s="44" t="str">
        <f>Inputs!$B$11</f>
        <v>PNT</v>
      </c>
      <c r="AF89" s="44" t="s">
        <v>58</v>
      </c>
      <c r="AG89" s="44">
        <f t="shared" si="76"/>
        <v>0</v>
      </c>
      <c r="AH89" s="50"/>
      <c r="AI89" s="44">
        <v>454.7</v>
      </c>
      <c r="AJ89" s="44">
        <v>0</v>
      </c>
      <c r="AK89" s="44">
        <f t="shared" si="97"/>
        <v>-454.7</v>
      </c>
      <c r="AL89" s="50"/>
      <c r="AM89" s="44">
        <f t="shared" si="98"/>
        <v>0</v>
      </c>
      <c r="AN89" s="63">
        <f>AI89*Inputs!$F$11*Inputs!$G$11</f>
        <v>936359.16299999994</v>
      </c>
      <c r="AO89" s="44">
        <f>Inputs!$F$11*Inputs!$I$11*AJ89</f>
        <v>0</v>
      </c>
      <c r="AP89" s="55">
        <v>0</v>
      </c>
      <c r="AR89" s="117">
        <v>6</v>
      </c>
      <c r="AS89" s="115" t="str">
        <f>Inputs!$A$11</f>
        <v>M3134800</v>
      </c>
      <c r="AT89" s="44" t="str">
        <f>Inputs!$B$11</f>
        <v>PNT</v>
      </c>
      <c r="AU89" s="44" t="s">
        <v>57</v>
      </c>
      <c r="AV89" s="44">
        <f t="shared" si="86"/>
        <v>454.7</v>
      </c>
      <c r="AW89" s="50"/>
      <c r="AX89" s="119">
        <v>6</v>
      </c>
      <c r="AY89" s="115" t="str">
        <f>Inputs!$A$11</f>
        <v>M3134800</v>
      </c>
      <c r="AZ89" s="44" t="str">
        <f>Inputs!$B$11</f>
        <v>PNT</v>
      </c>
      <c r="BA89" s="44" t="s">
        <v>58</v>
      </c>
      <c r="BB89" s="44">
        <f t="shared" si="79"/>
        <v>0</v>
      </c>
      <c r="BC89" s="50"/>
      <c r="BD89" s="44">
        <v>454.7</v>
      </c>
      <c r="BE89" s="44">
        <v>0</v>
      </c>
      <c r="BF89" s="44">
        <f t="shared" si="99"/>
        <v>-454.7</v>
      </c>
      <c r="BG89" s="50"/>
      <c r="BH89" s="44">
        <f t="shared" si="100"/>
        <v>0</v>
      </c>
      <c r="BI89" s="63">
        <f>BD89*Inputs!$F$11*Inputs!$G$11</f>
        <v>936359.16299999994</v>
      </c>
      <c r="BJ89" s="44">
        <f>Inputs!$F$11*Inputs!$I$11*BE89</f>
        <v>0</v>
      </c>
      <c r="BK89" s="55">
        <v>0</v>
      </c>
      <c r="BM89" s="117">
        <v>6</v>
      </c>
      <c r="BN89" s="115" t="str">
        <f>Inputs!$A$11</f>
        <v>M3134800</v>
      </c>
      <c r="BO89" s="44" t="str">
        <f>Inputs!$B$11</f>
        <v>PNT</v>
      </c>
      <c r="BP89" s="44" t="s">
        <v>57</v>
      </c>
      <c r="BQ89" s="44">
        <f t="shared" si="82"/>
        <v>454.7</v>
      </c>
      <c r="BR89" s="50"/>
      <c r="BS89" s="119">
        <v>6</v>
      </c>
      <c r="BT89" s="115" t="str">
        <f>Inputs!$A$11</f>
        <v>M3134800</v>
      </c>
      <c r="BU89" s="44" t="str">
        <f>Inputs!$B$11</f>
        <v>PNT</v>
      </c>
      <c r="BV89" s="44" t="s">
        <v>58</v>
      </c>
      <c r="BW89" s="44">
        <f t="shared" si="83"/>
        <v>0</v>
      </c>
      <c r="BX89" s="50"/>
      <c r="BY89" s="44">
        <v>454.7</v>
      </c>
      <c r="BZ89" s="44">
        <v>0</v>
      </c>
      <c r="CA89" s="44">
        <f t="shared" si="101"/>
        <v>-454.7</v>
      </c>
      <c r="CB89" s="50"/>
      <c r="CC89" s="44">
        <f t="shared" si="102"/>
        <v>0</v>
      </c>
      <c r="CD89" s="63">
        <f>BY89*Inputs!$F$11*Inputs!$G$11</f>
        <v>936359.16299999994</v>
      </c>
      <c r="CE89" s="44">
        <f>Inputs!$F$11*Inputs!$I$11*BZ89</f>
        <v>0</v>
      </c>
      <c r="CF89" s="55">
        <v>0</v>
      </c>
    </row>
    <row r="90" spans="1:97" x14ac:dyDescent="0.25">
      <c r="A90" s="117">
        <v>7</v>
      </c>
      <c r="B90" s="115" t="str">
        <f>Inputs!$A$11</f>
        <v>M3134800</v>
      </c>
      <c r="C90" s="44" t="str">
        <f>Inputs!$B$11</f>
        <v>PNT</v>
      </c>
      <c r="D90" s="44" t="s">
        <v>57</v>
      </c>
      <c r="E90" s="44">
        <v>129.69999999999999</v>
      </c>
      <c r="F90" s="50"/>
      <c r="G90" s="119">
        <v>7</v>
      </c>
      <c r="H90" s="115" t="str">
        <f>Inputs!$A$11</f>
        <v>M3134800</v>
      </c>
      <c r="I90" s="44" t="str">
        <f>Inputs!$B$11</f>
        <v>PNT</v>
      </c>
      <c r="J90" s="44" t="s">
        <v>58</v>
      </c>
      <c r="K90" s="44">
        <v>0</v>
      </c>
      <c r="L90" s="50"/>
      <c r="M90" s="44">
        <v>539.54965000000004</v>
      </c>
      <c r="N90" s="44">
        <v>0</v>
      </c>
      <c r="O90" s="44">
        <f t="shared" si="95"/>
        <v>-539.54965464313113</v>
      </c>
      <c r="P90" s="50"/>
      <c r="Q90" s="44">
        <f t="shared" si="96"/>
        <v>4.643131205739337E-6</v>
      </c>
      <c r="R90" s="63">
        <f>M90*Inputs!$F$11*Inputs!$G$11</f>
        <v>1111089.1987485001</v>
      </c>
      <c r="S90" s="44">
        <f>Inputs!$F$11*Inputs!$I$11*N90</f>
        <v>0</v>
      </c>
      <c r="T90" s="18"/>
      <c r="U90" s="55">
        <v>44.850345356868765</v>
      </c>
      <c r="W90" s="117">
        <v>7</v>
      </c>
      <c r="X90" s="115" t="str">
        <f>Inputs!$A$11</f>
        <v>M3134800</v>
      </c>
      <c r="Y90" s="44" t="str">
        <f>Inputs!$B$11</f>
        <v>PNT</v>
      </c>
      <c r="Z90" s="44" t="s">
        <v>57</v>
      </c>
      <c r="AA90" s="44">
        <f t="shared" si="75"/>
        <v>129.69999999999999</v>
      </c>
      <c r="AB90" s="50"/>
      <c r="AC90" s="119">
        <v>7</v>
      </c>
      <c r="AD90" s="115" t="str">
        <f>Inputs!$A$11</f>
        <v>M3134800</v>
      </c>
      <c r="AE90" s="44" t="str">
        <f>Inputs!$B$11</f>
        <v>PNT</v>
      </c>
      <c r="AF90" s="44" t="s">
        <v>58</v>
      </c>
      <c r="AG90" s="44">
        <f t="shared" si="76"/>
        <v>0</v>
      </c>
      <c r="AH90" s="50"/>
      <c r="AI90" s="44">
        <v>545.44000000000005</v>
      </c>
      <c r="AJ90" s="44">
        <v>0</v>
      </c>
      <c r="AK90" s="44">
        <f t="shared" si="97"/>
        <v>-545.44000000000005</v>
      </c>
      <c r="AL90" s="50"/>
      <c r="AM90" s="44">
        <f t="shared" si="98"/>
        <v>0</v>
      </c>
      <c r="AN90" s="63">
        <f>AI90*Inputs!$F$11*Inputs!$G$11</f>
        <v>1123219.1376</v>
      </c>
      <c r="AO90" s="44">
        <f>Inputs!$F$11*Inputs!$I$11*AJ90</f>
        <v>0</v>
      </c>
      <c r="AP90" s="55">
        <v>38.96</v>
      </c>
      <c r="AR90" s="117">
        <v>7</v>
      </c>
      <c r="AS90" s="115" t="str">
        <f>Inputs!$A$11</f>
        <v>M3134800</v>
      </c>
      <c r="AT90" s="44" t="str">
        <f>Inputs!$B$11</f>
        <v>PNT</v>
      </c>
      <c r="AU90" s="44" t="s">
        <v>57</v>
      </c>
      <c r="AV90" s="44">
        <f t="shared" si="86"/>
        <v>129.69999999999999</v>
      </c>
      <c r="AW90" s="50"/>
      <c r="AX90" s="119">
        <v>7</v>
      </c>
      <c r="AY90" s="115" t="str">
        <f>Inputs!$A$11</f>
        <v>M3134800</v>
      </c>
      <c r="AZ90" s="44" t="str">
        <f>Inputs!$B$11</f>
        <v>PNT</v>
      </c>
      <c r="BA90" s="44" t="s">
        <v>58</v>
      </c>
      <c r="BB90" s="44">
        <f t="shared" si="79"/>
        <v>0</v>
      </c>
      <c r="BC90" s="50"/>
      <c r="BD90" s="44">
        <v>502.584</v>
      </c>
      <c r="BE90" s="44">
        <v>0</v>
      </c>
      <c r="BF90" s="44">
        <f t="shared" si="99"/>
        <v>-502.584</v>
      </c>
      <c r="BG90" s="50"/>
      <c r="BH90" s="44">
        <f t="shared" si="100"/>
        <v>0</v>
      </c>
      <c r="BI90" s="63">
        <f>BD90*Inputs!$F$11*Inputs!$G$11</f>
        <v>1034966.2053599999</v>
      </c>
      <c r="BJ90" s="44">
        <f>Inputs!$F$11*Inputs!$I$11*BE90</f>
        <v>0</v>
      </c>
      <c r="BK90" s="55">
        <v>81.816000000000003</v>
      </c>
      <c r="BM90" s="117">
        <v>7</v>
      </c>
      <c r="BN90" s="115" t="str">
        <f>Inputs!$A$11</f>
        <v>M3134800</v>
      </c>
      <c r="BO90" s="44" t="str">
        <f>Inputs!$B$11</f>
        <v>PNT</v>
      </c>
      <c r="BP90" s="44" t="s">
        <v>57</v>
      </c>
      <c r="BQ90" s="44">
        <f t="shared" si="82"/>
        <v>129.69999999999999</v>
      </c>
      <c r="BR90" s="50"/>
      <c r="BS90" s="119">
        <v>7</v>
      </c>
      <c r="BT90" s="115" t="str">
        <f>Inputs!$A$11</f>
        <v>M3134800</v>
      </c>
      <c r="BU90" s="44" t="str">
        <f>Inputs!$B$11</f>
        <v>PNT</v>
      </c>
      <c r="BV90" s="44" t="s">
        <v>58</v>
      </c>
      <c r="BW90" s="44">
        <f t="shared" si="83"/>
        <v>0</v>
      </c>
      <c r="BX90" s="50"/>
      <c r="BY90" s="44">
        <v>389.6</v>
      </c>
      <c r="BZ90" s="44">
        <v>0</v>
      </c>
      <c r="CA90" s="44">
        <f t="shared" si="101"/>
        <v>-389.59999999999997</v>
      </c>
      <c r="CB90" s="50"/>
      <c r="CC90" s="44">
        <f t="shared" si="102"/>
        <v>0</v>
      </c>
      <c r="CD90" s="63">
        <f>BY90*Inputs!$F$11*Inputs!$G$11</f>
        <v>802299.38400000008</v>
      </c>
      <c r="CE90" s="44">
        <f>Inputs!$F$11*Inputs!$I$11*BZ90</f>
        <v>0</v>
      </c>
      <c r="CF90" s="55">
        <v>194.79999999999998</v>
      </c>
    </row>
    <row r="91" spans="1:97" x14ac:dyDescent="0.25">
      <c r="A91" s="117">
        <v>8</v>
      </c>
      <c r="B91" s="115" t="str">
        <f>Inputs!$A$11</f>
        <v>M3134800</v>
      </c>
      <c r="C91" s="44" t="str">
        <f>Inputs!$B$11</f>
        <v>PNT</v>
      </c>
      <c r="D91" s="44" t="s">
        <v>57</v>
      </c>
      <c r="E91" s="44">
        <v>0</v>
      </c>
      <c r="F91" s="50"/>
      <c r="G91" s="119">
        <v>8</v>
      </c>
      <c r="H91" s="115" t="str">
        <f>Inputs!$A$11</f>
        <v>M3134800</v>
      </c>
      <c r="I91" s="44" t="str">
        <f>Inputs!$B$11</f>
        <v>PNT</v>
      </c>
      <c r="J91" s="44" t="s">
        <v>58</v>
      </c>
      <c r="K91" s="44">
        <v>0</v>
      </c>
      <c r="L91" s="50"/>
      <c r="M91" s="44">
        <v>476.75916999999998</v>
      </c>
      <c r="N91" s="44">
        <v>0</v>
      </c>
      <c r="O91" s="44">
        <f t="shared" si="95"/>
        <v>-476.7591665003838</v>
      </c>
      <c r="P91" s="50"/>
      <c r="Q91" s="44">
        <f t="shared" si="96"/>
        <v>-3.4996161843992013E-6</v>
      </c>
      <c r="R91" s="63">
        <f>M91*Inputs!$F$11*Inputs!$G$11</f>
        <v>981785.39118929999</v>
      </c>
      <c r="S91" s="44">
        <f>Inputs!$F$11*Inputs!$I$11*N91</f>
        <v>0</v>
      </c>
      <c r="T91" s="18"/>
      <c r="U91" s="55">
        <v>62.790483499616272</v>
      </c>
      <c r="W91" s="117">
        <v>8</v>
      </c>
      <c r="X91" s="115" t="str">
        <f>Inputs!$A$11</f>
        <v>M3134800</v>
      </c>
      <c r="Y91" s="44" t="str">
        <f>Inputs!$B$11</f>
        <v>PNT</v>
      </c>
      <c r="Z91" s="44" t="s">
        <v>57</v>
      </c>
      <c r="AA91" s="44">
        <f t="shared" si="75"/>
        <v>0</v>
      </c>
      <c r="AB91" s="50"/>
      <c r="AC91" s="119">
        <v>8</v>
      </c>
      <c r="AD91" s="115" t="str">
        <f>Inputs!$A$11</f>
        <v>M3134800</v>
      </c>
      <c r="AE91" s="44" t="str">
        <f>Inputs!$B$11</f>
        <v>PNT</v>
      </c>
      <c r="AF91" s="44" t="s">
        <v>58</v>
      </c>
      <c r="AG91" s="44">
        <f t="shared" si="76"/>
        <v>0</v>
      </c>
      <c r="AH91" s="50"/>
      <c r="AI91" s="44">
        <v>467.52</v>
      </c>
      <c r="AJ91" s="44">
        <v>0</v>
      </c>
      <c r="AK91" s="44">
        <f t="shared" si="97"/>
        <v>-467.52000000000004</v>
      </c>
      <c r="AL91" s="50"/>
      <c r="AM91" s="44">
        <f t="shared" si="98"/>
        <v>0</v>
      </c>
      <c r="AN91" s="63">
        <f>AI91*Inputs!$F$11*Inputs!$G$11</f>
        <v>962759.26079999993</v>
      </c>
      <c r="AO91" s="44">
        <f>Inputs!$F$11*Inputs!$I$11*AJ91</f>
        <v>0</v>
      </c>
      <c r="AP91" s="55">
        <v>77.92</v>
      </c>
      <c r="AR91" s="117">
        <v>8</v>
      </c>
      <c r="AS91" s="115" t="str">
        <f>Inputs!$A$11</f>
        <v>M3134800</v>
      </c>
      <c r="AT91" s="44" t="str">
        <f>Inputs!$B$11</f>
        <v>PNT</v>
      </c>
      <c r="AU91" s="44" t="s">
        <v>57</v>
      </c>
      <c r="AV91" s="44">
        <f t="shared" si="86"/>
        <v>0</v>
      </c>
      <c r="AW91" s="50"/>
      <c r="AX91" s="119">
        <v>8</v>
      </c>
      <c r="AY91" s="115" t="str">
        <f>Inputs!$A$11</f>
        <v>M3134800</v>
      </c>
      <c r="AZ91" s="44" t="str">
        <f>Inputs!$B$11</f>
        <v>PNT</v>
      </c>
      <c r="BA91" s="44" t="s">
        <v>58</v>
      </c>
      <c r="BB91" s="44">
        <f t="shared" si="79"/>
        <v>0</v>
      </c>
      <c r="BC91" s="50"/>
      <c r="BD91" s="44">
        <v>368.17200000000003</v>
      </c>
      <c r="BE91" s="44">
        <v>0</v>
      </c>
      <c r="BF91" s="44">
        <f t="shared" si="99"/>
        <v>-368.17200000000003</v>
      </c>
      <c r="BG91" s="50"/>
      <c r="BH91" s="44">
        <f t="shared" si="100"/>
        <v>0</v>
      </c>
      <c r="BI91" s="63">
        <f>BD91*Inputs!$F$11*Inputs!$G$11</f>
        <v>758172.91788000008</v>
      </c>
      <c r="BJ91" s="44">
        <f>Inputs!$F$11*Inputs!$I$11*BE91</f>
        <v>0</v>
      </c>
      <c r="BK91" s="55">
        <v>134.41200000000001</v>
      </c>
      <c r="BM91" s="117">
        <v>8</v>
      </c>
      <c r="BN91" s="115" t="str">
        <f>Inputs!$A$11</f>
        <v>M3134800</v>
      </c>
      <c r="BO91" s="44" t="str">
        <f>Inputs!$B$11</f>
        <v>PNT</v>
      </c>
      <c r="BP91" s="44" t="s">
        <v>57</v>
      </c>
      <c r="BQ91" s="44">
        <f t="shared" si="82"/>
        <v>0</v>
      </c>
      <c r="BR91" s="50"/>
      <c r="BS91" s="119">
        <v>8</v>
      </c>
      <c r="BT91" s="115" t="str">
        <f>Inputs!$A$11</f>
        <v>M3134800</v>
      </c>
      <c r="BU91" s="44" t="str">
        <f>Inputs!$B$11</f>
        <v>PNT</v>
      </c>
      <c r="BV91" s="44" t="s">
        <v>58</v>
      </c>
      <c r="BW91" s="44">
        <f t="shared" si="83"/>
        <v>0</v>
      </c>
      <c r="BX91" s="50"/>
      <c r="BY91" s="44">
        <v>233.76</v>
      </c>
      <c r="BZ91" s="44">
        <v>0</v>
      </c>
      <c r="CA91" s="44">
        <f t="shared" si="101"/>
        <v>-233.76000000000002</v>
      </c>
      <c r="CB91" s="50"/>
      <c r="CC91" s="44">
        <f t="shared" si="102"/>
        <v>0</v>
      </c>
      <c r="CD91" s="63">
        <f>BY91*Inputs!$F$11*Inputs!$G$11</f>
        <v>481379.63039999997</v>
      </c>
      <c r="CE91" s="44">
        <f>Inputs!$F$11*Inputs!$I$11*BZ91</f>
        <v>0</v>
      </c>
      <c r="CF91" s="55">
        <v>155.84</v>
      </c>
    </row>
    <row r="92" spans="1:97" x14ac:dyDescent="0.25">
      <c r="A92" s="117">
        <v>9</v>
      </c>
      <c r="B92" s="115" t="str">
        <f>Inputs!$A$11</f>
        <v>M3134800</v>
      </c>
      <c r="C92" s="44" t="str">
        <f>Inputs!$B$11</f>
        <v>PNT</v>
      </c>
      <c r="D92" s="44" t="s">
        <v>57</v>
      </c>
      <c r="E92" s="44">
        <v>0</v>
      </c>
      <c r="F92" s="50"/>
      <c r="G92" s="119">
        <v>9</v>
      </c>
      <c r="H92" s="115" t="str">
        <f>Inputs!$A$11</f>
        <v>M3134800</v>
      </c>
      <c r="I92" s="44" t="str">
        <f>Inputs!$B$11</f>
        <v>PNT</v>
      </c>
      <c r="J92" s="44" t="s">
        <v>58</v>
      </c>
      <c r="K92" s="44">
        <v>0</v>
      </c>
      <c r="L92" s="50"/>
      <c r="M92" s="44">
        <v>228.73676</v>
      </c>
      <c r="N92" s="44">
        <v>0</v>
      </c>
      <c r="O92" s="44">
        <f t="shared" si="95"/>
        <v>-228.73676017651573</v>
      </c>
      <c r="P92" s="50"/>
      <c r="Q92" s="44">
        <f t="shared" si="96"/>
        <v>1.7651572647991998E-7</v>
      </c>
      <c r="R92" s="63">
        <f>M92*Inputs!$F$11*Inputs!$G$11</f>
        <v>471035.32250040001</v>
      </c>
      <c r="S92" s="44">
        <f>Inputs!$F$11*Inputs!$I$11*N92</f>
        <v>0</v>
      </c>
      <c r="T92" s="18"/>
      <c r="U92" s="55">
        <v>248.02240982348425</v>
      </c>
      <c r="W92" s="117">
        <v>9</v>
      </c>
      <c r="X92" s="115" t="str">
        <f>Inputs!$A$11</f>
        <v>M3134800</v>
      </c>
      <c r="Y92" s="44" t="str">
        <f>Inputs!$B$11</f>
        <v>PNT</v>
      </c>
      <c r="Z92" s="44" t="s">
        <v>57</v>
      </c>
      <c r="AA92" s="44">
        <f t="shared" si="75"/>
        <v>0</v>
      </c>
      <c r="AB92" s="50"/>
      <c r="AC92" s="119">
        <v>9</v>
      </c>
      <c r="AD92" s="115" t="str">
        <f>Inputs!$A$11</f>
        <v>M3134800</v>
      </c>
      <c r="AE92" s="44" t="str">
        <f>Inputs!$B$11</f>
        <v>PNT</v>
      </c>
      <c r="AF92" s="44" t="s">
        <v>58</v>
      </c>
      <c r="AG92" s="44">
        <f t="shared" si="76"/>
        <v>0</v>
      </c>
      <c r="AH92" s="50"/>
      <c r="AI92" s="44">
        <v>350.64</v>
      </c>
      <c r="AJ92" s="44">
        <v>0</v>
      </c>
      <c r="AK92" s="44">
        <f t="shared" si="97"/>
        <v>-350.64</v>
      </c>
      <c r="AL92" s="50"/>
      <c r="AM92" s="44">
        <f t="shared" si="98"/>
        <v>0</v>
      </c>
      <c r="AN92" s="63">
        <f>AI92*Inputs!$F$11*Inputs!$G$11</f>
        <v>722069.44559999986</v>
      </c>
      <c r="AO92" s="44">
        <f>Inputs!$F$11*Inputs!$I$11*AJ92</f>
        <v>0</v>
      </c>
      <c r="AP92" s="55">
        <v>116.87999999999998</v>
      </c>
      <c r="AR92" s="117">
        <v>9</v>
      </c>
      <c r="AS92" s="115" t="str">
        <f>Inputs!$A$11</f>
        <v>M3134800</v>
      </c>
      <c r="AT92" s="44" t="str">
        <f>Inputs!$B$11</f>
        <v>PNT</v>
      </c>
      <c r="AU92" s="44" t="s">
        <v>57</v>
      </c>
      <c r="AV92" s="44">
        <f t="shared" si="86"/>
        <v>0</v>
      </c>
      <c r="AW92" s="50"/>
      <c r="AX92" s="119">
        <v>9</v>
      </c>
      <c r="AY92" s="115" t="str">
        <f>Inputs!$A$11</f>
        <v>M3134800</v>
      </c>
      <c r="AZ92" s="44" t="str">
        <f>Inputs!$B$11</f>
        <v>PNT</v>
      </c>
      <c r="BA92" s="44" t="s">
        <v>58</v>
      </c>
      <c r="BB92" s="44">
        <f t="shared" si="79"/>
        <v>0</v>
      </c>
      <c r="BC92" s="50"/>
      <c r="BD92" s="44">
        <v>216.22800000000001</v>
      </c>
      <c r="BE92" s="44">
        <v>0</v>
      </c>
      <c r="BF92" s="44">
        <f t="shared" si="99"/>
        <v>-216.22800000000004</v>
      </c>
      <c r="BG92" s="50"/>
      <c r="BH92" s="44">
        <f t="shared" si="100"/>
        <v>0</v>
      </c>
      <c r="BI92" s="63">
        <f>BD92*Inputs!$F$11*Inputs!$G$11</f>
        <v>445276.15812000004</v>
      </c>
      <c r="BJ92" s="44">
        <f>Inputs!$F$11*Inputs!$I$11*BE92</f>
        <v>0</v>
      </c>
      <c r="BK92" s="55">
        <v>151.94399999999999</v>
      </c>
      <c r="BM92" s="117">
        <v>9</v>
      </c>
      <c r="BN92" s="115" t="str">
        <f>Inputs!$A$11</f>
        <v>M3134800</v>
      </c>
      <c r="BO92" s="44" t="str">
        <f>Inputs!$B$11</f>
        <v>PNT</v>
      </c>
      <c r="BP92" s="44" t="s">
        <v>57</v>
      </c>
      <c r="BQ92" s="44">
        <f t="shared" si="82"/>
        <v>0</v>
      </c>
      <c r="BR92" s="50"/>
      <c r="BS92" s="119">
        <v>9</v>
      </c>
      <c r="BT92" s="115" t="str">
        <f>Inputs!$A$11</f>
        <v>M3134800</v>
      </c>
      <c r="BU92" s="44" t="str">
        <f>Inputs!$B$11</f>
        <v>PNT</v>
      </c>
      <c r="BV92" s="44" t="s">
        <v>58</v>
      </c>
      <c r="BW92" s="44">
        <f t="shared" si="83"/>
        <v>0</v>
      </c>
      <c r="BX92" s="50"/>
      <c r="BY92" s="44">
        <v>116.88</v>
      </c>
      <c r="BZ92" s="44">
        <v>0</v>
      </c>
      <c r="CA92" s="44">
        <f t="shared" si="101"/>
        <v>-116.88000000000001</v>
      </c>
      <c r="CB92" s="50"/>
      <c r="CC92" s="44">
        <f t="shared" si="102"/>
        <v>0</v>
      </c>
      <c r="CD92" s="63">
        <f>BY92*Inputs!$F$11*Inputs!$G$11</f>
        <v>240689.81519999998</v>
      </c>
      <c r="CE92" s="44">
        <f>Inputs!$F$11*Inputs!$I$11*BZ92</f>
        <v>0</v>
      </c>
      <c r="CF92" s="55">
        <v>116.87999999999998</v>
      </c>
    </row>
    <row r="93" spans="1:97" x14ac:dyDescent="0.25">
      <c r="A93" s="117">
        <v>10</v>
      </c>
      <c r="B93" s="115" t="str">
        <f>Inputs!$A$11</f>
        <v>M3134800</v>
      </c>
      <c r="C93" s="44" t="str">
        <f>Inputs!$B$11</f>
        <v>PNT</v>
      </c>
      <c r="D93" s="44" t="s">
        <v>57</v>
      </c>
      <c r="E93" s="44">
        <v>0</v>
      </c>
      <c r="F93" s="50"/>
      <c r="G93" s="119">
        <v>10</v>
      </c>
      <c r="H93" s="115" t="str">
        <f>Inputs!$A$11</f>
        <v>M3134800</v>
      </c>
      <c r="I93" s="44" t="str">
        <f>Inputs!$B$11</f>
        <v>PNT</v>
      </c>
      <c r="J93" s="44" t="s">
        <v>58</v>
      </c>
      <c r="K93" s="44">
        <v>0</v>
      </c>
      <c r="L93" s="50"/>
      <c r="M93" s="44">
        <v>15.697621</v>
      </c>
      <c r="N93" s="44">
        <v>0</v>
      </c>
      <c r="O93" s="44">
        <f t="shared" si="95"/>
        <v>-15.69761955487337</v>
      </c>
      <c r="P93" s="50"/>
      <c r="Q93" s="44">
        <f t="shared" si="96"/>
        <v>-1.4451266299175813E-6</v>
      </c>
      <c r="R93" s="63">
        <f>M93*Inputs!$F$11*Inputs!$G$11</f>
        <v>32325.953949089999</v>
      </c>
      <c r="S93" s="44">
        <f>Inputs!$F$11*Inputs!$I$11*N93</f>
        <v>0</v>
      </c>
      <c r="T93" s="18"/>
      <c r="U93" s="91">
        <v>213.03914044512663</v>
      </c>
      <c r="W93" s="117">
        <v>10</v>
      </c>
      <c r="X93" s="115" t="str">
        <f>Inputs!$A$11</f>
        <v>M3134800</v>
      </c>
      <c r="Y93" s="44" t="str">
        <f>Inputs!$B$11</f>
        <v>PNT</v>
      </c>
      <c r="Z93" s="44" t="s">
        <v>57</v>
      </c>
      <c r="AA93" s="44">
        <f t="shared" si="75"/>
        <v>0</v>
      </c>
      <c r="AB93" s="50"/>
      <c r="AC93" s="119">
        <v>10</v>
      </c>
      <c r="AD93" s="115" t="str">
        <f>Inputs!$A$11</f>
        <v>M3134800</v>
      </c>
      <c r="AE93" s="44" t="str">
        <f>Inputs!$B$11</f>
        <v>PNT</v>
      </c>
      <c r="AF93" s="44" t="s">
        <v>58</v>
      </c>
      <c r="AG93" s="44">
        <f t="shared" si="76"/>
        <v>0</v>
      </c>
      <c r="AH93" s="50"/>
      <c r="AI93" s="44">
        <v>194.8</v>
      </c>
      <c r="AJ93" s="44">
        <v>0</v>
      </c>
      <c r="AK93" s="44">
        <f t="shared" si="97"/>
        <v>-194.79999999999998</v>
      </c>
      <c r="AL93" s="50"/>
      <c r="AM93" s="44">
        <f t="shared" si="98"/>
        <v>0</v>
      </c>
      <c r="AN93" s="63">
        <f>AI93*Inputs!$F$11*Inputs!$G$11</f>
        <v>401149.69200000004</v>
      </c>
      <c r="AO93" s="44">
        <f>Inputs!$F$11*Inputs!$I$11*AJ93</f>
        <v>0</v>
      </c>
      <c r="AP93" s="91">
        <v>155.84</v>
      </c>
      <c r="AR93" s="117">
        <v>10</v>
      </c>
      <c r="AS93" s="115" t="str">
        <f>Inputs!$A$11</f>
        <v>M3134800</v>
      </c>
      <c r="AT93" s="44" t="str">
        <f>Inputs!$B$11</f>
        <v>PNT</v>
      </c>
      <c r="AU93" s="44" t="s">
        <v>57</v>
      </c>
      <c r="AV93" s="44">
        <f t="shared" si="86"/>
        <v>0</v>
      </c>
      <c r="AW93" s="50"/>
      <c r="AX93" s="119">
        <v>10</v>
      </c>
      <c r="AY93" s="115" t="str">
        <f>Inputs!$A$11</f>
        <v>M3134800</v>
      </c>
      <c r="AZ93" s="44" t="str">
        <f>Inputs!$B$11</f>
        <v>PNT</v>
      </c>
      <c r="BA93" s="44" t="s">
        <v>58</v>
      </c>
      <c r="BB93" s="44">
        <f t="shared" si="79"/>
        <v>0</v>
      </c>
      <c r="BC93" s="50"/>
      <c r="BD93" s="44">
        <v>81.816000000000003</v>
      </c>
      <c r="BE93" s="44">
        <v>0</v>
      </c>
      <c r="BF93" s="44">
        <f t="shared" si="99"/>
        <v>-81.816000000000003</v>
      </c>
      <c r="BG93" s="50"/>
      <c r="BH93" s="44">
        <f t="shared" si="100"/>
        <v>0</v>
      </c>
      <c r="BI93" s="63">
        <f>BD93*Inputs!$F$11*Inputs!$G$11</f>
        <v>168482.87064000001</v>
      </c>
      <c r="BJ93" s="44">
        <f>Inputs!$F$11*Inputs!$I$11*BE93</f>
        <v>0</v>
      </c>
      <c r="BK93" s="91">
        <v>134.41200000000001</v>
      </c>
      <c r="BM93" s="117">
        <v>10</v>
      </c>
      <c r="BN93" s="115" t="str">
        <f>Inputs!$A$11</f>
        <v>M3134800</v>
      </c>
      <c r="BO93" s="44" t="str">
        <f>Inputs!$B$11</f>
        <v>PNT</v>
      </c>
      <c r="BP93" s="44" t="s">
        <v>57</v>
      </c>
      <c r="BQ93" s="44">
        <f t="shared" si="82"/>
        <v>0</v>
      </c>
      <c r="BR93" s="50"/>
      <c r="BS93" s="119">
        <v>10</v>
      </c>
      <c r="BT93" s="115" t="str">
        <f>Inputs!$A$11</f>
        <v>M3134800</v>
      </c>
      <c r="BU93" s="44" t="str">
        <f>Inputs!$B$11</f>
        <v>PNT</v>
      </c>
      <c r="BV93" s="44" t="s">
        <v>58</v>
      </c>
      <c r="BW93" s="44">
        <f t="shared" si="83"/>
        <v>0</v>
      </c>
      <c r="BX93" s="50"/>
      <c r="BY93" s="44">
        <v>38.96</v>
      </c>
      <c r="BZ93" s="44">
        <v>0</v>
      </c>
      <c r="CA93" s="44">
        <f t="shared" si="101"/>
        <v>-38.959999999999994</v>
      </c>
      <c r="CB93" s="50"/>
      <c r="CC93" s="44">
        <f t="shared" si="102"/>
        <v>0</v>
      </c>
      <c r="CD93" s="63">
        <f>BY93*Inputs!$F$11*Inputs!$G$11</f>
        <v>80229.938399999999</v>
      </c>
      <c r="CE93" s="44">
        <f>Inputs!$F$11*Inputs!$I$11*BZ93</f>
        <v>0</v>
      </c>
      <c r="CF93" s="91">
        <v>77.92</v>
      </c>
    </row>
    <row r="94" spans="1:97" x14ac:dyDescent="0.25">
      <c r="A94" s="117">
        <v>11</v>
      </c>
      <c r="B94" s="115" t="str">
        <f>Inputs!$A$11</f>
        <v>M3134800</v>
      </c>
      <c r="C94" s="44" t="str">
        <f>Inputs!$B$11</f>
        <v>PNT</v>
      </c>
      <c r="D94" s="44" t="s">
        <v>57</v>
      </c>
      <c r="E94" s="44">
        <v>0</v>
      </c>
      <c r="F94" s="50"/>
      <c r="G94" s="119">
        <v>11</v>
      </c>
      <c r="H94" s="115" t="str">
        <f>Inputs!$A$11</f>
        <v>M3134800</v>
      </c>
      <c r="I94" s="44" t="str">
        <f>Inputs!$B$11</f>
        <v>PNT</v>
      </c>
      <c r="J94" s="44" t="s">
        <v>58</v>
      </c>
      <c r="K94" s="44">
        <v>0</v>
      </c>
      <c r="L94" s="50"/>
      <c r="M94" s="44">
        <v>0</v>
      </c>
      <c r="N94" s="44">
        <v>0</v>
      </c>
      <c r="O94" s="44">
        <f t="shared" si="95"/>
        <v>-1.2509593183551715E-7</v>
      </c>
      <c r="P94" s="50"/>
      <c r="Q94" s="44">
        <f t="shared" si="96"/>
        <v>1.2509593183551715E-7</v>
      </c>
      <c r="R94" s="63">
        <f>M94*Inputs!$F$11*Inputs!$H$11</f>
        <v>0</v>
      </c>
      <c r="S94" s="44">
        <f>Inputs!$F$11*Inputs!$I$11*N94</f>
        <v>0</v>
      </c>
      <c r="T94" s="18"/>
      <c r="U94" s="56">
        <v>15.697620874904068</v>
      </c>
      <c r="W94" s="117">
        <v>11</v>
      </c>
      <c r="X94" s="115" t="str">
        <f>Inputs!$A$11</f>
        <v>M3134800</v>
      </c>
      <c r="Y94" s="44" t="str">
        <f>Inputs!$B$11</f>
        <v>PNT</v>
      </c>
      <c r="Z94" s="44" t="s">
        <v>57</v>
      </c>
      <c r="AA94" s="44">
        <f t="shared" si="75"/>
        <v>0</v>
      </c>
      <c r="AB94" s="50"/>
      <c r="AC94" s="119">
        <v>11</v>
      </c>
      <c r="AD94" s="115" t="str">
        <f>Inputs!$A$11</f>
        <v>M3134800</v>
      </c>
      <c r="AE94" s="44" t="str">
        <f>Inputs!$B$11</f>
        <v>PNT</v>
      </c>
      <c r="AF94" s="44" t="s">
        <v>58</v>
      </c>
      <c r="AG94" s="44">
        <f t="shared" si="76"/>
        <v>0</v>
      </c>
      <c r="AH94" s="50"/>
      <c r="AI94" s="44">
        <v>0</v>
      </c>
      <c r="AJ94" s="44">
        <v>0</v>
      </c>
      <c r="AK94" s="44">
        <f t="shared" si="97"/>
        <v>-2.8421709430404007E-14</v>
      </c>
      <c r="AL94" s="50"/>
      <c r="AM94" s="44">
        <f t="shared" si="98"/>
        <v>2.8421709430404007E-14</v>
      </c>
      <c r="AN94" s="63">
        <f>AI94*Inputs!$F$11*Inputs!$H$11</f>
        <v>0</v>
      </c>
      <c r="AO94" s="44">
        <f>Inputs!$F$11*Inputs!$I$11*AJ94</f>
        <v>0</v>
      </c>
      <c r="AP94" s="56">
        <v>194.79999999999998</v>
      </c>
      <c r="AR94" s="117">
        <v>11</v>
      </c>
      <c r="AS94" s="115" t="str">
        <f>Inputs!$A$11</f>
        <v>M3134800</v>
      </c>
      <c r="AT94" s="44" t="str">
        <f>Inputs!$B$11</f>
        <v>PNT</v>
      </c>
      <c r="AU94" s="44" t="s">
        <v>57</v>
      </c>
      <c r="AV94" s="44">
        <f t="shared" si="86"/>
        <v>0</v>
      </c>
      <c r="AW94" s="50"/>
      <c r="AX94" s="119">
        <v>11</v>
      </c>
      <c r="AY94" s="115" t="str">
        <f>Inputs!$A$11</f>
        <v>M3134800</v>
      </c>
      <c r="AZ94" s="44" t="str">
        <f>Inputs!$B$11</f>
        <v>PNT</v>
      </c>
      <c r="BA94" s="44" t="s">
        <v>58</v>
      </c>
      <c r="BB94" s="44">
        <f t="shared" si="79"/>
        <v>0</v>
      </c>
      <c r="BC94" s="50"/>
      <c r="BD94" s="44">
        <v>0</v>
      </c>
      <c r="BE94" s="44">
        <v>0</v>
      </c>
      <c r="BF94" s="44">
        <f t="shared" si="99"/>
        <v>0</v>
      </c>
      <c r="BG94" s="50"/>
      <c r="BH94" s="44">
        <f t="shared" si="100"/>
        <v>0</v>
      </c>
      <c r="BI94" s="63">
        <f>BD94*Inputs!$F$11*Inputs!$H$11</f>
        <v>0</v>
      </c>
      <c r="BJ94" s="44">
        <f>Inputs!$F$11*Inputs!$I$11*BE94</f>
        <v>0</v>
      </c>
      <c r="BK94" s="56">
        <v>81.816000000000003</v>
      </c>
      <c r="BM94" s="117">
        <v>11</v>
      </c>
      <c r="BN94" s="115" t="str">
        <f>Inputs!$A$11</f>
        <v>M3134800</v>
      </c>
      <c r="BO94" s="44" t="str">
        <f>Inputs!$B$11</f>
        <v>PNT</v>
      </c>
      <c r="BP94" s="44" t="s">
        <v>57</v>
      </c>
      <c r="BQ94" s="44">
        <f t="shared" si="82"/>
        <v>0</v>
      </c>
      <c r="BR94" s="50"/>
      <c r="BS94" s="119">
        <v>11</v>
      </c>
      <c r="BT94" s="115" t="str">
        <f>Inputs!$A$11</f>
        <v>M3134800</v>
      </c>
      <c r="BU94" s="44" t="str">
        <f>Inputs!$B$11</f>
        <v>PNT</v>
      </c>
      <c r="BV94" s="44" t="s">
        <v>58</v>
      </c>
      <c r="BW94" s="44">
        <f t="shared" si="83"/>
        <v>0</v>
      </c>
      <c r="BX94" s="50"/>
      <c r="BY94" s="44">
        <v>0</v>
      </c>
      <c r="BZ94" s="44">
        <v>0</v>
      </c>
      <c r="CA94" s="44">
        <f t="shared" si="101"/>
        <v>0</v>
      </c>
      <c r="CB94" s="50"/>
      <c r="CC94" s="44">
        <f t="shared" si="102"/>
        <v>0</v>
      </c>
      <c r="CD94" s="63">
        <f>BY94*Inputs!$F$11*Inputs!$H$11</f>
        <v>0</v>
      </c>
      <c r="CE94" s="44">
        <f>Inputs!$F$11*Inputs!$I$11*BZ94</f>
        <v>0</v>
      </c>
      <c r="CF94" s="56">
        <v>38.96</v>
      </c>
    </row>
    <row r="95" spans="1:97" x14ac:dyDescent="0.25">
      <c r="A95" s="116">
        <v>3</v>
      </c>
      <c r="B95" s="114" t="str">
        <f>Inputs!$A$12</f>
        <v>M3135000</v>
      </c>
      <c r="C95" s="45" t="str">
        <f>Inputs!$B$12</f>
        <v>PNT</v>
      </c>
      <c r="D95" s="45" t="s">
        <v>57</v>
      </c>
      <c r="E95" s="45">
        <v>0</v>
      </c>
      <c r="F95" s="50"/>
      <c r="G95" s="118">
        <v>3</v>
      </c>
      <c r="H95" s="114" t="str">
        <f>Inputs!$A$12</f>
        <v>M3135000</v>
      </c>
      <c r="I95" s="45" t="str">
        <f>Inputs!$B$12</f>
        <v>PNT</v>
      </c>
      <c r="J95" s="45" t="s">
        <v>58</v>
      </c>
      <c r="K95" s="45">
        <v>0</v>
      </c>
      <c r="L95" s="50"/>
      <c r="M95" s="45">
        <v>0</v>
      </c>
      <c r="N95" s="45">
        <v>0</v>
      </c>
      <c r="O95" s="45">
        <f>U95-0-E95-K95</f>
        <v>0</v>
      </c>
      <c r="P95" s="50"/>
      <c r="Q95" s="45">
        <f>E95+K95+N95-U95+0-M95</f>
        <v>0</v>
      </c>
      <c r="R95" s="64">
        <f>M95*Inputs!$F$12*Inputs!$G$12</f>
        <v>0</v>
      </c>
      <c r="S95" s="45">
        <f>Inputs!$F$12*Inputs!$I$12*N95</f>
        <v>0</v>
      </c>
      <c r="T95" s="18"/>
      <c r="U95" s="54">
        <v>0</v>
      </c>
      <c r="W95" s="116">
        <v>3</v>
      </c>
      <c r="X95" s="114" t="str">
        <f>Inputs!$A$12</f>
        <v>M3135000</v>
      </c>
      <c r="Y95" s="45" t="str">
        <f>Inputs!$B$12</f>
        <v>PNT</v>
      </c>
      <c r="Z95" s="45" t="s">
        <v>57</v>
      </c>
      <c r="AA95" s="45">
        <f t="shared" si="75"/>
        <v>0</v>
      </c>
      <c r="AB95" s="50"/>
      <c r="AC95" s="118">
        <v>3</v>
      </c>
      <c r="AD95" s="114" t="str">
        <f>Inputs!$A$12</f>
        <v>M3135000</v>
      </c>
      <c r="AE95" s="45" t="str">
        <f>Inputs!$B$12</f>
        <v>PNT</v>
      </c>
      <c r="AF95" s="45" t="s">
        <v>58</v>
      </c>
      <c r="AG95" s="45">
        <f t="shared" si="76"/>
        <v>0</v>
      </c>
      <c r="AH95" s="50"/>
      <c r="AI95" s="45">
        <v>0</v>
      </c>
      <c r="AJ95" s="45">
        <v>0</v>
      </c>
      <c r="AK95" s="45">
        <f>AP95-0-AA95-AG95</f>
        <v>0</v>
      </c>
      <c r="AL95" s="50"/>
      <c r="AM95" s="45">
        <f>AA95+AG95+AJ95-AP95+0-AI95</f>
        <v>0</v>
      </c>
      <c r="AN95" s="64">
        <f>AI95*Inputs!$F$12*Inputs!$G$12</f>
        <v>0</v>
      </c>
      <c r="AO95" s="45">
        <f>Inputs!$F$12*Inputs!$I$12*AJ95</f>
        <v>0</v>
      </c>
      <c r="AP95" s="54">
        <v>0</v>
      </c>
      <c r="AR95" s="116">
        <v>3</v>
      </c>
      <c r="AS95" s="114" t="str">
        <f>Inputs!$A$12</f>
        <v>M3135000</v>
      </c>
      <c r="AT95" s="45" t="str">
        <f>Inputs!$B$12</f>
        <v>PNT</v>
      </c>
      <c r="AU95" s="45" t="s">
        <v>57</v>
      </c>
      <c r="AV95" s="45">
        <f t="shared" si="86"/>
        <v>0</v>
      </c>
      <c r="AW95" s="50"/>
      <c r="AX95" s="118">
        <v>3</v>
      </c>
      <c r="AY95" s="114" t="str">
        <f>Inputs!$A$12</f>
        <v>M3135000</v>
      </c>
      <c r="AZ95" s="45" t="str">
        <f>Inputs!$B$12</f>
        <v>PNT</v>
      </c>
      <c r="BA95" s="45" t="s">
        <v>58</v>
      </c>
      <c r="BB95" s="45">
        <f t="shared" si="79"/>
        <v>0</v>
      </c>
      <c r="BC95" s="50"/>
      <c r="BD95" s="45">
        <v>0</v>
      </c>
      <c r="BE95" s="45">
        <v>0</v>
      </c>
      <c r="BF95" s="45">
        <f>BK95-0-AV95-BB95</f>
        <v>0</v>
      </c>
      <c r="BG95" s="50"/>
      <c r="BH95" s="45">
        <f>AV95+BB95+BE95-BK95+0-BD95</f>
        <v>0</v>
      </c>
      <c r="BI95" s="64">
        <f>BD95*Inputs!$F$12*Inputs!$G$12</f>
        <v>0</v>
      </c>
      <c r="BJ95" s="45">
        <f>Inputs!$F$12*Inputs!$I$12*BE95</f>
        <v>0</v>
      </c>
      <c r="BK95" s="54">
        <v>0</v>
      </c>
      <c r="BM95" s="116">
        <v>3</v>
      </c>
      <c r="BN95" s="114" t="str">
        <f>Inputs!$A$12</f>
        <v>M3135000</v>
      </c>
      <c r="BO95" s="45" t="str">
        <f>Inputs!$B$12</f>
        <v>PNT</v>
      </c>
      <c r="BP95" s="45" t="s">
        <v>57</v>
      </c>
      <c r="BQ95" s="45">
        <f t="shared" si="82"/>
        <v>0</v>
      </c>
      <c r="BR95" s="50"/>
      <c r="BS95" s="118">
        <v>3</v>
      </c>
      <c r="BT95" s="114" t="str">
        <f>Inputs!$A$12</f>
        <v>M3135000</v>
      </c>
      <c r="BU95" s="45" t="str">
        <f>Inputs!$B$12</f>
        <v>PNT</v>
      </c>
      <c r="BV95" s="45" t="s">
        <v>58</v>
      </c>
      <c r="BW95" s="45">
        <f t="shared" si="83"/>
        <v>0</v>
      </c>
      <c r="BX95" s="50"/>
      <c r="BY95" s="45">
        <v>0</v>
      </c>
      <c r="BZ95" s="45">
        <v>0</v>
      </c>
      <c r="CA95" s="45">
        <f>CF95-0-BQ95-BW95</f>
        <v>0</v>
      </c>
      <c r="CB95" s="50"/>
      <c r="CC95" s="45">
        <f>BQ95+BW95+BZ95-CF95+0-BY95</f>
        <v>0</v>
      </c>
      <c r="CD95" s="64">
        <f>BY95*Inputs!$F$12*Inputs!$G$12</f>
        <v>0</v>
      </c>
      <c r="CE95" s="45">
        <f>Inputs!$F$12*Inputs!$I$12*BZ95</f>
        <v>0</v>
      </c>
      <c r="CF95" s="54">
        <v>0</v>
      </c>
    </row>
    <row r="96" spans="1:97" x14ac:dyDescent="0.25">
      <c r="A96" s="116">
        <v>4</v>
      </c>
      <c r="B96" s="114" t="str">
        <f>Inputs!$A$12</f>
        <v>M3135000</v>
      </c>
      <c r="C96" s="45" t="str">
        <f>Inputs!$B$12</f>
        <v>PNT</v>
      </c>
      <c r="D96" s="45" t="s">
        <v>57</v>
      </c>
      <c r="E96" s="45">
        <v>0</v>
      </c>
      <c r="F96" s="50"/>
      <c r="G96" s="118">
        <v>4</v>
      </c>
      <c r="H96" s="114" t="str">
        <f>Inputs!$A$12</f>
        <v>M3135000</v>
      </c>
      <c r="I96" s="45" t="str">
        <f>Inputs!$B$12</f>
        <v>PNT</v>
      </c>
      <c r="J96" s="45" t="s">
        <v>58</v>
      </c>
      <c r="K96" s="45">
        <v>0</v>
      </c>
      <c r="L96" s="50"/>
      <c r="M96" s="45">
        <v>0</v>
      </c>
      <c r="N96" s="45">
        <v>0</v>
      </c>
      <c r="O96" s="45">
        <f t="shared" ref="O96:O103" si="103">U96-M95-E96-K96</f>
        <v>0</v>
      </c>
      <c r="P96" s="50"/>
      <c r="Q96" s="45">
        <f t="shared" ref="Q96:Q103" si="104">E96+K96+N96-U96+M95-M96</f>
        <v>0</v>
      </c>
      <c r="R96" s="64">
        <f>M96*Inputs!$F$12*Inputs!$G$12</f>
        <v>0</v>
      </c>
      <c r="S96" s="45">
        <f>Inputs!$F$12*Inputs!$I$12*N96</f>
        <v>0</v>
      </c>
      <c r="T96" s="18"/>
      <c r="U96" s="55">
        <v>0</v>
      </c>
      <c r="W96" s="116">
        <v>4</v>
      </c>
      <c r="X96" s="114" t="str">
        <f>Inputs!$A$12</f>
        <v>M3135000</v>
      </c>
      <c r="Y96" s="45" t="str">
        <f>Inputs!$B$12</f>
        <v>PNT</v>
      </c>
      <c r="Z96" s="45" t="s">
        <v>57</v>
      </c>
      <c r="AA96" s="45">
        <f t="shared" si="75"/>
        <v>0</v>
      </c>
      <c r="AB96" s="50"/>
      <c r="AC96" s="118">
        <v>4</v>
      </c>
      <c r="AD96" s="114" t="str">
        <f>Inputs!$A$12</f>
        <v>M3135000</v>
      </c>
      <c r="AE96" s="45" t="str">
        <f>Inputs!$B$12</f>
        <v>PNT</v>
      </c>
      <c r="AF96" s="45" t="s">
        <v>58</v>
      </c>
      <c r="AG96" s="45">
        <f t="shared" si="76"/>
        <v>0</v>
      </c>
      <c r="AH96" s="50"/>
      <c r="AI96" s="45">
        <v>0</v>
      </c>
      <c r="AJ96" s="45">
        <v>0</v>
      </c>
      <c r="AK96" s="45">
        <f t="shared" ref="AK96:AK103" si="105">AP96-AI95-AA96-AG96</f>
        <v>0</v>
      </c>
      <c r="AL96" s="50"/>
      <c r="AM96" s="45">
        <f t="shared" ref="AM96:AM103" si="106">AA96+AG96+AJ96-AP96+AI95-AI96</f>
        <v>0</v>
      </c>
      <c r="AN96" s="64">
        <f>AI96*Inputs!$F$12*Inputs!$G$12</f>
        <v>0</v>
      </c>
      <c r="AO96" s="45">
        <f>Inputs!$F$12*Inputs!$I$12*AJ96</f>
        <v>0</v>
      </c>
      <c r="AP96" s="55">
        <v>0</v>
      </c>
      <c r="AR96" s="116">
        <v>4</v>
      </c>
      <c r="AS96" s="114" t="str">
        <f>Inputs!$A$12</f>
        <v>M3135000</v>
      </c>
      <c r="AT96" s="45" t="str">
        <f>Inputs!$B$12</f>
        <v>PNT</v>
      </c>
      <c r="AU96" s="45" t="s">
        <v>57</v>
      </c>
      <c r="AV96" s="45">
        <f t="shared" si="86"/>
        <v>0</v>
      </c>
      <c r="AW96" s="50"/>
      <c r="AX96" s="118">
        <v>4</v>
      </c>
      <c r="AY96" s="114" t="str">
        <f>Inputs!$A$12</f>
        <v>M3135000</v>
      </c>
      <c r="AZ96" s="45" t="str">
        <f>Inputs!$B$12</f>
        <v>PNT</v>
      </c>
      <c r="BA96" s="45" t="s">
        <v>58</v>
      </c>
      <c r="BB96" s="45">
        <f t="shared" si="79"/>
        <v>0</v>
      </c>
      <c r="BC96" s="50"/>
      <c r="BD96" s="45">
        <v>0</v>
      </c>
      <c r="BE96" s="45">
        <v>0</v>
      </c>
      <c r="BF96" s="45">
        <f t="shared" ref="BF96:BF103" si="107">BK96-BD95-AV96-BB96</f>
        <v>0</v>
      </c>
      <c r="BG96" s="50"/>
      <c r="BH96" s="45">
        <f t="shared" ref="BH96:BH103" si="108">AV96+BB96+BE96-BK96+BD95-BD96</f>
        <v>0</v>
      </c>
      <c r="BI96" s="64">
        <f>BD96*Inputs!$F$12*Inputs!$G$12</f>
        <v>0</v>
      </c>
      <c r="BJ96" s="45">
        <f>Inputs!$F$12*Inputs!$I$12*BE96</f>
        <v>0</v>
      </c>
      <c r="BK96" s="55">
        <v>0</v>
      </c>
      <c r="BM96" s="116">
        <v>4</v>
      </c>
      <c r="BN96" s="114" t="str">
        <f>Inputs!$A$12</f>
        <v>M3135000</v>
      </c>
      <c r="BO96" s="45" t="str">
        <f>Inputs!$B$12</f>
        <v>PNT</v>
      </c>
      <c r="BP96" s="45" t="s">
        <v>57</v>
      </c>
      <c r="BQ96" s="45">
        <f t="shared" si="82"/>
        <v>0</v>
      </c>
      <c r="BR96" s="50"/>
      <c r="BS96" s="118">
        <v>4</v>
      </c>
      <c r="BT96" s="114" t="str">
        <f>Inputs!$A$12</f>
        <v>M3135000</v>
      </c>
      <c r="BU96" s="45" t="str">
        <f>Inputs!$B$12</f>
        <v>PNT</v>
      </c>
      <c r="BV96" s="45" t="s">
        <v>58</v>
      </c>
      <c r="BW96" s="45">
        <f t="shared" si="83"/>
        <v>0</v>
      </c>
      <c r="BX96" s="50"/>
      <c r="BY96" s="45">
        <v>0</v>
      </c>
      <c r="BZ96" s="45">
        <v>0</v>
      </c>
      <c r="CA96" s="45">
        <f t="shared" ref="CA96:CA103" si="109">CF96-BY95-BQ96-BW96</f>
        <v>0</v>
      </c>
      <c r="CB96" s="50"/>
      <c r="CC96" s="45">
        <f t="shared" ref="CC96:CC103" si="110">BQ96+BW96+BZ96-CF96+BY95-BY96</f>
        <v>0</v>
      </c>
      <c r="CD96" s="64">
        <f>BY96*Inputs!$F$12*Inputs!$G$12</f>
        <v>0</v>
      </c>
      <c r="CE96" s="45">
        <f>Inputs!$F$12*Inputs!$I$12*BZ96</f>
        <v>0</v>
      </c>
      <c r="CF96" s="55">
        <v>0</v>
      </c>
    </row>
    <row r="97" spans="1:84" x14ac:dyDescent="0.25">
      <c r="A97" s="116">
        <v>5</v>
      </c>
      <c r="B97" s="114" t="str">
        <f>Inputs!$A$12</f>
        <v>M3135000</v>
      </c>
      <c r="C97" s="45" t="str">
        <f>Inputs!$B$12</f>
        <v>PNT</v>
      </c>
      <c r="D97" s="45" t="s">
        <v>57</v>
      </c>
      <c r="E97" s="45">
        <v>0</v>
      </c>
      <c r="F97" s="50"/>
      <c r="G97" s="118">
        <v>5</v>
      </c>
      <c r="H97" s="114" t="str">
        <f>Inputs!$A$12</f>
        <v>M3135000</v>
      </c>
      <c r="I97" s="45" t="str">
        <f>Inputs!$B$12</f>
        <v>PNT</v>
      </c>
      <c r="J97" s="45" t="s">
        <v>58</v>
      </c>
      <c r="K97" s="45">
        <v>0</v>
      </c>
      <c r="L97" s="50"/>
      <c r="M97" s="45">
        <v>0</v>
      </c>
      <c r="N97" s="45">
        <v>0</v>
      </c>
      <c r="O97" s="45">
        <f t="shared" si="103"/>
        <v>0</v>
      </c>
      <c r="P97" s="50"/>
      <c r="Q97" s="45">
        <f t="shared" si="104"/>
        <v>0</v>
      </c>
      <c r="R97" s="64">
        <f>M97*Inputs!$F$12*Inputs!$G$12</f>
        <v>0</v>
      </c>
      <c r="S97" s="45">
        <f>Inputs!$F$12*Inputs!$I$12*N97</f>
        <v>0</v>
      </c>
      <c r="T97" s="18"/>
      <c r="U97" s="55">
        <v>0</v>
      </c>
      <c r="W97" s="116">
        <v>5</v>
      </c>
      <c r="X97" s="114" t="str">
        <f>Inputs!$A$12</f>
        <v>M3135000</v>
      </c>
      <c r="Y97" s="45" t="str">
        <f>Inputs!$B$12</f>
        <v>PNT</v>
      </c>
      <c r="Z97" s="45" t="s">
        <v>57</v>
      </c>
      <c r="AA97" s="45">
        <f t="shared" si="75"/>
        <v>0</v>
      </c>
      <c r="AB97" s="50"/>
      <c r="AC97" s="118">
        <v>5</v>
      </c>
      <c r="AD97" s="114" t="str">
        <f>Inputs!$A$12</f>
        <v>M3135000</v>
      </c>
      <c r="AE97" s="45" t="str">
        <f>Inputs!$B$12</f>
        <v>PNT</v>
      </c>
      <c r="AF97" s="45" t="s">
        <v>58</v>
      </c>
      <c r="AG97" s="45">
        <f t="shared" si="76"/>
        <v>0</v>
      </c>
      <c r="AH97" s="50"/>
      <c r="AI97" s="45">
        <v>0</v>
      </c>
      <c r="AJ97" s="45">
        <v>0</v>
      </c>
      <c r="AK97" s="45">
        <f t="shared" si="105"/>
        <v>0</v>
      </c>
      <c r="AL97" s="50"/>
      <c r="AM97" s="45">
        <f t="shared" si="106"/>
        <v>0</v>
      </c>
      <c r="AN97" s="64">
        <f>AI97*Inputs!$F$12*Inputs!$G$12</f>
        <v>0</v>
      </c>
      <c r="AO97" s="45">
        <f>Inputs!$F$12*Inputs!$I$12*AJ97</f>
        <v>0</v>
      </c>
      <c r="AP97" s="55">
        <v>0</v>
      </c>
      <c r="AR97" s="116">
        <v>5</v>
      </c>
      <c r="AS97" s="114" t="str">
        <f>Inputs!$A$12</f>
        <v>M3135000</v>
      </c>
      <c r="AT97" s="45" t="str">
        <f>Inputs!$B$12</f>
        <v>PNT</v>
      </c>
      <c r="AU97" s="45" t="s">
        <v>57</v>
      </c>
      <c r="AV97" s="45">
        <f t="shared" si="86"/>
        <v>0</v>
      </c>
      <c r="AW97" s="50"/>
      <c r="AX97" s="118">
        <v>5</v>
      </c>
      <c r="AY97" s="114" t="str">
        <f>Inputs!$A$12</f>
        <v>M3135000</v>
      </c>
      <c r="AZ97" s="45" t="str">
        <f>Inputs!$B$12</f>
        <v>PNT</v>
      </c>
      <c r="BA97" s="45" t="s">
        <v>58</v>
      </c>
      <c r="BB97" s="45">
        <f t="shared" si="79"/>
        <v>0</v>
      </c>
      <c r="BC97" s="50"/>
      <c r="BD97" s="45">
        <v>0</v>
      </c>
      <c r="BE97" s="45">
        <v>0</v>
      </c>
      <c r="BF97" s="45">
        <f t="shared" si="107"/>
        <v>0</v>
      </c>
      <c r="BG97" s="50"/>
      <c r="BH97" s="45">
        <f t="shared" si="108"/>
        <v>0</v>
      </c>
      <c r="BI97" s="64">
        <f>BD97*Inputs!$F$12*Inputs!$G$12</f>
        <v>0</v>
      </c>
      <c r="BJ97" s="45">
        <f>Inputs!$F$12*Inputs!$I$12*BE97</f>
        <v>0</v>
      </c>
      <c r="BK97" s="55">
        <v>0</v>
      </c>
      <c r="BM97" s="116">
        <v>5</v>
      </c>
      <c r="BN97" s="114" t="str">
        <f>Inputs!$A$12</f>
        <v>M3135000</v>
      </c>
      <c r="BO97" s="45" t="str">
        <f>Inputs!$B$12</f>
        <v>PNT</v>
      </c>
      <c r="BP97" s="45" t="s">
        <v>57</v>
      </c>
      <c r="BQ97" s="45">
        <f t="shared" si="82"/>
        <v>0</v>
      </c>
      <c r="BR97" s="50"/>
      <c r="BS97" s="118">
        <v>5</v>
      </c>
      <c r="BT97" s="114" t="str">
        <f>Inputs!$A$12</f>
        <v>M3135000</v>
      </c>
      <c r="BU97" s="45" t="str">
        <f>Inputs!$B$12</f>
        <v>PNT</v>
      </c>
      <c r="BV97" s="45" t="s">
        <v>58</v>
      </c>
      <c r="BW97" s="45">
        <f t="shared" si="83"/>
        <v>0</v>
      </c>
      <c r="BX97" s="50"/>
      <c r="BY97" s="45">
        <v>0</v>
      </c>
      <c r="BZ97" s="45">
        <v>0</v>
      </c>
      <c r="CA97" s="45">
        <f t="shared" si="109"/>
        <v>0</v>
      </c>
      <c r="CB97" s="50"/>
      <c r="CC97" s="45">
        <f t="shared" si="110"/>
        <v>0</v>
      </c>
      <c r="CD97" s="64">
        <f>BY97*Inputs!$F$12*Inputs!$G$12</f>
        <v>0</v>
      </c>
      <c r="CE97" s="45">
        <f>Inputs!$F$12*Inputs!$I$12*BZ97</f>
        <v>0</v>
      </c>
      <c r="CF97" s="55">
        <v>0</v>
      </c>
    </row>
    <row r="98" spans="1:84" x14ac:dyDescent="0.25">
      <c r="A98" s="116">
        <v>6</v>
      </c>
      <c r="B98" s="114" t="str">
        <f>Inputs!$A$12</f>
        <v>M3135000</v>
      </c>
      <c r="C98" s="45" t="str">
        <f>Inputs!$B$12</f>
        <v>PNT</v>
      </c>
      <c r="D98" s="45" t="s">
        <v>57</v>
      </c>
      <c r="E98" s="45">
        <v>0</v>
      </c>
      <c r="F98" s="50"/>
      <c r="G98" s="118">
        <v>6</v>
      </c>
      <c r="H98" s="114" t="str">
        <f>Inputs!$A$12</f>
        <v>M3135000</v>
      </c>
      <c r="I98" s="45" t="str">
        <f>Inputs!$B$12</f>
        <v>PNT</v>
      </c>
      <c r="J98" s="45" t="s">
        <v>58</v>
      </c>
      <c r="K98" s="45">
        <v>363</v>
      </c>
      <c r="L98" s="50"/>
      <c r="M98" s="45">
        <v>361.65665999999999</v>
      </c>
      <c r="N98" s="45">
        <v>0</v>
      </c>
      <c r="O98" s="45">
        <f t="shared" si="103"/>
        <v>-361.65666118421052</v>
      </c>
      <c r="P98" s="50"/>
      <c r="Q98" s="45">
        <f t="shared" si="104"/>
        <v>1.184210532301222E-6</v>
      </c>
      <c r="R98" s="64">
        <f>M98*Inputs!$F$12*Inputs!$G$12</f>
        <v>744404.41309787997</v>
      </c>
      <c r="S98" s="45">
        <f>Inputs!$F$12*Inputs!$I$12*N98</f>
        <v>0</v>
      </c>
      <c r="T98" s="18"/>
      <c r="U98" s="55">
        <v>1.3433388157894737</v>
      </c>
      <c r="W98" s="116">
        <v>6</v>
      </c>
      <c r="X98" s="114" t="str">
        <f>Inputs!$A$12</f>
        <v>M3135000</v>
      </c>
      <c r="Y98" s="45" t="str">
        <f>Inputs!$B$12</f>
        <v>PNT</v>
      </c>
      <c r="Z98" s="45" t="s">
        <v>57</v>
      </c>
      <c r="AA98" s="45">
        <f t="shared" si="75"/>
        <v>0</v>
      </c>
      <c r="AB98" s="50"/>
      <c r="AC98" s="118">
        <v>6</v>
      </c>
      <c r="AD98" s="114" t="str">
        <f>Inputs!$A$12</f>
        <v>M3135000</v>
      </c>
      <c r="AE98" s="45" t="str">
        <f>Inputs!$B$12</f>
        <v>PNT</v>
      </c>
      <c r="AF98" s="45" t="s">
        <v>58</v>
      </c>
      <c r="AG98" s="45">
        <f t="shared" si="76"/>
        <v>363</v>
      </c>
      <c r="AH98" s="50"/>
      <c r="AI98" s="45">
        <v>363</v>
      </c>
      <c r="AJ98" s="45">
        <v>0</v>
      </c>
      <c r="AK98" s="45">
        <f t="shared" si="105"/>
        <v>-363</v>
      </c>
      <c r="AL98" s="50"/>
      <c r="AM98" s="45">
        <f t="shared" si="106"/>
        <v>0</v>
      </c>
      <c r="AN98" s="64">
        <f>AI98*Inputs!$F$12*Inputs!$G$12</f>
        <v>747169.43400000001</v>
      </c>
      <c r="AO98" s="45">
        <f>Inputs!$F$12*Inputs!$I$12*AJ98</f>
        <v>0</v>
      </c>
      <c r="AP98" s="55">
        <v>0</v>
      </c>
      <c r="AR98" s="116">
        <v>6</v>
      </c>
      <c r="AS98" s="114" t="str">
        <f>Inputs!$A$12</f>
        <v>M3135000</v>
      </c>
      <c r="AT98" s="45" t="str">
        <f>Inputs!$B$12</f>
        <v>PNT</v>
      </c>
      <c r="AU98" s="45" t="s">
        <v>57</v>
      </c>
      <c r="AV98" s="45">
        <f t="shared" si="86"/>
        <v>0</v>
      </c>
      <c r="AW98" s="50"/>
      <c r="AX98" s="118">
        <v>6</v>
      </c>
      <c r="AY98" s="114" t="str">
        <f>Inputs!$A$12</f>
        <v>M3135000</v>
      </c>
      <c r="AZ98" s="45" t="str">
        <f>Inputs!$B$12</f>
        <v>PNT</v>
      </c>
      <c r="BA98" s="45" t="s">
        <v>58</v>
      </c>
      <c r="BB98" s="45">
        <f t="shared" si="79"/>
        <v>363</v>
      </c>
      <c r="BC98" s="50"/>
      <c r="BD98" s="45">
        <v>363</v>
      </c>
      <c r="BE98" s="45">
        <v>0</v>
      </c>
      <c r="BF98" s="45">
        <f t="shared" si="107"/>
        <v>-363</v>
      </c>
      <c r="BG98" s="50"/>
      <c r="BH98" s="45">
        <f t="shared" si="108"/>
        <v>0</v>
      </c>
      <c r="BI98" s="64">
        <f>BD98*Inputs!$F$12*Inputs!$G$12</f>
        <v>747169.43400000001</v>
      </c>
      <c r="BJ98" s="45">
        <f>Inputs!$F$12*Inputs!$I$12*BE98</f>
        <v>0</v>
      </c>
      <c r="BK98" s="55">
        <v>0</v>
      </c>
      <c r="BM98" s="116">
        <v>6</v>
      </c>
      <c r="BN98" s="114" t="str">
        <f>Inputs!$A$12</f>
        <v>M3135000</v>
      </c>
      <c r="BO98" s="45" t="str">
        <f>Inputs!$B$12</f>
        <v>PNT</v>
      </c>
      <c r="BP98" s="45" t="s">
        <v>57</v>
      </c>
      <c r="BQ98" s="45">
        <f t="shared" si="82"/>
        <v>0</v>
      </c>
      <c r="BR98" s="50"/>
      <c r="BS98" s="118">
        <v>6</v>
      </c>
      <c r="BT98" s="114" t="str">
        <f>Inputs!$A$12</f>
        <v>M3135000</v>
      </c>
      <c r="BU98" s="45" t="str">
        <f>Inputs!$B$12</f>
        <v>PNT</v>
      </c>
      <c r="BV98" s="45" t="s">
        <v>58</v>
      </c>
      <c r="BW98" s="45">
        <f t="shared" si="83"/>
        <v>363</v>
      </c>
      <c r="BX98" s="50"/>
      <c r="BY98" s="45">
        <v>363</v>
      </c>
      <c r="BZ98" s="45">
        <v>0</v>
      </c>
      <c r="CA98" s="45">
        <f t="shared" si="109"/>
        <v>-363</v>
      </c>
      <c r="CB98" s="50"/>
      <c r="CC98" s="45">
        <f t="shared" si="110"/>
        <v>0</v>
      </c>
      <c r="CD98" s="64">
        <f>BY98*Inputs!$F$12*Inputs!$G$12</f>
        <v>747169.43400000001</v>
      </c>
      <c r="CE98" s="45">
        <f>Inputs!$F$12*Inputs!$I$12*BZ98</f>
        <v>0</v>
      </c>
      <c r="CF98" s="55">
        <v>0</v>
      </c>
    </row>
    <row r="99" spans="1:84" x14ac:dyDescent="0.25">
      <c r="A99" s="116">
        <v>7</v>
      </c>
      <c r="B99" s="114" t="str">
        <f>Inputs!$A$12</f>
        <v>M3135000</v>
      </c>
      <c r="C99" s="45" t="str">
        <f>Inputs!$B$12</f>
        <v>PNT</v>
      </c>
      <c r="D99" s="45" t="s">
        <v>57</v>
      </c>
      <c r="E99" s="45">
        <v>0</v>
      </c>
      <c r="F99" s="50"/>
      <c r="G99" s="118">
        <v>7</v>
      </c>
      <c r="H99" s="114" t="str">
        <f>Inputs!$A$12</f>
        <v>M3135000</v>
      </c>
      <c r="I99" s="45" t="str">
        <f>Inputs!$B$12</f>
        <v>PNT</v>
      </c>
      <c r="J99" s="45" t="s">
        <v>58</v>
      </c>
      <c r="K99" s="45">
        <v>0</v>
      </c>
      <c r="L99" s="50"/>
      <c r="M99" s="45">
        <v>255.23437000000001</v>
      </c>
      <c r="N99" s="45">
        <v>0</v>
      </c>
      <c r="O99" s="45">
        <f t="shared" si="103"/>
        <v>-255.23437381578947</v>
      </c>
      <c r="P99" s="50"/>
      <c r="Q99" s="45">
        <f t="shared" si="104"/>
        <v>3.8157894550749916E-6</v>
      </c>
      <c r="R99" s="64">
        <f>M99*Inputs!$F$12*Inputs!$G$12</f>
        <v>525353.49798966001</v>
      </c>
      <c r="S99" s="45">
        <f>Inputs!$F$12*Inputs!$I$12*N99</f>
        <v>0</v>
      </c>
      <c r="T99" s="18"/>
      <c r="U99" s="55">
        <v>106.42228618421053</v>
      </c>
      <c r="W99" s="116">
        <v>7</v>
      </c>
      <c r="X99" s="114" t="str">
        <f>Inputs!$A$12</f>
        <v>M3135000</v>
      </c>
      <c r="Y99" s="45" t="str">
        <f>Inputs!$B$12</f>
        <v>PNT</v>
      </c>
      <c r="Z99" s="45" t="s">
        <v>57</v>
      </c>
      <c r="AA99" s="45">
        <f t="shared" si="75"/>
        <v>0</v>
      </c>
      <c r="AB99" s="50"/>
      <c r="AC99" s="118">
        <v>7</v>
      </c>
      <c r="AD99" s="114" t="str">
        <f>Inputs!$A$12</f>
        <v>M3135000</v>
      </c>
      <c r="AE99" s="45" t="str">
        <f>Inputs!$B$12</f>
        <v>PNT</v>
      </c>
      <c r="AF99" s="45" t="s">
        <v>58</v>
      </c>
      <c r="AG99" s="45">
        <f t="shared" si="76"/>
        <v>0</v>
      </c>
      <c r="AH99" s="50"/>
      <c r="AI99" s="45">
        <v>338.8</v>
      </c>
      <c r="AJ99" s="45">
        <v>0</v>
      </c>
      <c r="AK99" s="45">
        <f t="shared" si="105"/>
        <v>-338.8</v>
      </c>
      <c r="AL99" s="50"/>
      <c r="AM99" s="45">
        <f t="shared" si="106"/>
        <v>0</v>
      </c>
      <c r="AN99" s="64">
        <f>AI99*Inputs!$F$12*Inputs!$G$12</f>
        <v>697358.13839999994</v>
      </c>
      <c r="AO99" s="45">
        <f>Inputs!$F$12*Inputs!$I$12*AJ99</f>
        <v>0</v>
      </c>
      <c r="AP99" s="55">
        <v>24.2</v>
      </c>
      <c r="AR99" s="116">
        <v>7</v>
      </c>
      <c r="AS99" s="114" t="str">
        <f>Inputs!$A$12</f>
        <v>M3135000</v>
      </c>
      <c r="AT99" s="45" t="str">
        <f>Inputs!$B$12</f>
        <v>PNT</v>
      </c>
      <c r="AU99" s="45" t="s">
        <v>57</v>
      </c>
      <c r="AV99" s="45">
        <f t="shared" si="86"/>
        <v>0</v>
      </c>
      <c r="AW99" s="50"/>
      <c r="AX99" s="118">
        <v>7</v>
      </c>
      <c r="AY99" s="114" t="str">
        <f>Inputs!$A$12</f>
        <v>M3135000</v>
      </c>
      <c r="AZ99" s="45" t="str">
        <f>Inputs!$B$12</f>
        <v>PNT</v>
      </c>
      <c r="BA99" s="45" t="s">
        <v>58</v>
      </c>
      <c r="BB99" s="45">
        <f t="shared" si="79"/>
        <v>0</v>
      </c>
      <c r="BC99" s="50"/>
      <c r="BD99" s="45">
        <v>312.18</v>
      </c>
      <c r="BE99" s="45">
        <v>0</v>
      </c>
      <c r="BF99" s="45">
        <f t="shared" si="107"/>
        <v>-312.18</v>
      </c>
      <c r="BG99" s="50"/>
      <c r="BH99" s="45">
        <f t="shared" si="108"/>
        <v>0</v>
      </c>
      <c r="BI99" s="64">
        <f>BD99*Inputs!$F$12*Inputs!$G$12</f>
        <v>642565.71323999995</v>
      </c>
      <c r="BJ99" s="45">
        <f>Inputs!$F$12*Inputs!$I$12*BE99</f>
        <v>0</v>
      </c>
      <c r="BK99" s="55">
        <v>50.820000000000007</v>
      </c>
      <c r="BM99" s="116">
        <v>7</v>
      </c>
      <c r="BN99" s="114" t="str">
        <f>Inputs!$A$12</f>
        <v>M3135000</v>
      </c>
      <c r="BO99" s="45" t="str">
        <f>Inputs!$B$12</f>
        <v>PNT</v>
      </c>
      <c r="BP99" s="45" t="s">
        <v>57</v>
      </c>
      <c r="BQ99" s="45">
        <f t="shared" si="82"/>
        <v>0</v>
      </c>
      <c r="BR99" s="50"/>
      <c r="BS99" s="118">
        <v>7</v>
      </c>
      <c r="BT99" s="114" t="str">
        <f>Inputs!$A$12</f>
        <v>M3135000</v>
      </c>
      <c r="BU99" s="45" t="str">
        <f>Inputs!$B$12</f>
        <v>PNT</v>
      </c>
      <c r="BV99" s="45" t="s">
        <v>58</v>
      </c>
      <c r="BW99" s="45">
        <f t="shared" si="83"/>
        <v>0</v>
      </c>
      <c r="BX99" s="50"/>
      <c r="BY99" s="45">
        <v>242</v>
      </c>
      <c r="BZ99" s="45">
        <v>0</v>
      </c>
      <c r="CA99" s="45">
        <f t="shared" si="109"/>
        <v>-242</v>
      </c>
      <c r="CB99" s="50"/>
      <c r="CC99" s="45">
        <f t="shared" si="110"/>
        <v>0</v>
      </c>
      <c r="CD99" s="64">
        <f>BY99*Inputs!$F$12*Inputs!$G$12</f>
        <v>498112.95600000001</v>
      </c>
      <c r="CE99" s="45">
        <f>Inputs!$F$12*Inputs!$I$12*BZ99</f>
        <v>0</v>
      </c>
      <c r="CF99" s="55">
        <v>121</v>
      </c>
    </row>
    <row r="100" spans="1:84" x14ac:dyDescent="0.25">
      <c r="A100" s="116">
        <v>8</v>
      </c>
      <c r="B100" s="114" t="str">
        <f>Inputs!$A$12</f>
        <v>M3135000</v>
      </c>
      <c r="C100" s="45" t="str">
        <f>Inputs!$B$12</f>
        <v>PNT</v>
      </c>
      <c r="D100" s="45" t="s">
        <v>57</v>
      </c>
      <c r="E100" s="45">
        <v>0</v>
      </c>
      <c r="F100" s="50"/>
      <c r="G100" s="118">
        <v>8</v>
      </c>
      <c r="H100" s="114" t="str">
        <f>Inputs!$A$12</f>
        <v>M3135000</v>
      </c>
      <c r="I100" s="45" t="str">
        <f>Inputs!$B$12</f>
        <v>PNT</v>
      </c>
      <c r="J100" s="45" t="s">
        <v>58</v>
      </c>
      <c r="K100" s="45">
        <v>0</v>
      </c>
      <c r="L100" s="50"/>
      <c r="M100" s="45">
        <v>104.92968999999999</v>
      </c>
      <c r="N100" s="45">
        <v>0</v>
      </c>
      <c r="O100" s="45">
        <f t="shared" si="103"/>
        <v>-104.92968249999998</v>
      </c>
      <c r="P100" s="50"/>
      <c r="Q100" s="45">
        <f t="shared" si="104"/>
        <v>-7.5000000094860297E-6</v>
      </c>
      <c r="R100" s="64">
        <f>M100*Inputs!$F$12*Inputs!$G$12</f>
        <v>215978.66966142002</v>
      </c>
      <c r="S100" s="45">
        <f>Inputs!$F$12*Inputs!$I$12*N100</f>
        <v>0</v>
      </c>
      <c r="T100" s="18"/>
      <c r="U100" s="55">
        <v>150.30468750000003</v>
      </c>
      <c r="W100" s="116">
        <v>8</v>
      </c>
      <c r="X100" s="114" t="str">
        <f>Inputs!$A$12</f>
        <v>M3135000</v>
      </c>
      <c r="Y100" s="45" t="str">
        <f>Inputs!$B$12</f>
        <v>PNT</v>
      </c>
      <c r="Z100" s="45" t="s">
        <v>57</v>
      </c>
      <c r="AA100" s="45">
        <f t="shared" si="75"/>
        <v>0</v>
      </c>
      <c r="AB100" s="50"/>
      <c r="AC100" s="118">
        <v>8</v>
      </c>
      <c r="AD100" s="114" t="str">
        <f>Inputs!$A$12</f>
        <v>M3135000</v>
      </c>
      <c r="AE100" s="45" t="str">
        <f>Inputs!$B$12</f>
        <v>PNT</v>
      </c>
      <c r="AF100" s="45" t="s">
        <v>58</v>
      </c>
      <c r="AG100" s="45">
        <f t="shared" si="76"/>
        <v>0</v>
      </c>
      <c r="AH100" s="50"/>
      <c r="AI100" s="45">
        <v>290.39999999999998</v>
      </c>
      <c r="AJ100" s="45">
        <v>0</v>
      </c>
      <c r="AK100" s="45">
        <f t="shared" si="105"/>
        <v>-290.40000000000003</v>
      </c>
      <c r="AL100" s="50"/>
      <c r="AM100" s="45">
        <f t="shared" si="106"/>
        <v>0</v>
      </c>
      <c r="AN100" s="64">
        <f>AI100*Inputs!$F$12*Inputs!$G$12</f>
        <v>597735.54720000003</v>
      </c>
      <c r="AO100" s="45">
        <f>Inputs!$F$12*Inputs!$I$12*AJ100</f>
        <v>0</v>
      </c>
      <c r="AP100" s="55">
        <v>48.4</v>
      </c>
      <c r="AR100" s="116">
        <v>8</v>
      </c>
      <c r="AS100" s="114" t="str">
        <f>Inputs!$A$12</f>
        <v>M3135000</v>
      </c>
      <c r="AT100" s="45" t="str">
        <f>Inputs!$B$12</f>
        <v>PNT</v>
      </c>
      <c r="AU100" s="45" t="s">
        <v>57</v>
      </c>
      <c r="AV100" s="45">
        <f t="shared" si="86"/>
        <v>0</v>
      </c>
      <c r="AW100" s="50"/>
      <c r="AX100" s="118">
        <v>8</v>
      </c>
      <c r="AY100" s="114" t="str">
        <f>Inputs!$A$12</f>
        <v>M3135000</v>
      </c>
      <c r="AZ100" s="45" t="str">
        <f>Inputs!$B$12</f>
        <v>PNT</v>
      </c>
      <c r="BA100" s="45" t="s">
        <v>58</v>
      </c>
      <c r="BB100" s="45">
        <f t="shared" si="79"/>
        <v>0</v>
      </c>
      <c r="BC100" s="50"/>
      <c r="BD100" s="45">
        <v>228.69</v>
      </c>
      <c r="BE100" s="45">
        <v>0</v>
      </c>
      <c r="BF100" s="45">
        <f t="shared" si="107"/>
        <v>-228.69</v>
      </c>
      <c r="BG100" s="50"/>
      <c r="BH100" s="45">
        <f t="shared" si="108"/>
        <v>0</v>
      </c>
      <c r="BI100" s="64">
        <f>BD100*Inputs!$F$12*Inputs!$G$12</f>
        <v>470716.74342000001</v>
      </c>
      <c r="BJ100" s="45">
        <f>Inputs!$F$12*Inputs!$I$12*BE100</f>
        <v>0</v>
      </c>
      <c r="BK100" s="55">
        <v>83.490000000000009</v>
      </c>
      <c r="BM100" s="116">
        <v>8</v>
      </c>
      <c r="BN100" s="114" t="str">
        <f>Inputs!$A$12</f>
        <v>M3135000</v>
      </c>
      <c r="BO100" s="45" t="str">
        <f>Inputs!$B$12</f>
        <v>PNT</v>
      </c>
      <c r="BP100" s="45" t="s">
        <v>57</v>
      </c>
      <c r="BQ100" s="45">
        <f t="shared" si="82"/>
        <v>0</v>
      </c>
      <c r="BR100" s="50"/>
      <c r="BS100" s="118">
        <v>8</v>
      </c>
      <c r="BT100" s="114" t="str">
        <f>Inputs!$A$12</f>
        <v>M3135000</v>
      </c>
      <c r="BU100" s="45" t="str">
        <f>Inputs!$B$12</f>
        <v>PNT</v>
      </c>
      <c r="BV100" s="45" t="s">
        <v>58</v>
      </c>
      <c r="BW100" s="45">
        <f t="shared" si="83"/>
        <v>0</v>
      </c>
      <c r="BX100" s="50"/>
      <c r="BY100" s="45">
        <v>145.19999999999999</v>
      </c>
      <c r="BZ100" s="45">
        <v>0</v>
      </c>
      <c r="CA100" s="45">
        <f t="shared" si="109"/>
        <v>-145.19999999999999</v>
      </c>
      <c r="CB100" s="50"/>
      <c r="CC100" s="45">
        <f t="shared" si="110"/>
        <v>0</v>
      </c>
      <c r="CD100" s="64">
        <f>BY100*Inputs!$F$12*Inputs!$G$12</f>
        <v>298867.77360000001</v>
      </c>
      <c r="CE100" s="45">
        <f>Inputs!$F$12*Inputs!$I$12*BZ100</f>
        <v>0</v>
      </c>
      <c r="CF100" s="55">
        <v>96.8</v>
      </c>
    </row>
    <row r="101" spans="1:84" x14ac:dyDescent="0.25">
      <c r="A101" s="116">
        <v>9</v>
      </c>
      <c r="B101" s="114" t="str">
        <f>Inputs!$A$12</f>
        <v>M3135000</v>
      </c>
      <c r="C101" s="45" t="str">
        <f>Inputs!$B$12</f>
        <v>PNT</v>
      </c>
      <c r="D101" s="45" t="s">
        <v>57</v>
      </c>
      <c r="E101" s="45">
        <v>0</v>
      </c>
      <c r="F101" s="50"/>
      <c r="G101" s="118">
        <v>9</v>
      </c>
      <c r="H101" s="114" t="str">
        <f>Inputs!$A$12</f>
        <v>M3135000</v>
      </c>
      <c r="I101" s="45" t="str">
        <f>Inputs!$B$12</f>
        <v>PNT</v>
      </c>
      <c r="J101" s="45" t="s">
        <v>58</v>
      </c>
      <c r="K101" s="45">
        <v>0</v>
      </c>
      <c r="L101" s="50"/>
      <c r="M101" s="45">
        <v>23.881578999999999</v>
      </c>
      <c r="N101" s="45">
        <v>0</v>
      </c>
      <c r="O101" s="45">
        <f t="shared" si="103"/>
        <v>-23.881581447368418</v>
      </c>
      <c r="P101" s="50"/>
      <c r="Q101" s="45">
        <f t="shared" si="104"/>
        <v>2.4473684199222134E-6</v>
      </c>
      <c r="R101" s="64">
        <f>M101*Inputs!$F$12*Inputs!$G$12</f>
        <v>49155.883924121998</v>
      </c>
      <c r="S101" s="45">
        <f>Inputs!$F$12*Inputs!$I$12*N101</f>
        <v>0</v>
      </c>
      <c r="T101" s="18"/>
      <c r="U101" s="55">
        <v>81.048108552631575</v>
      </c>
      <c r="W101" s="116">
        <v>9</v>
      </c>
      <c r="X101" s="114" t="str">
        <f>Inputs!$A$12</f>
        <v>M3135000</v>
      </c>
      <c r="Y101" s="45" t="str">
        <f>Inputs!$B$12</f>
        <v>PNT</v>
      </c>
      <c r="Z101" s="45" t="s">
        <v>57</v>
      </c>
      <c r="AA101" s="45">
        <f t="shared" si="75"/>
        <v>0</v>
      </c>
      <c r="AB101" s="50"/>
      <c r="AC101" s="118">
        <v>9</v>
      </c>
      <c r="AD101" s="114" t="str">
        <f>Inputs!$A$12</f>
        <v>M3135000</v>
      </c>
      <c r="AE101" s="45" t="str">
        <f>Inputs!$B$12</f>
        <v>PNT</v>
      </c>
      <c r="AF101" s="45" t="s">
        <v>58</v>
      </c>
      <c r="AG101" s="45">
        <f t="shared" si="76"/>
        <v>0</v>
      </c>
      <c r="AH101" s="50"/>
      <c r="AI101" s="45">
        <v>217.8</v>
      </c>
      <c r="AJ101" s="45">
        <v>0</v>
      </c>
      <c r="AK101" s="45">
        <f t="shared" si="105"/>
        <v>-217.79999999999998</v>
      </c>
      <c r="AL101" s="50"/>
      <c r="AM101" s="45">
        <f t="shared" si="106"/>
        <v>0</v>
      </c>
      <c r="AN101" s="64">
        <f>AI101*Inputs!$F$12*Inputs!$G$12</f>
        <v>448301.66040000005</v>
      </c>
      <c r="AO101" s="45">
        <f>Inputs!$F$12*Inputs!$I$12*AJ101</f>
        <v>0</v>
      </c>
      <c r="AP101" s="55">
        <v>72.599999999999994</v>
      </c>
      <c r="AR101" s="116">
        <v>9</v>
      </c>
      <c r="AS101" s="114" t="str">
        <f>Inputs!$A$12</f>
        <v>M3135000</v>
      </c>
      <c r="AT101" s="45" t="str">
        <f>Inputs!$B$12</f>
        <v>PNT</v>
      </c>
      <c r="AU101" s="45" t="s">
        <v>57</v>
      </c>
      <c r="AV101" s="45">
        <f t="shared" si="86"/>
        <v>0</v>
      </c>
      <c r="AW101" s="50"/>
      <c r="AX101" s="118">
        <v>9</v>
      </c>
      <c r="AY101" s="114" t="str">
        <f>Inputs!$A$12</f>
        <v>M3135000</v>
      </c>
      <c r="AZ101" s="45" t="str">
        <f>Inputs!$B$12</f>
        <v>PNT</v>
      </c>
      <c r="BA101" s="45" t="s">
        <v>58</v>
      </c>
      <c r="BB101" s="45">
        <f t="shared" si="79"/>
        <v>0</v>
      </c>
      <c r="BC101" s="50"/>
      <c r="BD101" s="45">
        <v>134.31</v>
      </c>
      <c r="BE101" s="45">
        <v>0</v>
      </c>
      <c r="BF101" s="45">
        <f t="shared" si="107"/>
        <v>-134.31</v>
      </c>
      <c r="BG101" s="50"/>
      <c r="BH101" s="45">
        <f t="shared" si="108"/>
        <v>0</v>
      </c>
      <c r="BI101" s="64">
        <f>BD101*Inputs!$F$12*Inputs!$G$12</f>
        <v>276452.69057999999</v>
      </c>
      <c r="BJ101" s="45">
        <f>Inputs!$F$12*Inputs!$I$12*BE101</f>
        <v>0</v>
      </c>
      <c r="BK101" s="55">
        <v>94.38000000000001</v>
      </c>
      <c r="BM101" s="116">
        <v>9</v>
      </c>
      <c r="BN101" s="114" t="str">
        <f>Inputs!$A$12</f>
        <v>M3135000</v>
      </c>
      <c r="BO101" s="45" t="str">
        <f>Inputs!$B$12</f>
        <v>PNT</v>
      </c>
      <c r="BP101" s="45" t="s">
        <v>57</v>
      </c>
      <c r="BQ101" s="45">
        <f t="shared" si="82"/>
        <v>0</v>
      </c>
      <c r="BR101" s="50"/>
      <c r="BS101" s="118">
        <v>9</v>
      </c>
      <c r="BT101" s="114" t="str">
        <f>Inputs!$A$12</f>
        <v>M3135000</v>
      </c>
      <c r="BU101" s="45" t="str">
        <f>Inputs!$B$12</f>
        <v>PNT</v>
      </c>
      <c r="BV101" s="45" t="s">
        <v>58</v>
      </c>
      <c r="BW101" s="45">
        <f t="shared" si="83"/>
        <v>0</v>
      </c>
      <c r="BX101" s="50"/>
      <c r="BY101" s="45">
        <v>72.599999999999994</v>
      </c>
      <c r="BZ101" s="45">
        <v>0</v>
      </c>
      <c r="CA101" s="45">
        <f t="shared" si="109"/>
        <v>-72.599999999999994</v>
      </c>
      <c r="CB101" s="50"/>
      <c r="CC101" s="45">
        <f t="shared" si="110"/>
        <v>0</v>
      </c>
      <c r="CD101" s="64">
        <f>BY101*Inputs!$F$12*Inputs!$G$12</f>
        <v>149433.88680000001</v>
      </c>
      <c r="CE101" s="45">
        <f>Inputs!$F$12*Inputs!$I$12*BZ101</f>
        <v>0</v>
      </c>
      <c r="CF101" s="55">
        <v>72.599999999999994</v>
      </c>
    </row>
    <row r="102" spans="1:84" x14ac:dyDescent="0.25">
      <c r="A102" s="116">
        <v>10</v>
      </c>
      <c r="B102" s="114" t="str">
        <f>Inputs!$A$12</f>
        <v>M3135000</v>
      </c>
      <c r="C102" s="45" t="str">
        <f>Inputs!$B$12</f>
        <v>PNT</v>
      </c>
      <c r="D102" s="45" t="s">
        <v>57</v>
      </c>
      <c r="E102" s="45">
        <v>0</v>
      </c>
      <c r="F102" s="50"/>
      <c r="G102" s="118">
        <v>10</v>
      </c>
      <c r="H102" s="114" t="str">
        <f>Inputs!$A$12</f>
        <v>M3135000</v>
      </c>
      <c r="I102" s="45" t="str">
        <f>Inputs!$B$12</f>
        <v>PNT</v>
      </c>
      <c r="J102" s="45" t="s">
        <v>58</v>
      </c>
      <c r="K102" s="45">
        <v>0</v>
      </c>
      <c r="L102" s="50"/>
      <c r="M102" s="45">
        <v>11.940789000000001</v>
      </c>
      <c r="N102" s="45">
        <v>0</v>
      </c>
      <c r="O102" s="45">
        <f t="shared" si="103"/>
        <v>-11.940789526315788</v>
      </c>
      <c r="P102" s="50"/>
      <c r="Q102" s="45">
        <f t="shared" si="104"/>
        <v>5.2631578739692486E-7</v>
      </c>
      <c r="R102" s="64">
        <f>M102*Inputs!$F$12*Inputs!$G$12</f>
        <v>24577.940932902002</v>
      </c>
      <c r="S102" s="45">
        <f>Inputs!$F$12*Inputs!$I$12*N102</f>
        <v>0</v>
      </c>
      <c r="T102" s="18"/>
      <c r="U102" s="91">
        <v>11.940789473684211</v>
      </c>
      <c r="W102" s="116">
        <v>10</v>
      </c>
      <c r="X102" s="114" t="str">
        <f>Inputs!$A$12</f>
        <v>M3135000</v>
      </c>
      <c r="Y102" s="45" t="str">
        <f>Inputs!$B$12</f>
        <v>PNT</v>
      </c>
      <c r="Z102" s="45" t="s">
        <v>57</v>
      </c>
      <c r="AA102" s="45">
        <f t="shared" si="75"/>
        <v>0</v>
      </c>
      <c r="AB102" s="50"/>
      <c r="AC102" s="118">
        <v>10</v>
      </c>
      <c r="AD102" s="114" t="str">
        <f>Inputs!$A$12</f>
        <v>M3135000</v>
      </c>
      <c r="AE102" s="45" t="str">
        <f>Inputs!$B$12</f>
        <v>PNT</v>
      </c>
      <c r="AF102" s="45" t="s">
        <v>58</v>
      </c>
      <c r="AG102" s="45">
        <f t="shared" si="76"/>
        <v>0</v>
      </c>
      <c r="AH102" s="50"/>
      <c r="AI102" s="45">
        <v>121</v>
      </c>
      <c r="AJ102" s="45">
        <v>0</v>
      </c>
      <c r="AK102" s="45">
        <f t="shared" si="105"/>
        <v>-121.00000000000001</v>
      </c>
      <c r="AL102" s="50"/>
      <c r="AM102" s="45">
        <f t="shared" si="106"/>
        <v>0</v>
      </c>
      <c r="AN102" s="64">
        <f>AI102*Inputs!$F$12*Inputs!$G$12</f>
        <v>249056.478</v>
      </c>
      <c r="AO102" s="45">
        <f>Inputs!$F$12*Inputs!$I$12*AJ102</f>
        <v>0</v>
      </c>
      <c r="AP102" s="91">
        <v>96.8</v>
      </c>
      <c r="AR102" s="116">
        <v>10</v>
      </c>
      <c r="AS102" s="114" t="str">
        <f>Inputs!$A$12</f>
        <v>M3135000</v>
      </c>
      <c r="AT102" s="45" t="str">
        <f>Inputs!$B$12</f>
        <v>PNT</v>
      </c>
      <c r="AU102" s="45" t="s">
        <v>57</v>
      </c>
      <c r="AV102" s="45">
        <f t="shared" si="86"/>
        <v>0</v>
      </c>
      <c r="AW102" s="50"/>
      <c r="AX102" s="118">
        <v>10</v>
      </c>
      <c r="AY102" s="114" t="str">
        <f>Inputs!$A$12</f>
        <v>M3135000</v>
      </c>
      <c r="AZ102" s="45" t="str">
        <f>Inputs!$B$12</f>
        <v>PNT</v>
      </c>
      <c r="BA102" s="45" t="s">
        <v>58</v>
      </c>
      <c r="BB102" s="45">
        <f t="shared" si="79"/>
        <v>0</v>
      </c>
      <c r="BC102" s="50"/>
      <c r="BD102" s="45">
        <v>50.82</v>
      </c>
      <c r="BE102" s="45">
        <v>0</v>
      </c>
      <c r="BF102" s="45">
        <f t="shared" si="107"/>
        <v>-50.819999999999993</v>
      </c>
      <c r="BG102" s="50"/>
      <c r="BH102" s="45">
        <f t="shared" si="108"/>
        <v>0</v>
      </c>
      <c r="BI102" s="64">
        <f>BD102*Inputs!$F$12*Inputs!$G$12</f>
        <v>104603.72076000001</v>
      </c>
      <c r="BJ102" s="45">
        <f>Inputs!$F$12*Inputs!$I$12*BE102</f>
        <v>0</v>
      </c>
      <c r="BK102" s="91">
        <v>83.490000000000009</v>
      </c>
      <c r="BM102" s="116">
        <v>10</v>
      </c>
      <c r="BN102" s="114" t="str">
        <f>Inputs!$A$12</f>
        <v>M3135000</v>
      </c>
      <c r="BO102" s="45" t="str">
        <f>Inputs!$B$12</f>
        <v>PNT</v>
      </c>
      <c r="BP102" s="45" t="s">
        <v>57</v>
      </c>
      <c r="BQ102" s="45">
        <f t="shared" si="82"/>
        <v>0</v>
      </c>
      <c r="BR102" s="50"/>
      <c r="BS102" s="118">
        <v>10</v>
      </c>
      <c r="BT102" s="114" t="str">
        <f>Inputs!$A$12</f>
        <v>M3135000</v>
      </c>
      <c r="BU102" s="45" t="str">
        <f>Inputs!$B$12</f>
        <v>PNT</v>
      </c>
      <c r="BV102" s="45" t="s">
        <v>58</v>
      </c>
      <c r="BW102" s="45">
        <f t="shared" si="83"/>
        <v>0</v>
      </c>
      <c r="BX102" s="50"/>
      <c r="BY102" s="45">
        <v>24.2</v>
      </c>
      <c r="BZ102" s="45">
        <v>0</v>
      </c>
      <c r="CA102" s="45">
        <f t="shared" si="109"/>
        <v>-24.199999999999996</v>
      </c>
      <c r="CB102" s="50"/>
      <c r="CC102" s="45">
        <f t="shared" si="110"/>
        <v>0</v>
      </c>
      <c r="CD102" s="64">
        <f>BY102*Inputs!$F$12*Inputs!$G$12</f>
        <v>49811.295599999998</v>
      </c>
      <c r="CE102" s="45">
        <f>Inputs!$F$12*Inputs!$I$12*BZ102</f>
        <v>0</v>
      </c>
      <c r="CF102" s="91">
        <v>48.4</v>
      </c>
    </row>
    <row r="103" spans="1:84" x14ac:dyDescent="0.25">
      <c r="A103" s="116">
        <v>11</v>
      </c>
      <c r="B103" s="114" t="str">
        <f>Inputs!$A$12</f>
        <v>M3135000</v>
      </c>
      <c r="C103" s="45" t="str">
        <f>Inputs!$B$12</f>
        <v>PNT</v>
      </c>
      <c r="D103" s="45" t="s">
        <v>57</v>
      </c>
      <c r="E103" s="45">
        <v>0</v>
      </c>
      <c r="F103" s="50"/>
      <c r="G103" s="118">
        <v>11</v>
      </c>
      <c r="H103" s="114" t="str">
        <f>Inputs!$A$12</f>
        <v>M3135000</v>
      </c>
      <c r="I103" s="45" t="str">
        <f>Inputs!$B$12</f>
        <v>PNT</v>
      </c>
      <c r="J103" s="45" t="s">
        <v>58</v>
      </c>
      <c r="K103" s="45">
        <v>0</v>
      </c>
      <c r="L103" s="50"/>
      <c r="M103" s="45">
        <v>0</v>
      </c>
      <c r="N103" s="45">
        <v>0</v>
      </c>
      <c r="O103" s="45">
        <f t="shared" si="103"/>
        <v>4.7368421007831785E-7</v>
      </c>
      <c r="P103" s="50"/>
      <c r="Q103" s="45">
        <f t="shared" si="104"/>
        <v>-4.7368421007831785E-7</v>
      </c>
      <c r="R103" s="64">
        <f>M103*Inputs!$F$12*Inputs!$H$12</f>
        <v>0</v>
      </c>
      <c r="S103" s="45">
        <f>Inputs!$F$12*Inputs!$I$12*N103</f>
        <v>0</v>
      </c>
      <c r="T103" s="18"/>
      <c r="U103" s="56">
        <v>11.940789473684211</v>
      </c>
      <c r="W103" s="116">
        <v>11</v>
      </c>
      <c r="X103" s="114" t="str">
        <f>Inputs!$A$12</f>
        <v>M3135000</v>
      </c>
      <c r="Y103" s="45" t="str">
        <f>Inputs!$B$12</f>
        <v>PNT</v>
      </c>
      <c r="Z103" s="45" t="s">
        <v>57</v>
      </c>
      <c r="AA103" s="45">
        <f t="shared" si="75"/>
        <v>0</v>
      </c>
      <c r="AB103" s="50"/>
      <c r="AC103" s="118">
        <v>11</v>
      </c>
      <c r="AD103" s="114" t="str">
        <f>Inputs!$A$12</f>
        <v>M3135000</v>
      </c>
      <c r="AE103" s="45" t="str">
        <f>Inputs!$B$12</f>
        <v>PNT</v>
      </c>
      <c r="AF103" s="45" t="s">
        <v>58</v>
      </c>
      <c r="AG103" s="45">
        <f t="shared" si="76"/>
        <v>0</v>
      </c>
      <c r="AH103" s="50"/>
      <c r="AI103" s="45">
        <v>0</v>
      </c>
      <c r="AJ103" s="45">
        <v>0</v>
      </c>
      <c r="AK103" s="45">
        <f t="shared" si="105"/>
        <v>0</v>
      </c>
      <c r="AL103" s="50"/>
      <c r="AM103" s="45">
        <f t="shared" si="106"/>
        <v>0</v>
      </c>
      <c r="AN103" s="64">
        <f>AI103*Inputs!$F$12*Inputs!$H$12</f>
        <v>0</v>
      </c>
      <c r="AO103" s="45">
        <f>Inputs!$F$12*Inputs!$I$12*AJ103</f>
        <v>0</v>
      </c>
      <c r="AP103" s="56">
        <v>121</v>
      </c>
      <c r="AR103" s="116">
        <v>11</v>
      </c>
      <c r="AS103" s="114" t="str">
        <f>Inputs!$A$12</f>
        <v>M3135000</v>
      </c>
      <c r="AT103" s="45" t="str">
        <f>Inputs!$B$12</f>
        <v>PNT</v>
      </c>
      <c r="AU103" s="45" t="s">
        <v>57</v>
      </c>
      <c r="AV103" s="45">
        <f t="shared" si="86"/>
        <v>0</v>
      </c>
      <c r="AW103" s="50"/>
      <c r="AX103" s="118">
        <v>11</v>
      </c>
      <c r="AY103" s="114" t="str">
        <f>Inputs!$A$12</f>
        <v>M3135000</v>
      </c>
      <c r="AZ103" s="45" t="str">
        <f>Inputs!$B$12</f>
        <v>PNT</v>
      </c>
      <c r="BA103" s="45" t="s">
        <v>58</v>
      </c>
      <c r="BB103" s="45">
        <f t="shared" si="79"/>
        <v>0</v>
      </c>
      <c r="BC103" s="50"/>
      <c r="BD103" s="45">
        <v>0</v>
      </c>
      <c r="BE103" s="45">
        <v>0</v>
      </c>
      <c r="BF103" s="45">
        <f t="shared" si="107"/>
        <v>7.1054273576010019E-15</v>
      </c>
      <c r="BG103" s="50"/>
      <c r="BH103" s="45">
        <f t="shared" si="108"/>
        <v>-7.1054273576010019E-15</v>
      </c>
      <c r="BI103" s="64">
        <f>BD103*Inputs!$F$12*Inputs!$H$12</f>
        <v>0</v>
      </c>
      <c r="BJ103" s="45">
        <f>Inputs!$F$12*Inputs!$I$12*BE103</f>
        <v>0</v>
      </c>
      <c r="BK103" s="56">
        <v>50.820000000000007</v>
      </c>
      <c r="BM103" s="116">
        <v>11</v>
      </c>
      <c r="BN103" s="114" t="str">
        <f>Inputs!$A$12</f>
        <v>M3135000</v>
      </c>
      <c r="BO103" s="45" t="str">
        <f>Inputs!$B$12</f>
        <v>PNT</v>
      </c>
      <c r="BP103" s="45" t="s">
        <v>57</v>
      </c>
      <c r="BQ103" s="45">
        <f t="shared" si="82"/>
        <v>0</v>
      </c>
      <c r="BR103" s="50"/>
      <c r="BS103" s="118">
        <v>11</v>
      </c>
      <c r="BT103" s="114" t="str">
        <f>Inputs!$A$12</f>
        <v>M3135000</v>
      </c>
      <c r="BU103" s="45" t="str">
        <f>Inputs!$B$12</f>
        <v>PNT</v>
      </c>
      <c r="BV103" s="45" t="s">
        <v>58</v>
      </c>
      <c r="BW103" s="45">
        <f t="shared" si="83"/>
        <v>0</v>
      </c>
      <c r="BX103" s="50"/>
      <c r="BY103" s="45">
        <v>0</v>
      </c>
      <c r="BZ103" s="45">
        <v>0</v>
      </c>
      <c r="CA103" s="45">
        <f t="shared" si="109"/>
        <v>0</v>
      </c>
      <c r="CB103" s="50"/>
      <c r="CC103" s="45">
        <f t="shared" si="110"/>
        <v>0</v>
      </c>
      <c r="CD103" s="64">
        <f>BY103*Inputs!$F$12*Inputs!$H$12</f>
        <v>0</v>
      </c>
      <c r="CE103" s="45">
        <f>Inputs!$F$12*Inputs!$I$12*BZ103</f>
        <v>0</v>
      </c>
      <c r="CF103" s="56">
        <v>24.2</v>
      </c>
    </row>
    <row r="104" spans="1:84" x14ac:dyDescent="0.25">
      <c r="A104" s="117">
        <v>3</v>
      </c>
      <c r="B104" s="115" t="str">
        <f>Inputs!$A$13</f>
        <v>M4103600</v>
      </c>
      <c r="C104" s="44" t="str">
        <f>Inputs!$B$13</f>
        <v>PNT</v>
      </c>
      <c r="D104" s="44" t="s">
        <v>57</v>
      </c>
      <c r="E104" s="44">
        <v>0</v>
      </c>
      <c r="F104" s="50"/>
      <c r="G104" s="119">
        <v>3</v>
      </c>
      <c r="H104" s="115" t="str">
        <f>Inputs!$A$13</f>
        <v>M4103600</v>
      </c>
      <c r="I104" s="44" t="str">
        <f>Inputs!$B$13</f>
        <v>PNT</v>
      </c>
      <c r="J104" s="44" t="s">
        <v>58</v>
      </c>
      <c r="K104" s="44">
        <v>0</v>
      </c>
      <c r="L104" s="50"/>
      <c r="M104" s="44">
        <v>0</v>
      </c>
      <c r="N104" s="44">
        <v>0</v>
      </c>
      <c r="O104" s="44">
        <f>U104-0-E104-K104</f>
        <v>0</v>
      </c>
      <c r="P104" s="50"/>
      <c r="Q104" s="44">
        <f>E104+K104+N104-U104+0-M104</f>
        <v>0</v>
      </c>
      <c r="R104" s="63">
        <f>M104*Inputs!$F$13*Inputs!$G$13</f>
        <v>0</v>
      </c>
      <c r="S104" s="44">
        <f>Inputs!$F$13*Inputs!$I$13*N104</f>
        <v>0</v>
      </c>
      <c r="T104" s="18"/>
      <c r="U104" s="54">
        <v>0</v>
      </c>
      <c r="W104" s="117">
        <v>3</v>
      </c>
      <c r="X104" s="115" t="str">
        <f>Inputs!$A$13</f>
        <v>M4103600</v>
      </c>
      <c r="Y104" s="44" t="str">
        <f>Inputs!$B$13</f>
        <v>PNT</v>
      </c>
      <c r="Z104" s="44" t="s">
        <v>57</v>
      </c>
      <c r="AA104" s="44">
        <f t="shared" si="75"/>
        <v>0</v>
      </c>
      <c r="AB104" s="50"/>
      <c r="AC104" s="119">
        <v>3</v>
      </c>
      <c r="AD104" s="115" t="str">
        <f>Inputs!$A$13</f>
        <v>M4103600</v>
      </c>
      <c r="AE104" s="44" t="str">
        <f>Inputs!$B$13</f>
        <v>PNT</v>
      </c>
      <c r="AF104" s="44" t="s">
        <v>58</v>
      </c>
      <c r="AG104" s="44">
        <f t="shared" si="76"/>
        <v>0</v>
      </c>
      <c r="AH104" s="50"/>
      <c r="AI104" s="44">
        <v>0</v>
      </c>
      <c r="AJ104" s="44">
        <v>0</v>
      </c>
      <c r="AK104" s="44">
        <f>AP104-0-AA104-AG104</f>
        <v>0</v>
      </c>
      <c r="AL104" s="50"/>
      <c r="AM104" s="44">
        <f>AA104+AG104+AJ104-AP104+0-AI104</f>
        <v>0</v>
      </c>
      <c r="AN104" s="63">
        <f>AI104*Inputs!$F$13*Inputs!$G$13</f>
        <v>0</v>
      </c>
      <c r="AO104" s="44">
        <f>Inputs!$F$13*Inputs!$I$13*AJ104</f>
        <v>0</v>
      </c>
      <c r="AP104" s="54">
        <v>0</v>
      </c>
      <c r="AR104" s="117">
        <v>3</v>
      </c>
      <c r="AS104" s="115" t="str">
        <f>Inputs!$A$13</f>
        <v>M4103600</v>
      </c>
      <c r="AT104" s="44" t="str">
        <f>Inputs!$B$13</f>
        <v>PNT</v>
      </c>
      <c r="AU104" s="44" t="s">
        <v>57</v>
      </c>
      <c r="AV104" s="44">
        <f t="shared" si="86"/>
        <v>0</v>
      </c>
      <c r="AW104" s="50"/>
      <c r="AX104" s="119">
        <v>3</v>
      </c>
      <c r="AY104" s="115" t="str">
        <f>Inputs!$A$13</f>
        <v>M4103600</v>
      </c>
      <c r="AZ104" s="44" t="str">
        <f>Inputs!$B$13</f>
        <v>PNT</v>
      </c>
      <c r="BA104" s="44" t="s">
        <v>58</v>
      </c>
      <c r="BB104" s="44">
        <f t="shared" si="79"/>
        <v>0</v>
      </c>
      <c r="BC104" s="50"/>
      <c r="BD104" s="44">
        <v>0</v>
      </c>
      <c r="BE104" s="44">
        <v>0</v>
      </c>
      <c r="BF104" s="44">
        <f>BK104-0-AV104-BB104</f>
        <v>0</v>
      </c>
      <c r="BG104" s="50"/>
      <c r="BH104" s="44">
        <f>AV104+BB104+BE104-BK104+0-BD104</f>
        <v>0</v>
      </c>
      <c r="BI104" s="63">
        <f>BD104*Inputs!$F$13*Inputs!$G$13</f>
        <v>0</v>
      </c>
      <c r="BJ104" s="44">
        <f>Inputs!$F$13*Inputs!$I$13*BE104</f>
        <v>0</v>
      </c>
      <c r="BK104" s="54">
        <v>0</v>
      </c>
      <c r="BM104" s="117">
        <v>3</v>
      </c>
      <c r="BN104" s="115" t="str">
        <f>Inputs!$A$13</f>
        <v>M4103600</v>
      </c>
      <c r="BO104" s="44" t="str">
        <f>Inputs!$B$13</f>
        <v>PNT</v>
      </c>
      <c r="BP104" s="44" t="s">
        <v>57</v>
      </c>
      <c r="BQ104" s="44">
        <f t="shared" si="82"/>
        <v>0</v>
      </c>
      <c r="BR104" s="50"/>
      <c r="BS104" s="119">
        <v>3</v>
      </c>
      <c r="BT104" s="115" t="str">
        <f>Inputs!$A$13</f>
        <v>M4103600</v>
      </c>
      <c r="BU104" s="44" t="str">
        <f>Inputs!$B$13</f>
        <v>PNT</v>
      </c>
      <c r="BV104" s="44" t="s">
        <v>58</v>
      </c>
      <c r="BW104" s="44">
        <f t="shared" si="83"/>
        <v>0</v>
      </c>
      <c r="BX104" s="50"/>
      <c r="BY104" s="44">
        <v>0</v>
      </c>
      <c r="BZ104" s="44">
        <v>0</v>
      </c>
      <c r="CA104" s="44">
        <f>CF104-0-BQ104-BW104</f>
        <v>0</v>
      </c>
      <c r="CB104" s="50"/>
      <c r="CC104" s="44">
        <f>BQ104+BW104+BZ104-CF104+0-BY104</f>
        <v>0</v>
      </c>
      <c r="CD104" s="63">
        <f>BY104*Inputs!$F$13*Inputs!$G$13</f>
        <v>0</v>
      </c>
      <c r="CE104" s="44">
        <f>Inputs!$F$13*Inputs!$I$13*BZ104</f>
        <v>0</v>
      </c>
      <c r="CF104" s="54">
        <v>0</v>
      </c>
    </row>
    <row r="105" spans="1:84" x14ac:dyDescent="0.25">
      <c r="A105" s="117">
        <v>4</v>
      </c>
      <c r="B105" s="115" t="str">
        <f>Inputs!$A$13</f>
        <v>M4103600</v>
      </c>
      <c r="C105" s="44" t="str">
        <f>Inputs!$B$13</f>
        <v>PNT</v>
      </c>
      <c r="D105" s="44" t="s">
        <v>57</v>
      </c>
      <c r="E105" s="44">
        <v>0</v>
      </c>
      <c r="F105" s="50"/>
      <c r="G105" s="119">
        <v>4</v>
      </c>
      <c r="H105" s="115" t="str">
        <f>Inputs!$A$13</f>
        <v>M4103600</v>
      </c>
      <c r="I105" s="44" t="str">
        <f>Inputs!$B$13</f>
        <v>PNT</v>
      </c>
      <c r="J105" s="44" t="s">
        <v>58</v>
      </c>
      <c r="K105" s="44">
        <v>0</v>
      </c>
      <c r="L105" s="50"/>
      <c r="M105" s="44">
        <v>0</v>
      </c>
      <c r="N105" s="44">
        <v>0</v>
      </c>
      <c r="O105" s="44">
        <f t="shared" ref="O105:O112" si="111">U105-M104-E105-K105</f>
        <v>0</v>
      </c>
      <c r="P105" s="50"/>
      <c r="Q105" s="44">
        <f t="shared" ref="Q105:Q112" si="112">E105+K105+N105-U105+M104-M105</f>
        <v>0</v>
      </c>
      <c r="R105" s="63">
        <f>M105*Inputs!$F$13*Inputs!$G$13</f>
        <v>0</v>
      </c>
      <c r="S105" s="44">
        <f>Inputs!$F$13*Inputs!$I$13*N105</f>
        <v>0</v>
      </c>
      <c r="T105" s="18"/>
      <c r="U105" s="55">
        <v>0</v>
      </c>
      <c r="W105" s="117">
        <v>4</v>
      </c>
      <c r="X105" s="115" t="str">
        <f>Inputs!$A$13</f>
        <v>M4103600</v>
      </c>
      <c r="Y105" s="44" t="str">
        <f>Inputs!$B$13</f>
        <v>PNT</v>
      </c>
      <c r="Z105" s="44" t="s">
        <v>57</v>
      </c>
      <c r="AA105" s="44">
        <f t="shared" si="75"/>
        <v>0</v>
      </c>
      <c r="AB105" s="50"/>
      <c r="AC105" s="119">
        <v>4</v>
      </c>
      <c r="AD105" s="115" t="str">
        <f>Inputs!$A$13</f>
        <v>M4103600</v>
      </c>
      <c r="AE105" s="44" t="str">
        <f>Inputs!$B$13</f>
        <v>PNT</v>
      </c>
      <c r="AF105" s="44" t="s">
        <v>58</v>
      </c>
      <c r="AG105" s="44">
        <f t="shared" si="76"/>
        <v>0</v>
      </c>
      <c r="AH105" s="50"/>
      <c r="AI105" s="44">
        <v>0</v>
      </c>
      <c r="AJ105" s="44">
        <v>0</v>
      </c>
      <c r="AK105" s="44">
        <f t="shared" ref="AK105:AK112" si="113">AP105-AI104-AA105-AG105</f>
        <v>0</v>
      </c>
      <c r="AL105" s="50"/>
      <c r="AM105" s="44">
        <f t="shared" ref="AM105:AM112" si="114">AA105+AG105+AJ105-AP105+AI104-AI105</f>
        <v>0</v>
      </c>
      <c r="AN105" s="63">
        <f>AI105*Inputs!$F$13*Inputs!$G$13</f>
        <v>0</v>
      </c>
      <c r="AO105" s="44">
        <f>Inputs!$F$13*Inputs!$I$13*AJ105</f>
        <v>0</v>
      </c>
      <c r="AP105" s="55">
        <v>0</v>
      </c>
      <c r="AR105" s="117">
        <v>4</v>
      </c>
      <c r="AS105" s="115" t="str">
        <f>Inputs!$A$13</f>
        <v>M4103600</v>
      </c>
      <c r="AT105" s="44" t="str">
        <f>Inputs!$B$13</f>
        <v>PNT</v>
      </c>
      <c r="AU105" s="44" t="s">
        <v>57</v>
      </c>
      <c r="AV105" s="44">
        <f t="shared" si="86"/>
        <v>0</v>
      </c>
      <c r="AW105" s="50"/>
      <c r="AX105" s="119">
        <v>4</v>
      </c>
      <c r="AY105" s="115" t="str">
        <f>Inputs!$A$13</f>
        <v>M4103600</v>
      </c>
      <c r="AZ105" s="44" t="str">
        <f>Inputs!$B$13</f>
        <v>PNT</v>
      </c>
      <c r="BA105" s="44" t="s">
        <v>58</v>
      </c>
      <c r="BB105" s="44">
        <f t="shared" si="79"/>
        <v>0</v>
      </c>
      <c r="BC105" s="50"/>
      <c r="BD105" s="44">
        <v>0</v>
      </c>
      <c r="BE105" s="44">
        <v>0</v>
      </c>
      <c r="BF105" s="44">
        <f t="shared" ref="BF105:BF112" si="115">BK105-BD104-AV105-BB105</f>
        <v>0</v>
      </c>
      <c r="BG105" s="50"/>
      <c r="BH105" s="44">
        <f t="shared" ref="BH105:BH112" si="116">AV105+BB105+BE105-BK105+BD104-BD105</f>
        <v>0</v>
      </c>
      <c r="BI105" s="63">
        <f>BD105*Inputs!$F$13*Inputs!$G$13</f>
        <v>0</v>
      </c>
      <c r="BJ105" s="44">
        <f>Inputs!$F$13*Inputs!$I$13*BE105</f>
        <v>0</v>
      </c>
      <c r="BK105" s="55">
        <v>0</v>
      </c>
      <c r="BM105" s="117">
        <v>4</v>
      </c>
      <c r="BN105" s="115" t="str">
        <f>Inputs!$A$13</f>
        <v>M4103600</v>
      </c>
      <c r="BO105" s="44" t="str">
        <f>Inputs!$B$13</f>
        <v>PNT</v>
      </c>
      <c r="BP105" s="44" t="s">
        <v>57</v>
      </c>
      <c r="BQ105" s="44">
        <f t="shared" si="82"/>
        <v>0</v>
      </c>
      <c r="BR105" s="50"/>
      <c r="BS105" s="119">
        <v>4</v>
      </c>
      <c r="BT105" s="115" t="str">
        <f>Inputs!$A$13</f>
        <v>M4103600</v>
      </c>
      <c r="BU105" s="44" t="str">
        <f>Inputs!$B$13</f>
        <v>PNT</v>
      </c>
      <c r="BV105" s="44" t="s">
        <v>58</v>
      </c>
      <c r="BW105" s="44">
        <f t="shared" si="83"/>
        <v>0</v>
      </c>
      <c r="BX105" s="50"/>
      <c r="BY105" s="44">
        <v>0</v>
      </c>
      <c r="BZ105" s="44">
        <v>0</v>
      </c>
      <c r="CA105" s="44">
        <f t="shared" ref="CA105:CA112" si="117">CF105-BY104-BQ105-BW105</f>
        <v>0</v>
      </c>
      <c r="CB105" s="50"/>
      <c r="CC105" s="44">
        <f t="shared" ref="CC105:CC112" si="118">BQ105+BW105+BZ105-CF105+BY104-BY105</f>
        <v>0</v>
      </c>
      <c r="CD105" s="63">
        <f>BY105*Inputs!$F$13*Inputs!$G$13</f>
        <v>0</v>
      </c>
      <c r="CE105" s="44">
        <f>Inputs!$F$13*Inputs!$I$13*BZ105</f>
        <v>0</v>
      </c>
      <c r="CF105" s="55">
        <v>0</v>
      </c>
    </row>
    <row r="106" spans="1:84" x14ac:dyDescent="0.25">
      <c r="A106" s="117">
        <v>5</v>
      </c>
      <c r="B106" s="115" t="str">
        <f>Inputs!$A$13</f>
        <v>M4103600</v>
      </c>
      <c r="C106" s="44" t="str">
        <f>Inputs!$B$13</f>
        <v>PNT</v>
      </c>
      <c r="D106" s="44" t="s">
        <v>57</v>
      </c>
      <c r="E106" s="44">
        <v>0</v>
      </c>
      <c r="F106" s="50"/>
      <c r="G106" s="119">
        <v>5</v>
      </c>
      <c r="H106" s="115" t="str">
        <f>Inputs!$A$13</f>
        <v>M4103600</v>
      </c>
      <c r="I106" s="44" t="str">
        <f>Inputs!$B$13</f>
        <v>PNT</v>
      </c>
      <c r="J106" s="44" t="s">
        <v>58</v>
      </c>
      <c r="K106" s="44">
        <v>0</v>
      </c>
      <c r="L106" s="50"/>
      <c r="M106" s="44">
        <v>0</v>
      </c>
      <c r="N106" s="44">
        <v>0</v>
      </c>
      <c r="O106" s="44">
        <f t="shared" si="111"/>
        <v>0</v>
      </c>
      <c r="P106" s="50"/>
      <c r="Q106" s="44">
        <f t="shared" si="112"/>
        <v>0</v>
      </c>
      <c r="R106" s="63">
        <f>M106*Inputs!$F$13*Inputs!$G$13</f>
        <v>0</v>
      </c>
      <c r="S106" s="44">
        <f>Inputs!$F$13*Inputs!$I$13*N106</f>
        <v>0</v>
      </c>
      <c r="T106" s="18"/>
      <c r="U106" s="55">
        <v>0</v>
      </c>
      <c r="W106" s="117">
        <v>5</v>
      </c>
      <c r="X106" s="115" t="str">
        <f>Inputs!$A$13</f>
        <v>M4103600</v>
      </c>
      <c r="Y106" s="44" t="str">
        <f>Inputs!$B$13</f>
        <v>PNT</v>
      </c>
      <c r="Z106" s="44" t="s">
        <v>57</v>
      </c>
      <c r="AA106" s="44">
        <f t="shared" si="75"/>
        <v>0</v>
      </c>
      <c r="AB106" s="50"/>
      <c r="AC106" s="119">
        <v>5</v>
      </c>
      <c r="AD106" s="115" t="str">
        <f>Inputs!$A$13</f>
        <v>M4103600</v>
      </c>
      <c r="AE106" s="44" t="str">
        <f>Inputs!$B$13</f>
        <v>PNT</v>
      </c>
      <c r="AF106" s="44" t="s">
        <v>58</v>
      </c>
      <c r="AG106" s="44">
        <f t="shared" si="76"/>
        <v>0</v>
      </c>
      <c r="AH106" s="50"/>
      <c r="AI106" s="44">
        <v>0</v>
      </c>
      <c r="AJ106" s="44">
        <v>0</v>
      </c>
      <c r="AK106" s="44">
        <f t="shared" si="113"/>
        <v>0</v>
      </c>
      <c r="AL106" s="50"/>
      <c r="AM106" s="44">
        <f t="shared" si="114"/>
        <v>0</v>
      </c>
      <c r="AN106" s="63">
        <f>AI106*Inputs!$F$13*Inputs!$G$13</f>
        <v>0</v>
      </c>
      <c r="AO106" s="44">
        <f>Inputs!$F$13*Inputs!$I$13*AJ106</f>
        <v>0</v>
      </c>
      <c r="AP106" s="55">
        <v>0</v>
      </c>
      <c r="AR106" s="117">
        <v>5</v>
      </c>
      <c r="AS106" s="115" t="str">
        <f>Inputs!$A$13</f>
        <v>M4103600</v>
      </c>
      <c r="AT106" s="44" t="str">
        <f>Inputs!$B$13</f>
        <v>PNT</v>
      </c>
      <c r="AU106" s="44" t="s">
        <v>57</v>
      </c>
      <c r="AV106" s="44">
        <f t="shared" si="86"/>
        <v>0</v>
      </c>
      <c r="AW106" s="50"/>
      <c r="AX106" s="119">
        <v>5</v>
      </c>
      <c r="AY106" s="115" t="str">
        <f>Inputs!$A$13</f>
        <v>M4103600</v>
      </c>
      <c r="AZ106" s="44" t="str">
        <f>Inputs!$B$13</f>
        <v>PNT</v>
      </c>
      <c r="BA106" s="44" t="s">
        <v>58</v>
      </c>
      <c r="BB106" s="44">
        <f t="shared" si="79"/>
        <v>0</v>
      </c>
      <c r="BC106" s="50"/>
      <c r="BD106" s="44">
        <v>0</v>
      </c>
      <c r="BE106" s="44">
        <v>0</v>
      </c>
      <c r="BF106" s="44">
        <f t="shared" si="115"/>
        <v>0</v>
      </c>
      <c r="BG106" s="50"/>
      <c r="BH106" s="44">
        <f t="shared" si="116"/>
        <v>0</v>
      </c>
      <c r="BI106" s="63">
        <f>BD106*Inputs!$F$13*Inputs!$G$13</f>
        <v>0</v>
      </c>
      <c r="BJ106" s="44">
        <f>Inputs!$F$13*Inputs!$I$13*BE106</f>
        <v>0</v>
      </c>
      <c r="BK106" s="55">
        <v>0</v>
      </c>
      <c r="BM106" s="117">
        <v>5</v>
      </c>
      <c r="BN106" s="115" t="str">
        <f>Inputs!$A$13</f>
        <v>M4103600</v>
      </c>
      <c r="BO106" s="44" t="str">
        <f>Inputs!$B$13</f>
        <v>PNT</v>
      </c>
      <c r="BP106" s="44" t="s">
        <v>57</v>
      </c>
      <c r="BQ106" s="44">
        <f t="shared" si="82"/>
        <v>0</v>
      </c>
      <c r="BR106" s="50"/>
      <c r="BS106" s="119">
        <v>5</v>
      </c>
      <c r="BT106" s="115" t="str">
        <f>Inputs!$A$13</f>
        <v>M4103600</v>
      </c>
      <c r="BU106" s="44" t="str">
        <f>Inputs!$B$13</f>
        <v>PNT</v>
      </c>
      <c r="BV106" s="44" t="s">
        <v>58</v>
      </c>
      <c r="BW106" s="44">
        <f t="shared" si="83"/>
        <v>0</v>
      </c>
      <c r="BX106" s="50"/>
      <c r="BY106" s="44">
        <v>0</v>
      </c>
      <c r="BZ106" s="44">
        <v>0</v>
      </c>
      <c r="CA106" s="44">
        <f t="shared" si="117"/>
        <v>0</v>
      </c>
      <c r="CB106" s="50"/>
      <c r="CC106" s="44">
        <f t="shared" si="118"/>
        <v>0</v>
      </c>
      <c r="CD106" s="63">
        <f>BY106*Inputs!$F$13*Inputs!$G$13</f>
        <v>0</v>
      </c>
      <c r="CE106" s="44">
        <f>Inputs!$F$13*Inputs!$I$13*BZ106</f>
        <v>0</v>
      </c>
      <c r="CF106" s="55">
        <v>0</v>
      </c>
    </row>
    <row r="107" spans="1:84" x14ac:dyDescent="0.25">
      <c r="A107" s="117">
        <v>6</v>
      </c>
      <c r="B107" s="115" t="str">
        <f>Inputs!$A$13</f>
        <v>M4103600</v>
      </c>
      <c r="C107" s="44" t="str">
        <f>Inputs!$B$13</f>
        <v>PNT</v>
      </c>
      <c r="D107" s="44" t="s">
        <v>57</v>
      </c>
      <c r="E107" s="44">
        <v>0</v>
      </c>
      <c r="F107" s="50"/>
      <c r="G107" s="119">
        <v>6</v>
      </c>
      <c r="H107" s="115" t="str">
        <f>Inputs!$A$13</f>
        <v>M4103600</v>
      </c>
      <c r="I107" s="44" t="str">
        <f>Inputs!$B$13</f>
        <v>PNT</v>
      </c>
      <c r="J107" s="44" t="s">
        <v>58</v>
      </c>
      <c r="K107" s="44">
        <v>0</v>
      </c>
      <c r="L107" s="50"/>
      <c r="M107" s="44">
        <v>0</v>
      </c>
      <c r="N107" s="44">
        <v>0</v>
      </c>
      <c r="O107" s="44">
        <f t="shared" si="111"/>
        <v>0</v>
      </c>
      <c r="P107" s="50"/>
      <c r="Q107" s="44">
        <f t="shared" si="112"/>
        <v>0</v>
      </c>
      <c r="R107" s="63">
        <f>M107*Inputs!$F$13*Inputs!$G$13</f>
        <v>0</v>
      </c>
      <c r="S107" s="44">
        <f>Inputs!$F$13*Inputs!$I$13*N107</f>
        <v>0</v>
      </c>
      <c r="T107" s="18"/>
      <c r="U107" s="55">
        <v>0</v>
      </c>
      <c r="W107" s="117">
        <v>6</v>
      </c>
      <c r="X107" s="115" t="str">
        <f>Inputs!$A$13</f>
        <v>M4103600</v>
      </c>
      <c r="Y107" s="44" t="str">
        <f>Inputs!$B$13</f>
        <v>PNT</v>
      </c>
      <c r="Z107" s="44" t="s">
        <v>57</v>
      </c>
      <c r="AA107" s="44">
        <f t="shared" si="75"/>
        <v>0</v>
      </c>
      <c r="AB107" s="50"/>
      <c r="AC107" s="119">
        <v>6</v>
      </c>
      <c r="AD107" s="115" t="str">
        <f>Inputs!$A$13</f>
        <v>M4103600</v>
      </c>
      <c r="AE107" s="44" t="str">
        <f>Inputs!$B$13</f>
        <v>PNT</v>
      </c>
      <c r="AF107" s="44" t="s">
        <v>58</v>
      </c>
      <c r="AG107" s="44">
        <f t="shared" si="76"/>
        <v>0</v>
      </c>
      <c r="AH107" s="50"/>
      <c r="AI107" s="44">
        <v>0</v>
      </c>
      <c r="AJ107" s="44">
        <v>0</v>
      </c>
      <c r="AK107" s="44">
        <f t="shared" si="113"/>
        <v>0</v>
      </c>
      <c r="AL107" s="50"/>
      <c r="AM107" s="44">
        <f t="shared" si="114"/>
        <v>0</v>
      </c>
      <c r="AN107" s="63">
        <f>AI107*Inputs!$F$13*Inputs!$G$13</f>
        <v>0</v>
      </c>
      <c r="AO107" s="44">
        <f>Inputs!$F$13*Inputs!$I$13*AJ107</f>
        <v>0</v>
      </c>
      <c r="AP107" s="55">
        <v>0</v>
      </c>
      <c r="AR107" s="117">
        <v>6</v>
      </c>
      <c r="AS107" s="115" t="str">
        <f>Inputs!$A$13</f>
        <v>M4103600</v>
      </c>
      <c r="AT107" s="44" t="str">
        <f>Inputs!$B$13</f>
        <v>PNT</v>
      </c>
      <c r="AU107" s="44" t="s">
        <v>57</v>
      </c>
      <c r="AV107" s="44">
        <f t="shared" si="86"/>
        <v>0</v>
      </c>
      <c r="AW107" s="50"/>
      <c r="AX107" s="119">
        <v>6</v>
      </c>
      <c r="AY107" s="115" t="str">
        <f>Inputs!$A$13</f>
        <v>M4103600</v>
      </c>
      <c r="AZ107" s="44" t="str">
        <f>Inputs!$B$13</f>
        <v>PNT</v>
      </c>
      <c r="BA107" s="44" t="s">
        <v>58</v>
      </c>
      <c r="BB107" s="44">
        <f t="shared" si="79"/>
        <v>0</v>
      </c>
      <c r="BC107" s="50"/>
      <c r="BD107" s="44">
        <v>0</v>
      </c>
      <c r="BE107" s="44">
        <v>0</v>
      </c>
      <c r="BF107" s="44">
        <f t="shared" si="115"/>
        <v>0</v>
      </c>
      <c r="BG107" s="50"/>
      <c r="BH107" s="44">
        <f t="shared" si="116"/>
        <v>0</v>
      </c>
      <c r="BI107" s="63">
        <f>BD107*Inputs!$F$13*Inputs!$G$13</f>
        <v>0</v>
      </c>
      <c r="BJ107" s="44">
        <f>Inputs!$F$13*Inputs!$I$13*BE107</f>
        <v>0</v>
      </c>
      <c r="BK107" s="55">
        <v>0</v>
      </c>
      <c r="BM107" s="117">
        <v>6</v>
      </c>
      <c r="BN107" s="115" t="str">
        <f>Inputs!$A$13</f>
        <v>M4103600</v>
      </c>
      <c r="BO107" s="44" t="str">
        <f>Inputs!$B$13</f>
        <v>PNT</v>
      </c>
      <c r="BP107" s="44" t="s">
        <v>57</v>
      </c>
      <c r="BQ107" s="44">
        <f t="shared" si="82"/>
        <v>0</v>
      </c>
      <c r="BR107" s="50"/>
      <c r="BS107" s="119">
        <v>6</v>
      </c>
      <c r="BT107" s="115" t="str">
        <f>Inputs!$A$13</f>
        <v>M4103600</v>
      </c>
      <c r="BU107" s="44" t="str">
        <f>Inputs!$B$13</f>
        <v>PNT</v>
      </c>
      <c r="BV107" s="44" t="s">
        <v>58</v>
      </c>
      <c r="BW107" s="44">
        <f t="shared" si="83"/>
        <v>0</v>
      </c>
      <c r="BX107" s="50"/>
      <c r="BY107" s="44">
        <v>0</v>
      </c>
      <c r="BZ107" s="44">
        <v>0</v>
      </c>
      <c r="CA107" s="44">
        <f t="shared" si="117"/>
        <v>0</v>
      </c>
      <c r="CB107" s="50"/>
      <c r="CC107" s="44">
        <f t="shared" si="118"/>
        <v>0</v>
      </c>
      <c r="CD107" s="63">
        <f>BY107*Inputs!$F$13*Inputs!$G$13</f>
        <v>0</v>
      </c>
      <c r="CE107" s="44">
        <f>Inputs!$F$13*Inputs!$I$13*BZ107</f>
        <v>0</v>
      </c>
      <c r="CF107" s="55">
        <v>0</v>
      </c>
    </row>
    <row r="108" spans="1:84" x14ac:dyDescent="0.25">
      <c r="A108" s="117">
        <v>7</v>
      </c>
      <c r="B108" s="115" t="str">
        <f>Inputs!$A$13</f>
        <v>M4103600</v>
      </c>
      <c r="C108" s="44" t="str">
        <f>Inputs!$B$13</f>
        <v>PNT</v>
      </c>
      <c r="D108" s="44" t="s">
        <v>57</v>
      </c>
      <c r="E108" s="44">
        <v>32.966667000000001</v>
      </c>
      <c r="F108" s="50"/>
      <c r="G108" s="119">
        <v>7</v>
      </c>
      <c r="H108" s="115" t="str">
        <f>Inputs!$A$13</f>
        <v>M4103600</v>
      </c>
      <c r="I108" s="44" t="str">
        <f>Inputs!$B$13</f>
        <v>PNT</v>
      </c>
      <c r="J108" s="44" t="s">
        <v>58</v>
      </c>
      <c r="K108" s="44">
        <v>0</v>
      </c>
      <c r="L108" s="50"/>
      <c r="M108" s="44">
        <v>32.966667000000001</v>
      </c>
      <c r="N108" s="44">
        <v>0</v>
      </c>
      <c r="O108" s="44">
        <f t="shared" si="111"/>
        <v>-32.966667000000001</v>
      </c>
      <c r="P108" s="50"/>
      <c r="Q108" s="44">
        <f t="shared" si="112"/>
        <v>0</v>
      </c>
      <c r="R108" s="63">
        <f>M108*Inputs!$F$13*Inputs!$G$13</f>
        <v>87286.965082578012</v>
      </c>
      <c r="S108" s="44">
        <f>Inputs!$F$13*Inputs!$I$13*N108</f>
        <v>0</v>
      </c>
      <c r="T108" s="18"/>
      <c r="U108" s="55">
        <v>0</v>
      </c>
      <c r="W108" s="117">
        <v>7</v>
      </c>
      <c r="X108" s="115" t="str">
        <f>Inputs!$A$13</f>
        <v>M4103600</v>
      </c>
      <c r="Y108" s="44" t="str">
        <f>Inputs!$B$13</f>
        <v>PNT</v>
      </c>
      <c r="Z108" s="44" t="s">
        <v>57</v>
      </c>
      <c r="AA108" s="44">
        <f t="shared" si="75"/>
        <v>32.966667000000001</v>
      </c>
      <c r="AB108" s="50"/>
      <c r="AC108" s="119">
        <v>7</v>
      </c>
      <c r="AD108" s="115" t="str">
        <f>Inputs!$A$13</f>
        <v>M4103600</v>
      </c>
      <c r="AE108" s="44" t="str">
        <f>Inputs!$B$13</f>
        <v>PNT</v>
      </c>
      <c r="AF108" s="44" t="s">
        <v>58</v>
      </c>
      <c r="AG108" s="44">
        <f t="shared" si="76"/>
        <v>0</v>
      </c>
      <c r="AH108" s="50"/>
      <c r="AI108" s="44">
        <v>26.373332999999999</v>
      </c>
      <c r="AJ108" s="44">
        <v>0</v>
      </c>
      <c r="AK108" s="44">
        <f t="shared" si="113"/>
        <v>-26.373333666666667</v>
      </c>
      <c r="AL108" s="50"/>
      <c r="AM108" s="44">
        <f t="shared" si="114"/>
        <v>6.6666666853620882E-7</v>
      </c>
      <c r="AN108" s="63">
        <f>AI108*Inputs!$F$13*Inputs!$G$13</f>
        <v>69829.570477422007</v>
      </c>
      <c r="AO108" s="44">
        <f>Inputs!$F$13*Inputs!$I$13*AJ108</f>
        <v>0</v>
      </c>
      <c r="AP108" s="55">
        <v>6.5933333333333337</v>
      </c>
      <c r="AR108" s="117">
        <v>7</v>
      </c>
      <c r="AS108" s="115" t="str">
        <f>Inputs!$A$13</f>
        <v>M4103600</v>
      </c>
      <c r="AT108" s="44" t="str">
        <f>Inputs!$B$13</f>
        <v>PNT</v>
      </c>
      <c r="AU108" s="44" t="s">
        <v>57</v>
      </c>
      <c r="AV108" s="44">
        <f t="shared" si="86"/>
        <v>32.966667000000001</v>
      </c>
      <c r="AW108" s="50"/>
      <c r="AX108" s="119">
        <v>7</v>
      </c>
      <c r="AY108" s="115" t="str">
        <f>Inputs!$A$13</f>
        <v>M4103600</v>
      </c>
      <c r="AZ108" s="44" t="str">
        <f>Inputs!$B$13</f>
        <v>PNT</v>
      </c>
      <c r="BA108" s="44" t="s">
        <v>58</v>
      </c>
      <c r="BB108" s="44">
        <f t="shared" si="79"/>
        <v>0</v>
      </c>
      <c r="BC108" s="50"/>
      <c r="BD108" s="44">
        <v>19.120667000000001</v>
      </c>
      <c r="BE108" s="44">
        <v>0</v>
      </c>
      <c r="BF108" s="44">
        <f t="shared" si="115"/>
        <v>-19.120666999999997</v>
      </c>
      <c r="BG108" s="50"/>
      <c r="BH108" s="44">
        <f t="shared" si="116"/>
        <v>0</v>
      </c>
      <c r="BI108" s="63">
        <f>BD108*Inputs!$F$13*Inputs!$G$13</f>
        <v>50626.440118578001</v>
      </c>
      <c r="BJ108" s="44">
        <f>Inputs!$F$13*Inputs!$I$13*BE108</f>
        <v>0</v>
      </c>
      <c r="BK108" s="55">
        <v>13.846000000000002</v>
      </c>
      <c r="BM108" s="117">
        <v>7</v>
      </c>
      <c r="BN108" s="115" t="str">
        <f>Inputs!$A$13</f>
        <v>M4103600</v>
      </c>
      <c r="BO108" s="44" t="str">
        <f>Inputs!$B$13</f>
        <v>PNT</v>
      </c>
      <c r="BP108" s="44" t="s">
        <v>57</v>
      </c>
      <c r="BQ108" s="44">
        <f t="shared" si="82"/>
        <v>32.966667000000001</v>
      </c>
      <c r="BR108" s="50"/>
      <c r="BS108" s="119">
        <v>7</v>
      </c>
      <c r="BT108" s="115" t="str">
        <f>Inputs!$A$13</f>
        <v>M4103600</v>
      </c>
      <c r="BU108" s="44" t="str">
        <f>Inputs!$B$13</f>
        <v>PNT</v>
      </c>
      <c r="BV108" s="44" t="s">
        <v>58</v>
      </c>
      <c r="BW108" s="44">
        <f t="shared" si="83"/>
        <v>0</v>
      </c>
      <c r="BX108" s="50"/>
      <c r="BY108" s="44">
        <v>0</v>
      </c>
      <c r="BZ108" s="44">
        <v>0</v>
      </c>
      <c r="CA108" s="44">
        <f t="shared" si="117"/>
        <v>-3.3333333249174757E-7</v>
      </c>
      <c r="CB108" s="50"/>
      <c r="CC108" s="44">
        <f t="shared" si="118"/>
        <v>3.3333333249174757E-7</v>
      </c>
      <c r="CD108" s="63">
        <f>BY108*Inputs!$F$13*Inputs!$G$13</f>
        <v>0</v>
      </c>
      <c r="CE108" s="44">
        <f>Inputs!$F$13*Inputs!$I$13*BZ108</f>
        <v>0</v>
      </c>
      <c r="CF108" s="55">
        <v>32.966666666666669</v>
      </c>
    </row>
    <row r="109" spans="1:84" x14ac:dyDescent="0.25">
      <c r="A109" s="117">
        <v>8</v>
      </c>
      <c r="B109" s="115" t="str">
        <f>Inputs!$A$13</f>
        <v>M4103600</v>
      </c>
      <c r="C109" s="44" t="str">
        <f>Inputs!$B$13</f>
        <v>PNT</v>
      </c>
      <c r="D109" s="44" t="s">
        <v>57</v>
      </c>
      <c r="E109" s="44">
        <v>57.223939999999999</v>
      </c>
      <c r="F109" s="50"/>
      <c r="G109" s="119">
        <v>8</v>
      </c>
      <c r="H109" s="115" t="str">
        <f>Inputs!$A$13</f>
        <v>M4103600</v>
      </c>
      <c r="I109" s="44" t="str">
        <f>Inputs!$B$13</f>
        <v>PNT</v>
      </c>
      <c r="J109" s="44" t="s">
        <v>58</v>
      </c>
      <c r="K109" s="44">
        <v>0</v>
      </c>
      <c r="L109" s="50"/>
      <c r="M109" s="44">
        <v>0</v>
      </c>
      <c r="N109" s="44">
        <v>0</v>
      </c>
      <c r="O109" s="44">
        <f t="shared" si="111"/>
        <v>-3.4637965029560291E-7</v>
      </c>
      <c r="P109" s="50"/>
      <c r="Q109" s="44">
        <f t="shared" si="112"/>
        <v>3.4637965029560291E-7</v>
      </c>
      <c r="R109" s="63">
        <f>M109*Inputs!$F$13*Inputs!$G$13</f>
        <v>0</v>
      </c>
      <c r="S109" s="44">
        <f>Inputs!$F$13*Inputs!$I$13*N109</f>
        <v>0</v>
      </c>
      <c r="T109" s="18"/>
      <c r="U109" s="55">
        <v>90.19060665362035</v>
      </c>
      <c r="W109" s="117">
        <v>8</v>
      </c>
      <c r="X109" s="115" t="str">
        <f>Inputs!$A$13</f>
        <v>M4103600</v>
      </c>
      <c r="Y109" s="44" t="str">
        <f>Inputs!$B$13</f>
        <v>PNT</v>
      </c>
      <c r="Z109" s="44" t="s">
        <v>57</v>
      </c>
      <c r="AA109" s="44">
        <f t="shared" si="75"/>
        <v>57.223939999999999</v>
      </c>
      <c r="AB109" s="50"/>
      <c r="AC109" s="119">
        <v>8</v>
      </c>
      <c r="AD109" s="115" t="str">
        <f>Inputs!$A$13</f>
        <v>M4103600</v>
      </c>
      <c r="AE109" s="44" t="str">
        <f>Inputs!$B$13</f>
        <v>PNT</v>
      </c>
      <c r="AF109" s="44" t="s">
        <v>58</v>
      </c>
      <c r="AG109" s="44">
        <f t="shared" si="76"/>
        <v>0</v>
      </c>
      <c r="AH109" s="50"/>
      <c r="AI109" s="44">
        <v>70.410606999999999</v>
      </c>
      <c r="AJ109" s="44">
        <v>0</v>
      </c>
      <c r="AK109" s="44">
        <f t="shared" si="113"/>
        <v>-70.410606333333334</v>
      </c>
      <c r="AL109" s="50"/>
      <c r="AM109" s="44">
        <f t="shared" si="114"/>
        <v>-6.6666666498349514E-7</v>
      </c>
      <c r="AN109" s="63">
        <f>AI109*Inputs!$F$13*Inputs!$G$13</f>
        <v>186428.55811453803</v>
      </c>
      <c r="AO109" s="44">
        <f>Inputs!$F$13*Inputs!$I$13*AJ109</f>
        <v>0</v>
      </c>
      <c r="AP109" s="55">
        <v>13.186666666666667</v>
      </c>
      <c r="AR109" s="117">
        <v>8</v>
      </c>
      <c r="AS109" s="115" t="str">
        <f>Inputs!$A$13</f>
        <v>M4103600</v>
      </c>
      <c r="AT109" s="44" t="str">
        <f>Inputs!$B$13</f>
        <v>PNT</v>
      </c>
      <c r="AU109" s="44" t="s">
        <v>57</v>
      </c>
      <c r="AV109" s="44">
        <f t="shared" si="86"/>
        <v>57.223939999999999</v>
      </c>
      <c r="AW109" s="50"/>
      <c r="AX109" s="119">
        <v>8</v>
      </c>
      <c r="AY109" s="115" t="str">
        <f>Inputs!$A$13</f>
        <v>M4103600</v>
      </c>
      <c r="AZ109" s="44" t="str">
        <f>Inputs!$B$13</f>
        <v>PNT</v>
      </c>
      <c r="BA109" s="44" t="s">
        <v>58</v>
      </c>
      <c r="BB109" s="44">
        <f t="shared" si="79"/>
        <v>0</v>
      </c>
      <c r="BC109" s="50"/>
      <c r="BD109" s="44">
        <v>53.597607000000004</v>
      </c>
      <c r="BE109" s="44">
        <v>0</v>
      </c>
      <c r="BF109" s="44">
        <f t="shared" si="115"/>
        <v>-53.597606999999996</v>
      </c>
      <c r="BG109" s="50"/>
      <c r="BH109" s="44">
        <f t="shared" si="116"/>
        <v>0</v>
      </c>
      <c r="BI109" s="63">
        <f>BD109*Inputs!$F$13*Inputs!$G$13</f>
        <v>141912.20637253803</v>
      </c>
      <c r="BJ109" s="44">
        <f>Inputs!$F$13*Inputs!$I$13*BE109</f>
        <v>0</v>
      </c>
      <c r="BK109" s="55">
        <v>22.747000000000003</v>
      </c>
      <c r="BM109" s="117">
        <v>8</v>
      </c>
      <c r="BN109" s="115" t="str">
        <f>Inputs!$A$13</f>
        <v>M4103600</v>
      </c>
      <c r="BO109" s="44" t="str">
        <f>Inputs!$B$13</f>
        <v>PNT</v>
      </c>
      <c r="BP109" s="44" t="s">
        <v>57</v>
      </c>
      <c r="BQ109" s="44">
        <f t="shared" si="82"/>
        <v>57.223939999999999</v>
      </c>
      <c r="BR109" s="50"/>
      <c r="BS109" s="119">
        <v>8</v>
      </c>
      <c r="BT109" s="115" t="str">
        <f>Inputs!$A$13</f>
        <v>M4103600</v>
      </c>
      <c r="BU109" s="44" t="str">
        <f>Inputs!$B$13</f>
        <v>PNT</v>
      </c>
      <c r="BV109" s="44" t="s">
        <v>58</v>
      </c>
      <c r="BW109" s="44">
        <f t="shared" si="83"/>
        <v>0</v>
      </c>
      <c r="BX109" s="50"/>
      <c r="BY109" s="44">
        <v>30.850607</v>
      </c>
      <c r="BZ109" s="44">
        <v>0</v>
      </c>
      <c r="CA109" s="44">
        <f t="shared" si="117"/>
        <v>-30.850606666666664</v>
      </c>
      <c r="CB109" s="50"/>
      <c r="CC109" s="44">
        <f t="shared" si="118"/>
        <v>-3.3333333604446125E-7</v>
      </c>
      <c r="CD109" s="63">
        <f>BY109*Inputs!$F$13*Inputs!$G$13</f>
        <v>81684.20107453801</v>
      </c>
      <c r="CE109" s="44">
        <f>Inputs!$F$13*Inputs!$I$13*BZ109</f>
        <v>0</v>
      </c>
      <c r="CF109" s="55">
        <v>26.373333333333335</v>
      </c>
    </row>
    <row r="110" spans="1:84" x14ac:dyDescent="0.25">
      <c r="A110" s="117">
        <v>9</v>
      </c>
      <c r="B110" s="115" t="str">
        <f>Inputs!$A$13</f>
        <v>M4103600</v>
      </c>
      <c r="C110" s="44" t="str">
        <f>Inputs!$B$13</f>
        <v>PNT</v>
      </c>
      <c r="D110" s="44" t="s">
        <v>57</v>
      </c>
      <c r="E110" s="44">
        <v>8.7093933000000003</v>
      </c>
      <c r="F110" s="50"/>
      <c r="G110" s="119">
        <v>9</v>
      </c>
      <c r="H110" s="115" t="str">
        <f>Inputs!$A$13</f>
        <v>M4103600</v>
      </c>
      <c r="I110" s="44" t="str">
        <f>Inputs!$B$13</f>
        <v>PNT</v>
      </c>
      <c r="J110" s="44" t="s">
        <v>58</v>
      </c>
      <c r="K110" s="44">
        <v>0</v>
      </c>
      <c r="L110" s="50"/>
      <c r="M110" s="44">
        <v>0</v>
      </c>
      <c r="N110" s="44">
        <v>0</v>
      </c>
      <c r="O110" s="44">
        <f t="shared" si="111"/>
        <v>4.6379646789773687E-8</v>
      </c>
      <c r="P110" s="50"/>
      <c r="Q110" s="44">
        <f t="shared" si="112"/>
        <v>-4.6379646789773687E-8</v>
      </c>
      <c r="R110" s="63">
        <f>M110*Inputs!$F$13*Inputs!$G$13</f>
        <v>0</v>
      </c>
      <c r="S110" s="44">
        <f>Inputs!$F$13*Inputs!$I$13*N110</f>
        <v>0</v>
      </c>
      <c r="T110" s="18"/>
      <c r="U110" s="55">
        <v>8.7093933463796471</v>
      </c>
      <c r="W110" s="117">
        <v>9</v>
      </c>
      <c r="X110" s="115" t="str">
        <f>Inputs!$A$13</f>
        <v>M4103600</v>
      </c>
      <c r="Y110" s="44" t="str">
        <f>Inputs!$B$13</f>
        <v>PNT</v>
      </c>
      <c r="Z110" s="44" t="s">
        <v>57</v>
      </c>
      <c r="AA110" s="44">
        <f t="shared" si="75"/>
        <v>8.7093933000000003</v>
      </c>
      <c r="AB110" s="50"/>
      <c r="AC110" s="119">
        <v>9</v>
      </c>
      <c r="AD110" s="115" t="str">
        <f>Inputs!$A$13</f>
        <v>M4103600</v>
      </c>
      <c r="AE110" s="44" t="str">
        <f>Inputs!$B$13</f>
        <v>PNT</v>
      </c>
      <c r="AF110" s="44" t="s">
        <v>58</v>
      </c>
      <c r="AG110" s="44">
        <f t="shared" si="76"/>
        <v>0</v>
      </c>
      <c r="AH110" s="50"/>
      <c r="AI110" s="44">
        <v>59.34</v>
      </c>
      <c r="AJ110" s="44">
        <v>0</v>
      </c>
      <c r="AK110" s="44">
        <f t="shared" si="113"/>
        <v>-59.3400003</v>
      </c>
      <c r="AL110" s="50"/>
      <c r="AM110" s="44">
        <f t="shared" si="114"/>
        <v>2.9999999640040187E-7</v>
      </c>
      <c r="AN110" s="63">
        <f>AI110*Inputs!$F$13*Inputs!$G$13</f>
        <v>157116.53556000002</v>
      </c>
      <c r="AO110" s="44">
        <f>Inputs!$F$13*Inputs!$I$13*AJ110</f>
        <v>0</v>
      </c>
      <c r="AP110" s="55">
        <v>19.78</v>
      </c>
      <c r="AR110" s="117">
        <v>9</v>
      </c>
      <c r="AS110" s="115" t="str">
        <f>Inputs!$A$13</f>
        <v>M4103600</v>
      </c>
      <c r="AT110" s="44" t="str">
        <f>Inputs!$B$13</f>
        <v>PNT</v>
      </c>
      <c r="AU110" s="44" t="s">
        <v>57</v>
      </c>
      <c r="AV110" s="44">
        <f t="shared" si="86"/>
        <v>8.7093933000000003</v>
      </c>
      <c r="AW110" s="50"/>
      <c r="AX110" s="119">
        <v>9</v>
      </c>
      <c r="AY110" s="115" t="str">
        <f>Inputs!$A$13</f>
        <v>M4103600</v>
      </c>
      <c r="AZ110" s="44" t="str">
        <f>Inputs!$B$13</f>
        <v>PNT</v>
      </c>
      <c r="BA110" s="44" t="s">
        <v>58</v>
      </c>
      <c r="BB110" s="44">
        <f t="shared" si="79"/>
        <v>0</v>
      </c>
      <c r="BC110" s="50"/>
      <c r="BD110" s="44">
        <v>36.593000000000004</v>
      </c>
      <c r="BE110" s="44">
        <v>0</v>
      </c>
      <c r="BF110" s="44">
        <f t="shared" si="115"/>
        <v>-36.5930003</v>
      </c>
      <c r="BG110" s="50"/>
      <c r="BH110" s="44">
        <f t="shared" si="116"/>
        <v>2.9999999640040187E-7</v>
      </c>
      <c r="BI110" s="63">
        <f>BD110*Inputs!$F$13*Inputs!$G$13</f>
        <v>96888.530262</v>
      </c>
      <c r="BJ110" s="44">
        <f>Inputs!$F$13*Inputs!$I$13*BE110</f>
        <v>0</v>
      </c>
      <c r="BK110" s="55">
        <v>25.714000000000002</v>
      </c>
      <c r="BM110" s="117">
        <v>9</v>
      </c>
      <c r="BN110" s="115" t="str">
        <f>Inputs!$A$13</f>
        <v>M4103600</v>
      </c>
      <c r="BO110" s="44" t="str">
        <f>Inputs!$B$13</f>
        <v>PNT</v>
      </c>
      <c r="BP110" s="44" t="s">
        <v>57</v>
      </c>
      <c r="BQ110" s="44">
        <f t="shared" si="82"/>
        <v>8.7093933000000003</v>
      </c>
      <c r="BR110" s="50"/>
      <c r="BS110" s="119">
        <v>9</v>
      </c>
      <c r="BT110" s="115" t="str">
        <f>Inputs!$A$13</f>
        <v>M4103600</v>
      </c>
      <c r="BU110" s="44" t="str">
        <f>Inputs!$B$13</f>
        <v>PNT</v>
      </c>
      <c r="BV110" s="44" t="s">
        <v>58</v>
      </c>
      <c r="BW110" s="44">
        <f t="shared" si="83"/>
        <v>0</v>
      </c>
      <c r="BX110" s="50"/>
      <c r="BY110" s="44">
        <v>19.78</v>
      </c>
      <c r="BZ110" s="44">
        <v>0</v>
      </c>
      <c r="CA110" s="44">
        <f t="shared" si="117"/>
        <v>-19.780000299999998</v>
      </c>
      <c r="CB110" s="50"/>
      <c r="CC110" s="44">
        <f t="shared" si="118"/>
        <v>2.9999999640040187E-7</v>
      </c>
      <c r="CD110" s="63">
        <f>BY110*Inputs!$F$13*Inputs!$G$13</f>
        <v>52372.178520000009</v>
      </c>
      <c r="CE110" s="44">
        <f>Inputs!$F$13*Inputs!$I$13*BZ110</f>
        <v>0</v>
      </c>
      <c r="CF110" s="55">
        <v>19.78</v>
      </c>
    </row>
    <row r="111" spans="1:84" x14ac:dyDescent="0.25">
      <c r="A111" s="117">
        <v>10</v>
      </c>
      <c r="B111" s="115" t="str">
        <f>Inputs!$A$13</f>
        <v>M4103600</v>
      </c>
      <c r="C111" s="44" t="str">
        <f>Inputs!$B$13</f>
        <v>PNT</v>
      </c>
      <c r="D111" s="44" t="s">
        <v>57</v>
      </c>
      <c r="E111" s="44">
        <v>0</v>
      </c>
      <c r="F111" s="50"/>
      <c r="G111" s="119">
        <v>10</v>
      </c>
      <c r="H111" s="115" t="str">
        <f>Inputs!$A$13</f>
        <v>M4103600</v>
      </c>
      <c r="I111" s="44" t="str">
        <f>Inputs!$B$13</f>
        <v>PNT</v>
      </c>
      <c r="J111" s="44" t="s">
        <v>58</v>
      </c>
      <c r="K111" s="44">
        <v>0</v>
      </c>
      <c r="L111" s="50"/>
      <c r="M111" s="44">
        <v>0</v>
      </c>
      <c r="N111" s="44">
        <v>0</v>
      </c>
      <c r="O111" s="44">
        <f t="shared" si="111"/>
        <v>0</v>
      </c>
      <c r="P111" s="50"/>
      <c r="Q111" s="44">
        <f t="shared" si="112"/>
        <v>0</v>
      </c>
      <c r="R111" s="63">
        <f>M111*Inputs!$F$13*Inputs!$G$13</f>
        <v>0</v>
      </c>
      <c r="S111" s="44">
        <f>Inputs!$F$13*Inputs!$I$13*N111</f>
        <v>0</v>
      </c>
      <c r="T111" s="18"/>
      <c r="U111" s="91">
        <v>0</v>
      </c>
      <c r="W111" s="117">
        <v>10</v>
      </c>
      <c r="X111" s="115" t="str">
        <f>Inputs!$A$13</f>
        <v>M4103600</v>
      </c>
      <c r="Y111" s="44" t="str">
        <f>Inputs!$B$13</f>
        <v>PNT</v>
      </c>
      <c r="Z111" s="44" t="s">
        <v>57</v>
      </c>
      <c r="AA111" s="44">
        <f t="shared" si="75"/>
        <v>0</v>
      </c>
      <c r="AB111" s="50"/>
      <c r="AC111" s="119">
        <v>10</v>
      </c>
      <c r="AD111" s="115" t="str">
        <f>Inputs!$A$13</f>
        <v>M4103600</v>
      </c>
      <c r="AE111" s="44" t="str">
        <f>Inputs!$B$13</f>
        <v>PNT</v>
      </c>
      <c r="AF111" s="44" t="s">
        <v>58</v>
      </c>
      <c r="AG111" s="44">
        <f t="shared" si="76"/>
        <v>0</v>
      </c>
      <c r="AH111" s="50"/>
      <c r="AI111" s="44">
        <v>32.966667000000001</v>
      </c>
      <c r="AJ111" s="44">
        <v>0</v>
      </c>
      <c r="AK111" s="44">
        <f t="shared" si="113"/>
        <v>-32.966666666666669</v>
      </c>
      <c r="AL111" s="50"/>
      <c r="AM111" s="44">
        <f t="shared" si="114"/>
        <v>-3.3333333249174757E-7</v>
      </c>
      <c r="AN111" s="63">
        <f>AI111*Inputs!$F$13*Inputs!$G$13</f>
        <v>87286.965082578012</v>
      </c>
      <c r="AO111" s="44">
        <f>Inputs!$F$13*Inputs!$I$13*AJ111</f>
        <v>0</v>
      </c>
      <c r="AP111" s="91">
        <v>26.373333333333335</v>
      </c>
      <c r="AR111" s="117">
        <v>10</v>
      </c>
      <c r="AS111" s="115" t="str">
        <f>Inputs!$A$13</f>
        <v>M4103600</v>
      </c>
      <c r="AT111" s="44" t="str">
        <f>Inputs!$B$13</f>
        <v>PNT</v>
      </c>
      <c r="AU111" s="44" t="s">
        <v>57</v>
      </c>
      <c r="AV111" s="44">
        <f t="shared" si="86"/>
        <v>0</v>
      </c>
      <c r="AW111" s="50"/>
      <c r="AX111" s="119">
        <v>10</v>
      </c>
      <c r="AY111" s="115" t="str">
        <f>Inputs!$A$13</f>
        <v>M4103600</v>
      </c>
      <c r="AZ111" s="44" t="str">
        <f>Inputs!$B$13</f>
        <v>PNT</v>
      </c>
      <c r="BA111" s="44" t="s">
        <v>58</v>
      </c>
      <c r="BB111" s="44">
        <f t="shared" si="79"/>
        <v>0</v>
      </c>
      <c r="BC111" s="50"/>
      <c r="BD111" s="44">
        <v>13.846</v>
      </c>
      <c r="BE111" s="44">
        <v>0</v>
      </c>
      <c r="BF111" s="44">
        <f t="shared" si="115"/>
        <v>-13.846</v>
      </c>
      <c r="BG111" s="50"/>
      <c r="BH111" s="44">
        <f t="shared" si="116"/>
        <v>0</v>
      </c>
      <c r="BI111" s="63">
        <f>BD111*Inputs!$F$13*Inputs!$G$13</f>
        <v>36660.524963999997</v>
      </c>
      <c r="BJ111" s="44">
        <f>Inputs!$F$13*Inputs!$I$13*BE111</f>
        <v>0</v>
      </c>
      <c r="BK111" s="91">
        <v>22.747000000000003</v>
      </c>
      <c r="BM111" s="117">
        <v>10</v>
      </c>
      <c r="BN111" s="115" t="str">
        <f>Inputs!$A$13</f>
        <v>M4103600</v>
      </c>
      <c r="BO111" s="44" t="str">
        <f>Inputs!$B$13</f>
        <v>PNT</v>
      </c>
      <c r="BP111" s="44" t="s">
        <v>57</v>
      </c>
      <c r="BQ111" s="44">
        <f t="shared" si="82"/>
        <v>0</v>
      </c>
      <c r="BR111" s="50"/>
      <c r="BS111" s="119">
        <v>10</v>
      </c>
      <c r="BT111" s="115" t="str">
        <f>Inputs!$A$13</f>
        <v>M4103600</v>
      </c>
      <c r="BU111" s="44" t="str">
        <f>Inputs!$B$13</f>
        <v>PNT</v>
      </c>
      <c r="BV111" s="44" t="s">
        <v>58</v>
      </c>
      <c r="BW111" s="44">
        <f t="shared" si="83"/>
        <v>0</v>
      </c>
      <c r="BX111" s="50"/>
      <c r="BY111" s="44">
        <v>6.5933333000000003</v>
      </c>
      <c r="BZ111" s="44">
        <v>0</v>
      </c>
      <c r="CA111" s="44">
        <f t="shared" si="117"/>
        <v>-6.5933333333333337</v>
      </c>
      <c r="CB111" s="50"/>
      <c r="CC111" s="44">
        <f t="shared" si="118"/>
        <v>3.3333333426810441E-8</v>
      </c>
      <c r="CD111" s="63">
        <f>BY111*Inputs!$F$13*Inputs!$G$13</f>
        <v>17457.392751742202</v>
      </c>
      <c r="CE111" s="44">
        <f>Inputs!$F$13*Inputs!$I$13*BZ111</f>
        <v>0</v>
      </c>
      <c r="CF111" s="91">
        <v>13.186666666666667</v>
      </c>
    </row>
    <row r="112" spans="1:84" x14ac:dyDescent="0.25">
      <c r="A112" s="117">
        <v>11</v>
      </c>
      <c r="B112" s="115" t="str">
        <f>Inputs!$A$13</f>
        <v>M4103600</v>
      </c>
      <c r="C112" s="44" t="str">
        <f>Inputs!$B$13</f>
        <v>PNT</v>
      </c>
      <c r="D112" s="44" t="s">
        <v>57</v>
      </c>
      <c r="E112" s="44">
        <v>0</v>
      </c>
      <c r="F112" s="50"/>
      <c r="G112" s="119">
        <v>11</v>
      </c>
      <c r="H112" s="115" t="str">
        <f>Inputs!$A$13</f>
        <v>M4103600</v>
      </c>
      <c r="I112" s="44" t="str">
        <f>Inputs!$B$13</f>
        <v>PNT</v>
      </c>
      <c r="J112" s="44" t="s">
        <v>58</v>
      </c>
      <c r="K112" s="44">
        <v>0</v>
      </c>
      <c r="L112" s="50"/>
      <c r="M112" s="44">
        <v>0</v>
      </c>
      <c r="N112" s="44">
        <v>0</v>
      </c>
      <c r="O112" s="44">
        <f t="shared" si="111"/>
        <v>0</v>
      </c>
      <c r="P112" s="50"/>
      <c r="Q112" s="44">
        <f t="shared" si="112"/>
        <v>0</v>
      </c>
      <c r="R112" s="63">
        <f>M112*Inputs!$F$13*Inputs!$H$13</f>
        <v>0</v>
      </c>
      <c r="S112" s="44">
        <f>Inputs!$F$13*Inputs!$I$13*N112</f>
        <v>0</v>
      </c>
      <c r="T112" s="18"/>
      <c r="U112" s="56">
        <v>0</v>
      </c>
      <c r="W112" s="117">
        <v>11</v>
      </c>
      <c r="X112" s="115" t="str">
        <f>Inputs!$A$13</f>
        <v>M4103600</v>
      </c>
      <c r="Y112" s="44" t="str">
        <f>Inputs!$B$13</f>
        <v>PNT</v>
      </c>
      <c r="Z112" s="44" t="s">
        <v>57</v>
      </c>
      <c r="AA112" s="44">
        <f t="shared" si="75"/>
        <v>0</v>
      </c>
      <c r="AB112" s="50"/>
      <c r="AC112" s="119">
        <v>11</v>
      </c>
      <c r="AD112" s="115" t="str">
        <f>Inputs!$A$13</f>
        <v>M4103600</v>
      </c>
      <c r="AE112" s="44" t="str">
        <f>Inputs!$B$13</f>
        <v>PNT</v>
      </c>
      <c r="AF112" s="44" t="s">
        <v>58</v>
      </c>
      <c r="AG112" s="44">
        <f t="shared" si="76"/>
        <v>0</v>
      </c>
      <c r="AH112" s="50"/>
      <c r="AI112" s="44">
        <v>0</v>
      </c>
      <c r="AJ112" s="44">
        <v>0</v>
      </c>
      <c r="AK112" s="44">
        <f t="shared" si="113"/>
        <v>-3.3333333249174757E-7</v>
      </c>
      <c r="AL112" s="50"/>
      <c r="AM112" s="44">
        <f t="shared" si="114"/>
        <v>3.3333333249174757E-7</v>
      </c>
      <c r="AN112" s="63">
        <f>AI112*Inputs!$F$13*Inputs!$H$13</f>
        <v>0</v>
      </c>
      <c r="AO112" s="44">
        <f>Inputs!$F$13*Inputs!$I$13*AJ112</f>
        <v>0</v>
      </c>
      <c r="AP112" s="56">
        <v>32.966666666666669</v>
      </c>
      <c r="AR112" s="117">
        <v>11</v>
      </c>
      <c r="AS112" s="115" t="str">
        <f>Inputs!$A$13</f>
        <v>M4103600</v>
      </c>
      <c r="AT112" s="44" t="str">
        <f>Inputs!$B$13</f>
        <v>PNT</v>
      </c>
      <c r="AU112" s="44" t="s">
        <v>57</v>
      </c>
      <c r="AV112" s="44">
        <f t="shared" si="86"/>
        <v>0</v>
      </c>
      <c r="AW112" s="50"/>
      <c r="AX112" s="119">
        <v>11</v>
      </c>
      <c r="AY112" s="115" t="str">
        <f>Inputs!$A$13</f>
        <v>M4103600</v>
      </c>
      <c r="AZ112" s="44" t="str">
        <f>Inputs!$B$13</f>
        <v>PNT</v>
      </c>
      <c r="BA112" s="44" t="s">
        <v>58</v>
      </c>
      <c r="BB112" s="44">
        <f t="shared" si="79"/>
        <v>0</v>
      </c>
      <c r="BC112" s="50"/>
      <c r="BD112" s="44">
        <v>0</v>
      </c>
      <c r="BE112" s="44">
        <v>0</v>
      </c>
      <c r="BF112" s="44">
        <f t="shared" si="115"/>
        <v>1.7763568394002505E-15</v>
      </c>
      <c r="BG112" s="50"/>
      <c r="BH112" s="44">
        <f t="shared" si="116"/>
        <v>-1.7763568394002505E-15</v>
      </c>
      <c r="BI112" s="63">
        <f>BD112*Inputs!$F$13*Inputs!$H$13</f>
        <v>0</v>
      </c>
      <c r="BJ112" s="44">
        <f>Inputs!$F$13*Inputs!$I$13*BE112</f>
        <v>0</v>
      </c>
      <c r="BK112" s="56">
        <v>13.846000000000002</v>
      </c>
      <c r="BM112" s="117">
        <v>11</v>
      </c>
      <c r="BN112" s="115" t="str">
        <f>Inputs!$A$13</f>
        <v>M4103600</v>
      </c>
      <c r="BO112" s="44" t="str">
        <f>Inputs!$B$13</f>
        <v>PNT</v>
      </c>
      <c r="BP112" s="44" t="s">
        <v>57</v>
      </c>
      <c r="BQ112" s="44">
        <f t="shared" si="82"/>
        <v>0</v>
      </c>
      <c r="BR112" s="50"/>
      <c r="BS112" s="119">
        <v>11</v>
      </c>
      <c r="BT112" s="115" t="str">
        <f>Inputs!$A$13</f>
        <v>M4103600</v>
      </c>
      <c r="BU112" s="44" t="str">
        <f>Inputs!$B$13</f>
        <v>PNT</v>
      </c>
      <c r="BV112" s="44" t="s">
        <v>58</v>
      </c>
      <c r="BW112" s="44">
        <f t="shared" si="83"/>
        <v>0</v>
      </c>
      <c r="BX112" s="50"/>
      <c r="BY112" s="44">
        <v>0</v>
      </c>
      <c r="BZ112" s="44">
        <v>0</v>
      </c>
      <c r="CA112" s="44">
        <f t="shared" si="117"/>
        <v>3.3333333426810441E-8</v>
      </c>
      <c r="CB112" s="50"/>
      <c r="CC112" s="44">
        <f t="shared" si="118"/>
        <v>-3.3333333426810441E-8</v>
      </c>
      <c r="CD112" s="63">
        <f>BY112*Inputs!$F$13*Inputs!$H$13</f>
        <v>0</v>
      </c>
      <c r="CE112" s="44">
        <f>Inputs!$F$13*Inputs!$I$13*BZ112</f>
        <v>0</v>
      </c>
      <c r="CF112" s="56">
        <v>6.5933333333333337</v>
      </c>
    </row>
    <row r="113" spans="1:84" x14ac:dyDescent="0.25">
      <c r="A113" s="116">
        <v>3</v>
      </c>
      <c r="B113" s="114" t="str">
        <f>Inputs!$A$14</f>
        <v>M4330501</v>
      </c>
      <c r="C113" s="45" t="str">
        <f>Inputs!$B$14</f>
        <v>PNT</v>
      </c>
      <c r="D113" s="45" t="s">
        <v>57</v>
      </c>
      <c r="E113" s="45">
        <v>0</v>
      </c>
      <c r="F113" s="50"/>
      <c r="G113" s="118">
        <v>3</v>
      </c>
      <c r="H113" s="114" t="str">
        <f>Inputs!$A$14</f>
        <v>M4330501</v>
      </c>
      <c r="I113" s="45" t="str">
        <f>Inputs!$B$14</f>
        <v>PNT</v>
      </c>
      <c r="J113" s="45" t="s">
        <v>58</v>
      </c>
      <c r="K113" s="45">
        <v>0</v>
      </c>
      <c r="L113" s="50"/>
      <c r="M113" s="45">
        <v>0</v>
      </c>
      <c r="N113" s="45">
        <v>0</v>
      </c>
      <c r="O113" s="45">
        <f>U113-0-E113-K113</f>
        <v>0</v>
      </c>
      <c r="P113" s="50"/>
      <c r="Q113" s="45">
        <f>E113+K113+N113-U113+0-M113</f>
        <v>0</v>
      </c>
      <c r="R113" s="64">
        <f>M113*Inputs!$F$14*Inputs!$G$14</f>
        <v>0</v>
      </c>
      <c r="S113" s="45">
        <f>Inputs!$F$14*Inputs!$I$14*N113</f>
        <v>0</v>
      </c>
      <c r="T113" s="18"/>
      <c r="U113" s="54">
        <v>0</v>
      </c>
      <c r="W113" s="116">
        <v>3</v>
      </c>
      <c r="X113" s="114" t="str">
        <f>Inputs!$A$14</f>
        <v>M4330501</v>
      </c>
      <c r="Y113" s="45" t="str">
        <f>Inputs!$B$14</f>
        <v>PNT</v>
      </c>
      <c r="Z113" s="45" t="s">
        <v>57</v>
      </c>
      <c r="AA113" s="45">
        <f t="shared" si="75"/>
        <v>0</v>
      </c>
      <c r="AB113" s="50"/>
      <c r="AC113" s="118">
        <v>3</v>
      </c>
      <c r="AD113" s="114" t="str">
        <f>Inputs!$A$14</f>
        <v>M4330501</v>
      </c>
      <c r="AE113" s="45" t="str">
        <f>Inputs!$B$14</f>
        <v>PNT</v>
      </c>
      <c r="AF113" s="45" t="s">
        <v>58</v>
      </c>
      <c r="AG113" s="45">
        <f t="shared" si="76"/>
        <v>0</v>
      </c>
      <c r="AH113" s="50"/>
      <c r="AI113" s="45">
        <v>0</v>
      </c>
      <c r="AJ113" s="45">
        <v>0</v>
      </c>
      <c r="AK113" s="45">
        <f>AP113-0-AA113-AG113</f>
        <v>0</v>
      </c>
      <c r="AL113" s="50"/>
      <c r="AM113" s="45">
        <f>AA113+AG113+AJ113-AP113+0-AI113</f>
        <v>0</v>
      </c>
      <c r="AN113" s="64">
        <f>AI113*Inputs!$F$14*Inputs!$G$14</f>
        <v>0</v>
      </c>
      <c r="AO113" s="45">
        <f>Inputs!$F$14*Inputs!$I$14*AJ113</f>
        <v>0</v>
      </c>
      <c r="AP113" s="54">
        <v>0</v>
      </c>
      <c r="AR113" s="116">
        <v>3</v>
      </c>
      <c r="AS113" s="114" t="str">
        <f>Inputs!$A$14</f>
        <v>M4330501</v>
      </c>
      <c r="AT113" s="45" t="str">
        <f>Inputs!$B$14</f>
        <v>PNT</v>
      </c>
      <c r="AU113" s="45" t="s">
        <v>57</v>
      </c>
      <c r="AV113" s="45">
        <f t="shared" si="86"/>
        <v>0</v>
      </c>
      <c r="AW113" s="50"/>
      <c r="AX113" s="118">
        <v>3</v>
      </c>
      <c r="AY113" s="114" t="str">
        <f>Inputs!$A$14</f>
        <v>M4330501</v>
      </c>
      <c r="AZ113" s="45" t="str">
        <f>Inputs!$B$14</f>
        <v>PNT</v>
      </c>
      <c r="BA113" s="45" t="s">
        <v>58</v>
      </c>
      <c r="BB113" s="45">
        <f t="shared" si="79"/>
        <v>0</v>
      </c>
      <c r="BC113" s="50"/>
      <c r="BD113" s="45">
        <v>0</v>
      </c>
      <c r="BE113" s="45">
        <v>0</v>
      </c>
      <c r="BF113" s="45">
        <f>BK113-0-AV113-BB113</f>
        <v>0</v>
      </c>
      <c r="BG113" s="50"/>
      <c r="BH113" s="45">
        <f>AV113+BB113+BE113-BK113+0-BD113</f>
        <v>0</v>
      </c>
      <c r="BI113" s="64">
        <f>BD113*Inputs!$F$14*Inputs!$G$14</f>
        <v>0</v>
      </c>
      <c r="BJ113" s="45">
        <f>Inputs!$F$14*Inputs!$I$14*BE113</f>
        <v>0</v>
      </c>
      <c r="BK113" s="54">
        <v>0</v>
      </c>
      <c r="BM113" s="116">
        <v>3</v>
      </c>
      <c r="BN113" s="114" t="str">
        <f>Inputs!$A$14</f>
        <v>M4330501</v>
      </c>
      <c r="BO113" s="45" t="str">
        <f>Inputs!$B$14</f>
        <v>PNT</v>
      </c>
      <c r="BP113" s="45" t="s">
        <v>57</v>
      </c>
      <c r="BQ113" s="45">
        <f t="shared" si="82"/>
        <v>0</v>
      </c>
      <c r="BR113" s="50"/>
      <c r="BS113" s="118">
        <v>3</v>
      </c>
      <c r="BT113" s="114" t="str">
        <f>Inputs!$A$14</f>
        <v>M4330501</v>
      </c>
      <c r="BU113" s="45" t="str">
        <f>Inputs!$B$14</f>
        <v>PNT</v>
      </c>
      <c r="BV113" s="45" t="s">
        <v>58</v>
      </c>
      <c r="BW113" s="45">
        <f t="shared" si="83"/>
        <v>0</v>
      </c>
      <c r="BX113" s="50"/>
      <c r="BY113" s="45">
        <v>0</v>
      </c>
      <c r="BZ113" s="45">
        <v>0</v>
      </c>
      <c r="CA113" s="45">
        <f>CF113-0-BQ113-BW113</f>
        <v>0</v>
      </c>
      <c r="CB113" s="50"/>
      <c r="CC113" s="45">
        <f>BQ113+BW113+BZ113-CF113+0-BY113</f>
        <v>0</v>
      </c>
      <c r="CD113" s="64">
        <f>BY113*Inputs!$F$14*Inputs!$G$14</f>
        <v>0</v>
      </c>
      <c r="CE113" s="45">
        <f>Inputs!$F$14*Inputs!$I$14*BZ113</f>
        <v>0</v>
      </c>
      <c r="CF113" s="54">
        <v>0</v>
      </c>
    </row>
    <row r="114" spans="1:84" x14ac:dyDescent="0.25">
      <c r="A114" s="116">
        <v>4</v>
      </c>
      <c r="B114" s="114" t="str">
        <f>Inputs!$A$14</f>
        <v>M4330501</v>
      </c>
      <c r="C114" s="45" t="str">
        <f>Inputs!$B$14</f>
        <v>PNT</v>
      </c>
      <c r="D114" s="45" t="s">
        <v>57</v>
      </c>
      <c r="E114" s="45">
        <v>0</v>
      </c>
      <c r="F114" s="50"/>
      <c r="G114" s="118">
        <v>4</v>
      </c>
      <c r="H114" s="114" t="str">
        <f>Inputs!$A$14</f>
        <v>M4330501</v>
      </c>
      <c r="I114" s="45" t="str">
        <f>Inputs!$B$14</f>
        <v>PNT</v>
      </c>
      <c r="J114" s="45" t="s">
        <v>58</v>
      </c>
      <c r="K114" s="45">
        <v>0</v>
      </c>
      <c r="L114" s="50"/>
      <c r="M114" s="45">
        <v>0</v>
      </c>
      <c r="N114" s="45">
        <v>0</v>
      </c>
      <c r="O114" s="45">
        <f t="shared" ref="O114:O121" si="119">U114-M113-E114-K114</f>
        <v>0</v>
      </c>
      <c r="P114" s="50"/>
      <c r="Q114" s="45">
        <f t="shared" ref="Q114:Q121" si="120">E114+K114+N114-U114+M113-M114</f>
        <v>0</v>
      </c>
      <c r="R114" s="64">
        <f>M114*Inputs!$F$14*Inputs!$G$14</f>
        <v>0</v>
      </c>
      <c r="S114" s="45">
        <f>Inputs!$F$14*Inputs!$I$14*N114</f>
        <v>0</v>
      </c>
      <c r="T114" s="18"/>
      <c r="U114" s="55">
        <v>0</v>
      </c>
      <c r="W114" s="116">
        <v>4</v>
      </c>
      <c r="X114" s="114" t="str">
        <f>Inputs!$A$14</f>
        <v>M4330501</v>
      </c>
      <c r="Y114" s="45" t="str">
        <f>Inputs!$B$14</f>
        <v>PNT</v>
      </c>
      <c r="Z114" s="45" t="s">
        <v>57</v>
      </c>
      <c r="AA114" s="45">
        <f t="shared" si="75"/>
        <v>0</v>
      </c>
      <c r="AB114" s="50"/>
      <c r="AC114" s="118">
        <v>4</v>
      </c>
      <c r="AD114" s="114" t="str">
        <f>Inputs!$A$14</f>
        <v>M4330501</v>
      </c>
      <c r="AE114" s="45" t="str">
        <f>Inputs!$B$14</f>
        <v>PNT</v>
      </c>
      <c r="AF114" s="45" t="s">
        <v>58</v>
      </c>
      <c r="AG114" s="45">
        <f t="shared" si="76"/>
        <v>0</v>
      </c>
      <c r="AH114" s="50"/>
      <c r="AI114" s="45">
        <v>0</v>
      </c>
      <c r="AJ114" s="45">
        <v>0</v>
      </c>
      <c r="AK114" s="45">
        <f t="shared" ref="AK114:AK121" si="121">AP114-AI113-AA114-AG114</f>
        <v>0</v>
      </c>
      <c r="AL114" s="50"/>
      <c r="AM114" s="45">
        <f t="shared" ref="AM114:AM121" si="122">AA114+AG114+AJ114-AP114+AI113-AI114</f>
        <v>0</v>
      </c>
      <c r="AN114" s="64">
        <f>AI114*Inputs!$F$14*Inputs!$G$14</f>
        <v>0</v>
      </c>
      <c r="AO114" s="45">
        <f>Inputs!$F$14*Inputs!$I$14*AJ114</f>
        <v>0</v>
      </c>
      <c r="AP114" s="55">
        <v>0</v>
      </c>
      <c r="AR114" s="116">
        <v>4</v>
      </c>
      <c r="AS114" s="114" t="str">
        <f>Inputs!$A$14</f>
        <v>M4330501</v>
      </c>
      <c r="AT114" s="45" t="str">
        <f>Inputs!$B$14</f>
        <v>PNT</v>
      </c>
      <c r="AU114" s="45" t="s">
        <v>57</v>
      </c>
      <c r="AV114" s="45">
        <f t="shared" si="86"/>
        <v>0</v>
      </c>
      <c r="AW114" s="50"/>
      <c r="AX114" s="118">
        <v>4</v>
      </c>
      <c r="AY114" s="114" t="str">
        <f>Inputs!$A$14</f>
        <v>M4330501</v>
      </c>
      <c r="AZ114" s="45" t="str">
        <f>Inputs!$B$14</f>
        <v>PNT</v>
      </c>
      <c r="BA114" s="45" t="s">
        <v>58</v>
      </c>
      <c r="BB114" s="45">
        <f t="shared" si="79"/>
        <v>0</v>
      </c>
      <c r="BC114" s="50"/>
      <c r="BD114" s="45">
        <v>0</v>
      </c>
      <c r="BE114" s="45">
        <v>0</v>
      </c>
      <c r="BF114" s="45">
        <f t="shared" ref="BF114:BF121" si="123">BK114-BD113-AV114-BB114</f>
        <v>0</v>
      </c>
      <c r="BG114" s="50"/>
      <c r="BH114" s="45">
        <f t="shared" ref="BH114:BH121" si="124">AV114+BB114+BE114-BK114+BD113-BD114</f>
        <v>0</v>
      </c>
      <c r="BI114" s="64">
        <f>BD114*Inputs!$F$14*Inputs!$G$14</f>
        <v>0</v>
      </c>
      <c r="BJ114" s="45">
        <f>Inputs!$F$14*Inputs!$I$14*BE114</f>
        <v>0</v>
      </c>
      <c r="BK114" s="55">
        <v>0</v>
      </c>
      <c r="BM114" s="116">
        <v>4</v>
      </c>
      <c r="BN114" s="114" t="str">
        <f>Inputs!$A$14</f>
        <v>M4330501</v>
      </c>
      <c r="BO114" s="45" t="str">
        <f>Inputs!$B$14</f>
        <v>PNT</v>
      </c>
      <c r="BP114" s="45" t="s">
        <v>57</v>
      </c>
      <c r="BQ114" s="45">
        <f t="shared" si="82"/>
        <v>0</v>
      </c>
      <c r="BR114" s="50"/>
      <c r="BS114" s="118">
        <v>4</v>
      </c>
      <c r="BT114" s="114" t="str">
        <f>Inputs!$A$14</f>
        <v>M4330501</v>
      </c>
      <c r="BU114" s="45" t="str">
        <f>Inputs!$B$14</f>
        <v>PNT</v>
      </c>
      <c r="BV114" s="45" t="s">
        <v>58</v>
      </c>
      <c r="BW114" s="45">
        <f t="shared" si="83"/>
        <v>0</v>
      </c>
      <c r="BX114" s="50"/>
      <c r="BY114" s="45">
        <v>0</v>
      </c>
      <c r="BZ114" s="45">
        <v>0</v>
      </c>
      <c r="CA114" s="45">
        <f t="shared" ref="CA114:CA121" si="125">CF114-BY113-BQ114-BW114</f>
        <v>0</v>
      </c>
      <c r="CB114" s="50"/>
      <c r="CC114" s="45">
        <f t="shared" ref="CC114:CC121" si="126">BQ114+BW114+BZ114-CF114+BY113-BY114</f>
        <v>0</v>
      </c>
      <c r="CD114" s="64">
        <f>BY114*Inputs!$F$14*Inputs!$G$14</f>
        <v>0</v>
      </c>
      <c r="CE114" s="45">
        <f>Inputs!$F$14*Inputs!$I$14*BZ114</f>
        <v>0</v>
      </c>
      <c r="CF114" s="55">
        <v>0</v>
      </c>
    </row>
    <row r="115" spans="1:84" x14ac:dyDescent="0.25">
      <c r="A115" s="116">
        <v>5</v>
      </c>
      <c r="B115" s="114" t="str">
        <f>Inputs!$A$14</f>
        <v>M4330501</v>
      </c>
      <c r="C115" s="45" t="str">
        <f>Inputs!$B$14</f>
        <v>PNT</v>
      </c>
      <c r="D115" s="45" t="s">
        <v>57</v>
      </c>
      <c r="E115" s="45">
        <v>0</v>
      </c>
      <c r="F115" s="50"/>
      <c r="G115" s="118">
        <v>5</v>
      </c>
      <c r="H115" s="114" t="str">
        <f>Inputs!$A$14</f>
        <v>M4330501</v>
      </c>
      <c r="I115" s="45" t="str">
        <f>Inputs!$B$14</f>
        <v>PNT</v>
      </c>
      <c r="J115" s="45" t="s">
        <v>58</v>
      </c>
      <c r="K115" s="45">
        <v>0</v>
      </c>
      <c r="L115" s="50"/>
      <c r="M115" s="45">
        <v>0</v>
      </c>
      <c r="N115" s="45">
        <v>0</v>
      </c>
      <c r="O115" s="45">
        <f t="shared" si="119"/>
        <v>0</v>
      </c>
      <c r="P115" s="50"/>
      <c r="Q115" s="45">
        <f t="shared" si="120"/>
        <v>0</v>
      </c>
      <c r="R115" s="64">
        <f>M115*Inputs!$F$14*Inputs!$G$14</f>
        <v>0</v>
      </c>
      <c r="S115" s="45">
        <f>Inputs!$F$14*Inputs!$I$14*N115</f>
        <v>0</v>
      </c>
      <c r="T115" s="18"/>
      <c r="U115" s="55">
        <v>0</v>
      </c>
      <c r="W115" s="116">
        <v>5</v>
      </c>
      <c r="X115" s="114" t="str">
        <f>Inputs!$A$14</f>
        <v>M4330501</v>
      </c>
      <c r="Y115" s="45" t="str">
        <f>Inputs!$B$14</f>
        <v>PNT</v>
      </c>
      <c r="Z115" s="45" t="s">
        <v>57</v>
      </c>
      <c r="AA115" s="45">
        <f t="shared" si="75"/>
        <v>0</v>
      </c>
      <c r="AB115" s="50"/>
      <c r="AC115" s="118">
        <v>5</v>
      </c>
      <c r="AD115" s="114" t="str">
        <f>Inputs!$A$14</f>
        <v>M4330501</v>
      </c>
      <c r="AE115" s="45" t="str">
        <f>Inputs!$B$14</f>
        <v>PNT</v>
      </c>
      <c r="AF115" s="45" t="s">
        <v>58</v>
      </c>
      <c r="AG115" s="45">
        <f t="shared" si="76"/>
        <v>0</v>
      </c>
      <c r="AH115" s="50"/>
      <c r="AI115" s="45">
        <v>0</v>
      </c>
      <c r="AJ115" s="45">
        <v>0</v>
      </c>
      <c r="AK115" s="45">
        <f t="shared" si="121"/>
        <v>0</v>
      </c>
      <c r="AL115" s="50"/>
      <c r="AM115" s="45">
        <f t="shared" si="122"/>
        <v>0</v>
      </c>
      <c r="AN115" s="64">
        <f>AI115*Inputs!$F$14*Inputs!$G$14</f>
        <v>0</v>
      </c>
      <c r="AO115" s="45">
        <f>Inputs!$F$14*Inputs!$I$14*AJ115</f>
        <v>0</v>
      </c>
      <c r="AP115" s="55">
        <v>0</v>
      </c>
      <c r="AR115" s="116">
        <v>5</v>
      </c>
      <c r="AS115" s="114" t="str">
        <f>Inputs!$A$14</f>
        <v>M4330501</v>
      </c>
      <c r="AT115" s="45" t="str">
        <f>Inputs!$B$14</f>
        <v>PNT</v>
      </c>
      <c r="AU115" s="45" t="s">
        <v>57</v>
      </c>
      <c r="AV115" s="45">
        <f t="shared" si="86"/>
        <v>0</v>
      </c>
      <c r="AW115" s="50"/>
      <c r="AX115" s="118">
        <v>5</v>
      </c>
      <c r="AY115" s="114" t="str">
        <f>Inputs!$A$14</f>
        <v>M4330501</v>
      </c>
      <c r="AZ115" s="45" t="str">
        <f>Inputs!$B$14</f>
        <v>PNT</v>
      </c>
      <c r="BA115" s="45" t="s">
        <v>58</v>
      </c>
      <c r="BB115" s="45">
        <f t="shared" si="79"/>
        <v>0</v>
      </c>
      <c r="BC115" s="50"/>
      <c r="BD115" s="45">
        <v>0</v>
      </c>
      <c r="BE115" s="45">
        <v>0</v>
      </c>
      <c r="BF115" s="45">
        <f t="shared" si="123"/>
        <v>0</v>
      </c>
      <c r="BG115" s="50"/>
      <c r="BH115" s="45">
        <f t="shared" si="124"/>
        <v>0</v>
      </c>
      <c r="BI115" s="64">
        <f>BD115*Inputs!$F$14*Inputs!$G$14</f>
        <v>0</v>
      </c>
      <c r="BJ115" s="45">
        <f>Inputs!$F$14*Inputs!$I$14*BE115</f>
        <v>0</v>
      </c>
      <c r="BK115" s="55">
        <v>0</v>
      </c>
      <c r="BM115" s="116">
        <v>5</v>
      </c>
      <c r="BN115" s="114" t="str">
        <f>Inputs!$A$14</f>
        <v>M4330501</v>
      </c>
      <c r="BO115" s="45" t="str">
        <f>Inputs!$B$14</f>
        <v>PNT</v>
      </c>
      <c r="BP115" s="45" t="s">
        <v>57</v>
      </c>
      <c r="BQ115" s="45">
        <f t="shared" si="82"/>
        <v>0</v>
      </c>
      <c r="BR115" s="50"/>
      <c r="BS115" s="118">
        <v>5</v>
      </c>
      <c r="BT115" s="114" t="str">
        <f>Inputs!$A$14</f>
        <v>M4330501</v>
      </c>
      <c r="BU115" s="45" t="str">
        <f>Inputs!$B$14</f>
        <v>PNT</v>
      </c>
      <c r="BV115" s="45" t="s">
        <v>58</v>
      </c>
      <c r="BW115" s="45">
        <f t="shared" si="83"/>
        <v>0</v>
      </c>
      <c r="BX115" s="50"/>
      <c r="BY115" s="45">
        <v>0</v>
      </c>
      <c r="BZ115" s="45">
        <v>0</v>
      </c>
      <c r="CA115" s="45">
        <f t="shared" si="125"/>
        <v>0</v>
      </c>
      <c r="CB115" s="50"/>
      <c r="CC115" s="45">
        <f t="shared" si="126"/>
        <v>0</v>
      </c>
      <c r="CD115" s="64">
        <f>BY115*Inputs!$F$14*Inputs!$G$14</f>
        <v>0</v>
      </c>
      <c r="CE115" s="45">
        <f>Inputs!$F$14*Inputs!$I$14*BZ115</f>
        <v>0</v>
      </c>
      <c r="CF115" s="55">
        <v>0</v>
      </c>
    </row>
    <row r="116" spans="1:84" x14ac:dyDescent="0.25">
      <c r="A116" s="116">
        <v>6</v>
      </c>
      <c r="B116" s="114" t="str">
        <f>Inputs!$A$14</f>
        <v>M4330501</v>
      </c>
      <c r="C116" s="45" t="str">
        <f>Inputs!$B$14</f>
        <v>PNT</v>
      </c>
      <c r="D116" s="45" t="s">
        <v>57</v>
      </c>
      <c r="E116" s="45">
        <v>0</v>
      </c>
      <c r="F116" s="50"/>
      <c r="G116" s="118">
        <v>6</v>
      </c>
      <c r="H116" s="114" t="str">
        <f>Inputs!$A$14</f>
        <v>M4330501</v>
      </c>
      <c r="I116" s="45" t="str">
        <f>Inputs!$B$14</f>
        <v>PNT</v>
      </c>
      <c r="J116" s="45" t="s">
        <v>58</v>
      </c>
      <c r="K116" s="45">
        <v>0</v>
      </c>
      <c r="L116" s="50"/>
      <c r="M116" s="45">
        <v>0</v>
      </c>
      <c r="N116" s="45">
        <v>0</v>
      </c>
      <c r="O116" s="45">
        <f t="shared" si="119"/>
        <v>0</v>
      </c>
      <c r="P116" s="50"/>
      <c r="Q116" s="45">
        <f t="shared" si="120"/>
        <v>0</v>
      </c>
      <c r="R116" s="64">
        <f>M116*Inputs!$F$14*Inputs!$G$14</f>
        <v>0</v>
      </c>
      <c r="S116" s="45">
        <f>Inputs!$F$14*Inputs!$I$14*N116</f>
        <v>0</v>
      </c>
      <c r="T116" s="18"/>
      <c r="U116" s="55">
        <v>0</v>
      </c>
      <c r="W116" s="116">
        <v>6</v>
      </c>
      <c r="X116" s="114" t="str">
        <f>Inputs!$A$14</f>
        <v>M4330501</v>
      </c>
      <c r="Y116" s="45" t="str">
        <f>Inputs!$B$14</f>
        <v>PNT</v>
      </c>
      <c r="Z116" s="45" t="s">
        <v>57</v>
      </c>
      <c r="AA116" s="45">
        <f t="shared" si="75"/>
        <v>0</v>
      </c>
      <c r="AB116" s="50"/>
      <c r="AC116" s="118">
        <v>6</v>
      </c>
      <c r="AD116" s="114" t="str">
        <f>Inputs!$A$14</f>
        <v>M4330501</v>
      </c>
      <c r="AE116" s="45" t="str">
        <f>Inputs!$B$14</f>
        <v>PNT</v>
      </c>
      <c r="AF116" s="45" t="s">
        <v>58</v>
      </c>
      <c r="AG116" s="45">
        <f t="shared" si="76"/>
        <v>0</v>
      </c>
      <c r="AH116" s="50"/>
      <c r="AI116" s="45">
        <v>0</v>
      </c>
      <c r="AJ116" s="45">
        <v>0</v>
      </c>
      <c r="AK116" s="45">
        <f t="shared" si="121"/>
        <v>0</v>
      </c>
      <c r="AL116" s="50"/>
      <c r="AM116" s="45">
        <f t="shared" si="122"/>
        <v>0</v>
      </c>
      <c r="AN116" s="64">
        <f>AI116*Inputs!$F$14*Inputs!$G$14</f>
        <v>0</v>
      </c>
      <c r="AO116" s="45">
        <f>Inputs!$F$14*Inputs!$I$14*AJ116</f>
        <v>0</v>
      </c>
      <c r="AP116" s="55">
        <v>0</v>
      </c>
      <c r="AR116" s="116">
        <v>6</v>
      </c>
      <c r="AS116" s="114" t="str">
        <f>Inputs!$A$14</f>
        <v>M4330501</v>
      </c>
      <c r="AT116" s="45" t="str">
        <f>Inputs!$B$14</f>
        <v>PNT</v>
      </c>
      <c r="AU116" s="45" t="s">
        <v>57</v>
      </c>
      <c r="AV116" s="45">
        <f t="shared" si="86"/>
        <v>0</v>
      </c>
      <c r="AW116" s="50"/>
      <c r="AX116" s="118">
        <v>6</v>
      </c>
      <c r="AY116" s="114" t="str">
        <f>Inputs!$A$14</f>
        <v>M4330501</v>
      </c>
      <c r="AZ116" s="45" t="str">
        <f>Inputs!$B$14</f>
        <v>PNT</v>
      </c>
      <c r="BA116" s="45" t="s">
        <v>58</v>
      </c>
      <c r="BB116" s="45">
        <f t="shared" si="79"/>
        <v>0</v>
      </c>
      <c r="BC116" s="50"/>
      <c r="BD116" s="45">
        <v>0</v>
      </c>
      <c r="BE116" s="45">
        <v>0</v>
      </c>
      <c r="BF116" s="45">
        <f t="shared" si="123"/>
        <v>0</v>
      </c>
      <c r="BG116" s="50"/>
      <c r="BH116" s="45">
        <f t="shared" si="124"/>
        <v>0</v>
      </c>
      <c r="BI116" s="64">
        <f>BD116*Inputs!$F$14*Inputs!$G$14</f>
        <v>0</v>
      </c>
      <c r="BJ116" s="45">
        <f>Inputs!$F$14*Inputs!$I$14*BE116</f>
        <v>0</v>
      </c>
      <c r="BK116" s="55">
        <v>0</v>
      </c>
      <c r="BM116" s="116">
        <v>6</v>
      </c>
      <c r="BN116" s="114" t="str">
        <f>Inputs!$A$14</f>
        <v>M4330501</v>
      </c>
      <c r="BO116" s="45" t="str">
        <f>Inputs!$B$14</f>
        <v>PNT</v>
      </c>
      <c r="BP116" s="45" t="s">
        <v>57</v>
      </c>
      <c r="BQ116" s="45">
        <f t="shared" si="82"/>
        <v>0</v>
      </c>
      <c r="BR116" s="50"/>
      <c r="BS116" s="118">
        <v>6</v>
      </c>
      <c r="BT116" s="114" t="str">
        <f>Inputs!$A$14</f>
        <v>M4330501</v>
      </c>
      <c r="BU116" s="45" t="str">
        <f>Inputs!$B$14</f>
        <v>PNT</v>
      </c>
      <c r="BV116" s="45" t="s">
        <v>58</v>
      </c>
      <c r="BW116" s="45">
        <f t="shared" si="83"/>
        <v>0</v>
      </c>
      <c r="BX116" s="50"/>
      <c r="BY116" s="45">
        <v>0</v>
      </c>
      <c r="BZ116" s="45">
        <v>0</v>
      </c>
      <c r="CA116" s="45">
        <f t="shared" si="125"/>
        <v>0</v>
      </c>
      <c r="CB116" s="50"/>
      <c r="CC116" s="45">
        <f t="shared" si="126"/>
        <v>0</v>
      </c>
      <c r="CD116" s="64">
        <f>BY116*Inputs!$F$14*Inputs!$G$14</f>
        <v>0</v>
      </c>
      <c r="CE116" s="45">
        <f>Inputs!$F$14*Inputs!$I$14*BZ116</f>
        <v>0</v>
      </c>
      <c r="CF116" s="55">
        <v>0</v>
      </c>
    </row>
    <row r="117" spans="1:84" x14ac:dyDescent="0.25">
      <c r="A117" s="116">
        <v>7</v>
      </c>
      <c r="B117" s="114" t="str">
        <f>Inputs!$A$14</f>
        <v>M4330501</v>
      </c>
      <c r="C117" s="45" t="str">
        <f>Inputs!$B$14</f>
        <v>PNT</v>
      </c>
      <c r="D117" s="45" t="s">
        <v>57</v>
      </c>
      <c r="E117" s="45">
        <v>143.46666999999999</v>
      </c>
      <c r="F117" s="50"/>
      <c r="G117" s="118">
        <v>7</v>
      </c>
      <c r="H117" s="114" t="str">
        <f>Inputs!$A$14</f>
        <v>M4330501</v>
      </c>
      <c r="I117" s="45" t="str">
        <f>Inputs!$B$14</f>
        <v>PNT</v>
      </c>
      <c r="J117" s="45" t="s">
        <v>58</v>
      </c>
      <c r="K117" s="45">
        <v>0</v>
      </c>
      <c r="L117" s="50"/>
      <c r="M117" s="45">
        <v>143.46666999999999</v>
      </c>
      <c r="N117" s="45">
        <v>0</v>
      </c>
      <c r="O117" s="45">
        <f t="shared" si="119"/>
        <v>-143.46666999999999</v>
      </c>
      <c r="P117" s="50"/>
      <c r="Q117" s="45">
        <f t="shared" si="120"/>
        <v>0</v>
      </c>
      <c r="R117" s="64">
        <f>M117*Inputs!$F$14*Inputs!$G$14</f>
        <v>312150.62005256995</v>
      </c>
      <c r="S117" s="45">
        <f>Inputs!$F$14*Inputs!$I$14*N117</f>
        <v>0</v>
      </c>
      <c r="T117" s="18"/>
      <c r="U117" s="55">
        <v>0</v>
      </c>
      <c r="W117" s="116">
        <v>7</v>
      </c>
      <c r="X117" s="114" t="str">
        <f>Inputs!$A$14</f>
        <v>M4330501</v>
      </c>
      <c r="Y117" s="45" t="str">
        <f>Inputs!$B$14</f>
        <v>PNT</v>
      </c>
      <c r="Z117" s="45" t="s">
        <v>57</v>
      </c>
      <c r="AA117" s="45">
        <f t="shared" si="75"/>
        <v>143.46666999999999</v>
      </c>
      <c r="AB117" s="50"/>
      <c r="AC117" s="118">
        <v>7</v>
      </c>
      <c r="AD117" s="114" t="str">
        <f>Inputs!$A$14</f>
        <v>M4330501</v>
      </c>
      <c r="AE117" s="45" t="str">
        <f>Inputs!$B$14</f>
        <v>PNT</v>
      </c>
      <c r="AF117" s="45" t="s">
        <v>58</v>
      </c>
      <c r="AG117" s="45">
        <f t="shared" si="76"/>
        <v>0</v>
      </c>
      <c r="AH117" s="50"/>
      <c r="AI117" s="45">
        <v>132.27332999999999</v>
      </c>
      <c r="AJ117" s="45">
        <v>0</v>
      </c>
      <c r="AK117" s="45">
        <f t="shared" si="121"/>
        <v>-132.27333666666667</v>
      </c>
      <c r="AL117" s="50"/>
      <c r="AM117" s="45">
        <f t="shared" si="122"/>
        <v>6.6666666782566608E-6</v>
      </c>
      <c r="AN117" s="64">
        <f>AI117*Inputs!$F$14*Inputs!$G$14</f>
        <v>287796.47548742994</v>
      </c>
      <c r="AO117" s="45">
        <f>Inputs!$F$14*Inputs!$I$14*AJ117</f>
        <v>0</v>
      </c>
      <c r="AP117" s="55">
        <v>11.193333333333332</v>
      </c>
      <c r="AR117" s="116">
        <v>7</v>
      </c>
      <c r="AS117" s="114" t="str">
        <f>Inputs!$A$14</f>
        <v>M4330501</v>
      </c>
      <c r="AT117" s="45" t="str">
        <f>Inputs!$B$14</f>
        <v>PNT</v>
      </c>
      <c r="AU117" s="45" t="s">
        <v>57</v>
      </c>
      <c r="AV117" s="45">
        <f t="shared" si="86"/>
        <v>143.46666999999999</v>
      </c>
      <c r="AW117" s="50"/>
      <c r="AX117" s="118">
        <v>7</v>
      </c>
      <c r="AY117" s="114" t="str">
        <f>Inputs!$A$14</f>
        <v>M4330501</v>
      </c>
      <c r="AZ117" s="45" t="str">
        <f>Inputs!$B$14</f>
        <v>PNT</v>
      </c>
      <c r="BA117" s="45" t="s">
        <v>58</v>
      </c>
      <c r="BB117" s="45">
        <f t="shared" si="79"/>
        <v>0</v>
      </c>
      <c r="BC117" s="50"/>
      <c r="BD117" s="45">
        <v>119.96066999999999</v>
      </c>
      <c r="BE117" s="45">
        <v>0</v>
      </c>
      <c r="BF117" s="45">
        <f t="shared" si="123"/>
        <v>-119.96066999999999</v>
      </c>
      <c r="BG117" s="50"/>
      <c r="BH117" s="45">
        <f t="shared" si="124"/>
        <v>0</v>
      </c>
      <c r="BI117" s="64">
        <f>BD117*Inputs!$F$14*Inputs!$G$14</f>
        <v>261006.94692656997</v>
      </c>
      <c r="BJ117" s="45">
        <f>Inputs!$F$14*Inputs!$I$14*BE117</f>
        <v>0</v>
      </c>
      <c r="BK117" s="55">
        <v>23.506</v>
      </c>
      <c r="BM117" s="116">
        <v>7</v>
      </c>
      <c r="BN117" s="114" t="str">
        <f>Inputs!$A$14</f>
        <v>M4330501</v>
      </c>
      <c r="BO117" s="45" t="str">
        <f>Inputs!$B$14</f>
        <v>PNT</v>
      </c>
      <c r="BP117" s="45" t="s">
        <v>57</v>
      </c>
      <c r="BQ117" s="45">
        <f t="shared" si="82"/>
        <v>143.46666999999999</v>
      </c>
      <c r="BR117" s="50"/>
      <c r="BS117" s="118">
        <v>7</v>
      </c>
      <c r="BT117" s="114" t="str">
        <f>Inputs!$A$14</f>
        <v>M4330501</v>
      </c>
      <c r="BU117" s="45" t="str">
        <f>Inputs!$B$14</f>
        <v>PNT</v>
      </c>
      <c r="BV117" s="45" t="s">
        <v>58</v>
      </c>
      <c r="BW117" s="45">
        <f t="shared" si="83"/>
        <v>0</v>
      </c>
      <c r="BX117" s="50"/>
      <c r="BY117" s="45">
        <v>87.5</v>
      </c>
      <c r="BZ117" s="45">
        <v>0</v>
      </c>
      <c r="CA117" s="45">
        <f t="shared" si="125"/>
        <v>-87.500003333333339</v>
      </c>
      <c r="CB117" s="50"/>
      <c r="CC117" s="45">
        <f t="shared" si="126"/>
        <v>3.3333333391283304E-6</v>
      </c>
      <c r="CD117" s="64">
        <f>BY117*Inputs!$F$14*Inputs!$G$14</f>
        <v>190379.96249999999</v>
      </c>
      <c r="CE117" s="45">
        <f>Inputs!$F$14*Inputs!$I$14*BZ117</f>
        <v>0</v>
      </c>
      <c r="CF117" s="55">
        <v>55.966666666666654</v>
      </c>
    </row>
    <row r="118" spans="1:84" x14ac:dyDescent="0.25">
      <c r="A118" s="116">
        <v>8</v>
      </c>
      <c r="B118" s="114" t="str">
        <f>Inputs!$A$14</f>
        <v>M4330501</v>
      </c>
      <c r="C118" s="45" t="str">
        <f>Inputs!$B$14</f>
        <v>PNT</v>
      </c>
      <c r="D118" s="45" t="s">
        <v>57</v>
      </c>
      <c r="E118" s="45">
        <v>24.433333000000001</v>
      </c>
      <c r="F118" s="50"/>
      <c r="G118" s="118">
        <v>8</v>
      </c>
      <c r="H118" s="114" t="str">
        <f>Inputs!$A$14</f>
        <v>M4330501</v>
      </c>
      <c r="I118" s="45" t="str">
        <f>Inputs!$B$14</f>
        <v>PNT</v>
      </c>
      <c r="J118" s="45" t="s">
        <v>58</v>
      </c>
      <c r="K118" s="45">
        <v>0</v>
      </c>
      <c r="L118" s="50"/>
      <c r="M118" s="45">
        <v>157.83094</v>
      </c>
      <c r="N118" s="45">
        <v>0</v>
      </c>
      <c r="O118" s="45">
        <f t="shared" si="119"/>
        <v>-157.83094486902135</v>
      </c>
      <c r="P118" s="50"/>
      <c r="Q118" s="45">
        <f t="shared" si="120"/>
        <v>4.8690213247937209E-6</v>
      </c>
      <c r="R118" s="64">
        <f>M118*Inputs!$F$14*Inputs!$G$14</f>
        <v>343403.98215473996</v>
      </c>
      <c r="S118" s="45">
        <f>Inputs!$F$14*Inputs!$I$14*N118</f>
        <v>0</v>
      </c>
      <c r="T118" s="18"/>
      <c r="U118" s="55">
        <v>10.069058130978659</v>
      </c>
      <c r="W118" s="116">
        <v>8</v>
      </c>
      <c r="X118" s="114" t="str">
        <f>Inputs!$A$14</f>
        <v>M4330501</v>
      </c>
      <c r="Y118" s="45" t="str">
        <f>Inputs!$B$14</f>
        <v>PNT</v>
      </c>
      <c r="Z118" s="45" t="s">
        <v>57</v>
      </c>
      <c r="AA118" s="45">
        <f t="shared" si="75"/>
        <v>24.433333000000001</v>
      </c>
      <c r="AB118" s="50"/>
      <c r="AC118" s="118">
        <v>8</v>
      </c>
      <c r="AD118" s="114" t="str">
        <f>Inputs!$A$14</f>
        <v>M4330501</v>
      </c>
      <c r="AE118" s="45" t="str">
        <f>Inputs!$B$14</f>
        <v>PNT</v>
      </c>
      <c r="AF118" s="45" t="s">
        <v>58</v>
      </c>
      <c r="AG118" s="45">
        <f t="shared" si="76"/>
        <v>0</v>
      </c>
      <c r="AH118" s="50"/>
      <c r="AI118" s="45">
        <v>134.32</v>
      </c>
      <c r="AJ118" s="45">
        <v>0</v>
      </c>
      <c r="AK118" s="45">
        <f t="shared" si="121"/>
        <v>-134.31999633333334</v>
      </c>
      <c r="AL118" s="50"/>
      <c r="AM118" s="45">
        <f t="shared" si="122"/>
        <v>-3.6666666574092233E-6</v>
      </c>
      <c r="AN118" s="64">
        <f>AI118*Inputs!$F$14*Inputs!$G$14</f>
        <v>292249.56071999995</v>
      </c>
      <c r="AO118" s="45">
        <f>Inputs!$F$14*Inputs!$I$14*AJ118</f>
        <v>0</v>
      </c>
      <c r="AP118" s="55">
        <v>22.386666666666663</v>
      </c>
      <c r="AR118" s="116">
        <v>8</v>
      </c>
      <c r="AS118" s="114" t="str">
        <f>Inputs!$A$14</f>
        <v>M4330501</v>
      </c>
      <c r="AT118" s="45" t="str">
        <f>Inputs!$B$14</f>
        <v>PNT</v>
      </c>
      <c r="AU118" s="45" t="s">
        <v>57</v>
      </c>
      <c r="AV118" s="45">
        <f t="shared" si="86"/>
        <v>24.433333000000001</v>
      </c>
      <c r="AW118" s="50"/>
      <c r="AX118" s="118">
        <v>8</v>
      </c>
      <c r="AY118" s="114" t="str">
        <f>Inputs!$A$14</f>
        <v>M4330501</v>
      </c>
      <c r="AZ118" s="45" t="str">
        <f>Inputs!$B$14</f>
        <v>PNT</v>
      </c>
      <c r="BA118" s="45" t="s">
        <v>58</v>
      </c>
      <c r="BB118" s="45">
        <f t="shared" si="79"/>
        <v>0</v>
      </c>
      <c r="BC118" s="50"/>
      <c r="BD118" s="45">
        <v>105.777</v>
      </c>
      <c r="BE118" s="45">
        <v>0</v>
      </c>
      <c r="BF118" s="45">
        <f t="shared" si="123"/>
        <v>-105.77700300000001</v>
      </c>
      <c r="BG118" s="50"/>
      <c r="BH118" s="45">
        <f t="shared" si="124"/>
        <v>2.9999999924257281E-6</v>
      </c>
      <c r="BI118" s="64">
        <f>BD118*Inputs!$F$14*Inputs!$G$14</f>
        <v>230146.52906699997</v>
      </c>
      <c r="BJ118" s="45">
        <f>Inputs!$F$14*Inputs!$I$14*BE118</f>
        <v>0</v>
      </c>
      <c r="BK118" s="55">
        <v>38.616999999999997</v>
      </c>
      <c r="BM118" s="116">
        <v>8</v>
      </c>
      <c r="BN118" s="114" t="str">
        <f>Inputs!$A$14</f>
        <v>M4330501</v>
      </c>
      <c r="BO118" s="45" t="str">
        <f>Inputs!$B$14</f>
        <v>PNT</v>
      </c>
      <c r="BP118" s="45" t="s">
        <v>57</v>
      </c>
      <c r="BQ118" s="45">
        <f t="shared" si="82"/>
        <v>24.433333000000001</v>
      </c>
      <c r="BR118" s="50"/>
      <c r="BS118" s="118">
        <v>8</v>
      </c>
      <c r="BT118" s="114" t="str">
        <f>Inputs!$A$14</f>
        <v>M4330501</v>
      </c>
      <c r="BU118" s="45" t="str">
        <f>Inputs!$B$14</f>
        <v>PNT</v>
      </c>
      <c r="BV118" s="45" t="s">
        <v>58</v>
      </c>
      <c r="BW118" s="45">
        <f t="shared" si="83"/>
        <v>0</v>
      </c>
      <c r="BX118" s="50"/>
      <c r="BY118" s="45">
        <v>67.16</v>
      </c>
      <c r="BZ118" s="45">
        <v>0</v>
      </c>
      <c r="CA118" s="45">
        <f t="shared" si="125"/>
        <v>-67.159999666666678</v>
      </c>
      <c r="CB118" s="50"/>
      <c r="CC118" s="45">
        <f t="shared" si="126"/>
        <v>-3.3333331828089285E-7</v>
      </c>
      <c r="CD118" s="64">
        <f>BY118*Inputs!$F$14*Inputs!$G$14</f>
        <v>146124.78035999998</v>
      </c>
      <c r="CE118" s="45">
        <f>Inputs!$F$14*Inputs!$I$14*BZ118</f>
        <v>0</v>
      </c>
      <c r="CF118" s="55">
        <v>44.773333333333326</v>
      </c>
    </row>
    <row r="119" spans="1:84" x14ac:dyDescent="0.25">
      <c r="A119" s="116">
        <v>9</v>
      </c>
      <c r="B119" s="114" t="str">
        <f>Inputs!$A$14</f>
        <v>M4330501</v>
      </c>
      <c r="C119" s="45" t="str">
        <f>Inputs!$B$14</f>
        <v>PNT</v>
      </c>
      <c r="D119" s="45" t="s">
        <v>57</v>
      </c>
      <c r="E119" s="45">
        <v>0</v>
      </c>
      <c r="F119" s="50"/>
      <c r="G119" s="118">
        <v>9</v>
      </c>
      <c r="H119" s="114" t="str">
        <f>Inputs!$A$14</f>
        <v>M4330501</v>
      </c>
      <c r="I119" s="45" t="str">
        <f>Inputs!$B$14</f>
        <v>PNT</v>
      </c>
      <c r="J119" s="45" t="s">
        <v>58</v>
      </c>
      <c r="K119" s="45">
        <v>0</v>
      </c>
      <c r="L119" s="50"/>
      <c r="M119" s="45">
        <v>80.305372000000006</v>
      </c>
      <c r="N119" s="45">
        <v>0</v>
      </c>
      <c r="O119" s="45">
        <f t="shared" si="119"/>
        <v>-80.305369727740995</v>
      </c>
      <c r="P119" s="50"/>
      <c r="Q119" s="45">
        <f t="shared" si="120"/>
        <v>-2.2722590102830509E-6</v>
      </c>
      <c r="R119" s="64">
        <f>M119*Inputs!$F$14*Inputs!$G$14</f>
        <v>174726.099541812</v>
      </c>
      <c r="S119" s="45">
        <f>Inputs!$F$14*Inputs!$I$14*N119</f>
        <v>0</v>
      </c>
      <c r="T119" s="18"/>
      <c r="U119" s="55">
        <v>77.525570272259003</v>
      </c>
      <c r="W119" s="116">
        <v>9</v>
      </c>
      <c r="X119" s="114" t="str">
        <f>Inputs!$A$14</f>
        <v>M4330501</v>
      </c>
      <c r="Y119" s="45" t="str">
        <f>Inputs!$B$14</f>
        <v>PNT</v>
      </c>
      <c r="Z119" s="45" t="s">
        <v>57</v>
      </c>
      <c r="AA119" s="45">
        <f t="shared" si="75"/>
        <v>0</v>
      </c>
      <c r="AB119" s="50"/>
      <c r="AC119" s="118">
        <v>9</v>
      </c>
      <c r="AD119" s="114" t="str">
        <f>Inputs!$A$14</f>
        <v>M4330501</v>
      </c>
      <c r="AE119" s="45" t="str">
        <f>Inputs!$B$14</f>
        <v>PNT</v>
      </c>
      <c r="AF119" s="45" t="s">
        <v>58</v>
      </c>
      <c r="AG119" s="45">
        <f t="shared" si="76"/>
        <v>0</v>
      </c>
      <c r="AH119" s="50"/>
      <c r="AI119" s="45">
        <v>100.74</v>
      </c>
      <c r="AJ119" s="45">
        <v>0</v>
      </c>
      <c r="AK119" s="45">
        <f t="shared" si="121"/>
        <v>-100.74000000000001</v>
      </c>
      <c r="AL119" s="50"/>
      <c r="AM119" s="45">
        <f t="shared" si="122"/>
        <v>0</v>
      </c>
      <c r="AN119" s="64">
        <f>AI119*Inputs!$F$14*Inputs!$G$14</f>
        <v>219187.17053999996</v>
      </c>
      <c r="AO119" s="45">
        <f>Inputs!$F$14*Inputs!$I$14*AJ119</f>
        <v>0</v>
      </c>
      <c r="AP119" s="55">
        <v>33.579999999999991</v>
      </c>
      <c r="AR119" s="116">
        <v>9</v>
      </c>
      <c r="AS119" s="114" t="str">
        <f>Inputs!$A$14</f>
        <v>M4330501</v>
      </c>
      <c r="AT119" s="45" t="str">
        <f>Inputs!$B$14</f>
        <v>PNT</v>
      </c>
      <c r="AU119" s="45" t="s">
        <v>57</v>
      </c>
      <c r="AV119" s="45">
        <f t="shared" si="86"/>
        <v>0</v>
      </c>
      <c r="AW119" s="50"/>
      <c r="AX119" s="118">
        <v>9</v>
      </c>
      <c r="AY119" s="114" t="str">
        <f>Inputs!$A$14</f>
        <v>M4330501</v>
      </c>
      <c r="AZ119" s="45" t="str">
        <f>Inputs!$B$14</f>
        <v>PNT</v>
      </c>
      <c r="BA119" s="45" t="s">
        <v>58</v>
      </c>
      <c r="BB119" s="45">
        <f t="shared" si="79"/>
        <v>0</v>
      </c>
      <c r="BC119" s="50"/>
      <c r="BD119" s="45">
        <v>62.122999999999998</v>
      </c>
      <c r="BE119" s="45">
        <v>0</v>
      </c>
      <c r="BF119" s="45">
        <f t="shared" si="123"/>
        <v>-62.123000000000005</v>
      </c>
      <c r="BG119" s="50"/>
      <c r="BH119" s="45">
        <f t="shared" si="124"/>
        <v>0</v>
      </c>
      <c r="BI119" s="64">
        <f>BD119*Inputs!$F$14*Inputs!$G$14</f>
        <v>135165.421833</v>
      </c>
      <c r="BJ119" s="45">
        <f>Inputs!$F$14*Inputs!$I$14*BE119</f>
        <v>0</v>
      </c>
      <c r="BK119" s="55">
        <v>43.653999999999996</v>
      </c>
      <c r="BM119" s="116">
        <v>9</v>
      </c>
      <c r="BN119" s="114" t="str">
        <f>Inputs!$A$14</f>
        <v>M4330501</v>
      </c>
      <c r="BO119" s="45" t="str">
        <f>Inputs!$B$14</f>
        <v>PNT</v>
      </c>
      <c r="BP119" s="45" t="s">
        <v>57</v>
      </c>
      <c r="BQ119" s="45">
        <f t="shared" si="82"/>
        <v>0</v>
      </c>
      <c r="BR119" s="50"/>
      <c r="BS119" s="118">
        <v>9</v>
      </c>
      <c r="BT119" s="114" t="str">
        <f>Inputs!$A$14</f>
        <v>M4330501</v>
      </c>
      <c r="BU119" s="45" t="str">
        <f>Inputs!$B$14</f>
        <v>PNT</v>
      </c>
      <c r="BV119" s="45" t="s">
        <v>58</v>
      </c>
      <c r="BW119" s="45">
        <f t="shared" si="83"/>
        <v>0</v>
      </c>
      <c r="BX119" s="50"/>
      <c r="BY119" s="45">
        <v>33.58</v>
      </c>
      <c r="BZ119" s="45">
        <v>0</v>
      </c>
      <c r="CA119" s="45">
        <f t="shared" si="125"/>
        <v>-33.580000000000005</v>
      </c>
      <c r="CB119" s="50"/>
      <c r="CC119" s="45">
        <f t="shared" si="126"/>
        <v>0</v>
      </c>
      <c r="CD119" s="64">
        <f>BY119*Inputs!$F$14*Inputs!$G$14</f>
        <v>73062.390179999988</v>
      </c>
      <c r="CE119" s="45">
        <f>Inputs!$F$14*Inputs!$I$14*BZ119</f>
        <v>0</v>
      </c>
      <c r="CF119" s="55">
        <v>33.579999999999991</v>
      </c>
    </row>
    <row r="120" spans="1:84" x14ac:dyDescent="0.25">
      <c r="A120" s="116">
        <v>10</v>
      </c>
      <c r="B120" s="114" t="str">
        <f>Inputs!$A$14</f>
        <v>M4330501</v>
      </c>
      <c r="C120" s="45" t="str">
        <f>Inputs!$B$14</f>
        <v>PNT</v>
      </c>
      <c r="D120" s="45" t="s">
        <v>57</v>
      </c>
      <c r="E120" s="45">
        <v>0</v>
      </c>
      <c r="F120" s="50"/>
      <c r="G120" s="118">
        <v>10</v>
      </c>
      <c r="H120" s="114" t="str">
        <f>Inputs!$A$14</f>
        <v>M4330501</v>
      </c>
      <c r="I120" s="45" t="str">
        <f>Inputs!$B$14</f>
        <v>PNT</v>
      </c>
      <c r="J120" s="45" t="s">
        <v>58</v>
      </c>
      <c r="K120" s="45">
        <v>0</v>
      </c>
      <c r="L120" s="50"/>
      <c r="M120" s="45">
        <v>0</v>
      </c>
      <c r="N120" s="45">
        <v>0</v>
      </c>
      <c r="O120" s="45">
        <f t="shared" si="119"/>
        <v>-4.0323769212591287E-7</v>
      </c>
      <c r="P120" s="50"/>
      <c r="Q120" s="45">
        <f t="shared" si="120"/>
        <v>4.0323769212591287E-7</v>
      </c>
      <c r="R120" s="64">
        <f>M120*Inputs!$F$14*Inputs!$G$14</f>
        <v>0</v>
      </c>
      <c r="S120" s="45">
        <f>Inputs!$F$14*Inputs!$I$14*N120</f>
        <v>0</v>
      </c>
      <c r="T120" s="18"/>
      <c r="U120" s="91">
        <v>80.305371596762313</v>
      </c>
      <c r="W120" s="116">
        <v>10</v>
      </c>
      <c r="X120" s="114" t="str">
        <f>Inputs!$A$14</f>
        <v>M4330501</v>
      </c>
      <c r="Y120" s="45" t="str">
        <f>Inputs!$B$14</f>
        <v>PNT</v>
      </c>
      <c r="Z120" s="45" t="s">
        <v>57</v>
      </c>
      <c r="AA120" s="45">
        <f t="shared" si="75"/>
        <v>0</v>
      </c>
      <c r="AB120" s="50"/>
      <c r="AC120" s="118">
        <v>10</v>
      </c>
      <c r="AD120" s="114" t="str">
        <f>Inputs!$A$14</f>
        <v>M4330501</v>
      </c>
      <c r="AE120" s="45" t="str">
        <f>Inputs!$B$14</f>
        <v>PNT</v>
      </c>
      <c r="AF120" s="45" t="s">
        <v>58</v>
      </c>
      <c r="AG120" s="45">
        <f t="shared" si="76"/>
        <v>0</v>
      </c>
      <c r="AH120" s="50"/>
      <c r="AI120" s="45">
        <v>55.966667000000001</v>
      </c>
      <c r="AJ120" s="45">
        <v>0</v>
      </c>
      <c r="AK120" s="45">
        <f t="shared" si="121"/>
        <v>-55.966666666666669</v>
      </c>
      <c r="AL120" s="50"/>
      <c r="AM120" s="45">
        <f t="shared" si="122"/>
        <v>-3.3333333249174757E-7</v>
      </c>
      <c r="AN120" s="64">
        <f>AI120*Inputs!$F$14*Inputs!$G$14</f>
        <v>121770.65102525699</v>
      </c>
      <c r="AO120" s="45">
        <f>Inputs!$F$14*Inputs!$I$14*AJ120</f>
        <v>0</v>
      </c>
      <c r="AP120" s="91">
        <v>44.773333333333326</v>
      </c>
      <c r="AR120" s="116">
        <v>10</v>
      </c>
      <c r="AS120" s="114" t="str">
        <f>Inputs!$A$14</f>
        <v>M4330501</v>
      </c>
      <c r="AT120" s="45" t="str">
        <f>Inputs!$B$14</f>
        <v>PNT</v>
      </c>
      <c r="AU120" s="45" t="s">
        <v>57</v>
      </c>
      <c r="AV120" s="45">
        <f t="shared" si="86"/>
        <v>0</v>
      </c>
      <c r="AW120" s="50"/>
      <c r="AX120" s="118">
        <v>10</v>
      </c>
      <c r="AY120" s="114" t="str">
        <f>Inputs!$A$14</f>
        <v>M4330501</v>
      </c>
      <c r="AZ120" s="45" t="str">
        <f>Inputs!$B$14</f>
        <v>PNT</v>
      </c>
      <c r="BA120" s="45" t="s">
        <v>58</v>
      </c>
      <c r="BB120" s="45">
        <f t="shared" si="79"/>
        <v>0</v>
      </c>
      <c r="BC120" s="50"/>
      <c r="BD120" s="45">
        <v>23.506</v>
      </c>
      <c r="BE120" s="45">
        <v>0</v>
      </c>
      <c r="BF120" s="45">
        <f t="shared" si="123"/>
        <v>-23.506</v>
      </c>
      <c r="BG120" s="50"/>
      <c r="BH120" s="45">
        <f t="shared" si="124"/>
        <v>0</v>
      </c>
      <c r="BI120" s="64">
        <f>BD120*Inputs!$F$14*Inputs!$G$14</f>
        <v>51143.673126000002</v>
      </c>
      <c r="BJ120" s="45">
        <f>Inputs!$F$14*Inputs!$I$14*BE120</f>
        <v>0</v>
      </c>
      <c r="BK120" s="91">
        <v>38.616999999999997</v>
      </c>
      <c r="BM120" s="116">
        <v>10</v>
      </c>
      <c r="BN120" s="114" t="str">
        <f>Inputs!$A$14</f>
        <v>M4330501</v>
      </c>
      <c r="BO120" s="45" t="str">
        <f>Inputs!$B$14</f>
        <v>PNT</v>
      </c>
      <c r="BP120" s="45" t="s">
        <v>57</v>
      </c>
      <c r="BQ120" s="45">
        <f t="shared" si="82"/>
        <v>0</v>
      </c>
      <c r="BR120" s="50"/>
      <c r="BS120" s="118">
        <v>10</v>
      </c>
      <c r="BT120" s="114" t="str">
        <f>Inputs!$A$14</f>
        <v>M4330501</v>
      </c>
      <c r="BU120" s="45" t="str">
        <f>Inputs!$B$14</f>
        <v>PNT</v>
      </c>
      <c r="BV120" s="45" t="s">
        <v>58</v>
      </c>
      <c r="BW120" s="45">
        <f t="shared" si="83"/>
        <v>0</v>
      </c>
      <c r="BX120" s="50"/>
      <c r="BY120" s="45">
        <v>11.193333000000001</v>
      </c>
      <c r="BZ120" s="45">
        <v>0</v>
      </c>
      <c r="CA120" s="45">
        <f t="shared" si="125"/>
        <v>-11.193333333333335</v>
      </c>
      <c r="CB120" s="50"/>
      <c r="CC120" s="45">
        <f t="shared" si="126"/>
        <v>3.3333333426810441E-7</v>
      </c>
      <c r="CD120" s="64">
        <f>BY120*Inputs!$F$14*Inputs!$G$14</f>
        <v>24354.129334743</v>
      </c>
      <c r="CE120" s="45">
        <f>Inputs!$F$14*Inputs!$I$14*BZ120</f>
        <v>0</v>
      </c>
      <c r="CF120" s="91">
        <v>22.386666666666663</v>
      </c>
    </row>
    <row r="121" spans="1:84" x14ac:dyDescent="0.25">
      <c r="A121" s="116">
        <v>11</v>
      </c>
      <c r="B121" s="114" t="str">
        <f>Inputs!$A$14</f>
        <v>M4330501</v>
      </c>
      <c r="C121" s="45" t="str">
        <f>Inputs!$B$14</f>
        <v>PNT</v>
      </c>
      <c r="D121" s="45" t="s">
        <v>57</v>
      </c>
      <c r="E121" s="45">
        <v>0</v>
      </c>
      <c r="F121" s="50"/>
      <c r="G121" s="118">
        <v>11</v>
      </c>
      <c r="H121" s="114" t="str">
        <f>Inputs!$A$14</f>
        <v>M4330501</v>
      </c>
      <c r="I121" s="45" t="str">
        <f>Inputs!$B$14</f>
        <v>PNT</v>
      </c>
      <c r="J121" s="45" t="s">
        <v>58</v>
      </c>
      <c r="K121" s="45">
        <v>0</v>
      </c>
      <c r="L121" s="50"/>
      <c r="M121" s="45">
        <v>0</v>
      </c>
      <c r="N121" s="45">
        <v>0</v>
      </c>
      <c r="O121" s="45">
        <f t="shared" si="119"/>
        <v>0</v>
      </c>
      <c r="P121" s="50"/>
      <c r="Q121" s="45">
        <f t="shared" si="120"/>
        <v>0</v>
      </c>
      <c r="R121" s="64">
        <f>M121*Inputs!$F$14*Inputs!$H$14</f>
        <v>0</v>
      </c>
      <c r="S121" s="45">
        <f>Inputs!$F$14*Inputs!$I$14*N121</f>
        <v>0</v>
      </c>
      <c r="T121" s="18"/>
      <c r="U121" s="56">
        <v>0</v>
      </c>
      <c r="W121" s="116">
        <v>11</v>
      </c>
      <c r="X121" s="114" t="str">
        <f>Inputs!$A$14</f>
        <v>M4330501</v>
      </c>
      <c r="Y121" s="45" t="str">
        <f>Inputs!$B$14</f>
        <v>PNT</v>
      </c>
      <c r="Z121" s="45" t="s">
        <v>57</v>
      </c>
      <c r="AA121" s="45">
        <f t="shared" si="75"/>
        <v>0</v>
      </c>
      <c r="AB121" s="50"/>
      <c r="AC121" s="118">
        <v>11</v>
      </c>
      <c r="AD121" s="114" t="str">
        <f>Inputs!$A$14</f>
        <v>M4330501</v>
      </c>
      <c r="AE121" s="45" t="str">
        <f>Inputs!$B$14</f>
        <v>PNT</v>
      </c>
      <c r="AF121" s="45" t="s">
        <v>58</v>
      </c>
      <c r="AG121" s="45">
        <f t="shared" si="76"/>
        <v>0</v>
      </c>
      <c r="AH121" s="50"/>
      <c r="AI121" s="45">
        <v>0</v>
      </c>
      <c r="AJ121" s="45">
        <v>0</v>
      </c>
      <c r="AK121" s="45">
        <f t="shared" si="121"/>
        <v>-3.3333334670260228E-7</v>
      </c>
      <c r="AL121" s="50"/>
      <c r="AM121" s="45">
        <f t="shared" si="122"/>
        <v>3.3333334670260228E-7</v>
      </c>
      <c r="AN121" s="64">
        <f>AI121*Inputs!$F$14*Inputs!$H$14</f>
        <v>0</v>
      </c>
      <c r="AO121" s="45">
        <f>Inputs!$F$14*Inputs!$I$14*AJ121</f>
        <v>0</v>
      </c>
      <c r="AP121" s="56">
        <v>55.966666666666654</v>
      </c>
      <c r="AR121" s="116">
        <v>11</v>
      </c>
      <c r="AS121" s="114" t="str">
        <f>Inputs!$A$14</f>
        <v>M4330501</v>
      </c>
      <c r="AT121" s="45" t="str">
        <f>Inputs!$B$14</f>
        <v>PNT</v>
      </c>
      <c r="AU121" s="45" t="s">
        <v>57</v>
      </c>
      <c r="AV121" s="45">
        <f t="shared" si="86"/>
        <v>0</v>
      </c>
      <c r="AW121" s="50"/>
      <c r="AX121" s="118">
        <v>11</v>
      </c>
      <c r="AY121" s="114" t="str">
        <f>Inputs!$A$14</f>
        <v>M4330501</v>
      </c>
      <c r="AZ121" s="45" t="str">
        <f>Inputs!$B$14</f>
        <v>PNT</v>
      </c>
      <c r="BA121" s="45" t="s">
        <v>58</v>
      </c>
      <c r="BB121" s="45">
        <f t="shared" si="79"/>
        <v>0</v>
      </c>
      <c r="BC121" s="50"/>
      <c r="BD121" s="45">
        <v>0</v>
      </c>
      <c r="BE121" s="45">
        <v>0</v>
      </c>
      <c r="BF121" s="45">
        <f t="shared" si="123"/>
        <v>0</v>
      </c>
      <c r="BG121" s="50"/>
      <c r="BH121" s="45">
        <f t="shared" si="124"/>
        <v>0</v>
      </c>
      <c r="BI121" s="64">
        <f>BD121*Inputs!$F$14*Inputs!$H$14</f>
        <v>0</v>
      </c>
      <c r="BJ121" s="45">
        <f>Inputs!$F$14*Inputs!$I$14*BE121</f>
        <v>0</v>
      </c>
      <c r="BK121" s="56">
        <v>23.506</v>
      </c>
      <c r="BM121" s="116">
        <v>11</v>
      </c>
      <c r="BN121" s="114" t="str">
        <f>Inputs!$A$14</f>
        <v>M4330501</v>
      </c>
      <c r="BO121" s="45" t="str">
        <f>Inputs!$B$14</f>
        <v>PNT</v>
      </c>
      <c r="BP121" s="45" t="s">
        <v>57</v>
      </c>
      <c r="BQ121" s="45">
        <f t="shared" si="82"/>
        <v>0</v>
      </c>
      <c r="BR121" s="50"/>
      <c r="BS121" s="118">
        <v>11</v>
      </c>
      <c r="BT121" s="114" t="str">
        <f>Inputs!$A$14</f>
        <v>M4330501</v>
      </c>
      <c r="BU121" s="45" t="str">
        <f>Inputs!$B$14</f>
        <v>PNT</v>
      </c>
      <c r="BV121" s="45" t="s">
        <v>58</v>
      </c>
      <c r="BW121" s="45">
        <f t="shared" si="83"/>
        <v>0</v>
      </c>
      <c r="BX121" s="50"/>
      <c r="BY121" s="45">
        <v>0</v>
      </c>
      <c r="BZ121" s="45">
        <v>0</v>
      </c>
      <c r="CA121" s="45">
        <f t="shared" si="125"/>
        <v>3.3333333071539073E-7</v>
      </c>
      <c r="CB121" s="50"/>
      <c r="CC121" s="45">
        <f t="shared" si="126"/>
        <v>-3.3333333071539073E-7</v>
      </c>
      <c r="CD121" s="64">
        <f>BY121*Inputs!$F$14*Inputs!$H$14</f>
        <v>0</v>
      </c>
      <c r="CE121" s="45">
        <f>Inputs!$F$14*Inputs!$I$14*BZ121</f>
        <v>0</v>
      </c>
      <c r="CF121" s="56">
        <v>11.193333333333332</v>
      </c>
    </row>
    <row r="122" spans="1:84" x14ac:dyDescent="0.25">
      <c r="A122" s="117">
        <v>3</v>
      </c>
      <c r="B122" s="115" t="str">
        <f>Inputs!$A$15</f>
        <v>M4468800</v>
      </c>
      <c r="C122" s="44" t="str">
        <f>Inputs!$B$15</f>
        <v>PNT</v>
      </c>
      <c r="D122" s="44" t="s">
        <v>57</v>
      </c>
      <c r="E122" s="44">
        <v>0</v>
      </c>
      <c r="F122" s="50"/>
      <c r="G122" s="119">
        <v>3</v>
      </c>
      <c r="H122" s="115" t="str">
        <f>Inputs!$A$15</f>
        <v>M4468800</v>
      </c>
      <c r="I122" s="44" t="str">
        <f>Inputs!$B$15</f>
        <v>PNT</v>
      </c>
      <c r="J122" s="44" t="s">
        <v>58</v>
      </c>
      <c r="K122" s="44">
        <v>0</v>
      </c>
      <c r="L122" s="50"/>
      <c r="M122" s="44">
        <v>0</v>
      </c>
      <c r="N122" s="44">
        <v>0</v>
      </c>
      <c r="O122" s="44">
        <f>U122-0-E122-K122</f>
        <v>0</v>
      </c>
      <c r="P122" s="50"/>
      <c r="Q122" s="44">
        <f>E122+K122+N122-U122+0-M122</f>
        <v>0</v>
      </c>
      <c r="R122" s="63">
        <f>M122*Inputs!$F$15*Inputs!$G$15</f>
        <v>0</v>
      </c>
      <c r="S122" s="44">
        <f>Inputs!$F$15*Inputs!$I$15*N122</f>
        <v>0</v>
      </c>
      <c r="T122" s="18"/>
      <c r="U122" s="54">
        <v>0</v>
      </c>
      <c r="W122" s="117">
        <v>3</v>
      </c>
      <c r="X122" s="115" t="str">
        <f>Inputs!$A$15</f>
        <v>M4468800</v>
      </c>
      <c r="Y122" s="44" t="str">
        <f>Inputs!$B$15</f>
        <v>PNT</v>
      </c>
      <c r="Z122" s="44" t="s">
        <v>57</v>
      </c>
      <c r="AA122" s="44">
        <f t="shared" si="75"/>
        <v>0</v>
      </c>
      <c r="AB122" s="50"/>
      <c r="AC122" s="119">
        <v>3</v>
      </c>
      <c r="AD122" s="115" t="str">
        <f>Inputs!$A$15</f>
        <v>M4468800</v>
      </c>
      <c r="AE122" s="44" t="str">
        <f>Inputs!$B$15</f>
        <v>PNT</v>
      </c>
      <c r="AF122" s="44" t="s">
        <v>58</v>
      </c>
      <c r="AG122" s="44">
        <f t="shared" si="76"/>
        <v>0</v>
      </c>
      <c r="AH122" s="50"/>
      <c r="AI122" s="44">
        <v>0</v>
      </c>
      <c r="AJ122" s="44">
        <v>0</v>
      </c>
      <c r="AK122" s="44">
        <f>AP122-0-AA122-AG122</f>
        <v>0</v>
      </c>
      <c r="AL122" s="50"/>
      <c r="AM122" s="44">
        <f>AA122+AG122+AJ122-AP122+0-AI122</f>
        <v>0</v>
      </c>
      <c r="AN122" s="63">
        <f>AI122*Inputs!$F$15*Inputs!$G$15</f>
        <v>0</v>
      </c>
      <c r="AO122" s="44">
        <f>Inputs!$F$15*Inputs!$I$15*AJ122</f>
        <v>0</v>
      </c>
      <c r="AP122" s="54">
        <v>0</v>
      </c>
      <c r="AR122" s="117">
        <v>3</v>
      </c>
      <c r="AS122" s="115" t="str">
        <f>Inputs!$A$15</f>
        <v>M4468800</v>
      </c>
      <c r="AT122" s="44" t="str">
        <f>Inputs!$B$15</f>
        <v>PNT</v>
      </c>
      <c r="AU122" s="44" t="s">
        <v>57</v>
      </c>
      <c r="AV122" s="44">
        <f t="shared" si="86"/>
        <v>0</v>
      </c>
      <c r="AW122" s="50"/>
      <c r="AX122" s="119">
        <v>3</v>
      </c>
      <c r="AY122" s="115" t="str">
        <f>Inputs!$A$15</f>
        <v>M4468800</v>
      </c>
      <c r="AZ122" s="44" t="str">
        <f>Inputs!$B$15</f>
        <v>PNT</v>
      </c>
      <c r="BA122" s="44" t="s">
        <v>58</v>
      </c>
      <c r="BB122" s="44">
        <f t="shared" si="79"/>
        <v>0</v>
      </c>
      <c r="BC122" s="50"/>
      <c r="BD122" s="44">
        <v>0</v>
      </c>
      <c r="BE122" s="44">
        <v>0</v>
      </c>
      <c r="BF122" s="44">
        <f>BK122-0-AV122-BB122</f>
        <v>0</v>
      </c>
      <c r="BG122" s="50"/>
      <c r="BH122" s="44">
        <f>AV122+BB122+BE122-BK122+0-BD122</f>
        <v>0</v>
      </c>
      <c r="BI122" s="63">
        <f>BD122*Inputs!$F$15*Inputs!$G$15</f>
        <v>0</v>
      </c>
      <c r="BJ122" s="44">
        <f>Inputs!$F$15*Inputs!$I$15*BE122</f>
        <v>0</v>
      </c>
      <c r="BK122" s="54">
        <v>0</v>
      </c>
      <c r="BM122" s="117">
        <v>3</v>
      </c>
      <c r="BN122" s="115" t="str">
        <f>Inputs!$A$15</f>
        <v>M4468800</v>
      </c>
      <c r="BO122" s="44" t="str">
        <f>Inputs!$B$15</f>
        <v>PNT</v>
      </c>
      <c r="BP122" s="44" t="s">
        <v>57</v>
      </c>
      <c r="BQ122" s="44">
        <f t="shared" si="82"/>
        <v>0</v>
      </c>
      <c r="BR122" s="50"/>
      <c r="BS122" s="119">
        <v>3</v>
      </c>
      <c r="BT122" s="115" t="str">
        <f>Inputs!$A$15</f>
        <v>M4468800</v>
      </c>
      <c r="BU122" s="44" t="str">
        <f>Inputs!$B$15</f>
        <v>PNT</v>
      </c>
      <c r="BV122" s="44" t="s">
        <v>58</v>
      </c>
      <c r="BW122" s="44">
        <f t="shared" si="83"/>
        <v>0</v>
      </c>
      <c r="BX122" s="50"/>
      <c r="BY122" s="44">
        <v>0</v>
      </c>
      <c r="BZ122" s="44">
        <v>0</v>
      </c>
      <c r="CA122" s="44">
        <f>CF122-0-BQ122-BW122</f>
        <v>0</v>
      </c>
      <c r="CB122" s="50"/>
      <c r="CC122" s="44">
        <f>BQ122+BW122+BZ122-CF122+0-BY122</f>
        <v>0</v>
      </c>
      <c r="CD122" s="63">
        <f>BY122*Inputs!$F$15*Inputs!$G$15</f>
        <v>0</v>
      </c>
      <c r="CE122" s="44">
        <f>Inputs!$F$15*Inputs!$I$15*BZ122</f>
        <v>0</v>
      </c>
      <c r="CF122" s="54">
        <v>0</v>
      </c>
    </row>
    <row r="123" spans="1:84" x14ac:dyDescent="0.25">
      <c r="A123" s="117">
        <v>4</v>
      </c>
      <c r="B123" s="115" t="str">
        <f>Inputs!$A$15</f>
        <v>M4468800</v>
      </c>
      <c r="C123" s="44" t="str">
        <f>Inputs!$B$15</f>
        <v>PNT</v>
      </c>
      <c r="D123" s="44" t="s">
        <v>57</v>
      </c>
      <c r="E123" s="44">
        <v>61.3</v>
      </c>
      <c r="F123" s="50"/>
      <c r="G123" s="119">
        <v>4</v>
      </c>
      <c r="H123" s="115" t="str">
        <f>Inputs!$A$15</f>
        <v>M4468800</v>
      </c>
      <c r="I123" s="44" t="str">
        <f>Inputs!$B$15</f>
        <v>PNT</v>
      </c>
      <c r="J123" s="44" t="s">
        <v>58</v>
      </c>
      <c r="K123" s="44">
        <v>0</v>
      </c>
      <c r="L123" s="50"/>
      <c r="M123" s="44">
        <v>61.3</v>
      </c>
      <c r="N123" s="44">
        <v>0</v>
      </c>
      <c r="O123" s="44">
        <f t="shared" ref="O123:O130" si="127">U123-M122-E123-K123</f>
        <v>-61.3</v>
      </c>
      <c r="P123" s="50"/>
      <c r="Q123" s="44">
        <f t="shared" ref="Q123:Q130" si="128">E123+K123+N123-U123+M122-M123</f>
        <v>0</v>
      </c>
      <c r="R123" s="63">
        <f>M123*Inputs!$F$15*Inputs!$G$15</f>
        <v>122421.4944</v>
      </c>
      <c r="S123" s="44">
        <f>Inputs!$F$15*Inputs!$I$15*N123</f>
        <v>0</v>
      </c>
      <c r="T123" s="18"/>
      <c r="U123" s="55">
        <v>0</v>
      </c>
      <c r="W123" s="117">
        <v>4</v>
      </c>
      <c r="X123" s="115" t="str">
        <f>Inputs!$A$15</f>
        <v>M4468800</v>
      </c>
      <c r="Y123" s="44" t="str">
        <f>Inputs!$B$15</f>
        <v>PNT</v>
      </c>
      <c r="Z123" s="44" t="s">
        <v>57</v>
      </c>
      <c r="AA123" s="44">
        <f t="shared" si="75"/>
        <v>61.3</v>
      </c>
      <c r="AB123" s="50"/>
      <c r="AC123" s="119">
        <v>4</v>
      </c>
      <c r="AD123" s="115" t="str">
        <f>Inputs!$A$15</f>
        <v>M4468800</v>
      </c>
      <c r="AE123" s="44" t="str">
        <f>Inputs!$B$15</f>
        <v>PNT</v>
      </c>
      <c r="AF123" s="44" t="s">
        <v>58</v>
      </c>
      <c r="AG123" s="44">
        <f t="shared" si="76"/>
        <v>0</v>
      </c>
      <c r="AH123" s="50"/>
      <c r="AI123" s="44">
        <v>61.3</v>
      </c>
      <c r="AJ123" s="44">
        <v>0</v>
      </c>
      <c r="AK123" s="44">
        <f t="shared" ref="AK123:AK130" si="129">AP123-AI122-AA123-AG123</f>
        <v>-61.3</v>
      </c>
      <c r="AL123" s="50"/>
      <c r="AM123" s="44">
        <f t="shared" ref="AM123:AM130" si="130">AA123+AG123+AJ123-AP123+AI122-AI123</f>
        <v>0</v>
      </c>
      <c r="AN123" s="63">
        <f>AI123*Inputs!$F$15*Inputs!$G$15</f>
        <v>122421.4944</v>
      </c>
      <c r="AO123" s="44">
        <f>Inputs!$F$15*Inputs!$I$15*AJ123</f>
        <v>0</v>
      </c>
      <c r="AP123" s="55">
        <v>0</v>
      </c>
      <c r="AR123" s="117">
        <v>4</v>
      </c>
      <c r="AS123" s="115" t="str">
        <f>Inputs!$A$15</f>
        <v>M4468800</v>
      </c>
      <c r="AT123" s="44" t="str">
        <f>Inputs!$B$15</f>
        <v>PNT</v>
      </c>
      <c r="AU123" s="44" t="s">
        <v>57</v>
      </c>
      <c r="AV123" s="44">
        <f t="shared" si="86"/>
        <v>61.3</v>
      </c>
      <c r="AW123" s="50"/>
      <c r="AX123" s="119">
        <v>4</v>
      </c>
      <c r="AY123" s="115" t="str">
        <f>Inputs!$A$15</f>
        <v>M4468800</v>
      </c>
      <c r="AZ123" s="44" t="str">
        <f>Inputs!$B$15</f>
        <v>PNT</v>
      </c>
      <c r="BA123" s="44" t="s">
        <v>58</v>
      </c>
      <c r="BB123" s="44">
        <f t="shared" si="79"/>
        <v>0</v>
      </c>
      <c r="BC123" s="50"/>
      <c r="BD123" s="44">
        <v>61.3</v>
      </c>
      <c r="BE123" s="44">
        <v>0</v>
      </c>
      <c r="BF123" s="44">
        <f t="shared" ref="BF123:BF130" si="131">BK123-BD122-AV123-BB123</f>
        <v>-61.3</v>
      </c>
      <c r="BG123" s="50"/>
      <c r="BH123" s="44">
        <f t="shared" ref="BH123:BH130" si="132">AV123+BB123+BE123-BK123+BD122-BD123</f>
        <v>0</v>
      </c>
      <c r="BI123" s="63">
        <f>BD123*Inputs!$F$15*Inputs!$G$15</f>
        <v>122421.4944</v>
      </c>
      <c r="BJ123" s="44">
        <f>Inputs!$F$15*Inputs!$I$15*BE123</f>
        <v>0</v>
      </c>
      <c r="BK123" s="55">
        <v>0</v>
      </c>
      <c r="BM123" s="117">
        <v>4</v>
      </c>
      <c r="BN123" s="115" t="str">
        <f>Inputs!$A$15</f>
        <v>M4468800</v>
      </c>
      <c r="BO123" s="44" t="str">
        <f>Inputs!$B$15</f>
        <v>PNT</v>
      </c>
      <c r="BP123" s="44" t="s">
        <v>57</v>
      </c>
      <c r="BQ123" s="44">
        <f t="shared" si="82"/>
        <v>61.3</v>
      </c>
      <c r="BR123" s="50"/>
      <c r="BS123" s="119">
        <v>4</v>
      </c>
      <c r="BT123" s="115" t="str">
        <f>Inputs!$A$15</f>
        <v>M4468800</v>
      </c>
      <c r="BU123" s="44" t="str">
        <f>Inputs!$B$15</f>
        <v>PNT</v>
      </c>
      <c r="BV123" s="44" t="s">
        <v>58</v>
      </c>
      <c r="BW123" s="44">
        <f t="shared" si="83"/>
        <v>0</v>
      </c>
      <c r="BX123" s="50"/>
      <c r="BY123" s="44">
        <v>61.3</v>
      </c>
      <c r="BZ123" s="44">
        <v>0</v>
      </c>
      <c r="CA123" s="44">
        <f t="shared" ref="CA123:CA130" si="133">CF123-BY122-BQ123-BW123</f>
        <v>-61.3</v>
      </c>
      <c r="CB123" s="50"/>
      <c r="CC123" s="44">
        <f t="shared" ref="CC123:CC130" si="134">BQ123+BW123+BZ123-CF123+BY122-BY123</f>
        <v>0</v>
      </c>
      <c r="CD123" s="63">
        <f>BY123*Inputs!$F$15*Inputs!$G$15</f>
        <v>122421.4944</v>
      </c>
      <c r="CE123" s="44">
        <f>Inputs!$F$15*Inputs!$I$15*BZ123</f>
        <v>0</v>
      </c>
      <c r="CF123" s="55">
        <v>0</v>
      </c>
    </row>
    <row r="124" spans="1:84" x14ac:dyDescent="0.25">
      <c r="A124" s="117">
        <v>5</v>
      </c>
      <c r="B124" s="115" t="str">
        <f>Inputs!$A$15</f>
        <v>M4468800</v>
      </c>
      <c r="C124" s="44" t="str">
        <f>Inputs!$B$15</f>
        <v>PNT</v>
      </c>
      <c r="D124" s="44" t="s">
        <v>57</v>
      </c>
      <c r="E124" s="44">
        <v>425.1</v>
      </c>
      <c r="F124" s="50"/>
      <c r="G124" s="119">
        <v>5</v>
      </c>
      <c r="H124" s="115" t="str">
        <f>Inputs!$A$15</f>
        <v>M4468800</v>
      </c>
      <c r="I124" s="44" t="str">
        <f>Inputs!$B$15</f>
        <v>PNT</v>
      </c>
      <c r="J124" s="44" t="s">
        <v>58</v>
      </c>
      <c r="K124" s="44">
        <v>0</v>
      </c>
      <c r="L124" s="50"/>
      <c r="M124" s="44">
        <v>486.4</v>
      </c>
      <c r="N124" s="44">
        <v>0</v>
      </c>
      <c r="O124" s="44">
        <f t="shared" si="127"/>
        <v>-486.40000000000003</v>
      </c>
      <c r="P124" s="50"/>
      <c r="Q124" s="44">
        <f t="shared" si="128"/>
        <v>0</v>
      </c>
      <c r="R124" s="63">
        <f>M124*Inputs!$F$15*Inputs!$G$15</f>
        <v>971383.60320000001</v>
      </c>
      <c r="S124" s="44">
        <f>Inputs!$F$15*Inputs!$I$15*N124</f>
        <v>0</v>
      </c>
      <c r="T124" s="18"/>
      <c r="U124" s="55">
        <v>0</v>
      </c>
      <c r="W124" s="117">
        <v>5</v>
      </c>
      <c r="X124" s="115" t="str">
        <f>Inputs!$A$15</f>
        <v>M4468800</v>
      </c>
      <c r="Y124" s="44" t="str">
        <f>Inputs!$B$15</f>
        <v>PNT</v>
      </c>
      <c r="Z124" s="44" t="s">
        <v>57</v>
      </c>
      <c r="AA124" s="44">
        <f t="shared" si="75"/>
        <v>425.1</v>
      </c>
      <c r="AB124" s="50"/>
      <c r="AC124" s="119">
        <v>5</v>
      </c>
      <c r="AD124" s="115" t="str">
        <f>Inputs!$A$15</f>
        <v>M4468800</v>
      </c>
      <c r="AE124" s="44" t="str">
        <f>Inputs!$B$15</f>
        <v>PNT</v>
      </c>
      <c r="AF124" s="44" t="s">
        <v>58</v>
      </c>
      <c r="AG124" s="44">
        <f t="shared" si="76"/>
        <v>0</v>
      </c>
      <c r="AH124" s="50"/>
      <c r="AI124" s="44">
        <v>486.4</v>
      </c>
      <c r="AJ124" s="44">
        <v>0</v>
      </c>
      <c r="AK124" s="44">
        <f t="shared" si="129"/>
        <v>-486.40000000000003</v>
      </c>
      <c r="AL124" s="50"/>
      <c r="AM124" s="44">
        <f t="shared" si="130"/>
        <v>0</v>
      </c>
      <c r="AN124" s="63">
        <f>AI124*Inputs!$F$15*Inputs!$G$15</f>
        <v>971383.60320000001</v>
      </c>
      <c r="AO124" s="44">
        <f>Inputs!$F$15*Inputs!$I$15*AJ124</f>
        <v>0</v>
      </c>
      <c r="AP124" s="55">
        <v>0</v>
      </c>
      <c r="AR124" s="117">
        <v>5</v>
      </c>
      <c r="AS124" s="115" t="str">
        <f>Inputs!$A$15</f>
        <v>M4468800</v>
      </c>
      <c r="AT124" s="44" t="str">
        <f>Inputs!$B$15</f>
        <v>PNT</v>
      </c>
      <c r="AU124" s="44" t="s">
        <v>57</v>
      </c>
      <c r="AV124" s="44">
        <f t="shared" si="86"/>
        <v>425.1</v>
      </c>
      <c r="AW124" s="50"/>
      <c r="AX124" s="119">
        <v>5</v>
      </c>
      <c r="AY124" s="115" t="str">
        <f>Inputs!$A$15</f>
        <v>M4468800</v>
      </c>
      <c r="AZ124" s="44" t="str">
        <f>Inputs!$B$15</f>
        <v>PNT</v>
      </c>
      <c r="BA124" s="44" t="s">
        <v>58</v>
      </c>
      <c r="BB124" s="44">
        <f t="shared" si="79"/>
        <v>0</v>
      </c>
      <c r="BC124" s="50"/>
      <c r="BD124" s="44">
        <v>486.4</v>
      </c>
      <c r="BE124" s="44">
        <v>0</v>
      </c>
      <c r="BF124" s="44">
        <f t="shared" si="131"/>
        <v>-486.40000000000003</v>
      </c>
      <c r="BG124" s="50"/>
      <c r="BH124" s="44">
        <f t="shared" si="132"/>
        <v>0</v>
      </c>
      <c r="BI124" s="63">
        <f>BD124*Inputs!$F$15*Inputs!$G$15</f>
        <v>971383.60320000001</v>
      </c>
      <c r="BJ124" s="44">
        <f>Inputs!$F$15*Inputs!$I$15*BE124</f>
        <v>0</v>
      </c>
      <c r="BK124" s="55">
        <v>0</v>
      </c>
      <c r="BM124" s="117">
        <v>5</v>
      </c>
      <c r="BN124" s="115" t="str">
        <f>Inputs!$A$15</f>
        <v>M4468800</v>
      </c>
      <c r="BO124" s="44" t="str">
        <f>Inputs!$B$15</f>
        <v>PNT</v>
      </c>
      <c r="BP124" s="44" t="s">
        <v>57</v>
      </c>
      <c r="BQ124" s="44">
        <f t="shared" si="82"/>
        <v>425.1</v>
      </c>
      <c r="BR124" s="50"/>
      <c r="BS124" s="119">
        <v>5</v>
      </c>
      <c r="BT124" s="115" t="str">
        <f>Inputs!$A$15</f>
        <v>M4468800</v>
      </c>
      <c r="BU124" s="44" t="str">
        <f>Inputs!$B$15</f>
        <v>PNT</v>
      </c>
      <c r="BV124" s="44" t="s">
        <v>58</v>
      </c>
      <c r="BW124" s="44">
        <f t="shared" si="83"/>
        <v>0</v>
      </c>
      <c r="BX124" s="50"/>
      <c r="BY124" s="44">
        <v>486.4</v>
      </c>
      <c r="BZ124" s="44">
        <v>0</v>
      </c>
      <c r="CA124" s="44">
        <f t="shared" si="133"/>
        <v>-486.40000000000003</v>
      </c>
      <c r="CB124" s="50"/>
      <c r="CC124" s="44">
        <f t="shared" si="134"/>
        <v>0</v>
      </c>
      <c r="CD124" s="63">
        <f>BY124*Inputs!$F$15*Inputs!$G$15</f>
        <v>971383.60320000001</v>
      </c>
      <c r="CE124" s="44">
        <f>Inputs!$F$15*Inputs!$I$15*BZ124</f>
        <v>0</v>
      </c>
      <c r="CF124" s="55">
        <v>0</v>
      </c>
    </row>
    <row r="125" spans="1:84" x14ac:dyDescent="0.25">
      <c r="A125" s="117">
        <v>6</v>
      </c>
      <c r="B125" s="115" t="str">
        <f>Inputs!$A$15</f>
        <v>M4468800</v>
      </c>
      <c r="C125" s="44" t="str">
        <f>Inputs!$B$15</f>
        <v>PNT</v>
      </c>
      <c r="D125" s="44" t="s">
        <v>57</v>
      </c>
      <c r="E125" s="44">
        <v>7.1</v>
      </c>
      <c r="F125" s="50"/>
      <c r="G125" s="119">
        <v>6</v>
      </c>
      <c r="H125" s="115" t="str">
        <f>Inputs!$A$15</f>
        <v>M4468800</v>
      </c>
      <c r="I125" s="44" t="str">
        <f>Inputs!$B$15</f>
        <v>PNT</v>
      </c>
      <c r="J125" s="44" t="s">
        <v>58</v>
      </c>
      <c r="K125" s="44">
        <v>0</v>
      </c>
      <c r="L125" s="50"/>
      <c r="M125" s="44">
        <v>493.5</v>
      </c>
      <c r="N125" s="44">
        <v>0</v>
      </c>
      <c r="O125" s="44">
        <f t="shared" si="127"/>
        <v>-493.5</v>
      </c>
      <c r="P125" s="50"/>
      <c r="Q125" s="44">
        <f t="shared" si="128"/>
        <v>0</v>
      </c>
      <c r="R125" s="63">
        <f>M125*Inputs!$F$15*Inputs!$G$15</f>
        <v>985562.92800000007</v>
      </c>
      <c r="S125" s="44">
        <f>Inputs!$F$15*Inputs!$I$15*N125</f>
        <v>0</v>
      </c>
      <c r="T125" s="18"/>
      <c r="U125" s="55">
        <v>0</v>
      </c>
      <c r="W125" s="117">
        <v>6</v>
      </c>
      <c r="X125" s="115" t="str">
        <f>Inputs!$A$15</f>
        <v>M4468800</v>
      </c>
      <c r="Y125" s="44" t="str">
        <f>Inputs!$B$15</f>
        <v>PNT</v>
      </c>
      <c r="Z125" s="44" t="s">
        <v>57</v>
      </c>
      <c r="AA125" s="44">
        <f t="shared" si="75"/>
        <v>7.1</v>
      </c>
      <c r="AB125" s="50"/>
      <c r="AC125" s="119">
        <v>6</v>
      </c>
      <c r="AD125" s="115" t="str">
        <f>Inputs!$A$15</f>
        <v>M4468800</v>
      </c>
      <c r="AE125" s="44" t="str">
        <f>Inputs!$B$15</f>
        <v>PNT</v>
      </c>
      <c r="AF125" s="44" t="s">
        <v>58</v>
      </c>
      <c r="AG125" s="44">
        <f t="shared" si="76"/>
        <v>0</v>
      </c>
      <c r="AH125" s="50"/>
      <c r="AI125" s="44">
        <v>493.5</v>
      </c>
      <c r="AJ125" s="44">
        <v>0</v>
      </c>
      <c r="AK125" s="44">
        <f t="shared" si="129"/>
        <v>-493.5</v>
      </c>
      <c r="AL125" s="50"/>
      <c r="AM125" s="44">
        <f t="shared" si="130"/>
        <v>0</v>
      </c>
      <c r="AN125" s="63">
        <f>AI125*Inputs!$F$15*Inputs!$G$15</f>
        <v>985562.92800000007</v>
      </c>
      <c r="AO125" s="44">
        <f>Inputs!$F$15*Inputs!$I$15*AJ125</f>
        <v>0</v>
      </c>
      <c r="AP125" s="55">
        <v>0</v>
      </c>
      <c r="AR125" s="117">
        <v>6</v>
      </c>
      <c r="AS125" s="115" t="str">
        <f>Inputs!$A$15</f>
        <v>M4468800</v>
      </c>
      <c r="AT125" s="44" t="str">
        <f>Inputs!$B$15</f>
        <v>PNT</v>
      </c>
      <c r="AU125" s="44" t="s">
        <v>57</v>
      </c>
      <c r="AV125" s="44">
        <f t="shared" si="86"/>
        <v>7.1</v>
      </c>
      <c r="AW125" s="50"/>
      <c r="AX125" s="119">
        <v>6</v>
      </c>
      <c r="AY125" s="115" t="str">
        <f>Inputs!$A$15</f>
        <v>M4468800</v>
      </c>
      <c r="AZ125" s="44" t="str">
        <f>Inputs!$B$15</f>
        <v>PNT</v>
      </c>
      <c r="BA125" s="44" t="s">
        <v>58</v>
      </c>
      <c r="BB125" s="44">
        <f t="shared" si="79"/>
        <v>0</v>
      </c>
      <c r="BC125" s="50"/>
      <c r="BD125" s="44">
        <v>493.5</v>
      </c>
      <c r="BE125" s="44">
        <v>0</v>
      </c>
      <c r="BF125" s="44">
        <f t="shared" si="131"/>
        <v>-493.5</v>
      </c>
      <c r="BG125" s="50"/>
      <c r="BH125" s="44">
        <f t="shared" si="132"/>
        <v>0</v>
      </c>
      <c r="BI125" s="63">
        <f>BD125*Inputs!$F$15*Inputs!$G$15</f>
        <v>985562.92800000007</v>
      </c>
      <c r="BJ125" s="44">
        <f>Inputs!$F$15*Inputs!$I$15*BE125</f>
        <v>0</v>
      </c>
      <c r="BK125" s="55">
        <v>0</v>
      </c>
      <c r="BM125" s="117">
        <v>6</v>
      </c>
      <c r="BN125" s="115" t="str">
        <f>Inputs!$A$15</f>
        <v>M4468800</v>
      </c>
      <c r="BO125" s="44" t="str">
        <f>Inputs!$B$15</f>
        <v>PNT</v>
      </c>
      <c r="BP125" s="44" t="s">
        <v>57</v>
      </c>
      <c r="BQ125" s="44">
        <f t="shared" si="82"/>
        <v>7.1</v>
      </c>
      <c r="BR125" s="50"/>
      <c r="BS125" s="119">
        <v>6</v>
      </c>
      <c r="BT125" s="115" t="str">
        <f>Inputs!$A$15</f>
        <v>M4468800</v>
      </c>
      <c r="BU125" s="44" t="str">
        <f>Inputs!$B$15</f>
        <v>PNT</v>
      </c>
      <c r="BV125" s="44" t="s">
        <v>58</v>
      </c>
      <c r="BW125" s="44">
        <f t="shared" si="83"/>
        <v>0</v>
      </c>
      <c r="BX125" s="50"/>
      <c r="BY125" s="44">
        <v>493.5</v>
      </c>
      <c r="BZ125" s="44">
        <v>0</v>
      </c>
      <c r="CA125" s="44">
        <f t="shared" si="133"/>
        <v>-493.5</v>
      </c>
      <c r="CB125" s="50"/>
      <c r="CC125" s="44">
        <f t="shared" si="134"/>
        <v>0</v>
      </c>
      <c r="CD125" s="63">
        <f>BY125*Inputs!$F$15*Inputs!$G$15</f>
        <v>985562.92800000007</v>
      </c>
      <c r="CE125" s="44">
        <f>Inputs!$F$15*Inputs!$I$15*BZ125</f>
        <v>0</v>
      </c>
      <c r="CF125" s="55">
        <v>0</v>
      </c>
    </row>
    <row r="126" spans="1:84" x14ac:dyDescent="0.25">
      <c r="A126" s="117">
        <v>7</v>
      </c>
      <c r="B126" s="115" t="str">
        <f>Inputs!$A$15</f>
        <v>M4468800</v>
      </c>
      <c r="C126" s="44" t="str">
        <f>Inputs!$B$15</f>
        <v>PNT</v>
      </c>
      <c r="D126" s="44" t="s">
        <v>57</v>
      </c>
      <c r="E126" s="44">
        <v>0</v>
      </c>
      <c r="F126" s="50"/>
      <c r="G126" s="119">
        <v>7</v>
      </c>
      <c r="H126" s="115" t="str">
        <f>Inputs!$A$15</f>
        <v>M4468800</v>
      </c>
      <c r="I126" s="44" t="str">
        <f>Inputs!$B$15</f>
        <v>PNT</v>
      </c>
      <c r="J126" s="44" t="s">
        <v>58</v>
      </c>
      <c r="K126" s="44">
        <v>0</v>
      </c>
      <c r="L126" s="50"/>
      <c r="M126" s="44">
        <v>493.5</v>
      </c>
      <c r="N126" s="44">
        <v>0</v>
      </c>
      <c r="O126" s="44">
        <f t="shared" si="127"/>
        <v>-493.5</v>
      </c>
      <c r="P126" s="50"/>
      <c r="Q126" s="44">
        <f t="shared" si="128"/>
        <v>0</v>
      </c>
      <c r="R126" s="63">
        <f>M126*Inputs!$F$15*Inputs!$G$15</f>
        <v>985562.92800000007</v>
      </c>
      <c r="S126" s="44">
        <f>Inputs!$F$15*Inputs!$I$15*N126</f>
        <v>0</v>
      </c>
      <c r="T126" s="18"/>
      <c r="U126" s="55">
        <v>0</v>
      </c>
      <c r="W126" s="117">
        <v>7</v>
      </c>
      <c r="X126" s="115" t="str">
        <f>Inputs!$A$15</f>
        <v>M4468800</v>
      </c>
      <c r="Y126" s="44" t="str">
        <f>Inputs!$B$15</f>
        <v>PNT</v>
      </c>
      <c r="Z126" s="44" t="s">
        <v>57</v>
      </c>
      <c r="AA126" s="44">
        <f t="shared" si="75"/>
        <v>0</v>
      </c>
      <c r="AB126" s="50"/>
      <c r="AC126" s="119">
        <v>7</v>
      </c>
      <c r="AD126" s="115" t="str">
        <f>Inputs!$A$15</f>
        <v>M4468800</v>
      </c>
      <c r="AE126" s="44" t="str">
        <f>Inputs!$B$15</f>
        <v>PNT</v>
      </c>
      <c r="AF126" s="44" t="s">
        <v>58</v>
      </c>
      <c r="AG126" s="44">
        <f t="shared" si="76"/>
        <v>0</v>
      </c>
      <c r="AH126" s="50"/>
      <c r="AI126" s="44">
        <v>460.6</v>
      </c>
      <c r="AJ126" s="44">
        <v>0</v>
      </c>
      <c r="AK126" s="44">
        <f t="shared" si="129"/>
        <v>-460.6</v>
      </c>
      <c r="AL126" s="50"/>
      <c r="AM126" s="44">
        <f t="shared" si="130"/>
        <v>0</v>
      </c>
      <c r="AN126" s="63">
        <f>AI126*Inputs!$F$15*Inputs!$G$15</f>
        <v>919858.7328</v>
      </c>
      <c r="AO126" s="44">
        <f>Inputs!$F$15*Inputs!$I$15*AJ126</f>
        <v>0</v>
      </c>
      <c r="AP126" s="55">
        <v>32.9</v>
      </c>
      <c r="AR126" s="117">
        <v>7</v>
      </c>
      <c r="AS126" s="115" t="str">
        <f>Inputs!$A$15</f>
        <v>M4468800</v>
      </c>
      <c r="AT126" s="44" t="str">
        <f>Inputs!$B$15</f>
        <v>PNT</v>
      </c>
      <c r="AU126" s="44" t="s">
        <v>57</v>
      </c>
      <c r="AV126" s="44">
        <f t="shared" si="86"/>
        <v>0</v>
      </c>
      <c r="AW126" s="50"/>
      <c r="AX126" s="119">
        <v>7</v>
      </c>
      <c r="AY126" s="115" t="str">
        <f>Inputs!$A$15</f>
        <v>M4468800</v>
      </c>
      <c r="AZ126" s="44" t="str">
        <f>Inputs!$B$15</f>
        <v>PNT</v>
      </c>
      <c r="BA126" s="44" t="s">
        <v>58</v>
      </c>
      <c r="BB126" s="44">
        <f t="shared" si="79"/>
        <v>0</v>
      </c>
      <c r="BC126" s="50"/>
      <c r="BD126" s="44">
        <v>424.41</v>
      </c>
      <c r="BE126" s="44">
        <v>0</v>
      </c>
      <c r="BF126" s="44">
        <f t="shared" si="131"/>
        <v>-424.40999999999997</v>
      </c>
      <c r="BG126" s="50"/>
      <c r="BH126" s="44">
        <f t="shared" si="132"/>
        <v>0</v>
      </c>
      <c r="BI126" s="63">
        <f>BD126*Inputs!$F$15*Inputs!$G$15</f>
        <v>847584.11808000004</v>
      </c>
      <c r="BJ126" s="44">
        <f>Inputs!$F$15*Inputs!$I$15*BE126</f>
        <v>0</v>
      </c>
      <c r="BK126" s="55">
        <v>69.09</v>
      </c>
      <c r="BM126" s="117">
        <v>7</v>
      </c>
      <c r="BN126" s="115" t="str">
        <f>Inputs!$A$15</f>
        <v>M4468800</v>
      </c>
      <c r="BO126" s="44" t="str">
        <f>Inputs!$B$15</f>
        <v>PNT</v>
      </c>
      <c r="BP126" s="44" t="s">
        <v>57</v>
      </c>
      <c r="BQ126" s="44">
        <f t="shared" si="82"/>
        <v>0</v>
      </c>
      <c r="BR126" s="50"/>
      <c r="BS126" s="119">
        <v>7</v>
      </c>
      <c r="BT126" s="115" t="str">
        <f>Inputs!$A$15</f>
        <v>M4468800</v>
      </c>
      <c r="BU126" s="44" t="str">
        <f>Inputs!$B$15</f>
        <v>PNT</v>
      </c>
      <c r="BV126" s="44" t="s">
        <v>58</v>
      </c>
      <c r="BW126" s="44">
        <f t="shared" si="83"/>
        <v>0</v>
      </c>
      <c r="BX126" s="50"/>
      <c r="BY126" s="44">
        <v>329</v>
      </c>
      <c r="BZ126" s="44">
        <v>0</v>
      </c>
      <c r="CA126" s="44">
        <f t="shared" si="133"/>
        <v>-329</v>
      </c>
      <c r="CB126" s="50"/>
      <c r="CC126" s="44">
        <f t="shared" si="134"/>
        <v>0</v>
      </c>
      <c r="CD126" s="63">
        <f>BY126*Inputs!$F$15*Inputs!$G$15</f>
        <v>657041.95199999993</v>
      </c>
      <c r="CE126" s="44">
        <f>Inputs!$F$15*Inputs!$I$15*BZ126</f>
        <v>0</v>
      </c>
      <c r="CF126" s="55">
        <v>164.5</v>
      </c>
    </row>
    <row r="127" spans="1:84" x14ac:dyDescent="0.25">
      <c r="A127" s="117">
        <v>8</v>
      </c>
      <c r="B127" s="115" t="str">
        <f>Inputs!$A$15</f>
        <v>M4468800</v>
      </c>
      <c r="C127" s="44" t="str">
        <f>Inputs!$B$15</f>
        <v>PNT</v>
      </c>
      <c r="D127" s="44" t="s">
        <v>57</v>
      </c>
      <c r="E127" s="44">
        <v>0</v>
      </c>
      <c r="F127" s="50"/>
      <c r="G127" s="119">
        <v>8</v>
      </c>
      <c r="H127" s="115" t="str">
        <f>Inputs!$A$15</f>
        <v>M4468800</v>
      </c>
      <c r="I127" s="44" t="str">
        <f>Inputs!$B$15</f>
        <v>PNT</v>
      </c>
      <c r="J127" s="44" t="s">
        <v>58</v>
      </c>
      <c r="K127" s="44">
        <v>0</v>
      </c>
      <c r="L127" s="50"/>
      <c r="M127" s="44">
        <v>475.17324000000002</v>
      </c>
      <c r="N127" s="44">
        <v>0</v>
      </c>
      <c r="O127" s="44">
        <f t="shared" si="127"/>
        <v>-475.17323889739663</v>
      </c>
      <c r="P127" s="50"/>
      <c r="Q127" s="44">
        <f t="shared" si="128"/>
        <v>-1.1026033917005407E-6</v>
      </c>
      <c r="R127" s="63">
        <f>M127*Inputs!$F$15*Inputs!$G$15</f>
        <v>948962.77552512009</v>
      </c>
      <c r="S127" s="44">
        <f>Inputs!$F$15*Inputs!$I$15*N127</f>
        <v>0</v>
      </c>
      <c r="T127" s="18"/>
      <c r="U127" s="55">
        <v>18.326761102603367</v>
      </c>
      <c r="W127" s="117">
        <v>8</v>
      </c>
      <c r="X127" s="115" t="str">
        <f>Inputs!$A$15</f>
        <v>M4468800</v>
      </c>
      <c r="Y127" s="44" t="str">
        <f>Inputs!$B$15</f>
        <v>PNT</v>
      </c>
      <c r="Z127" s="44" t="s">
        <v>57</v>
      </c>
      <c r="AA127" s="44">
        <f t="shared" si="75"/>
        <v>0</v>
      </c>
      <c r="AB127" s="50"/>
      <c r="AC127" s="119">
        <v>8</v>
      </c>
      <c r="AD127" s="115" t="str">
        <f>Inputs!$A$15</f>
        <v>M4468800</v>
      </c>
      <c r="AE127" s="44" t="str">
        <f>Inputs!$B$15</f>
        <v>PNT</v>
      </c>
      <c r="AF127" s="44" t="s">
        <v>58</v>
      </c>
      <c r="AG127" s="44">
        <f t="shared" si="76"/>
        <v>0</v>
      </c>
      <c r="AH127" s="50"/>
      <c r="AI127" s="44">
        <v>394.8</v>
      </c>
      <c r="AJ127" s="44">
        <v>0</v>
      </c>
      <c r="AK127" s="44">
        <f t="shared" si="129"/>
        <v>-394.8</v>
      </c>
      <c r="AL127" s="50"/>
      <c r="AM127" s="44">
        <f t="shared" si="130"/>
        <v>0</v>
      </c>
      <c r="AN127" s="63">
        <f>AI127*Inputs!$F$15*Inputs!$G$15</f>
        <v>788450.34240000008</v>
      </c>
      <c r="AO127" s="44">
        <f>Inputs!$F$15*Inputs!$I$15*AJ127</f>
        <v>0</v>
      </c>
      <c r="AP127" s="55">
        <v>65.8</v>
      </c>
      <c r="AR127" s="117">
        <v>8</v>
      </c>
      <c r="AS127" s="115" t="str">
        <f>Inputs!$A$15</f>
        <v>M4468800</v>
      </c>
      <c r="AT127" s="44" t="str">
        <f>Inputs!$B$15</f>
        <v>PNT</v>
      </c>
      <c r="AU127" s="44" t="s">
        <v>57</v>
      </c>
      <c r="AV127" s="44">
        <f t="shared" si="86"/>
        <v>0</v>
      </c>
      <c r="AW127" s="50"/>
      <c r="AX127" s="119">
        <v>8</v>
      </c>
      <c r="AY127" s="115" t="str">
        <f>Inputs!$A$15</f>
        <v>M4468800</v>
      </c>
      <c r="AZ127" s="44" t="str">
        <f>Inputs!$B$15</f>
        <v>PNT</v>
      </c>
      <c r="BA127" s="44" t="s">
        <v>58</v>
      </c>
      <c r="BB127" s="44">
        <f t="shared" si="79"/>
        <v>0</v>
      </c>
      <c r="BC127" s="50"/>
      <c r="BD127" s="44">
        <v>310.90499999999997</v>
      </c>
      <c r="BE127" s="44">
        <v>0</v>
      </c>
      <c r="BF127" s="44">
        <f t="shared" si="131"/>
        <v>-310.90500000000003</v>
      </c>
      <c r="BG127" s="50"/>
      <c r="BH127" s="44">
        <f t="shared" si="132"/>
        <v>0</v>
      </c>
      <c r="BI127" s="63">
        <f>BD127*Inputs!$F$15*Inputs!$G$15</f>
        <v>620904.64463999995</v>
      </c>
      <c r="BJ127" s="44">
        <f>Inputs!$F$15*Inputs!$I$15*BE127</f>
        <v>0</v>
      </c>
      <c r="BK127" s="55">
        <v>113.50500000000001</v>
      </c>
      <c r="BM127" s="117">
        <v>8</v>
      </c>
      <c r="BN127" s="115" t="str">
        <f>Inputs!$A$15</f>
        <v>M4468800</v>
      </c>
      <c r="BO127" s="44" t="str">
        <f>Inputs!$B$15</f>
        <v>PNT</v>
      </c>
      <c r="BP127" s="44" t="s">
        <v>57</v>
      </c>
      <c r="BQ127" s="44">
        <f t="shared" si="82"/>
        <v>0</v>
      </c>
      <c r="BR127" s="50"/>
      <c r="BS127" s="119">
        <v>8</v>
      </c>
      <c r="BT127" s="115" t="str">
        <f>Inputs!$A$15</f>
        <v>M4468800</v>
      </c>
      <c r="BU127" s="44" t="str">
        <f>Inputs!$B$15</f>
        <v>PNT</v>
      </c>
      <c r="BV127" s="44" t="s">
        <v>58</v>
      </c>
      <c r="BW127" s="44">
        <f t="shared" si="83"/>
        <v>0</v>
      </c>
      <c r="BX127" s="50"/>
      <c r="BY127" s="44">
        <v>197.4</v>
      </c>
      <c r="BZ127" s="44">
        <v>0</v>
      </c>
      <c r="CA127" s="44">
        <f t="shared" si="133"/>
        <v>-197.4</v>
      </c>
      <c r="CB127" s="50"/>
      <c r="CC127" s="44">
        <f t="shared" si="134"/>
        <v>0</v>
      </c>
      <c r="CD127" s="63">
        <f>BY127*Inputs!$F$15*Inputs!$G$15</f>
        <v>394225.17120000004</v>
      </c>
      <c r="CE127" s="44">
        <f>Inputs!$F$15*Inputs!$I$15*BZ127</f>
        <v>0</v>
      </c>
      <c r="CF127" s="55">
        <v>131.6</v>
      </c>
    </row>
    <row r="128" spans="1:84" x14ac:dyDescent="0.25">
      <c r="A128" s="117">
        <v>9</v>
      </c>
      <c r="B128" s="115" t="str">
        <f>Inputs!$A$15</f>
        <v>M4468800</v>
      </c>
      <c r="C128" s="44" t="str">
        <f>Inputs!$B$15</f>
        <v>PNT</v>
      </c>
      <c r="D128" s="44" t="s">
        <v>57</v>
      </c>
      <c r="E128" s="44">
        <v>0</v>
      </c>
      <c r="F128" s="50"/>
      <c r="G128" s="119">
        <v>9</v>
      </c>
      <c r="H128" s="115" t="str">
        <f>Inputs!$A$15</f>
        <v>M4468800</v>
      </c>
      <c r="I128" s="44" t="str">
        <f>Inputs!$B$15</f>
        <v>PNT</v>
      </c>
      <c r="J128" s="44" t="s">
        <v>58</v>
      </c>
      <c r="K128" s="44">
        <v>0</v>
      </c>
      <c r="L128" s="50"/>
      <c r="M128" s="44">
        <v>248.45042000000001</v>
      </c>
      <c r="N128" s="44">
        <v>0</v>
      </c>
      <c r="O128" s="44">
        <f t="shared" si="127"/>
        <v>-248.45042223583462</v>
      </c>
      <c r="P128" s="50"/>
      <c r="Q128" s="44">
        <f t="shared" si="128"/>
        <v>2.2358346143391827E-6</v>
      </c>
      <c r="R128" s="63">
        <f>M128*Inputs!$F$15*Inputs!$G$15</f>
        <v>496177.35237695999</v>
      </c>
      <c r="S128" s="44">
        <f>Inputs!$F$15*Inputs!$I$15*N128</f>
        <v>0</v>
      </c>
      <c r="T128" s="18"/>
      <c r="U128" s="55">
        <v>226.7228177641654</v>
      </c>
      <c r="W128" s="117">
        <v>9</v>
      </c>
      <c r="X128" s="115" t="str">
        <f>Inputs!$A$15</f>
        <v>M4468800</v>
      </c>
      <c r="Y128" s="44" t="str">
        <f>Inputs!$B$15</f>
        <v>PNT</v>
      </c>
      <c r="Z128" s="44" t="s">
        <v>57</v>
      </c>
      <c r="AA128" s="44">
        <f t="shared" si="75"/>
        <v>0</v>
      </c>
      <c r="AB128" s="50"/>
      <c r="AC128" s="119">
        <v>9</v>
      </c>
      <c r="AD128" s="115" t="str">
        <f>Inputs!$A$15</f>
        <v>M4468800</v>
      </c>
      <c r="AE128" s="44" t="str">
        <f>Inputs!$B$15</f>
        <v>PNT</v>
      </c>
      <c r="AF128" s="44" t="s">
        <v>58</v>
      </c>
      <c r="AG128" s="44">
        <f t="shared" si="76"/>
        <v>0</v>
      </c>
      <c r="AH128" s="50"/>
      <c r="AI128" s="44">
        <v>296.10000000000002</v>
      </c>
      <c r="AJ128" s="44">
        <v>0</v>
      </c>
      <c r="AK128" s="44">
        <f t="shared" si="129"/>
        <v>-296.10000000000002</v>
      </c>
      <c r="AL128" s="50"/>
      <c r="AM128" s="44">
        <f t="shared" si="130"/>
        <v>0</v>
      </c>
      <c r="AN128" s="63">
        <f>AI128*Inputs!$F$15*Inputs!$G$15</f>
        <v>591337.75679999997</v>
      </c>
      <c r="AO128" s="44">
        <f>Inputs!$F$15*Inputs!$I$15*AJ128</f>
        <v>0</v>
      </c>
      <c r="AP128" s="55">
        <v>98.699999999999989</v>
      </c>
      <c r="AR128" s="117">
        <v>9</v>
      </c>
      <c r="AS128" s="115" t="str">
        <f>Inputs!$A$15</f>
        <v>M4468800</v>
      </c>
      <c r="AT128" s="44" t="str">
        <f>Inputs!$B$15</f>
        <v>PNT</v>
      </c>
      <c r="AU128" s="44" t="s">
        <v>57</v>
      </c>
      <c r="AV128" s="44">
        <f t="shared" si="86"/>
        <v>0</v>
      </c>
      <c r="AW128" s="50"/>
      <c r="AX128" s="119">
        <v>9</v>
      </c>
      <c r="AY128" s="115" t="str">
        <f>Inputs!$A$15</f>
        <v>M4468800</v>
      </c>
      <c r="AZ128" s="44" t="str">
        <f>Inputs!$B$15</f>
        <v>PNT</v>
      </c>
      <c r="BA128" s="44" t="s">
        <v>58</v>
      </c>
      <c r="BB128" s="44">
        <f t="shared" si="79"/>
        <v>0</v>
      </c>
      <c r="BC128" s="50"/>
      <c r="BD128" s="44">
        <v>182.595</v>
      </c>
      <c r="BE128" s="44">
        <v>0</v>
      </c>
      <c r="BF128" s="44">
        <f t="shared" si="131"/>
        <v>-182.59499999999997</v>
      </c>
      <c r="BG128" s="50"/>
      <c r="BH128" s="44">
        <f t="shared" si="132"/>
        <v>0</v>
      </c>
      <c r="BI128" s="63">
        <f>BD128*Inputs!$F$15*Inputs!$G$15</f>
        <v>364658.28335999994</v>
      </c>
      <c r="BJ128" s="44">
        <f>Inputs!$F$15*Inputs!$I$15*BE128</f>
        <v>0</v>
      </c>
      <c r="BK128" s="55">
        <v>128.31</v>
      </c>
      <c r="BM128" s="117">
        <v>9</v>
      </c>
      <c r="BN128" s="115" t="str">
        <f>Inputs!$A$15</f>
        <v>M4468800</v>
      </c>
      <c r="BO128" s="44" t="str">
        <f>Inputs!$B$15</f>
        <v>PNT</v>
      </c>
      <c r="BP128" s="44" t="s">
        <v>57</v>
      </c>
      <c r="BQ128" s="44">
        <f t="shared" si="82"/>
        <v>0</v>
      </c>
      <c r="BR128" s="50"/>
      <c r="BS128" s="119">
        <v>9</v>
      </c>
      <c r="BT128" s="115" t="str">
        <f>Inputs!$A$15</f>
        <v>M4468800</v>
      </c>
      <c r="BU128" s="44" t="str">
        <f>Inputs!$B$15</f>
        <v>PNT</v>
      </c>
      <c r="BV128" s="44" t="s">
        <v>58</v>
      </c>
      <c r="BW128" s="44">
        <f t="shared" si="83"/>
        <v>0</v>
      </c>
      <c r="BX128" s="50"/>
      <c r="BY128" s="44">
        <v>98.7</v>
      </c>
      <c r="BZ128" s="44">
        <v>0</v>
      </c>
      <c r="CA128" s="44">
        <f t="shared" si="133"/>
        <v>-98.700000000000017</v>
      </c>
      <c r="CB128" s="50"/>
      <c r="CC128" s="44">
        <f t="shared" si="134"/>
        <v>0</v>
      </c>
      <c r="CD128" s="63">
        <f>BY128*Inputs!$F$15*Inputs!$G$15</f>
        <v>197112.58560000002</v>
      </c>
      <c r="CE128" s="44">
        <f>Inputs!$F$15*Inputs!$I$15*BZ128</f>
        <v>0</v>
      </c>
      <c r="CF128" s="55">
        <v>98.699999999999989</v>
      </c>
    </row>
    <row r="129" spans="1:85" x14ac:dyDescent="0.25">
      <c r="A129" s="117">
        <v>10</v>
      </c>
      <c r="B129" s="115" t="str">
        <f>Inputs!$A$15</f>
        <v>M4468800</v>
      </c>
      <c r="C129" s="44" t="str">
        <f>Inputs!$B$15</f>
        <v>PNT</v>
      </c>
      <c r="D129" s="44" t="s">
        <v>57</v>
      </c>
      <c r="E129" s="44">
        <v>0</v>
      </c>
      <c r="F129" s="50"/>
      <c r="G129" s="119">
        <v>10</v>
      </c>
      <c r="H129" s="115" t="str">
        <f>Inputs!$A$15</f>
        <v>M4468800</v>
      </c>
      <c r="I129" s="44" t="str">
        <f>Inputs!$B$15</f>
        <v>PNT</v>
      </c>
      <c r="J129" s="44" t="s">
        <v>58</v>
      </c>
      <c r="K129" s="44">
        <v>0</v>
      </c>
      <c r="L129" s="50"/>
      <c r="M129" s="44">
        <v>28.340351999999999</v>
      </c>
      <c r="N129" s="44">
        <v>0</v>
      </c>
      <c r="O129" s="44">
        <f t="shared" si="127"/>
        <v>-28.340351087289434</v>
      </c>
      <c r="P129" s="50"/>
      <c r="Q129" s="44">
        <f t="shared" si="128"/>
        <v>-9.1271056490427327E-7</v>
      </c>
      <c r="R129" s="63">
        <f>M129*Inputs!$F$15*Inputs!$G$15</f>
        <v>56598.176894976001</v>
      </c>
      <c r="S129" s="44">
        <f>Inputs!$F$15*Inputs!$I$15*N129</f>
        <v>0</v>
      </c>
      <c r="T129" s="18"/>
      <c r="U129" s="91">
        <v>220.11006891271057</v>
      </c>
      <c r="W129" s="117">
        <v>10</v>
      </c>
      <c r="X129" s="115" t="str">
        <f>Inputs!$A$15</f>
        <v>M4468800</v>
      </c>
      <c r="Y129" s="44" t="str">
        <f>Inputs!$B$15</f>
        <v>PNT</v>
      </c>
      <c r="Z129" s="44" t="s">
        <v>57</v>
      </c>
      <c r="AA129" s="44">
        <f t="shared" si="75"/>
        <v>0</v>
      </c>
      <c r="AB129" s="50"/>
      <c r="AC129" s="119">
        <v>10</v>
      </c>
      <c r="AD129" s="115" t="str">
        <f>Inputs!$A$15</f>
        <v>M4468800</v>
      </c>
      <c r="AE129" s="44" t="str">
        <f>Inputs!$B$15</f>
        <v>PNT</v>
      </c>
      <c r="AF129" s="44" t="s">
        <v>58</v>
      </c>
      <c r="AG129" s="44">
        <f t="shared" si="76"/>
        <v>0</v>
      </c>
      <c r="AH129" s="50"/>
      <c r="AI129" s="44">
        <v>164.5</v>
      </c>
      <c r="AJ129" s="44">
        <v>0</v>
      </c>
      <c r="AK129" s="44">
        <f t="shared" si="129"/>
        <v>-164.50000000000003</v>
      </c>
      <c r="AL129" s="50"/>
      <c r="AM129" s="44">
        <f t="shared" si="130"/>
        <v>0</v>
      </c>
      <c r="AN129" s="63">
        <f>AI129*Inputs!$F$15*Inputs!$G$15</f>
        <v>328520.97599999997</v>
      </c>
      <c r="AO129" s="44">
        <f>Inputs!$F$15*Inputs!$I$15*AJ129</f>
        <v>0</v>
      </c>
      <c r="AP129" s="91">
        <v>131.6</v>
      </c>
      <c r="AR129" s="117">
        <v>10</v>
      </c>
      <c r="AS129" s="115" t="str">
        <f>Inputs!$A$15</f>
        <v>M4468800</v>
      </c>
      <c r="AT129" s="44" t="str">
        <f>Inputs!$B$15</f>
        <v>PNT</v>
      </c>
      <c r="AU129" s="44" t="s">
        <v>57</v>
      </c>
      <c r="AV129" s="44">
        <f t="shared" si="86"/>
        <v>0</v>
      </c>
      <c r="AW129" s="50"/>
      <c r="AX129" s="119">
        <v>10</v>
      </c>
      <c r="AY129" s="115" t="str">
        <f>Inputs!$A$15</f>
        <v>M4468800</v>
      </c>
      <c r="AZ129" s="44" t="str">
        <f>Inputs!$B$15</f>
        <v>PNT</v>
      </c>
      <c r="BA129" s="44" t="s">
        <v>58</v>
      </c>
      <c r="BB129" s="44">
        <f t="shared" si="79"/>
        <v>0</v>
      </c>
      <c r="BC129" s="50"/>
      <c r="BD129" s="44">
        <v>69.09</v>
      </c>
      <c r="BE129" s="44">
        <v>0</v>
      </c>
      <c r="BF129" s="44">
        <f t="shared" si="131"/>
        <v>-69.089999999999989</v>
      </c>
      <c r="BG129" s="50"/>
      <c r="BH129" s="44">
        <f t="shared" si="132"/>
        <v>0</v>
      </c>
      <c r="BI129" s="63">
        <f>BD129*Inputs!$F$15*Inputs!$G$15</f>
        <v>137978.80992</v>
      </c>
      <c r="BJ129" s="44">
        <f>Inputs!$F$15*Inputs!$I$15*BE129</f>
        <v>0</v>
      </c>
      <c r="BK129" s="91">
        <v>113.50500000000001</v>
      </c>
      <c r="BM129" s="117">
        <v>10</v>
      </c>
      <c r="BN129" s="115" t="str">
        <f>Inputs!$A$15</f>
        <v>M4468800</v>
      </c>
      <c r="BO129" s="44" t="str">
        <f>Inputs!$B$15</f>
        <v>PNT</v>
      </c>
      <c r="BP129" s="44" t="s">
        <v>57</v>
      </c>
      <c r="BQ129" s="44">
        <f t="shared" si="82"/>
        <v>0</v>
      </c>
      <c r="BR129" s="50"/>
      <c r="BS129" s="119">
        <v>10</v>
      </c>
      <c r="BT129" s="115" t="str">
        <f>Inputs!$A$15</f>
        <v>M4468800</v>
      </c>
      <c r="BU129" s="44" t="str">
        <f>Inputs!$B$15</f>
        <v>PNT</v>
      </c>
      <c r="BV129" s="44" t="s">
        <v>58</v>
      </c>
      <c r="BW129" s="44">
        <f t="shared" si="83"/>
        <v>0</v>
      </c>
      <c r="BX129" s="50"/>
      <c r="BY129" s="44">
        <v>32.9</v>
      </c>
      <c r="BZ129" s="44">
        <v>0</v>
      </c>
      <c r="CA129" s="44">
        <f t="shared" si="133"/>
        <v>-32.900000000000006</v>
      </c>
      <c r="CB129" s="50"/>
      <c r="CC129" s="44">
        <f t="shared" si="134"/>
        <v>0</v>
      </c>
      <c r="CD129" s="63">
        <f>BY129*Inputs!$F$15*Inputs!$G$15</f>
        <v>65704.195200000002</v>
      </c>
      <c r="CE129" s="44">
        <f>Inputs!$F$15*Inputs!$I$15*BZ129</f>
        <v>0</v>
      </c>
      <c r="CF129" s="91">
        <v>65.8</v>
      </c>
    </row>
    <row r="130" spans="1:85" x14ac:dyDescent="0.25">
      <c r="A130" s="117">
        <v>11</v>
      </c>
      <c r="B130" s="115" t="str">
        <f>Inputs!$A$15</f>
        <v>M4468800</v>
      </c>
      <c r="C130" s="44" t="str">
        <f>Inputs!$B$15</f>
        <v>PNT</v>
      </c>
      <c r="D130" s="44" t="s">
        <v>57</v>
      </c>
      <c r="E130" s="44">
        <v>0</v>
      </c>
      <c r="F130" s="50"/>
      <c r="G130" s="119">
        <v>11</v>
      </c>
      <c r="H130" s="115" t="str">
        <f>Inputs!$A$15</f>
        <v>M4468800</v>
      </c>
      <c r="I130" s="44" t="str">
        <f>Inputs!$B$15</f>
        <v>PNT</v>
      </c>
      <c r="J130" s="44" t="s">
        <v>58</v>
      </c>
      <c r="K130" s="44">
        <v>0</v>
      </c>
      <c r="L130" s="50"/>
      <c r="M130" s="44">
        <v>0</v>
      </c>
      <c r="N130" s="44">
        <v>0</v>
      </c>
      <c r="O130" s="44">
        <f t="shared" si="127"/>
        <v>2.2052067549793719E-7</v>
      </c>
      <c r="P130" s="50"/>
      <c r="Q130" s="44">
        <f t="shared" si="128"/>
        <v>-2.2052067549793719E-7</v>
      </c>
      <c r="R130" s="63">
        <f>M130*Inputs!$F$15*Inputs!$H$15</f>
        <v>0</v>
      </c>
      <c r="S130" s="44">
        <f>Inputs!$F$15*Inputs!$I$15*N130</f>
        <v>0</v>
      </c>
      <c r="T130" s="18"/>
      <c r="U130" s="56">
        <v>28.340352220520675</v>
      </c>
      <c r="W130" s="117">
        <v>11</v>
      </c>
      <c r="X130" s="115" t="str">
        <f>Inputs!$A$15</f>
        <v>M4468800</v>
      </c>
      <c r="Y130" s="44" t="str">
        <f>Inputs!$B$15</f>
        <v>PNT</v>
      </c>
      <c r="Z130" s="44" t="s">
        <v>57</v>
      </c>
      <c r="AA130" s="44">
        <f t="shared" si="75"/>
        <v>0</v>
      </c>
      <c r="AB130" s="50"/>
      <c r="AC130" s="119">
        <v>11</v>
      </c>
      <c r="AD130" s="115" t="str">
        <f>Inputs!$A$15</f>
        <v>M4468800</v>
      </c>
      <c r="AE130" s="44" t="str">
        <f>Inputs!$B$15</f>
        <v>PNT</v>
      </c>
      <c r="AF130" s="44" t="s">
        <v>58</v>
      </c>
      <c r="AG130" s="44">
        <f t="shared" si="76"/>
        <v>0</v>
      </c>
      <c r="AH130" s="50"/>
      <c r="AI130" s="44">
        <v>0</v>
      </c>
      <c r="AJ130" s="44">
        <v>0</v>
      </c>
      <c r="AK130" s="44">
        <f t="shared" si="129"/>
        <v>0</v>
      </c>
      <c r="AL130" s="50"/>
      <c r="AM130" s="44">
        <f t="shared" si="130"/>
        <v>0</v>
      </c>
      <c r="AN130" s="63">
        <f>AI130*Inputs!$F$15*Inputs!$H$15</f>
        <v>0</v>
      </c>
      <c r="AO130" s="44">
        <f>Inputs!$F$15*Inputs!$I$15*AJ130</f>
        <v>0</v>
      </c>
      <c r="AP130" s="56">
        <v>164.5</v>
      </c>
      <c r="AR130" s="117">
        <v>11</v>
      </c>
      <c r="AS130" s="115" t="str">
        <f>Inputs!$A$15</f>
        <v>M4468800</v>
      </c>
      <c r="AT130" s="44" t="str">
        <f>Inputs!$B$15</f>
        <v>PNT</v>
      </c>
      <c r="AU130" s="44" t="s">
        <v>57</v>
      </c>
      <c r="AV130" s="44">
        <f t="shared" si="86"/>
        <v>0</v>
      </c>
      <c r="AW130" s="50"/>
      <c r="AX130" s="119">
        <v>11</v>
      </c>
      <c r="AY130" s="115" t="str">
        <f>Inputs!$A$15</f>
        <v>M4468800</v>
      </c>
      <c r="AZ130" s="44" t="str">
        <f>Inputs!$B$15</f>
        <v>PNT</v>
      </c>
      <c r="BA130" s="44" t="s">
        <v>58</v>
      </c>
      <c r="BB130" s="44">
        <f t="shared" si="79"/>
        <v>0</v>
      </c>
      <c r="BC130" s="50"/>
      <c r="BD130" s="44">
        <v>0</v>
      </c>
      <c r="BE130" s="44">
        <v>0</v>
      </c>
      <c r="BF130" s="44">
        <f t="shared" si="131"/>
        <v>0</v>
      </c>
      <c r="BG130" s="50"/>
      <c r="BH130" s="44">
        <f t="shared" si="132"/>
        <v>0</v>
      </c>
      <c r="BI130" s="63">
        <f>BD130*Inputs!$F$15*Inputs!$H$15</f>
        <v>0</v>
      </c>
      <c r="BJ130" s="44">
        <f>Inputs!$F$15*Inputs!$I$15*BE130</f>
        <v>0</v>
      </c>
      <c r="BK130" s="56">
        <v>69.09</v>
      </c>
      <c r="BM130" s="117">
        <v>11</v>
      </c>
      <c r="BN130" s="115" t="str">
        <f>Inputs!$A$15</f>
        <v>M4468800</v>
      </c>
      <c r="BO130" s="44" t="str">
        <f>Inputs!$B$15</f>
        <v>PNT</v>
      </c>
      <c r="BP130" s="44" t="s">
        <v>57</v>
      </c>
      <c r="BQ130" s="44">
        <f t="shared" si="82"/>
        <v>0</v>
      </c>
      <c r="BR130" s="50"/>
      <c r="BS130" s="119">
        <v>11</v>
      </c>
      <c r="BT130" s="115" t="str">
        <f>Inputs!$A$15</f>
        <v>M4468800</v>
      </c>
      <c r="BU130" s="44" t="str">
        <f>Inputs!$B$15</f>
        <v>PNT</v>
      </c>
      <c r="BV130" s="44" t="s">
        <v>58</v>
      </c>
      <c r="BW130" s="44">
        <f t="shared" si="83"/>
        <v>0</v>
      </c>
      <c r="BX130" s="50"/>
      <c r="BY130" s="44">
        <v>0</v>
      </c>
      <c r="BZ130" s="44">
        <v>0</v>
      </c>
      <c r="CA130" s="44">
        <f t="shared" si="133"/>
        <v>0</v>
      </c>
      <c r="CB130" s="50"/>
      <c r="CC130" s="44">
        <f t="shared" si="134"/>
        <v>0</v>
      </c>
      <c r="CD130" s="63">
        <f>BY130*Inputs!$F$15*Inputs!$H$15</f>
        <v>0</v>
      </c>
      <c r="CE130" s="44">
        <f>Inputs!$F$15*Inputs!$I$15*BZ130</f>
        <v>0</v>
      </c>
      <c r="CF130" s="56">
        <v>32.9</v>
      </c>
    </row>
    <row r="131" spans="1:85" x14ac:dyDescent="0.25">
      <c r="A131" s="116">
        <v>3</v>
      </c>
      <c r="B131" s="114" t="str">
        <f>Inputs!$A$16</f>
        <v>M4581200</v>
      </c>
      <c r="C131" s="45" t="str">
        <f>Inputs!$B$16</f>
        <v>PNT</v>
      </c>
      <c r="D131" s="45" t="s">
        <v>57</v>
      </c>
      <c r="E131" s="45">
        <v>0</v>
      </c>
      <c r="F131" s="50"/>
      <c r="G131" s="118">
        <v>3</v>
      </c>
      <c r="H131" s="114" t="str">
        <f>Inputs!$A$16</f>
        <v>M4581200</v>
      </c>
      <c r="I131" s="45" t="str">
        <f>Inputs!$B$16</f>
        <v>PNT</v>
      </c>
      <c r="J131" s="45" t="s">
        <v>58</v>
      </c>
      <c r="K131" s="45">
        <v>0</v>
      </c>
      <c r="L131" s="50"/>
      <c r="M131" s="45">
        <v>0</v>
      </c>
      <c r="N131" s="45">
        <v>0</v>
      </c>
      <c r="O131" s="45">
        <f>U131-0-E131-K131</f>
        <v>0</v>
      </c>
      <c r="P131" s="50"/>
      <c r="Q131" s="45">
        <f>E131+K131+N131-U131+0-M131</f>
        <v>0</v>
      </c>
      <c r="R131" s="64">
        <f>M131*Inputs!$F$16*Inputs!$G$16</f>
        <v>0</v>
      </c>
      <c r="S131" s="45">
        <f>Inputs!$F$16*Inputs!$I$16*N131</f>
        <v>0</v>
      </c>
      <c r="T131" s="18"/>
      <c r="U131" s="54">
        <v>0</v>
      </c>
      <c r="W131" s="116">
        <v>3</v>
      </c>
      <c r="X131" s="114" t="str">
        <f>Inputs!$A$16</f>
        <v>M4581200</v>
      </c>
      <c r="Y131" s="45" t="str">
        <f>Inputs!$B$16</f>
        <v>PNT</v>
      </c>
      <c r="Z131" s="45" t="s">
        <v>57</v>
      </c>
      <c r="AA131" s="45">
        <f t="shared" si="75"/>
        <v>0</v>
      </c>
      <c r="AB131" s="50"/>
      <c r="AC131" s="118">
        <v>3</v>
      </c>
      <c r="AD131" s="114" t="str">
        <f>Inputs!$A$16</f>
        <v>M4581200</v>
      </c>
      <c r="AE131" s="45" t="str">
        <f>Inputs!$B$16</f>
        <v>PNT</v>
      </c>
      <c r="AF131" s="45" t="s">
        <v>58</v>
      </c>
      <c r="AG131" s="45">
        <f t="shared" si="76"/>
        <v>0</v>
      </c>
      <c r="AH131" s="50"/>
      <c r="AI131" s="45">
        <v>0</v>
      </c>
      <c r="AJ131" s="45">
        <v>0</v>
      </c>
      <c r="AK131" s="45">
        <f>AP131-0-AA131-AG131</f>
        <v>0</v>
      </c>
      <c r="AL131" s="50"/>
      <c r="AM131" s="45">
        <f>AA131+AG131+AJ131-AP131+0-AI131</f>
        <v>0</v>
      </c>
      <c r="AN131" s="64">
        <f>AI131*Inputs!$F$16*Inputs!$G$16</f>
        <v>0</v>
      </c>
      <c r="AO131" s="45">
        <f>Inputs!$F$16*Inputs!$I$16*AJ131</f>
        <v>0</v>
      </c>
      <c r="AP131" s="54">
        <v>0</v>
      </c>
      <c r="AR131" s="116">
        <v>3</v>
      </c>
      <c r="AS131" s="114" t="str">
        <f>Inputs!$A$16</f>
        <v>M4581200</v>
      </c>
      <c r="AT131" s="45" t="str">
        <f>Inputs!$B$16</f>
        <v>PNT</v>
      </c>
      <c r="AU131" s="45" t="s">
        <v>57</v>
      </c>
      <c r="AV131" s="45">
        <f t="shared" si="86"/>
        <v>0</v>
      </c>
      <c r="AW131" s="50"/>
      <c r="AX131" s="118">
        <v>3</v>
      </c>
      <c r="AY131" s="114" t="str">
        <f>Inputs!$A$16</f>
        <v>M4581200</v>
      </c>
      <c r="AZ131" s="45" t="str">
        <f>Inputs!$B$16</f>
        <v>PNT</v>
      </c>
      <c r="BA131" s="45" t="s">
        <v>58</v>
      </c>
      <c r="BB131" s="45">
        <f t="shared" si="79"/>
        <v>0</v>
      </c>
      <c r="BC131" s="50"/>
      <c r="BD131" s="45">
        <v>0</v>
      </c>
      <c r="BE131" s="45">
        <v>0</v>
      </c>
      <c r="BF131" s="45">
        <f>BK131-0-AV131-BB131</f>
        <v>0</v>
      </c>
      <c r="BG131" s="50"/>
      <c r="BH131" s="45">
        <f>AV131+BB131+BE131-BK131+0-BD131</f>
        <v>0</v>
      </c>
      <c r="BI131" s="64">
        <f>BD131*Inputs!$F$16*Inputs!$G$16</f>
        <v>0</v>
      </c>
      <c r="BJ131" s="45">
        <f>Inputs!$F$16*Inputs!$I$16*BE131</f>
        <v>0</v>
      </c>
      <c r="BK131" s="54">
        <v>0</v>
      </c>
      <c r="BM131" s="116">
        <v>3</v>
      </c>
      <c r="BN131" s="114" t="str">
        <f>Inputs!$A$16</f>
        <v>M4581200</v>
      </c>
      <c r="BO131" s="45" t="str">
        <f>Inputs!$B$16</f>
        <v>PNT</v>
      </c>
      <c r="BP131" s="45" t="s">
        <v>57</v>
      </c>
      <c r="BQ131" s="45">
        <f t="shared" si="82"/>
        <v>0</v>
      </c>
      <c r="BR131" s="50"/>
      <c r="BS131" s="118">
        <v>3</v>
      </c>
      <c r="BT131" s="114" t="str">
        <f>Inputs!$A$16</f>
        <v>M4581200</v>
      </c>
      <c r="BU131" s="45" t="str">
        <f>Inputs!$B$16</f>
        <v>PNT</v>
      </c>
      <c r="BV131" s="45" t="s">
        <v>58</v>
      </c>
      <c r="BW131" s="45">
        <f t="shared" si="83"/>
        <v>0</v>
      </c>
      <c r="BX131" s="50"/>
      <c r="BY131" s="45">
        <v>0</v>
      </c>
      <c r="BZ131" s="45">
        <v>0</v>
      </c>
      <c r="CA131" s="45">
        <f>CF131-0-BQ131-BW131</f>
        <v>0</v>
      </c>
      <c r="CB131" s="50"/>
      <c r="CC131" s="45">
        <f>BQ131+BW131+BZ131-CF131+0-BY131</f>
        <v>0</v>
      </c>
      <c r="CD131" s="64">
        <f>BY131*Inputs!$F$16*Inputs!$G$16</f>
        <v>0</v>
      </c>
      <c r="CE131" s="45">
        <f>Inputs!$F$16*Inputs!$I$16*BZ131</f>
        <v>0</v>
      </c>
      <c r="CF131" s="54">
        <v>0</v>
      </c>
    </row>
    <row r="132" spans="1:85" x14ac:dyDescent="0.25">
      <c r="A132" s="116">
        <v>4</v>
      </c>
      <c r="B132" s="114" t="str">
        <f>Inputs!$A$16</f>
        <v>M4581200</v>
      </c>
      <c r="C132" s="45" t="str">
        <f>Inputs!$B$16</f>
        <v>PNT</v>
      </c>
      <c r="D132" s="45" t="s">
        <v>57</v>
      </c>
      <c r="E132" s="45">
        <v>0</v>
      </c>
      <c r="F132" s="50"/>
      <c r="G132" s="118">
        <v>4</v>
      </c>
      <c r="H132" s="114" t="str">
        <f>Inputs!$A$16</f>
        <v>M4581200</v>
      </c>
      <c r="I132" s="45" t="str">
        <f>Inputs!$B$16</f>
        <v>PNT</v>
      </c>
      <c r="J132" s="45" t="s">
        <v>58</v>
      </c>
      <c r="K132" s="45">
        <v>0</v>
      </c>
      <c r="L132" s="50"/>
      <c r="M132" s="45">
        <v>0</v>
      </c>
      <c r="N132" s="45">
        <v>0</v>
      </c>
      <c r="O132" s="45">
        <f t="shared" ref="O132:O139" si="135">U132-M131-E132-K132</f>
        <v>0</v>
      </c>
      <c r="P132" s="50"/>
      <c r="Q132" s="45">
        <f t="shared" ref="Q132:Q139" si="136">E132+K132+N132-U132+M131-M132</f>
        <v>0</v>
      </c>
      <c r="R132" s="64">
        <f>M132*Inputs!$F$16*Inputs!$G$16</f>
        <v>0</v>
      </c>
      <c r="S132" s="45">
        <f>Inputs!$F$16*Inputs!$I$16*N132</f>
        <v>0</v>
      </c>
      <c r="T132" s="18"/>
      <c r="U132" s="55">
        <v>0</v>
      </c>
      <c r="W132" s="116">
        <v>4</v>
      </c>
      <c r="X132" s="114" t="str">
        <f>Inputs!$A$16</f>
        <v>M4581200</v>
      </c>
      <c r="Y132" s="45" t="str">
        <f>Inputs!$B$16</f>
        <v>PNT</v>
      </c>
      <c r="Z132" s="45" t="s">
        <v>57</v>
      </c>
      <c r="AA132" s="45">
        <f t="shared" si="75"/>
        <v>0</v>
      </c>
      <c r="AB132" s="50"/>
      <c r="AC132" s="118">
        <v>4</v>
      </c>
      <c r="AD132" s="114" t="str">
        <f>Inputs!$A$16</f>
        <v>M4581200</v>
      </c>
      <c r="AE132" s="45" t="str">
        <f>Inputs!$B$16</f>
        <v>PNT</v>
      </c>
      <c r="AF132" s="45" t="s">
        <v>58</v>
      </c>
      <c r="AG132" s="45">
        <f t="shared" si="76"/>
        <v>0</v>
      </c>
      <c r="AH132" s="50"/>
      <c r="AI132" s="45">
        <v>0</v>
      </c>
      <c r="AJ132" s="45">
        <v>0</v>
      </c>
      <c r="AK132" s="45">
        <f t="shared" ref="AK132:AK139" si="137">AP132-AI131-AA132-AG132</f>
        <v>0</v>
      </c>
      <c r="AL132" s="50"/>
      <c r="AM132" s="45">
        <f t="shared" ref="AM132:AM139" si="138">AA132+AG132+AJ132-AP132+AI131-AI132</f>
        <v>0</v>
      </c>
      <c r="AN132" s="64">
        <f>AI132*Inputs!$F$16*Inputs!$G$16</f>
        <v>0</v>
      </c>
      <c r="AO132" s="45">
        <f>Inputs!$F$16*Inputs!$I$16*AJ132</f>
        <v>0</v>
      </c>
      <c r="AP132" s="55">
        <v>0</v>
      </c>
      <c r="AR132" s="116">
        <v>4</v>
      </c>
      <c r="AS132" s="114" t="str">
        <f>Inputs!$A$16</f>
        <v>M4581200</v>
      </c>
      <c r="AT132" s="45" t="str">
        <f>Inputs!$B$16</f>
        <v>PNT</v>
      </c>
      <c r="AU132" s="45" t="s">
        <v>57</v>
      </c>
      <c r="AV132" s="45">
        <f t="shared" si="86"/>
        <v>0</v>
      </c>
      <c r="AW132" s="50"/>
      <c r="AX132" s="118">
        <v>4</v>
      </c>
      <c r="AY132" s="114" t="str">
        <f>Inputs!$A$16</f>
        <v>M4581200</v>
      </c>
      <c r="AZ132" s="45" t="str">
        <f>Inputs!$B$16</f>
        <v>PNT</v>
      </c>
      <c r="BA132" s="45" t="s">
        <v>58</v>
      </c>
      <c r="BB132" s="45">
        <f t="shared" si="79"/>
        <v>0</v>
      </c>
      <c r="BC132" s="50"/>
      <c r="BD132" s="45">
        <v>0</v>
      </c>
      <c r="BE132" s="45">
        <v>0</v>
      </c>
      <c r="BF132" s="45">
        <f t="shared" ref="BF132:BF139" si="139">BK132-BD131-AV132-BB132</f>
        <v>0</v>
      </c>
      <c r="BG132" s="50"/>
      <c r="BH132" s="45">
        <f t="shared" ref="BH132:BH139" si="140">AV132+BB132+BE132-BK132+BD131-BD132</f>
        <v>0</v>
      </c>
      <c r="BI132" s="64">
        <f>BD132*Inputs!$F$16*Inputs!$G$16</f>
        <v>0</v>
      </c>
      <c r="BJ132" s="45">
        <f>Inputs!$F$16*Inputs!$I$16*BE132</f>
        <v>0</v>
      </c>
      <c r="BK132" s="55">
        <v>0</v>
      </c>
      <c r="BM132" s="116">
        <v>4</v>
      </c>
      <c r="BN132" s="114" t="str">
        <f>Inputs!$A$16</f>
        <v>M4581200</v>
      </c>
      <c r="BO132" s="45" t="str">
        <f>Inputs!$B$16</f>
        <v>PNT</v>
      </c>
      <c r="BP132" s="45" t="s">
        <v>57</v>
      </c>
      <c r="BQ132" s="45">
        <f t="shared" si="82"/>
        <v>0</v>
      </c>
      <c r="BR132" s="50"/>
      <c r="BS132" s="118">
        <v>4</v>
      </c>
      <c r="BT132" s="114" t="str">
        <f>Inputs!$A$16</f>
        <v>M4581200</v>
      </c>
      <c r="BU132" s="45" t="str">
        <f>Inputs!$B$16</f>
        <v>PNT</v>
      </c>
      <c r="BV132" s="45" t="s">
        <v>58</v>
      </c>
      <c r="BW132" s="45">
        <f t="shared" si="83"/>
        <v>0</v>
      </c>
      <c r="BX132" s="50"/>
      <c r="BY132" s="45">
        <v>0</v>
      </c>
      <c r="BZ132" s="45">
        <v>0</v>
      </c>
      <c r="CA132" s="45">
        <f t="shared" ref="CA132:CA139" si="141">CF132-BY131-BQ132-BW132</f>
        <v>0</v>
      </c>
      <c r="CB132" s="50"/>
      <c r="CC132" s="45">
        <f t="shared" ref="CC132:CC139" si="142">BQ132+BW132+BZ132-CF132+BY131-BY132</f>
        <v>0</v>
      </c>
      <c r="CD132" s="64">
        <f>BY132*Inputs!$F$16*Inputs!$G$16</f>
        <v>0</v>
      </c>
      <c r="CE132" s="45">
        <f>Inputs!$F$16*Inputs!$I$16*BZ132</f>
        <v>0</v>
      </c>
      <c r="CF132" s="55">
        <v>0</v>
      </c>
    </row>
    <row r="133" spans="1:85" x14ac:dyDescent="0.25">
      <c r="A133" s="116">
        <v>5</v>
      </c>
      <c r="B133" s="114" t="str">
        <f>Inputs!$A$16</f>
        <v>M4581200</v>
      </c>
      <c r="C133" s="45" t="str">
        <f>Inputs!$B$16</f>
        <v>PNT</v>
      </c>
      <c r="D133" s="45" t="s">
        <v>57</v>
      </c>
      <c r="E133" s="45">
        <v>0</v>
      </c>
      <c r="F133" s="50"/>
      <c r="G133" s="118">
        <v>5</v>
      </c>
      <c r="H133" s="114" t="str">
        <f>Inputs!$A$16</f>
        <v>M4581200</v>
      </c>
      <c r="I133" s="45" t="str">
        <f>Inputs!$B$16</f>
        <v>PNT</v>
      </c>
      <c r="J133" s="45" t="s">
        <v>58</v>
      </c>
      <c r="K133" s="45">
        <v>0</v>
      </c>
      <c r="L133" s="50"/>
      <c r="M133" s="45">
        <v>0</v>
      </c>
      <c r="N133" s="45">
        <v>0</v>
      </c>
      <c r="O133" s="45">
        <f t="shared" si="135"/>
        <v>0</v>
      </c>
      <c r="P133" s="50"/>
      <c r="Q133" s="45">
        <f t="shared" si="136"/>
        <v>0</v>
      </c>
      <c r="R133" s="64">
        <f>M133*Inputs!$F$16*Inputs!$G$16</f>
        <v>0</v>
      </c>
      <c r="S133" s="45">
        <f>Inputs!$F$16*Inputs!$I$16*N133</f>
        <v>0</v>
      </c>
      <c r="T133" s="18"/>
      <c r="U133" s="55">
        <v>0</v>
      </c>
      <c r="W133" s="116">
        <v>5</v>
      </c>
      <c r="X133" s="114" t="str">
        <f>Inputs!$A$16</f>
        <v>M4581200</v>
      </c>
      <c r="Y133" s="45" t="str">
        <f>Inputs!$B$16</f>
        <v>PNT</v>
      </c>
      <c r="Z133" s="45" t="s">
        <v>57</v>
      </c>
      <c r="AA133" s="45">
        <f t="shared" ref="AA133:AA196" si="143">E133</f>
        <v>0</v>
      </c>
      <c r="AB133" s="50"/>
      <c r="AC133" s="118">
        <v>5</v>
      </c>
      <c r="AD133" s="114" t="str">
        <f>Inputs!$A$16</f>
        <v>M4581200</v>
      </c>
      <c r="AE133" s="45" t="str">
        <f>Inputs!$B$16</f>
        <v>PNT</v>
      </c>
      <c r="AF133" s="45" t="s">
        <v>58</v>
      </c>
      <c r="AG133" s="45">
        <f t="shared" ref="AG133:AG196" si="144">K133</f>
        <v>0</v>
      </c>
      <c r="AH133" s="50"/>
      <c r="AI133" s="45">
        <v>0</v>
      </c>
      <c r="AJ133" s="45">
        <v>0</v>
      </c>
      <c r="AK133" s="45">
        <f t="shared" si="137"/>
        <v>0</v>
      </c>
      <c r="AL133" s="50"/>
      <c r="AM133" s="45">
        <f t="shared" si="138"/>
        <v>0</v>
      </c>
      <c r="AN133" s="64">
        <f>AI133*Inputs!$F$16*Inputs!$G$16</f>
        <v>0</v>
      </c>
      <c r="AO133" s="45">
        <f>Inputs!$F$16*Inputs!$I$16*AJ133</f>
        <v>0</v>
      </c>
      <c r="AP133" s="55">
        <v>0</v>
      </c>
      <c r="AR133" s="116">
        <v>5</v>
      </c>
      <c r="AS133" s="114" t="str">
        <f>Inputs!$A$16</f>
        <v>M4581200</v>
      </c>
      <c r="AT133" s="45" t="str">
        <f>Inputs!$B$16</f>
        <v>PNT</v>
      </c>
      <c r="AU133" s="45" t="s">
        <v>57</v>
      </c>
      <c r="AV133" s="45">
        <f t="shared" si="86"/>
        <v>0</v>
      </c>
      <c r="AW133" s="50"/>
      <c r="AX133" s="118">
        <v>5</v>
      </c>
      <c r="AY133" s="114" t="str">
        <f>Inputs!$A$16</f>
        <v>M4581200</v>
      </c>
      <c r="AZ133" s="45" t="str">
        <f>Inputs!$B$16</f>
        <v>PNT</v>
      </c>
      <c r="BA133" s="45" t="s">
        <v>58</v>
      </c>
      <c r="BB133" s="45">
        <f t="shared" ref="BB133:BB196" si="145">K133</f>
        <v>0</v>
      </c>
      <c r="BC133" s="50"/>
      <c r="BD133" s="45">
        <v>0</v>
      </c>
      <c r="BE133" s="45">
        <v>0</v>
      </c>
      <c r="BF133" s="45">
        <f t="shared" si="139"/>
        <v>0</v>
      </c>
      <c r="BG133" s="50"/>
      <c r="BH133" s="45">
        <f t="shared" si="140"/>
        <v>0</v>
      </c>
      <c r="BI133" s="64">
        <f>BD133*Inputs!$F$16*Inputs!$G$16</f>
        <v>0</v>
      </c>
      <c r="BJ133" s="45">
        <f>Inputs!$F$16*Inputs!$I$16*BE133</f>
        <v>0</v>
      </c>
      <c r="BK133" s="55">
        <v>0</v>
      </c>
      <c r="BM133" s="116">
        <v>5</v>
      </c>
      <c r="BN133" s="114" t="str">
        <f>Inputs!$A$16</f>
        <v>M4581200</v>
      </c>
      <c r="BO133" s="45" t="str">
        <f>Inputs!$B$16</f>
        <v>PNT</v>
      </c>
      <c r="BP133" s="45" t="s">
        <v>57</v>
      </c>
      <c r="BQ133" s="45">
        <f t="shared" ref="BQ133:BQ196" si="146">E133</f>
        <v>0</v>
      </c>
      <c r="BR133" s="50"/>
      <c r="BS133" s="118">
        <v>5</v>
      </c>
      <c r="BT133" s="114" t="str">
        <f>Inputs!$A$16</f>
        <v>M4581200</v>
      </c>
      <c r="BU133" s="45" t="str">
        <f>Inputs!$B$16</f>
        <v>PNT</v>
      </c>
      <c r="BV133" s="45" t="s">
        <v>58</v>
      </c>
      <c r="BW133" s="45">
        <f t="shared" ref="BW133:BW196" si="147">K133</f>
        <v>0</v>
      </c>
      <c r="BX133" s="50"/>
      <c r="BY133" s="45">
        <v>0</v>
      </c>
      <c r="BZ133" s="45">
        <v>0</v>
      </c>
      <c r="CA133" s="45">
        <f t="shared" si="141"/>
        <v>0</v>
      </c>
      <c r="CB133" s="50"/>
      <c r="CC133" s="45">
        <f t="shared" si="142"/>
        <v>0</v>
      </c>
      <c r="CD133" s="64">
        <f>BY133*Inputs!$F$16*Inputs!$G$16</f>
        <v>0</v>
      </c>
      <c r="CE133" s="45">
        <f>Inputs!$F$16*Inputs!$I$16*BZ133</f>
        <v>0</v>
      </c>
      <c r="CF133" s="55">
        <v>0</v>
      </c>
    </row>
    <row r="134" spans="1:85" x14ac:dyDescent="0.25">
      <c r="A134" s="116">
        <v>6</v>
      </c>
      <c r="B134" s="114" t="str">
        <f>Inputs!$A$16</f>
        <v>M4581200</v>
      </c>
      <c r="C134" s="45" t="str">
        <f>Inputs!$B$16</f>
        <v>PNT</v>
      </c>
      <c r="D134" s="45" t="s">
        <v>57</v>
      </c>
      <c r="E134" s="45">
        <v>0</v>
      </c>
      <c r="F134" s="50"/>
      <c r="G134" s="118">
        <v>6</v>
      </c>
      <c r="H134" s="114" t="str">
        <f>Inputs!$A$16</f>
        <v>M4581200</v>
      </c>
      <c r="I134" s="45" t="str">
        <f>Inputs!$B$16</f>
        <v>PNT</v>
      </c>
      <c r="J134" s="45" t="s">
        <v>58</v>
      </c>
      <c r="K134" s="45">
        <v>0</v>
      </c>
      <c r="L134" s="50"/>
      <c r="M134" s="45">
        <v>0</v>
      </c>
      <c r="N134" s="45">
        <v>0</v>
      </c>
      <c r="O134" s="45">
        <f t="shared" si="135"/>
        <v>0</v>
      </c>
      <c r="P134" s="50"/>
      <c r="Q134" s="45">
        <f t="shared" si="136"/>
        <v>0</v>
      </c>
      <c r="R134" s="64">
        <f>M134*Inputs!$F$16*Inputs!$G$16</f>
        <v>0</v>
      </c>
      <c r="S134" s="45">
        <f>Inputs!$F$16*Inputs!$I$16*N134</f>
        <v>0</v>
      </c>
      <c r="T134" s="18"/>
      <c r="U134" s="55">
        <v>0</v>
      </c>
      <c r="W134" s="116">
        <v>6</v>
      </c>
      <c r="X134" s="114" t="str">
        <f>Inputs!$A$16</f>
        <v>M4581200</v>
      </c>
      <c r="Y134" s="45" t="str">
        <f>Inputs!$B$16</f>
        <v>PNT</v>
      </c>
      <c r="Z134" s="45" t="s">
        <v>57</v>
      </c>
      <c r="AA134" s="45">
        <f t="shared" si="143"/>
        <v>0</v>
      </c>
      <c r="AB134" s="50"/>
      <c r="AC134" s="118">
        <v>6</v>
      </c>
      <c r="AD134" s="114" t="str">
        <f>Inputs!$A$16</f>
        <v>M4581200</v>
      </c>
      <c r="AE134" s="45" t="str">
        <f>Inputs!$B$16</f>
        <v>PNT</v>
      </c>
      <c r="AF134" s="45" t="s">
        <v>58</v>
      </c>
      <c r="AG134" s="45">
        <f t="shared" si="144"/>
        <v>0</v>
      </c>
      <c r="AH134" s="50"/>
      <c r="AI134" s="45">
        <v>0</v>
      </c>
      <c r="AJ134" s="45">
        <v>0</v>
      </c>
      <c r="AK134" s="45">
        <f t="shared" si="137"/>
        <v>0</v>
      </c>
      <c r="AL134" s="50"/>
      <c r="AM134" s="45">
        <f t="shared" si="138"/>
        <v>0</v>
      </c>
      <c r="AN134" s="64">
        <f>AI134*Inputs!$F$16*Inputs!$G$16</f>
        <v>0</v>
      </c>
      <c r="AO134" s="45">
        <f>Inputs!$F$16*Inputs!$I$16*AJ134</f>
        <v>0</v>
      </c>
      <c r="AP134" s="55">
        <v>0</v>
      </c>
      <c r="AR134" s="116">
        <v>6</v>
      </c>
      <c r="AS134" s="114" t="str">
        <f>Inputs!$A$16</f>
        <v>M4581200</v>
      </c>
      <c r="AT134" s="45" t="str">
        <f>Inputs!$B$16</f>
        <v>PNT</v>
      </c>
      <c r="AU134" s="45" t="s">
        <v>57</v>
      </c>
      <c r="AV134" s="45">
        <f t="shared" ref="AV134:AV197" si="148">E134</f>
        <v>0</v>
      </c>
      <c r="AW134" s="50"/>
      <c r="AX134" s="118">
        <v>6</v>
      </c>
      <c r="AY134" s="114" t="str">
        <f>Inputs!$A$16</f>
        <v>M4581200</v>
      </c>
      <c r="AZ134" s="45" t="str">
        <f>Inputs!$B$16</f>
        <v>PNT</v>
      </c>
      <c r="BA134" s="45" t="s">
        <v>58</v>
      </c>
      <c r="BB134" s="45">
        <f t="shared" si="145"/>
        <v>0</v>
      </c>
      <c r="BC134" s="50"/>
      <c r="BD134" s="45">
        <v>0</v>
      </c>
      <c r="BE134" s="45">
        <v>0</v>
      </c>
      <c r="BF134" s="45">
        <f t="shared" si="139"/>
        <v>0</v>
      </c>
      <c r="BG134" s="50"/>
      <c r="BH134" s="45">
        <f t="shared" si="140"/>
        <v>0</v>
      </c>
      <c r="BI134" s="64">
        <f>BD134*Inputs!$F$16*Inputs!$G$16</f>
        <v>0</v>
      </c>
      <c r="BJ134" s="45">
        <f>Inputs!$F$16*Inputs!$I$16*BE134</f>
        <v>0</v>
      </c>
      <c r="BK134" s="55">
        <v>0</v>
      </c>
      <c r="BM134" s="116">
        <v>6</v>
      </c>
      <c r="BN134" s="114" t="str">
        <f>Inputs!$A$16</f>
        <v>M4581200</v>
      </c>
      <c r="BO134" s="45" t="str">
        <f>Inputs!$B$16</f>
        <v>PNT</v>
      </c>
      <c r="BP134" s="45" t="s">
        <v>57</v>
      </c>
      <c r="BQ134" s="45">
        <f t="shared" si="146"/>
        <v>0</v>
      </c>
      <c r="BR134" s="50"/>
      <c r="BS134" s="118">
        <v>6</v>
      </c>
      <c r="BT134" s="114" t="str">
        <f>Inputs!$A$16</f>
        <v>M4581200</v>
      </c>
      <c r="BU134" s="45" t="str">
        <f>Inputs!$B$16</f>
        <v>PNT</v>
      </c>
      <c r="BV134" s="45" t="s">
        <v>58</v>
      </c>
      <c r="BW134" s="45">
        <f t="shared" si="147"/>
        <v>0</v>
      </c>
      <c r="BX134" s="50"/>
      <c r="BY134" s="45">
        <v>0</v>
      </c>
      <c r="BZ134" s="45">
        <v>0</v>
      </c>
      <c r="CA134" s="45">
        <f t="shared" si="141"/>
        <v>0</v>
      </c>
      <c r="CB134" s="50"/>
      <c r="CC134" s="45">
        <f t="shared" si="142"/>
        <v>0</v>
      </c>
      <c r="CD134" s="64">
        <f>BY134*Inputs!$F$16*Inputs!$G$16</f>
        <v>0</v>
      </c>
      <c r="CE134" s="45">
        <f>Inputs!$F$16*Inputs!$I$16*BZ134</f>
        <v>0</v>
      </c>
      <c r="CF134" s="55">
        <v>0</v>
      </c>
    </row>
    <row r="135" spans="1:85" x14ac:dyDescent="0.25">
      <c r="A135" s="116">
        <v>7</v>
      </c>
      <c r="B135" s="114" t="str">
        <f>Inputs!$A$16</f>
        <v>M4581200</v>
      </c>
      <c r="C135" s="45" t="str">
        <f>Inputs!$B$16</f>
        <v>PNT</v>
      </c>
      <c r="D135" s="45" t="s">
        <v>57</v>
      </c>
      <c r="E135" s="45">
        <v>0</v>
      </c>
      <c r="F135" s="50"/>
      <c r="G135" s="118">
        <v>7</v>
      </c>
      <c r="H135" s="114" t="str">
        <f>Inputs!$A$16</f>
        <v>M4581200</v>
      </c>
      <c r="I135" s="45" t="str">
        <f>Inputs!$B$16</f>
        <v>PNT</v>
      </c>
      <c r="J135" s="45" t="s">
        <v>58</v>
      </c>
      <c r="K135" s="45">
        <v>45.866667</v>
      </c>
      <c r="L135" s="50"/>
      <c r="M135" s="45">
        <v>45.866667</v>
      </c>
      <c r="N135" s="45">
        <v>0</v>
      </c>
      <c r="O135" s="45">
        <f t="shared" si="135"/>
        <v>-45.866667</v>
      </c>
      <c r="P135" s="50"/>
      <c r="Q135" s="45">
        <f t="shared" si="136"/>
        <v>0</v>
      </c>
      <c r="R135" s="64">
        <f>M135*Inputs!$F$16*Inputs!$G$16</f>
        <v>125729.936913735</v>
      </c>
      <c r="S135" s="45">
        <f>Inputs!$F$16*Inputs!$I$16*N135</f>
        <v>0</v>
      </c>
      <c r="T135" s="18"/>
      <c r="U135" s="55">
        <v>0</v>
      </c>
      <c r="W135" s="116">
        <v>7</v>
      </c>
      <c r="X135" s="114" t="str">
        <f>Inputs!$A$16</f>
        <v>M4581200</v>
      </c>
      <c r="Y135" s="45" t="str">
        <f>Inputs!$B$16</f>
        <v>PNT</v>
      </c>
      <c r="Z135" s="45" t="s">
        <v>57</v>
      </c>
      <c r="AA135" s="45">
        <f t="shared" si="143"/>
        <v>0</v>
      </c>
      <c r="AB135" s="50"/>
      <c r="AC135" s="118">
        <v>7</v>
      </c>
      <c r="AD135" s="114" t="str">
        <f>Inputs!$A$16</f>
        <v>M4581200</v>
      </c>
      <c r="AE135" s="45" t="str">
        <f>Inputs!$B$16</f>
        <v>PNT</v>
      </c>
      <c r="AF135" s="45" t="s">
        <v>58</v>
      </c>
      <c r="AG135" s="45">
        <f t="shared" si="144"/>
        <v>45.866667</v>
      </c>
      <c r="AH135" s="50"/>
      <c r="AI135" s="45">
        <v>36.693333000000003</v>
      </c>
      <c r="AJ135" s="45">
        <v>0</v>
      </c>
      <c r="AK135" s="45">
        <f t="shared" si="137"/>
        <v>-36.693333666666668</v>
      </c>
      <c r="AL135" s="50"/>
      <c r="AM135" s="45">
        <f t="shared" si="138"/>
        <v>6.6666666498349514E-7</v>
      </c>
      <c r="AN135" s="64">
        <f>AI135*Inputs!$F$16*Inputs!$G$16</f>
        <v>100583.94788626501</v>
      </c>
      <c r="AO135" s="45">
        <f>Inputs!$F$16*Inputs!$I$16*AJ135</f>
        <v>0</v>
      </c>
      <c r="AP135" s="55">
        <v>9.173333333333332</v>
      </c>
      <c r="AR135" s="116">
        <v>7</v>
      </c>
      <c r="AS135" s="114" t="str">
        <f>Inputs!$A$16</f>
        <v>M4581200</v>
      </c>
      <c r="AT135" s="45" t="str">
        <f>Inputs!$B$16</f>
        <v>PNT</v>
      </c>
      <c r="AU135" s="45" t="s">
        <v>57</v>
      </c>
      <c r="AV135" s="45">
        <f t="shared" si="148"/>
        <v>0</v>
      </c>
      <c r="AW135" s="50"/>
      <c r="AX135" s="118">
        <v>7</v>
      </c>
      <c r="AY135" s="114" t="str">
        <f>Inputs!$A$16</f>
        <v>M4581200</v>
      </c>
      <c r="AZ135" s="45" t="str">
        <f>Inputs!$B$16</f>
        <v>PNT</v>
      </c>
      <c r="BA135" s="45" t="s">
        <v>58</v>
      </c>
      <c r="BB135" s="45">
        <f t="shared" si="145"/>
        <v>45.866667</v>
      </c>
      <c r="BC135" s="50"/>
      <c r="BD135" s="45">
        <v>26.602667</v>
      </c>
      <c r="BE135" s="45">
        <v>0</v>
      </c>
      <c r="BF135" s="45">
        <f t="shared" si="139"/>
        <v>-26.602667</v>
      </c>
      <c r="BG135" s="50"/>
      <c r="BH135" s="45">
        <f t="shared" si="140"/>
        <v>0</v>
      </c>
      <c r="BI135" s="64">
        <f>BD135*Inputs!$F$16*Inputs!$G$16</f>
        <v>72923.363793734999</v>
      </c>
      <c r="BJ135" s="45">
        <f>Inputs!$F$16*Inputs!$I$16*BE135</f>
        <v>0</v>
      </c>
      <c r="BK135" s="55">
        <v>19.263999999999999</v>
      </c>
      <c r="BM135" s="116">
        <v>7</v>
      </c>
      <c r="BN135" s="114" t="str">
        <f>Inputs!$A$16</f>
        <v>M4581200</v>
      </c>
      <c r="BO135" s="45" t="str">
        <f>Inputs!$B$16</f>
        <v>PNT</v>
      </c>
      <c r="BP135" s="45" t="s">
        <v>57</v>
      </c>
      <c r="BQ135" s="45">
        <f t="shared" si="146"/>
        <v>0</v>
      </c>
      <c r="BR135" s="50"/>
      <c r="BS135" s="118">
        <v>7</v>
      </c>
      <c r="BT135" s="114" t="str">
        <f>Inputs!$A$16</f>
        <v>M4581200</v>
      </c>
      <c r="BU135" s="45" t="str">
        <f>Inputs!$B$16</f>
        <v>PNT</v>
      </c>
      <c r="BV135" s="45" t="s">
        <v>58</v>
      </c>
      <c r="BW135" s="45">
        <f t="shared" si="147"/>
        <v>45.866667</v>
      </c>
      <c r="BX135" s="50"/>
      <c r="BY135" s="45">
        <v>0</v>
      </c>
      <c r="BZ135" s="45">
        <v>0</v>
      </c>
      <c r="CA135" s="45">
        <f t="shared" si="141"/>
        <v>-3.3333333959717493E-7</v>
      </c>
      <c r="CB135" s="50"/>
      <c r="CC135" s="45">
        <f t="shared" si="142"/>
        <v>3.3333333959717493E-7</v>
      </c>
      <c r="CD135" s="64">
        <f>BY135*Inputs!$F$16*Inputs!$G$16</f>
        <v>0</v>
      </c>
      <c r="CE135" s="45">
        <f>Inputs!$F$16*Inputs!$I$16*BZ135</f>
        <v>0</v>
      </c>
      <c r="CF135" s="55">
        <v>45.86666666666666</v>
      </c>
      <c r="CG135" s="120"/>
    </row>
    <row r="136" spans="1:85" x14ac:dyDescent="0.25">
      <c r="A136" s="116">
        <v>8</v>
      </c>
      <c r="B136" s="114" t="str">
        <f>Inputs!$A$16</f>
        <v>M4581200</v>
      </c>
      <c r="C136" s="45" t="str">
        <f>Inputs!$B$16</f>
        <v>PNT</v>
      </c>
      <c r="D136" s="45" t="s">
        <v>57</v>
      </c>
      <c r="E136" s="45">
        <v>83.444176999999996</v>
      </c>
      <c r="F136" s="50"/>
      <c r="G136" s="118">
        <v>8</v>
      </c>
      <c r="H136" s="114" t="str">
        <f>Inputs!$A$16</f>
        <v>M4581200</v>
      </c>
      <c r="I136" s="45" t="str">
        <f>Inputs!$B$16</f>
        <v>PNT</v>
      </c>
      <c r="J136" s="45" t="s">
        <v>58</v>
      </c>
      <c r="K136" s="45">
        <v>0</v>
      </c>
      <c r="L136" s="50"/>
      <c r="M136" s="45">
        <v>0</v>
      </c>
      <c r="N136" s="45">
        <v>0</v>
      </c>
      <c r="O136" s="45">
        <f t="shared" si="135"/>
        <v>-6.2650602217217966E-7</v>
      </c>
      <c r="P136" s="50"/>
      <c r="Q136" s="45">
        <f t="shared" si="136"/>
        <v>6.265060150667523E-7</v>
      </c>
      <c r="R136" s="64">
        <f>M136*Inputs!$F$16*Inputs!$G$16</f>
        <v>0</v>
      </c>
      <c r="S136" s="45">
        <f>Inputs!$F$16*Inputs!$I$16*N136</f>
        <v>0</v>
      </c>
      <c r="T136" s="18"/>
      <c r="U136" s="55">
        <v>129.31084337349398</v>
      </c>
      <c r="W136" s="116">
        <v>8</v>
      </c>
      <c r="X136" s="114" t="str">
        <f>Inputs!$A$16</f>
        <v>M4581200</v>
      </c>
      <c r="Y136" s="45" t="str">
        <f>Inputs!$B$16</f>
        <v>PNT</v>
      </c>
      <c r="Z136" s="45" t="s">
        <v>57</v>
      </c>
      <c r="AA136" s="45">
        <f t="shared" si="143"/>
        <v>83.444176999999996</v>
      </c>
      <c r="AB136" s="50"/>
      <c r="AC136" s="118">
        <v>8</v>
      </c>
      <c r="AD136" s="114" t="str">
        <f>Inputs!$A$16</f>
        <v>M4581200</v>
      </c>
      <c r="AE136" s="45" t="str">
        <f>Inputs!$B$16</f>
        <v>PNT</v>
      </c>
      <c r="AF136" s="45" t="s">
        <v>58</v>
      </c>
      <c r="AG136" s="45">
        <f t="shared" si="144"/>
        <v>0</v>
      </c>
      <c r="AH136" s="50"/>
      <c r="AI136" s="45">
        <v>101.79084</v>
      </c>
      <c r="AJ136" s="45">
        <v>0</v>
      </c>
      <c r="AK136" s="45">
        <f t="shared" si="137"/>
        <v>-101.79084333333333</v>
      </c>
      <c r="AL136" s="50"/>
      <c r="AM136" s="45">
        <f t="shared" si="138"/>
        <v>3.3333333249174757E-6</v>
      </c>
      <c r="AN136" s="64">
        <f>AI136*Inputs!$F$16*Inputs!$G$16</f>
        <v>279029.55956220004</v>
      </c>
      <c r="AO136" s="45">
        <f>Inputs!$F$16*Inputs!$I$16*AJ136</f>
        <v>0</v>
      </c>
      <c r="AP136" s="55">
        <v>18.346666666666664</v>
      </c>
      <c r="AR136" s="116">
        <v>8</v>
      </c>
      <c r="AS136" s="114" t="str">
        <f>Inputs!$A$16</f>
        <v>M4581200</v>
      </c>
      <c r="AT136" s="45" t="str">
        <f>Inputs!$B$16</f>
        <v>PNT</v>
      </c>
      <c r="AU136" s="45" t="s">
        <v>57</v>
      </c>
      <c r="AV136" s="45">
        <f t="shared" si="148"/>
        <v>83.444176999999996</v>
      </c>
      <c r="AW136" s="50"/>
      <c r="AX136" s="118">
        <v>8</v>
      </c>
      <c r="AY136" s="114" t="str">
        <f>Inputs!$A$16</f>
        <v>M4581200</v>
      </c>
      <c r="AZ136" s="45" t="str">
        <f>Inputs!$B$16</f>
        <v>PNT</v>
      </c>
      <c r="BA136" s="45" t="s">
        <v>58</v>
      </c>
      <c r="BB136" s="45">
        <f t="shared" si="145"/>
        <v>0</v>
      </c>
      <c r="BC136" s="50"/>
      <c r="BD136" s="45">
        <v>78.398842999999999</v>
      </c>
      <c r="BE136" s="45">
        <v>0</v>
      </c>
      <c r="BF136" s="45">
        <f t="shared" si="139"/>
        <v>-78.398843999999997</v>
      </c>
      <c r="BG136" s="50"/>
      <c r="BH136" s="45">
        <f t="shared" si="140"/>
        <v>9.9999999747524271E-7</v>
      </c>
      <c r="BI136" s="64">
        <f>BD136*Inputs!$F$16*Inputs!$G$16</f>
        <v>214907.30042581502</v>
      </c>
      <c r="BJ136" s="45">
        <f>Inputs!$F$16*Inputs!$I$16*BE136</f>
        <v>0</v>
      </c>
      <c r="BK136" s="55">
        <v>31.648</v>
      </c>
      <c r="BM136" s="116">
        <v>8</v>
      </c>
      <c r="BN136" s="114" t="str">
        <f>Inputs!$A$16</f>
        <v>M4581200</v>
      </c>
      <c r="BO136" s="45" t="str">
        <f>Inputs!$B$16</f>
        <v>PNT</v>
      </c>
      <c r="BP136" s="45" t="s">
        <v>57</v>
      </c>
      <c r="BQ136" s="45">
        <f t="shared" si="146"/>
        <v>83.444176999999996</v>
      </c>
      <c r="BR136" s="50"/>
      <c r="BS136" s="118">
        <v>8</v>
      </c>
      <c r="BT136" s="114" t="str">
        <f>Inputs!$A$16</f>
        <v>M4581200</v>
      </c>
      <c r="BU136" s="45" t="str">
        <f>Inputs!$B$16</f>
        <v>PNT</v>
      </c>
      <c r="BV136" s="45" t="s">
        <v>58</v>
      </c>
      <c r="BW136" s="45">
        <f t="shared" si="147"/>
        <v>0</v>
      </c>
      <c r="BX136" s="50"/>
      <c r="BY136" s="45">
        <v>46.750843000000003</v>
      </c>
      <c r="BZ136" s="45">
        <v>0</v>
      </c>
      <c r="CA136" s="45">
        <f t="shared" si="141"/>
        <v>-46.750843666666668</v>
      </c>
      <c r="CB136" s="50"/>
      <c r="CC136" s="45">
        <f t="shared" si="142"/>
        <v>6.6666666498349514E-7</v>
      </c>
      <c r="CD136" s="64">
        <f>BY136*Inputs!$F$16*Inputs!$G$16</f>
        <v>128153.644585815</v>
      </c>
      <c r="CE136" s="45">
        <f>Inputs!$F$16*Inputs!$I$16*BZ136</f>
        <v>0</v>
      </c>
      <c r="CF136" s="55">
        <v>36.693333333333328</v>
      </c>
    </row>
    <row r="137" spans="1:85" x14ac:dyDescent="0.25">
      <c r="A137" s="116">
        <v>9</v>
      </c>
      <c r="B137" s="114" t="str">
        <f>Inputs!$A$16</f>
        <v>M4581200</v>
      </c>
      <c r="C137" s="45" t="str">
        <f>Inputs!$B$16</f>
        <v>PNT</v>
      </c>
      <c r="D137" s="45" t="s">
        <v>57</v>
      </c>
      <c r="E137" s="45">
        <v>0</v>
      </c>
      <c r="F137" s="50"/>
      <c r="G137" s="118">
        <v>9</v>
      </c>
      <c r="H137" s="114" t="str">
        <f>Inputs!$A$16</f>
        <v>M4581200</v>
      </c>
      <c r="I137" s="45" t="str">
        <f>Inputs!$B$16</f>
        <v>PNT</v>
      </c>
      <c r="J137" s="45" t="s">
        <v>58</v>
      </c>
      <c r="K137" s="45">
        <v>0</v>
      </c>
      <c r="L137" s="50"/>
      <c r="M137" s="45">
        <v>0</v>
      </c>
      <c r="N137" s="45">
        <v>0</v>
      </c>
      <c r="O137" s="45">
        <f t="shared" si="135"/>
        <v>0</v>
      </c>
      <c r="P137" s="50"/>
      <c r="Q137" s="45">
        <f t="shared" si="136"/>
        <v>0</v>
      </c>
      <c r="R137" s="64">
        <f>M137*Inputs!$F$16*Inputs!$G$16</f>
        <v>0</v>
      </c>
      <c r="S137" s="45">
        <f>Inputs!$F$16*Inputs!$I$16*N137</f>
        <v>0</v>
      </c>
      <c r="T137" s="18"/>
      <c r="U137" s="55">
        <v>0</v>
      </c>
      <c r="W137" s="116">
        <v>9</v>
      </c>
      <c r="X137" s="114" t="str">
        <f>Inputs!$A$16</f>
        <v>M4581200</v>
      </c>
      <c r="Y137" s="45" t="str">
        <f>Inputs!$B$16</f>
        <v>PNT</v>
      </c>
      <c r="Z137" s="45" t="s">
        <v>57</v>
      </c>
      <c r="AA137" s="45">
        <f t="shared" si="143"/>
        <v>0</v>
      </c>
      <c r="AB137" s="50"/>
      <c r="AC137" s="118">
        <v>9</v>
      </c>
      <c r="AD137" s="114" t="str">
        <f>Inputs!$A$16</f>
        <v>M4581200</v>
      </c>
      <c r="AE137" s="45" t="str">
        <f>Inputs!$B$16</f>
        <v>PNT</v>
      </c>
      <c r="AF137" s="45" t="s">
        <v>58</v>
      </c>
      <c r="AG137" s="45">
        <f t="shared" si="144"/>
        <v>0</v>
      </c>
      <c r="AH137" s="50"/>
      <c r="AI137" s="45">
        <v>74.270842999999999</v>
      </c>
      <c r="AJ137" s="45">
        <v>0</v>
      </c>
      <c r="AK137" s="45">
        <f t="shared" si="137"/>
        <v>-74.270840000000007</v>
      </c>
      <c r="AL137" s="50"/>
      <c r="AM137" s="45">
        <f t="shared" si="138"/>
        <v>-2.9999999924257281E-6</v>
      </c>
      <c r="AN137" s="64">
        <f>AI137*Inputs!$F$16*Inputs!$G$16</f>
        <v>203591.60618581501</v>
      </c>
      <c r="AO137" s="45">
        <f>Inputs!$F$16*Inputs!$I$16*AJ137</f>
        <v>0</v>
      </c>
      <c r="AP137" s="55">
        <v>27.519999999999996</v>
      </c>
      <c r="AR137" s="116">
        <v>9</v>
      </c>
      <c r="AS137" s="114" t="str">
        <f>Inputs!$A$16</f>
        <v>M4581200</v>
      </c>
      <c r="AT137" s="45" t="str">
        <f>Inputs!$B$16</f>
        <v>PNT</v>
      </c>
      <c r="AU137" s="45" t="s">
        <v>57</v>
      </c>
      <c r="AV137" s="45">
        <f t="shared" si="148"/>
        <v>0</v>
      </c>
      <c r="AW137" s="50"/>
      <c r="AX137" s="118">
        <v>9</v>
      </c>
      <c r="AY137" s="114" t="str">
        <f>Inputs!$A$16</f>
        <v>M4581200</v>
      </c>
      <c r="AZ137" s="45" t="str">
        <f>Inputs!$B$16</f>
        <v>PNT</v>
      </c>
      <c r="BA137" s="45" t="s">
        <v>58</v>
      </c>
      <c r="BB137" s="45">
        <f t="shared" si="145"/>
        <v>0</v>
      </c>
      <c r="BC137" s="50"/>
      <c r="BD137" s="45">
        <v>42.622843000000003</v>
      </c>
      <c r="BE137" s="45">
        <v>0</v>
      </c>
      <c r="BF137" s="45">
        <f t="shared" si="139"/>
        <v>-42.622843000000003</v>
      </c>
      <c r="BG137" s="50"/>
      <c r="BH137" s="45">
        <f t="shared" si="140"/>
        <v>0</v>
      </c>
      <c r="BI137" s="64">
        <f>BD137*Inputs!$F$16*Inputs!$G$16</f>
        <v>116837.95034581501</v>
      </c>
      <c r="BJ137" s="45">
        <f>Inputs!$F$16*Inputs!$I$16*BE137</f>
        <v>0</v>
      </c>
      <c r="BK137" s="55">
        <v>35.775999999999996</v>
      </c>
      <c r="BM137" s="116">
        <v>9</v>
      </c>
      <c r="BN137" s="114" t="str">
        <f>Inputs!$A$16</f>
        <v>M4581200</v>
      </c>
      <c r="BO137" s="45" t="str">
        <f>Inputs!$B$16</f>
        <v>PNT</v>
      </c>
      <c r="BP137" s="45" t="s">
        <v>57</v>
      </c>
      <c r="BQ137" s="45">
        <f t="shared" si="146"/>
        <v>0</v>
      </c>
      <c r="BR137" s="50"/>
      <c r="BS137" s="118">
        <v>9</v>
      </c>
      <c r="BT137" s="114" t="str">
        <f>Inputs!$A$16</f>
        <v>M4581200</v>
      </c>
      <c r="BU137" s="45" t="str">
        <f>Inputs!$B$16</f>
        <v>PNT</v>
      </c>
      <c r="BV137" s="45" t="s">
        <v>58</v>
      </c>
      <c r="BW137" s="45">
        <f t="shared" si="147"/>
        <v>0</v>
      </c>
      <c r="BX137" s="50"/>
      <c r="BY137" s="45">
        <v>19.230843</v>
      </c>
      <c r="BZ137" s="45">
        <v>0</v>
      </c>
      <c r="CA137" s="45">
        <f t="shared" si="141"/>
        <v>-19.230843000000007</v>
      </c>
      <c r="CB137" s="50"/>
      <c r="CC137" s="45">
        <f t="shared" si="142"/>
        <v>0</v>
      </c>
      <c r="CD137" s="64">
        <f>BY137*Inputs!$F$16*Inputs!$G$16</f>
        <v>52715.682985814994</v>
      </c>
      <c r="CE137" s="45">
        <f>Inputs!$F$16*Inputs!$I$16*BZ137</f>
        <v>0</v>
      </c>
      <c r="CF137" s="55">
        <v>27.519999999999996</v>
      </c>
    </row>
    <row r="138" spans="1:85" x14ac:dyDescent="0.25">
      <c r="A138" s="116">
        <v>10</v>
      </c>
      <c r="B138" s="114" t="str">
        <f>Inputs!$A$16</f>
        <v>M4581200</v>
      </c>
      <c r="C138" s="45" t="str">
        <f>Inputs!$B$16</f>
        <v>PNT</v>
      </c>
      <c r="D138" s="45" t="s">
        <v>57</v>
      </c>
      <c r="E138" s="45">
        <v>8.2891566000000001</v>
      </c>
      <c r="F138" s="50"/>
      <c r="G138" s="118">
        <v>10</v>
      </c>
      <c r="H138" s="114" t="str">
        <f>Inputs!$A$16</f>
        <v>M4581200</v>
      </c>
      <c r="I138" s="45" t="str">
        <f>Inputs!$B$16</f>
        <v>PNT</v>
      </c>
      <c r="J138" s="45" t="s">
        <v>58</v>
      </c>
      <c r="K138" s="45">
        <v>0</v>
      </c>
      <c r="L138" s="50"/>
      <c r="M138" s="45">
        <v>0</v>
      </c>
      <c r="N138" s="45">
        <v>0</v>
      </c>
      <c r="O138" s="45">
        <f t="shared" si="135"/>
        <v>2.6506024042305398E-8</v>
      </c>
      <c r="P138" s="50"/>
      <c r="Q138" s="45">
        <f t="shared" si="136"/>
        <v>-2.6506024042305398E-8</v>
      </c>
      <c r="R138" s="64">
        <f>M138*Inputs!$F$16*Inputs!$G$16</f>
        <v>0</v>
      </c>
      <c r="S138" s="45">
        <f>Inputs!$F$16*Inputs!$I$16*N138</f>
        <v>0</v>
      </c>
      <c r="T138" s="18"/>
      <c r="U138" s="91">
        <v>8.2891566265060241</v>
      </c>
      <c r="W138" s="116">
        <v>10</v>
      </c>
      <c r="X138" s="114" t="str">
        <f>Inputs!$A$16</f>
        <v>M4581200</v>
      </c>
      <c r="Y138" s="45" t="str">
        <f>Inputs!$B$16</f>
        <v>PNT</v>
      </c>
      <c r="Z138" s="45" t="s">
        <v>57</v>
      </c>
      <c r="AA138" s="45">
        <f t="shared" si="143"/>
        <v>8.2891566000000001</v>
      </c>
      <c r="AB138" s="50"/>
      <c r="AC138" s="118">
        <v>10</v>
      </c>
      <c r="AD138" s="114" t="str">
        <f>Inputs!$A$16</f>
        <v>M4581200</v>
      </c>
      <c r="AE138" s="45" t="str">
        <f>Inputs!$B$16</f>
        <v>PNT</v>
      </c>
      <c r="AF138" s="45" t="s">
        <v>58</v>
      </c>
      <c r="AG138" s="45">
        <f t="shared" si="144"/>
        <v>0</v>
      </c>
      <c r="AH138" s="50"/>
      <c r="AI138" s="45">
        <v>45.866667</v>
      </c>
      <c r="AJ138" s="45">
        <v>0</v>
      </c>
      <c r="AK138" s="45">
        <f t="shared" si="137"/>
        <v>-45.86666626666667</v>
      </c>
      <c r="AL138" s="50"/>
      <c r="AM138" s="45">
        <f t="shared" si="138"/>
        <v>-7.3333333006075918E-7</v>
      </c>
      <c r="AN138" s="64">
        <f>AI138*Inputs!$F$16*Inputs!$G$16</f>
        <v>125729.936913735</v>
      </c>
      <c r="AO138" s="45">
        <f>Inputs!$F$16*Inputs!$I$16*AJ138</f>
        <v>0</v>
      </c>
      <c r="AP138" s="91">
        <v>36.693333333333328</v>
      </c>
      <c r="AR138" s="116">
        <v>10</v>
      </c>
      <c r="AS138" s="114" t="str">
        <f>Inputs!$A$16</f>
        <v>M4581200</v>
      </c>
      <c r="AT138" s="45" t="str">
        <f>Inputs!$B$16</f>
        <v>PNT</v>
      </c>
      <c r="AU138" s="45" t="s">
        <v>57</v>
      </c>
      <c r="AV138" s="45">
        <f t="shared" si="148"/>
        <v>8.2891566000000001</v>
      </c>
      <c r="AW138" s="50"/>
      <c r="AX138" s="118">
        <v>10</v>
      </c>
      <c r="AY138" s="114" t="str">
        <f>Inputs!$A$16</f>
        <v>M4581200</v>
      </c>
      <c r="AZ138" s="45" t="str">
        <f>Inputs!$B$16</f>
        <v>PNT</v>
      </c>
      <c r="BA138" s="45" t="s">
        <v>58</v>
      </c>
      <c r="BB138" s="45">
        <f t="shared" si="145"/>
        <v>0</v>
      </c>
      <c r="BC138" s="50"/>
      <c r="BD138" s="45">
        <v>19.263999999999999</v>
      </c>
      <c r="BE138" s="45">
        <v>0</v>
      </c>
      <c r="BF138" s="45">
        <f t="shared" si="139"/>
        <v>-19.263999600000005</v>
      </c>
      <c r="BG138" s="50"/>
      <c r="BH138" s="45">
        <f t="shared" si="140"/>
        <v>-3.9999999401629793E-7</v>
      </c>
      <c r="BI138" s="64">
        <f>BD138*Inputs!$F$16*Inputs!$G$16</f>
        <v>52806.573119999994</v>
      </c>
      <c r="BJ138" s="45">
        <f>Inputs!$F$16*Inputs!$I$16*BE138</f>
        <v>0</v>
      </c>
      <c r="BK138" s="91">
        <v>31.648</v>
      </c>
      <c r="BM138" s="116">
        <v>10</v>
      </c>
      <c r="BN138" s="114" t="str">
        <f>Inputs!$A$16</f>
        <v>M4581200</v>
      </c>
      <c r="BO138" s="45" t="str">
        <f>Inputs!$B$16</f>
        <v>PNT</v>
      </c>
      <c r="BP138" s="45" t="s">
        <v>57</v>
      </c>
      <c r="BQ138" s="45">
        <f t="shared" si="146"/>
        <v>8.2891566000000001</v>
      </c>
      <c r="BR138" s="50"/>
      <c r="BS138" s="118">
        <v>10</v>
      </c>
      <c r="BT138" s="114" t="str">
        <f>Inputs!$A$16</f>
        <v>M4581200</v>
      </c>
      <c r="BU138" s="45" t="str">
        <f>Inputs!$B$16</f>
        <v>PNT</v>
      </c>
      <c r="BV138" s="45" t="s">
        <v>58</v>
      </c>
      <c r="BW138" s="45">
        <f t="shared" si="147"/>
        <v>0</v>
      </c>
      <c r="BX138" s="50"/>
      <c r="BY138" s="45">
        <v>9.1733332999999995</v>
      </c>
      <c r="BZ138" s="45">
        <v>0</v>
      </c>
      <c r="CA138" s="45">
        <f t="shared" si="141"/>
        <v>-9.1733329333333362</v>
      </c>
      <c r="CB138" s="50"/>
      <c r="CC138" s="45">
        <f t="shared" si="142"/>
        <v>-3.6666666325402275E-7</v>
      </c>
      <c r="CD138" s="64">
        <f>BY138*Inputs!$F$16*Inputs!$G$16</f>
        <v>25145.987108626501</v>
      </c>
      <c r="CE138" s="45">
        <f>Inputs!$F$16*Inputs!$I$16*BZ138</f>
        <v>0</v>
      </c>
      <c r="CF138" s="91">
        <v>18.346666666666664</v>
      </c>
      <c r="CG138" s="90"/>
    </row>
    <row r="139" spans="1:85" x14ac:dyDescent="0.25">
      <c r="A139" s="116">
        <v>11</v>
      </c>
      <c r="B139" s="114" t="str">
        <f>Inputs!$A$16</f>
        <v>M4581200</v>
      </c>
      <c r="C139" s="45" t="str">
        <f>Inputs!$B$16</f>
        <v>PNT</v>
      </c>
      <c r="D139" s="45" t="s">
        <v>57</v>
      </c>
      <c r="E139" s="45">
        <v>0</v>
      </c>
      <c r="F139" s="50"/>
      <c r="G139" s="118">
        <v>11</v>
      </c>
      <c r="H139" s="114" t="str">
        <f>Inputs!$A$16</f>
        <v>M4581200</v>
      </c>
      <c r="I139" s="45" t="str">
        <f>Inputs!$B$16</f>
        <v>PNT</v>
      </c>
      <c r="J139" s="45" t="s">
        <v>58</v>
      </c>
      <c r="K139" s="45">
        <v>0</v>
      </c>
      <c r="L139" s="50"/>
      <c r="M139" s="45">
        <v>0</v>
      </c>
      <c r="N139" s="45">
        <v>0</v>
      </c>
      <c r="O139" s="45">
        <f t="shared" si="135"/>
        <v>0</v>
      </c>
      <c r="P139" s="50"/>
      <c r="Q139" s="45">
        <f t="shared" si="136"/>
        <v>0</v>
      </c>
      <c r="R139" s="64">
        <f>M139*Inputs!$F$16*Inputs!$H$16</f>
        <v>0</v>
      </c>
      <c r="S139" s="45">
        <f>Inputs!$F$16*Inputs!$I$16*N139</f>
        <v>0</v>
      </c>
      <c r="T139" s="18"/>
      <c r="U139" s="56">
        <v>0</v>
      </c>
      <c r="W139" s="116">
        <v>11</v>
      </c>
      <c r="X139" s="114" t="str">
        <f>Inputs!$A$16</f>
        <v>M4581200</v>
      </c>
      <c r="Y139" s="45" t="str">
        <f>Inputs!$B$16</f>
        <v>PNT</v>
      </c>
      <c r="Z139" s="45" t="s">
        <v>57</v>
      </c>
      <c r="AA139" s="45">
        <f t="shared" si="143"/>
        <v>0</v>
      </c>
      <c r="AB139" s="50"/>
      <c r="AC139" s="118">
        <v>11</v>
      </c>
      <c r="AD139" s="114" t="str">
        <f>Inputs!$A$16</f>
        <v>M4581200</v>
      </c>
      <c r="AE139" s="45" t="str">
        <f>Inputs!$B$16</f>
        <v>PNT</v>
      </c>
      <c r="AF139" s="45" t="s">
        <v>58</v>
      </c>
      <c r="AG139" s="45">
        <f t="shared" si="144"/>
        <v>0</v>
      </c>
      <c r="AH139" s="50"/>
      <c r="AI139" s="45">
        <v>0</v>
      </c>
      <c r="AJ139" s="45">
        <v>0</v>
      </c>
      <c r="AK139" s="45">
        <f t="shared" si="137"/>
        <v>-3.3333333959717493E-7</v>
      </c>
      <c r="AL139" s="50"/>
      <c r="AM139" s="45">
        <f t="shared" si="138"/>
        <v>3.3333333959717493E-7</v>
      </c>
      <c r="AN139" s="64">
        <f>AI139*Inputs!$F$16*Inputs!$H$16</f>
        <v>0</v>
      </c>
      <c r="AO139" s="45">
        <f>Inputs!$F$16*Inputs!$I$16*AJ139</f>
        <v>0</v>
      </c>
      <c r="AP139" s="56">
        <v>45.86666666666666</v>
      </c>
      <c r="AR139" s="116">
        <v>11</v>
      </c>
      <c r="AS139" s="114" t="str">
        <f>Inputs!$A$16</f>
        <v>M4581200</v>
      </c>
      <c r="AT139" s="45" t="str">
        <f>Inputs!$B$16</f>
        <v>PNT</v>
      </c>
      <c r="AU139" s="45" t="s">
        <v>57</v>
      </c>
      <c r="AV139" s="45">
        <f t="shared" si="148"/>
        <v>0</v>
      </c>
      <c r="AW139" s="50"/>
      <c r="AX139" s="118">
        <v>11</v>
      </c>
      <c r="AY139" s="114" t="str">
        <f>Inputs!$A$16</f>
        <v>M4581200</v>
      </c>
      <c r="AZ139" s="45" t="str">
        <f>Inputs!$B$16</f>
        <v>PNT</v>
      </c>
      <c r="BA139" s="45" t="s">
        <v>58</v>
      </c>
      <c r="BB139" s="45">
        <f t="shared" si="145"/>
        <v>0</v>
      </c>
      <c r="BC139" s="50"/>
      <c r="BD139" s="45">
        <v>0</v>
      </c>
      <c r="BE139" s="45">
        <v>0</v>
      </c>
      <c r="BF139" s="45">
        <f t="shared" si="139"/>
        <v>0</v>
      </c>
      <c r="BG139" s="50"/>
      <c r="BH139" s="45">
        <f t="shared" si="140"/>
        <v>0</v>
      </c>
      <c r="BI139" s="64">
        <f>BD139*Inputs!$F$16*Inputs!$H$16</f>
        <v>0</v>
      </c>
      <c r="BJ139" s="45">
        <f>Inputs!$F$16*Inputs!$I$16*BE139</f>
        <v>0</v>
      </c>
      <c r="BK139" s="56">
        <v>19.263999999999999</v>
      </c>
      <c r="BM139" s="116">
        <v>11</v>
      </c>
      <c r="BN139" s="114" t="str">
        <f>Inputs!$A$16</f>
        <v>M4581200</v>
      </c>
      <c r="BO139" s="45" t="str">
        <f>Inputs!$B$16</f>
        <v>PNT</v>
      </c>
      <c r="BP139" s="45" t="s">
        <v>57</v>
      </c>
      <c r="BQ139" s="45">
        <f t="shared" si="146"/>
        <v>0</v>
      </c>
      <c r="BR139" s="50"/>
      <c r="BS139" s="118">
        <v>11</v>
      </c>
      <c r="BT139" s="114" t="str">
        <f>Inputs!$A$16</f>
        <v>M4581200</v>
      </c>
      <c r="BU139" s="45" t="str">
        <f>Inputs!$B$16</f>
        <v>PNT</v>
      </c>
      <c r="BV139" s="45" t="s">
        <v>58</v>
      </c>
      <c r="BW139" s="45">
        <f t="shared" si="147"/>
        <v>0</v>
      </c>
      <c r="BX139" s="50"/>
      <c r="BY139" s="45">
        <v>0</v>
      </c>
      <c r="BZ139" s="45">
        <v>0</v>
      </c>
      <c r="CA139" s="45">
        <f t="shared" si="141"/>
        <v>3.3333332538632021E-8</v>
      </c>
      <c r="CB139" s="50"/>
      <c r="CC139" s="45">
        <f t="shared" si="142"/>
        <v>-3.3333332538632021E-8</v>
      </c>
      <c r="CD139" s="64">
        <f>BY139*Inputs!$F$16*Inputs!$H$16</f>
        <v>0</v>
      </c>
      <c r="CE139" s="45">
        <f>Inputs!$F$16*Inputs!$I$16*BZ139</f>
        <v>0</v>
      </c>
      <c r="CF139" s="56">
        <v>9.173333333333332</v>
      </c>
    </row>
    <row r="140" spans="1:85" x14ac:dyDescent="0.25">
      <c r="A140" s="117">
        <v>3</v>
      </c>
      <c r="B140" s="115">
        <f>Inputs!$A$17</f>
        <v>0</v>
      </c>
      <c r="C140" s="44">
        <f>Inputs!$A$17</f>
        <v>0</v>
      </c>
      <c r="D140" s="44" t="s">
        <v>57</v>
      </c>
      <c r="E140" s="44">
        <v>0</v>
      </c>
      <c r="F140" s="50"/>
      <c r="G140" s="119">
        <v>3</v>
      </c>
      <c r="H140" s="115">
        <f>Inputs!$A$17</f>
        <v>0</v>
      </c>
      <c r="I140" s="44">
        <f>Inputs!$A$17</f>
        <v>0</v>
      </c>
      <c r="J140" s="44" t="s">
        <v>58</v>
      </c>
      <c r="K140" s="44">
        <v>0</v>
      </c>
      <c r="L140" s="50"/>
      <c r="M140" s="44">
        <v>0</v>
      </c>
      <c r="N140" s="44">
        <v>0</v>
      </c>
      <c r="O140" s="44">
        <f>U140-0-E140-K140</f>
        <v>0</v>
      </c>
      <c r="P140" s="50"/>
      <c r="Q140" s="44">
        <f>E140+K140+N140-U140+0-M140</f>
        <v>0</v>
      </c>
      <c r="R140" s="63">
        <f>M140*Inputs!$F$17*Inputs!$G$17</f>
        <v>0</v>
      </c>
      <c r="S140" s="44">
        <f>Inputs!$F$17*Inputs!$I$17*N140</f>
        <v>0</v>
      </c>
      <c r="T140" s="18"/>
      <c r="U140" s="54"/>
      <c r="W140" s="117">
        <v>3</v>
      </c>
      <c r="X140" s="115">
        <f>Inputs!$A$17</f>
        <v>0</v>
      </c>
      <c r="Y140" s="44">
        <f>Inputs!$A$17</f>
        <v>0</v>
      </c>
      <c r="Z140" s="44" t="s">
        <v>57</v>
      </c>
      <c r="AA140" s="44">
        <f t="shared" si="143"/>
        <v>0</v>
      </c>
      <c r="AB140" s="50"/>
      <c r="AC140" s="119">
        <v>3</v>
      </c>
      <c r="AD140" s="115">
        <f>Inputs!$A$17</f>
        <v>0</v>
      </c>
      <c r="AE140" s="44">
        <f>Inputs!$A$17</f>
        <v>0</v>
      </c>
      <c r="AF140" s="44" t="s">
        <v>58</v>
      </c>
      <c r="AG140" s="44">
        <f t="shared" si="144"/>
        <v>0</v>
      </c>
      <c r="AH140" s="50"/>
      <c r="AI140" s="44">
        <v>0</v>
      </c>
      <c r="AJ140" s="44">
        <v>0</v>
      </c>
      <c r="AK140" s="44">
        <f>AP140-0-AA140-AG140</f>
        <v>0</v>
      </c>
      <c r="AL140" s="50"/>
      <c r="AM140" s="44">
        <f>AA140+AG140+AJ140-AP140+0-AI140</f>
        <v>0</v>
      </c>
      <c r="AN140" s="63">
        <f>AI140*Inputs!$F$17*Inputs!$G$17</f>
        <v>0</v>
      </c>
      <c r="AO140" s="44">
        <f>Inputs!$F$17*Inputs!$I$17*AJ140</f>
        <v>0</v>
      </c>
      <c r="AP140" s="54"/>
      <c r="AR140" s="117">
        <v>3</v>
      </c>
      <c r="AS140" s="115">
        <f>Inputs!$A$17</f>
        <v>0</v>
      </c>
      <c r="AT140" s="44">
        <f>Inputs!$A$17</f>
        <v>0</v>
      </c>
      <c r="AU140" s="44" t="s">
        <v>57</v>
      </c>
      <c r="AV140" s="44">
        <f t="shared" si="148"/>
        <v>0</v>
      </c>
      <c r="AW140" s="50"/>
      <c r="AX140" s="119">
        <v>3</v>
      </c>
      <c r="AY140" s="115">
        <f>Inputs!$A$17</f>
        <v>0</v>
      </c>
      <c r="AZ140" s="44">
        <f>Inputs!$A$17</f>
        <v>0</v>
      </c>
      <c r="BA140" s="44" t="s">
        <v>58</v>
      </c>
      <c r="BB140" s="44">
        <f t="shared" si="145"/>
        <v>0</v>
      </c>
      <c r="BC140" s="50"/>
      <c r="BD140" s="44">
        <v>0</v>
      </c>
      <c r="BE140" s="44">
        <v>0</v>
      </c>
      <c r="BF140" s="44">
        <f>BK140-0-AV140-BB140</f>
        <v>0</v>
      </c>
      <c r="BG140" s="50"/>
      <c r="BH140" s="44">
        <f>AV140+BB140+BE140-BK140+0-BD140</f>
        <v>0</v>
      </c>
      <c r="BI140" s="63">
        <f>BD140*Inputs!$F$17*Inputs!$G$17</f>
        <v>0</v>
      </c>
      <c r="BJ140" s="44">
        <f>Inputs!$F$17*Inputs!$I$17*BE140</f>
        <v>0</v>
      </c>
      <c r="BK140" s="54"/>
      <c r="BM140" s="117">
        <v>3</v>
      </c>
      <c r="BN140" s="115">
        <f>Inputs!$A$17</f>
        <v>0</v>
      </c>
      <c r="BO140" s="44">
        <f>Inputs!$A$17</f>
        <v>0</v>
      </c>
      <c r="BP140" s="44" t="s">
        <v>57</v>
      </c>
      <c r="BQ140" s="44">
        <f t="shared" si="146"/>
        <v>0</v>
      </c>
      <c r="BR140" s="50"/>
      <c r="BS140" s="119">
        <v>3</v>
      </c>
      <c r="BT140" s="115">
        <f>Inputs!$A$17</f>
        <v>0</v>
      </c>
      <c r="BU140" s="44">
        <f>Inputs!$A$17</f>
        <v>0</v>
      </c>
      <c r="BV140" s="44" t="s">
        <v>58</v>
      </c>
      <c r="BW140" s="44">
        <f t="shared" si="147"/>
        <v>0</v>
      </c>
      <c r="BX140" s="50"/>
      <c r="BY140" s="44">
        <v>0</v>
      </c>
      <c r="BZ140" s="44">
        <v>0</v>
      </c>
      <c r="CA140" s="44">
        <f>CF140-0-BQ140-BW140</f>
        <v>0</v>
      </c>
      <c r="CB140" s="50"/>
      <c r="CC140" s="44">
        <f>BQ140+BW140+BZ140-CF140+0-BY140</f>
        <v>0</v>
      </c>
      <c r="CD140" s="63">
        <f>BY140*Inputs!$F$17*Inputs!$G$17</f>
        <v>0</v>
      </c>
      <c r="CE140" s="44">
        <f>Inputs!$F$17*Inputs!$I$17*BZ140</f>
        <v>0</v>
      </c>
      <c r="CF140" s="54"/>
    </row>
    <row r="141" spans="1:85" x14ac:dyDescent="0.25">
      <c r="A141" s="117">
        <v>4</v>
      </c>
      <c r="B141" s="115">
        <f>Inputs!$A$17</f>
        <v>0</v>
      </c>
      <c r="C141" s="44">
        <f>Inputs!$A$17</f>
        <v>0</v>
      </c>
      <c r="D141" s="44" t="s">
        <v>57</v>
      </c>
      <c r="E141" s="44">
        <v>0</v>
      </c>
      <c r="F141" s="50"/>
      <c r="G141" s="119">
        <v>4</v>
      </c>
      <c r="H141" s="115">
        <f>Inputs!$A$17</f>
        <v>0</v>
      </c>
      <c r="I141" s="44">
        <f>Inputs!$A$17</f>
        <v>0</v>
      </c>
      <c r="J141" s="44" t="s">
        <v>58</v>
      </c>
      <c r="K141" s="44">
        <v>0</v>
      </c>
      <c r="L141" s="50"/>
      <c r="M141" s="44">
        <v>0</v>
      </c>
      <c r="N141" s="44">
        <v>0</v>
      </c>
      <c r="O141" s="44">
        <f t="shared" ref="O141:O148" si="149">U141-M140-E141-K141</f>
        <v>0</v>
      </c>
      <c r="P141" s="50"/>
      <c r="Q141" s="44">
        <f t="shared" ref="Q141:Q148" si="150">E141+K141+N141-U141+M140-M141</f>
        <v>0</v>
      </c>
      <c r="R141" s="63">
        <f>M141*Inputs!$F$17*Inputs!$G$17</f>
        <v>0</v>
      </c>
      <c r="S141" s="44">
        <f>Inputs!$F$17*Inputs!$I$17*N141</f>
        <v>0</v>
      </c>
      <c r="T141" s="18"/>
      <c r="U141" s="55"/>
      <c r="W141" s="117">
        <v>4</v>
      </c>
      <c r="X141" s="115">
        <f>Inputs!$A$17</f>
        <v>0</v>
      </c>
      <c r="Y141" s="44">
        <f>Inputs!$A$17</f>
        <v>0</v>
      </c>
      <c r="Z141" s="44" t="s">
        <v>57</v>
      </c>
      <c r="AA141" s="44">
        <f t="shared" si="143"/>
        <v>0</v>
      </c>
      <c r="AB141" s="50"/>
      <c r="AC141" s="119">
        <v>4</v>
      </c>
      <c r="AD141" s="115">
        <f>Inputs!$A$17</f>
        <v>0</v>
      </c>
      <c r="AE141" s="44">
        <f>Inputs!$A$17</f>
        <v>0</v>
      </c>
      <c r="AF141" s="44" t="s">
        <v>58</v>
      </c>
      <c r="AG141" s="44">
        <f t="shared" si="144"/>
        <v>0</v>
      </c>
      <c r="AH141" s="50"/>
      <c r="AI141" s="44">
        <v>0</v>
      </c>
      <c r="AJ141" s="44">
        <v>0</v>
      </c>
      <c r="AK141" s="44">
        <f t="shared" ref="AK141:AK148" si="151">AP141-AI140-AA141-AG141</f>
        <v>0</v>
      </c>
      <c r="AL141" s="50"/>
      <c r="AM141" s="44">
        <f t="shared" ref="AM141:AM148" si="152">AA141+AG141+AJ141-AP141+AI140-AI141</f>
        <v>0</v>
      </c>
      <c r="AN141" s="63">
        <f>AI141*Inputs!$F$17*Inputs!$G$17</f>
        <v>0</v>
      </c>
      <c r="AO141" s="44">
        <f>Inputs!$F$17*Inputs!$I$17*AJ141</f>
        <v>0</v>
      </c>
      <c r="AP141" s="55"/>
      <c r="AR141" s="117">
        <v>4</v>
      </c>
      <c r="AS141" s="115">
        <f>Inputs!$A$17</f>
        <v>0</v>
      </c>
      <c r="AT141" s="44">
        <f>Inputs!$A$17</f>
        <v>0</v>
      </c>
      <c r="AU141" s="44" t="s">
        <v>57</v>
      </c>
      <c r="AV141" s="44">
        <f t="shared" si="148"/>
        <v>0</v>
      </c>
      <c r="AW141" s="50"/>
      <c r="AX141" s="119">
        <v>4</v>
      </c>
      <c r="AY141" s="115">
        <f>Inputs!$A$17</f>
        <v>0</v>
      </c>
      <c r="AZ141" s="44">
        <f>Inputs!$A$17</f>
        <v>0</v>
      </c>
      <c r="BA141" s="44" t="s">
        <v>58</v>
      </c>
      <c r="BB141" s="44">
        <f t="shared" si="145"/>
        <v>0</v>
      </c>
      <c r="BC141" s="50"/>
      <c r="BD141" s="44">
        <v>0</v>
      </c>
      <c r="BE141" s="44">
        <v>0</v>
      </c>
      <c r="BF141" s="44">
        <f t="shared" ref="BF141:BF148" si="153">BK141-BD140-AV141-BB141</f>
        <v>0</v>
      </c>
      <c r="BG141" s="50"/>
      <c r="BH141" s="44">
        <f t="shared" ref="BH141:BH148" si="154">AV141+BB141+BE141-BK141+BD140-BD141</f>
        <v>0</v>
      </c>
      <c r="BI141" s="63">
        <f>BD141*Inputs!$F$17*Inputs!$G$17</f>
        <v>0</v>
      </c>
      <c r="BJ141" s="44">
        <f>Inputs!$F$17*Inputs!$I$17*BE141</f>
        <v>0</v>
      </c>
      <c r="BK141" s="55"/>
      <c r="BM141" s="117">
        <v>4</v>
      </c>
      <c r="BN141" s="115">
        <f>Inputs!$A$17</f>
        <v>0</v>
      </c>
      <c r="BO141" s="44">
        <f>Inputs!$A$17</f>
        <v>0</v>
      </c>
      <c r="BP141" s="44" t="s">
        <v>57</v>
      </c>
      <c r="BQ141" s="44">
        <f t="shared" si="146"/>
        <v>0</v>
      </c>
      <c r="BR141" s="50"/>
      <c r="BS141" s="119">
        <v>4</v>
      </c>
      <c r="BT141" s="115">
        <f>Inputs!$A$17</f>
        <v>0</v>
      </c>
      <c r="BU141" s="44">
        <f>Inputs!$A$17</f>
        <v>0</v>
      </c>
      <c r="BV141" s="44" t="s">
        <v>58</v>
      </c>
      <c r="BW141" s="44">
        <f t="shared" si="147"/>
        <v>0</v>
      </c>
      <c r="BX141" s="50"/>
      <c r="BY141" s="44">
        <v>0</v>
      </c>
      <c r="BZ141" s="44">
        <v>0</v>
      </c>
      <c r="CA141" s="44">
        <f t="shared" ref="CA141:CA148" si="155">CF141-BY140-BQ141-BW141</f>
        <v>0</v>
      </c>
      <c r="CB141" s="50"/>
      <c r="CC141" s="44">
        <f t="shared" ref="CC141:CC148" si="156">BQ141+BW141+BZ141-CF141+BY140-BY141</f>
        <v>0</v>
      </c>
      <c r="CD141" s="63">
        <f>BY141*Inputs!$F$17*Inputs!$G$17</f>
        <v>0</v>
      </c>
      <c r="CE141" s="44">
        <f>Inputs!$F$17*Inputs!$I$17*BZ141</f>
        <v>0</v>
      </c>
      <c r="CF141" s="55"/>
    </row>
    <row r="142" spans="1:85" x14ac:dyDescent="0.25">
      <c r="A142" s="117">
        <v>5</v>
      </c>
      <c r="B142" s="115">
        <f>Inputs!$A$17</f>
        <v>0</v>
      </c>
      <c r="C142" s="44">
        <f>Inputs!$A$17</f>
        <v>0</v>
      </c>
      <c r="D142" s="44" t="s">
        <v>57</v>
      </c>
      <c r="E142" s="44">
        <v>0</v>
      </c>
      <c r="F142" s="50"/>
      <c r="G142" s="119">
        <v>5</v>
      </c>
      <c r="H142" s="115">
        <f>Inputs!$A$17</f>
        <v>0</v>
      </c>
      <c r="I142" s="44">
        <f>Inputs!$A$17</f>
        <v>0</v>
      </c>
      <c r="J142" s="44" t="s">
        <v>58</v>
      </c>
      <c r="K142" s="44">
        <v>0</v>
      </c>
      <c r="L142" s="50"/>
      <c r="M142" s="44">
        <v>0</v>
      </c>
      <c r="N142" s="44">
        <v>0</v>
      </c>
      <c r="O142" s="44">
        <f t="shared" si="149"/>
        <v>0</v>
      </c>
      <c r="P142" s="50"/>
      <c r="Q142" s="44">
        <f t="shared" si="150"/>
        <v>0</v>
      </c>
      <c r="R142" s="63">
        <f>M142*Inputs!$F$17*Inputs!$G$17</f>
        <v>0</v>
      </c>
      <c r="S142" s="44">
        <f>Inputs!$F$17*Inputs!$I$17*N142</f>
        <v>0</v>
      </c>
      <c r="T142" s="18"/>
      <c r="U142" s="55"/>
      <c r="W142" s="117">
        <v>5</v>
      </c>
      <c r="X142" s="115">
        <f>Inputs!$A$17</f>
        <v>0</v>
      </c>
      <c r="Y142" s="44">
        <f>Inputs!$A$17</f>
        <v>0</v>
      </c>
      <c r="Z142" s="44" t="s">
        <v>57</v>
      </c>
      <c r="AA142" s="44">
        <f t="shared" si="143"/>
        <v>0</v>
      </c>
      <c r="AB142" s="50"/>
      <c r="AC142" s="119">
        <v>5</v>
      </c>
      <c r="AD142" s="115">
        <f>Inputs!$A$17</f>
        <v>0</v>
      </c>
      <c r="AE142" s="44">
        <f>Inputs!$A$17</f>
        <v>0</v>
      </c>
      <c r="AF142" s="44" t="s">
        <v>58</v>
      </c>
      <c r="AG142" s="44">
        <f t="shared" si="144"/>
        <v>0</v>
      </c>
      <c r="AH142" s="50"/>
      <c r="AI142" s="44">
        <v>0</v>
      </c>
      <c r="AJ142" s="44">
        <v>0</v>
      </c>
      <c r="AK142" s="44">
        <f t="shared" si="151"/>
        <v>0</v>
      </c>
      <c r="AL142" s="50"/>
      <c r="AM142" s="44">
        <f t="shared" si="152"/>
        <v>0</v>
      </c>
      <c r="AN142" s="63">
        <f>AI142*Inputs!$F$17*Inputs!$G$17</f>
        <v>0</v>
      </c>
      <c r="AO142" s="44">
        <f>Inputs!$F$17*Inputs!$I$17*AJ142</f>
        <v>0</v>
      </c>
      <c r="AP142" s="55"/>
      <c r="AR142" s="117">
        <v>5</v>
      </c>
      <c r="AS142" s="115">
        <f>Inputs!$A$17</f>
        <v>0</v>
      </c>
      <c r="AT142" s="44">
        <f>Inputs!$A$17</f>
        <v>0</v>
      </c>
      <c r="AU142" s="44" t="s">
        <v>57</v>
      </c>
      <c r="AV142" s="44">
        <f t="shared" si="148"/>
        <v>0</v>
      </c>
      <c r="AW142" s="50"/>
      <c r="AX142" s="119">
        <v>5</v>
      </c>
      <c r="AY142" s="115">
        <f>Inputs!$A$17</f>
        <v>0</v>
      </c>
      <c r="AZ142" s="44">
        <f>Inputs!$A$17</f>
        <v>0</v>
      </c>
      <c r="BA142" s="44" t="s">
        <v>58</v>
      </c>
      <c r="BB142" s="44">
        <f t="shared" si="145"/>
        <v>0</v>
      </c>
      <c r="BC142" s="50"/>
      <c r="BD142" s="44">
        <v>0</v>
      </c>
      <c r="BE142" s="44">
        <v>0</v>
      </c>
      <c r="BF142" s="44">
        <f t="shared" si="153"/>
        <v>0</v>
      </c>
      <c r="BG142" s="50"/>
      <c r="BH142" s="44">
        <f t="shared" si="154"/>
        <v>0</v>
      </c>
      <c r="BI142" s="63">
        <f>BD142*Inputs!$F$17*Inputs!$G$17</f>
        <v>0</v>
      </c>
      <c r="BJ142" s="44">
        <f>Inputs!$F$17*Inputs!$I$17*BE142</f>
        <v>0</v>
      </c>
      <c r="BK142" s="55"/>
      <c r="BM142" s="117">
        <v>5</v>
      </c>
      <c r="BN142" s="115">
        <f>Inputs!$A$17</f>
        <v>0</v>
      </c>
      <c r="BO142" s="44">
        <f>Inputs!$A$17</f>
        <v>0</v>
      </c>
      <c r="BP142" s="44" t="s">
        <v>57</v>
      </c>
      <c r="BQ142" s="44">
        <f t="shared" si="146"/>
        <v>0</v>
      </c>
      <c r="BR142" s="50"/>
      <c r="BS142" s="119">
        <v>5</v>
      </c>
      <c r="BT142" s="115">
        <f>Inputs!$A$17</f>
        <v>0</v>
      </c>
      <c r="BU142" s="44">
        <f>Inputs!$A$17</f>
        <v>0</v>
      </c>
      <c r="BV142" s="44" t="s">
        <v>58</v>
      </c>
      <c r="BW142" s="44">
        <f t="shared" si="147"/>
        <v>0</v>
      </c>
      <c r="BX142" s="50"/>
      <c r="BY142" s="44">
        <v>0</v>
      </c>
      <c r="BZ142" s="44">
        <v>0</v>
      </c>
      <c r="CA142" s="44">
        <f t="shared" si="155"/>
        <v>0</v>
      </c>
      <c r="CB142" s="50"/>
      <c r="CC142" s="44">
        <f t="shared" si="156"/>
        <v>0</v>
      </c>
      <c r="CD142" s="63">
        <f>BY142*Inputs!$F$17*Inputs!$G$17</f>
        <v>0</v>
      </c>
      <c r="CE142" s="44">
        <f>Inputs!$F$17*Inputs!$I$17*BZ142</f>
        <v>0</v>
      </c>
      <c r="CF142" s="55"/>
    </row>
    <row r="143" spans="1:85" x14ac:dyDescent="0.25">
      <c r="A143" s="117">
        <v>6</v>
      </c>
      <c r="B143" s="115">
        <f>Inputs!$A$17</f>
        <v>0</v>
      </c>
      <c r="C143" s="44">
        <f>Inputs!$A$17</f>
        <v>0</v>
      </c>
      <c r="D143" s="44" t="s">
        <v>57</v>
      </c>
      <c r="E143" s="44">
        <v>0</v>
      </c>
      <c r="F143" s="50"/>
      <c r="G143" s="119">
        <v>6</v>
      </c>
      <c r="H143" s="115">
        <f>Inputs!$A$17</f>
        <v>0</v>
      </c>
      <c r="I143" s="44">
        <f>Inputs!$A$17</f>
        <v>0</v>
      </c>
      <c r="J143" s="44" t="s">
        <v>58</v>
      </c>
      <c r="K143" s="44">
        <v>0</v>
      </c>
      <c r="L143" s="50"/>
      <c r="M143" s="44">
        <v>0</v>
      </c>
      <c r="N143" s="44">
        <v>0</v>
      </c>
      <c r="O143" s="44">
        <f t="shared" si="149"/>
        <v>0</v>
      </c>
      <c r="P143" s="50"/>
      <c r="Q143" s="44">
        <f t="shared" si="150"/>
        <v>0</v>
      </c>
      <c r="R143" s="63">
        <f>M143*Inputs!$F$17*Inputs!$G$17</f>
        <v>0</v>
      </c>
      <c r="S143" s="44">
        <f>Inputs!$F$17*Inputs!$I$17*N143</f>
        <v>0</v>
      </c>
      <c r="T143" s="18"/>
      <c r="U143" s="55"/>
      <c r="W143" s="117">
        <v>6</v>
      </c>
      <c r="X143" s="115">
        <f>Inputs!$A$17</f>
        <v>0</v>
      </c>
      <c r="Y143" s="44">
        <f>Inputs!$A$17</f>
        <v>0</v>
      </c>
      <c r="Z143" s="44" t="s">
        <v>57</v>
      </c>
      <c r="AA143" s="44">
        <f t="shared" si="143"/>
        <v>0</v>
      </c>
      <c r="AB143" s="50"/>
      <c r="AC143" s="119">
        <v>6</v>
      </c>
      <c r="AD143" s="115">
        <f>Inputs!$A$17</f>
        <v>0</v>
      </c>
      <c r="AE143" s="44">
        <f>Inputs!$A$17</f>
        <v>0</v>
      </c>
      <c r="AF143" s="44" t="s">
        <v>58</v>
      </c>
      <c r="AG143" s="44">
        <f t="shared" si="144"/>
        <v>0</v>
      </c>
      <c r="AH143" s="50"/>
      <c r="AI143" s="44">
        <v>0</v>
      </c>
      <c r="AJ143" s="44">
        <v>0</v>
      </c>
      <c r="AK143" s="44">
        <f t="shared" si="151"/>
        <v>0</v>
      </c>
      <c r="AL143" s="50"/>
      <c r="AM143" s="44">
        <f t="shared" si="152"/>
        <v>0</v>
      </c>
      <c r="AN143" s="63">
        <f>AI143*Inputs!$F$17*Inputs!$G$17</f>
        <v>0</v>
      </c>
      <c r="AO143" s="44">
        <f>Inputs!$F$17*Inputs!$I$17*AJ143</f>
        <v>0</v>
      </c>
      <c r="AP143" s="55"/>
      <c r="AR143" s="117">
        <v>6</v>
      </c>
      <c r="AS143" s="115">
        <f>Inputs!$A$17</f>
        <v>0</v>
      </c>
      <c r="AT143" s="44">
        <f>Inputs!$A$17</f>
        <v>0</v>
      </c>
      <c r="AU143" s="44" t="s">
        <v>57</v>
      </c>
      <c r="AV143" s="44">
        <f t="shared" si="148"/>
        <v>0</v>
      </c>
      <c r="AW143" s="50"/>
      <c r="AX143" s="119">
        <v>6</v>
      </c>
      <c r="AY143" s="115">
        <f>Inputs!$A$17</f>
        <v>0</v>
      </c>
      <c r="AZ143" s="44">
        <f>Inputs!$A$17</f>
        <v>0</v>
      </c>
      <c r="BA143" s="44" t="s">
        <v>58</v>
      </c>
      <c r="BB143" s="44">
        <f t="shared" si="145"/>
        <v>0</v>
      </c>
      <c r="BC143" s="50"/>
      <c r="BD143" s="44">
        <v>0</v>
      </c>
      <c r="BE143" s="44">
        <v>0</v>
      </c>
      <c r="BF143" s="44">
        <f t="shared" si="153"/>
        <v>0</v>
      </c>
      <c r="BG143" s="50"/>
      <c r="BH143" s="44">
        <f t="shared" si="154"/>
        <v>0</v>
      </c>
      <c r="BI143" s="63">
        <f>BD143*Inputs!$F$17*Inputs!$G$17</f>
        <v>0</v>
      </c>
      <c r="BJ143" s="44">
        <f>Inputs!$F$17*Inputs!$I$17*BE143</f>
        <v>0</v>
      </c>
      <c r="BK143" s="55"/>
      <c r="BM143" s="117">
        <v>6</v>
      </c>
      <c r="BN143" s="115">
        <f>Inputs!$A$17</f>
        <v>0</v>
      </c>
      <c r="BO143" s="44">
        <f>Inputs!$A$17</f>
        <v>0</v>
      </c>
      <c r="BP143" s="44" t="s">
        <v>57</v>
      </c>
      <c r="BQ143" s="44">
        <f t="shared" si="146"/>
        <v>0</v>
      </c>
      <c r="BR143" s="50"/>
      <c r="BS143" s="119">
        <v>6</v>
      </c>
      <c r="BT143" s="115">
        <f>Inputs!$A$17</f>
        <v>0</v>
      </c>
      <c r="BU143" s="44">
        <f>Inputs!$A$17</f>
        <v>0</v>
      </c>
      <c r="BV143" s="44" t="s">
        <v>58</v>
      </c>
      <c r="BW143" s="44">
        <f t="shared" si="147"/>
        <v>0</v>
      </c>
      <c r="BX143" s="50"/>
      <c r="BY143" s="44">
        <v>0</v>
      </c>
      <c r="BZ143" s="44">
        <v>0</v>
      </c>
      <c r="CA143" s="44">
        <f t="shared" si="155"/>
        <v>0</v>
      </c>
      <c r="CB143" s="50"/>
      <c r="CC143" s="44">
        <f t="shared" si="156"/>
        <v>0</v>
      </c>
      <c r="CD143" s="63">
        <f>BY143*Inputs!$F$17*Inputs!$G$17</f>
        <v>0</v>
      </c>
      <c r="CE143" s="44">
        <f>Inputs!$F$17*Inputs!$I$17*BZ143</f>
        <v>0</v>
      </c>
      <c r="CF143" s="55"/>
    </row>
    <row r="144" spans="1:85" x14ac:dyDescent="0.25">
      <c r="A144" s="117">
        <v>7</v>
      </c>
      <c r="B144" s="115">
        <f>Inputs!$A$17</f>
        <v>0</v>
      </c>
      <c r="C144" s="44">
        <f>Inputs!$A$17</f>
        <v>0</v>
      </c>
      <c r="D144" s="44" t="s">
        <v>57</v>
      </c>
      <c r="E144" s="44">
        <v>0</v>
      </c>
      <c r="F144" s="50"/>
      <c r="G144" s="119">
        <v>7</v>
      </c>
      <c r="H144" s="115">
        <f>Inputs!$A$17</f>
        <v>0</v>
      </c>
      <c r="I144" s="44">
        <f>Inputs!$A$17</f>
        <v>0</v>
      </c>
      <c r="J144" s="44" t="s">
        <v>58</v>
      </c>
      <c r="K144" s="44">
        <v>0</v>
      </c>
      <c r="L144" s="50"/>
      <c r="M144" s="44">
        <v>0</v>
      </c>
      <c r="N144" s="44">
        <v>0</v>
      </c>
      <c r="O144" s="44">
        <f t="shared" si="149"/>
        <v>0</v>
      </c>
      <c r="P144" s="50"/>
      <c r="Q144" s="44">
        <f t="shared" si="150"/>
        <v>0</v>
      </c>
      <c r="R144" s="63">
        <f>M144*Inputs!$F$17*Inputs!$G$17</f>
        <v>0</v>
      </c>
      <c r="S144" s="44">
        <f>Inputs!$F$17*Inputs!$I$17*N144</f>
        <v>0</v>
      </c>
      <c r="T144" s="18"/>
      <c r="U144" s="55"/>
      <c r="W144" s="117">
        <v>7</v>
      </c>
      <c r="X144" s="115">
        <f>Inputs!$A$17</f>
        <v>0</v>
      </c>
      <c r="Y144" s="44">
        <f>Inputs!$A$17</f>
        <v>0</v>
      </c>
      <c r="Z144" s="44" t="s">
        <v>57</v>
      </c>
      <c r="AA144" s="44">
        <f t="shared" si="143"/>
        <v>0</v>
      </c>
      <c r="AB144" s="50"/>
      <c r="AC144" s="119">
        <v>7</v>
      </c>
      <c r="AD144" s="115">
        <f>Inputs!$A$17</f>
        <v>0</v>
      </c>
      <c r="AE144" s="44">
        <f>Inputs!$A$17</f>
        <v>0</v>
      </c>
      <c r="AF144" s="44" t="s">
        <v>58</v>
      </c>
      <c r="AG144" s="44">
        <f t="shared" si="144"/>
        <v>0</v>
      </c>
      <c r="AH144" s="50"/>
      <c r="AI144" s="44">
        <v>0</v>
      </c>
      <c r="AJ144" s="44">
        <v>0</v>
      </c>
      <c r="AK144" s="44">
        <f t="shared" si="151"/>
        <v>0</v>
      </c>
      <c r="AL144" s="50"/>
      <c r="AM144" s="44">
        <f t="shared" si="152"/>
        <v>0</v>
      </c>
      <c r="AN144" s="63">
        <f>AI144*Inputs!$F$17*Inputs!$G$17</f>
        <v>0</v>
      </c>
      <c r="AO144" s="44">
        <f>Inputs!$F$17*Inputs!$I$17*AJ144</f>
        <v>0</v>
      </c>
      <c r="AP144" s="55"/>
      <c r="AR144" s="117">
        <v>7</v>
      </c>
      <c r="AS144" s="115">
        <f>Inputs!$A$17</f>
        <v>0</v>
      </c>
      <c r="AT144" s="44">
        <f>Inputs!$A$17</f>
        <v>0</v>
      </c>
      <c r="AU144" s="44" t="s">
        <v>57</v>
      </c>
      <c r="AV144" s="44">
        <f t="shared" si="148"/>
        <v>0</v>
      </c>
      <c r="AW144" s="50"/>
      <c r="AX144" s="119">
        <v>7</v>
      </c>
      <c r="AY144" s="115">
        <f>Inputs!$A$17</f>
        <v>0</v>
      </c>
      <c r="AZ144" s="44">
        <f>Inputs!$A$17</f>
        <v>0</v>
      </c>
      <c r="BA144" s="44" t="s">
        <v>58</v>
      </c>
      <c r="BB144" s="44">
        <f t="shared" si="145"/>
        <v>0</v>
      </c>
      <c r="BC144" s="50"/>
      <c r="BD144" s="44">
        <v>0</v>
      </c>
      <c r="BE144" s="44">
        <v>0</v>
      </c>
      <c r="BF144" s="44">
        <f t="shared" si="153"/>
        <v>0</v>
      </c>
      <c r="BG144" s="50"/>
      <c r="BH144" s="44">
        <f t="shared" si="154"/>
        <v>0</v>
      </c>
      <c r="BI144" s="63">
        <f>BD144*Inputs!$F$17*Inputs!$G$17</f>
        <v>0</v>
      </c>
      <c r="BJ144" s="44">
        <f>Inputs!$F$17*Inputs!$I$17*BE144</f>
        <v>0</v>
      </c>
      <c r="BK144" s="55"/>
      <c r="BM144" s="117">
        <v>7</v>
      </c>
      <c r="BN144" s="115">
        <f>Inputs!$A$17</f>
        <v>0</v>
      </c>
      <c r="BO144" s="44">
        <f>Inputs!$A$17</f>
        <v>0</v>
      </c>
      <c r="BP144" s="44" t="s">
        <v>57</v>
      </c>
      <c r="BQ144" s="44">
        <f t="shared" si="146"/>
        <v>0</v>
      </c>
      <c r="BR144" s="50"/>
      <c r="BS144" s="119">
        <v>7</v>
      </c>
      <c r="BT144" s="115">
        <f>Inputs!$A$17</f>
        <v>0</v>
      </c>
      <c r="BU144" s="44">
        <f>Inputs!$A$17</f>
        <v>0</v>
      </c>
      <c r="BV144" s="44" t="s">
        <v>58</v>
      </c>
      <c r="BW144" s="44">
        <f t="shared" si="147"/>
        <v>0</v>
      </c>
      <c r="BX144" s="50"/>
      <c r="BY144" s="44">
        <v>0</v>
      </c>
      <c r="BZ144" s="44">
        <v>0</v>
      </c>
      <c r="CA144" s="44">
        <f t="shared" si="155"/>
        <v>0</v>
      </c>
      <c r="CB144" s="50"/>
      <c r="CC144" s="44">
        <f t="shared" si="156"/>
        <v>0</v>
      </c>
      <c r="CD144" s="63">
        <f>BY144*Inputs!$F$17*Inputs!$G$17</f>
        <v>0</v>
      </c>
      <c r="CE144" s="44">
        <f>Inputs!$F$17*Inputs!$I$17*BZ144</f>
        <v>0</v>
      </c>
      <c r="CF144" s="55"/>
    </row>
    <row r="145" spans="1:84" x14ac:dyDescent="0.25">
      <c r="A145" s="117">
        <v>8</v>
      </c>
      <c r="B145" s="115">
        <f>Inputs!$A$17</f>
        <v>0</v>
      </c>
      <c r="C145" s="44">
        <f>Inputs!$A$17</f>
        <v>0</v>
      </c>
      <c r="D145" s="44" t="s">
        <v>57</v>
      </c>
      <c r="E145" s="44">
        <v>0</v>
      </c>
      <c r="F145" s="50"/>
      <c r="G145" s="119">
        <v>8</v>
      </c>
      <c r="H145" s="115">
        <f>Inputs!$A$17</f>
        <v>0</v>
      </c>
      <c r="I145" s="44">
        <f>Inputs!$A$17</f>
        <v>0</v>
      </c>
      <c r="J145" s="44" t="s">
        <v>58</v>
      </c>
      <c r="K145" s="44">
        <v>0</v>
      </c>
      <c r="L145" s="50"/>
      <c r="M145" s="44">
        <v>0</v>
      </c>
      <c r="N145" s="44">
        <v>0</v>
      </c>
      <c r="O145" s="44">
        <f t="shared" si="149"/>
        <v>0</v>
      </c>
      <c r="P145" s="50"/>
      <c r="Q145" s="44">
        <f t="shared" si="150"/>
        <v>0</v>
      </c>
      <c r="R145" s="63">
        <f>M145*Inputs!$F$17*Inputs!$G$17</f>
        <v>0</v>
      </c>
      <c r="S145" s="44">
        <f>Inputs!$F$17*Inputs!$I$17*N145</f>
        <v>0</v>
      </c>
      <c r="T145" s="18"/>
      <c r="U145" s="55"/>
      <c r="W145" s="117">
        <v>8</v>
      </c>
      <c r="X145" s="115">
        <f>Inputs!$A$17</f>
        <v>0</v>
      </c>
      <c r="Y145" s="44">
        <f>Inputs!$A$17</f>
        <v>0</v>
      </c>
      <c r="Z145" s="44" t="s">
        <v>57</v>
      </c>
      <c r="AA145" s="44">
        <f t="shared" si="143"/>
        <v>0</v>
      </c>
      <c r="AB145" s="50"/>
      <c r="AC145" s="119">
        <v>8</v>
      </c>
      <c r="AD145" s="115">
        <f>Inputs!$A$17</f>
        <v>0</v>
      </c>
      <c r="AE145" s="44">
        <f>Inputs!$A$17</f>
        <v>0</v>
      </c>
      <c r="AF145" s="44" t="s">
        <v>58</v>
      </c>
      <c r="AG145" s="44">
        <f t="shared" si="144"/>
        <v>0</v>
      </c>
      <c r="AH145" s="50"/>
      <c r="AI145" s="44">
        <v>0</v>
      </c>
      <c r="AJ145" s="44">
        <v>0</v>
      </c>
      <c r="AK145" s="44">
        <f t="shared" si="151"/>
        <v>0</v>
      </c>
      <c r="AL145" s="50"/>
      <c r="AM145" s="44">
        <f t="shared" si="152"/>
        <v>0</v>
      </c>
      <c r="AN145" s="63">
        <f>AI145*Inputs!$F$17*Inputs!$G$17</f>
        <v>0</v>
      </c>
      <c r="AO145" s="44">
        <f>Inputs!$F$17*Inputs!$I$17*AJ145</f>
        <v>0</v>
      </c>
      <c r="AP145" s="55"/>
      <c r="AR145" s="117">
        <v>8</v>
      </c>
      <c r="AS145" s="115">
        <f>Inputs!$A$17</f>
        <v>0</v>
      </c>
      <c r="AT145" s="44">
        <f>Inputs!$A$17</f>
        <v>0</v>
      </c>
      <c r="AU145" s="44" t="s">
        <v>57</v>
      </c>
      <c r="AV145" s="44">
        <f t="shared" si="148"/>
        <v>0</v>
      </c>
      <c r="AW145" s="50"/>
      <c r="AX145" s="119">
        <v>8</v>
      </c>
      <c r="AY145" s="115">
        <f>Inputs!$A$17</f>
        <v>0</v>
      </c>
      <c r="AZ145" s="44">
        <f>Inputs!$A$17</f>
        <v>0</v>
      </c>
      <c r="BA145" s="44" t="s">
        <v>58</v>
      </c>
      <c r="BB145" s="44">
        <f t="shared" si="145"/>
        <v>0</v>
      </c>
      <c r="BC145" s="50"/>
      <c r="BD145" s="44">
        <v>0</v>
      </c>
      <c r="BE145" s="44">
        <v>0</v>
      </c>
      <c r="BF145" s="44">
        <f t="shared" si="153"/>
        <v>0</v>
      </c>
      <c r="BG145" s="50"/>
      <c r="BH145" s="44">
        <f t="shared" si="154"/>
        <v>0</v>
      </c>
      <c r="BI145" s="63">
        <f>BD145*Inputs!$F$17*Inputs!$G$17</f>
        <v>0</v>
      </c>
      <c r="BJ145" s="44">
        <f>Inputs!$F$17*Inputs!$I$17*BE145</f>
        <v>0</v>
      </c>
      <c r="BK145" s="55"/>
      <c r="BM145" s="117">
        <v>8</v>
      </c>
      <c r="BN145" s="115">
        <f>Inputs!$A$17</f>
        <v>0</v>
      </c>
      <c r="BO145" s="44">
        <f>Inputs!$A$17</f>
        <v>0</v>
      </c>
      <c r="BP145" s="44" t="s">
        <v>57</v>
      </c>
      <c r="BQ145" s="44">
        <f t="shared" si="146"/>
        <v>0</v>
      </c>
      <c r="BR145" s="50"/>
      <c r="BS145" s="119">
        <v>8</v>
      </c>
      <c r="BT145" s="115">
        <f>Inputs!$A$17</f>
        <v>0</v>
      </c>
      <c r="BU145" s="44">
        <f>Inputs!$A$17</f>
        <v>0</v>
      </c>
      <c r="BV145" s="44" t="s">
        <v>58</v>
      </c>
      <c r="BW145" s="44">
        <f t="shared" si="147"/>
        <v>0</v>
      </c>
      <c r="BX145" s="50"/>
      <c r="BY145" s="44">
        <v>0</v>
      </c>
      <c r="BZ145" s="44">
        <v>0</v>
      </c>
      <c r="CA145" s="44">
        <f t="shared" si="155"/>
        <v>0</v>
      </c>
      <c r="CB145" s="50"/>
      <c r="CC145" s="44">
        <f t="shared" si="156"/>
        <v>0</v>
      </c>
      <c r="CD145" s="63">
        <f>BY145*Inputs!$F$17*Inputs!$G$17</f>
        <v>0</v>
      </c>
      <c r="CE145" s="44">
        <f>Inputs!$F$17*Inputs!$I$17*BZ145</f>
        <v>0</v>
      </c>
      <c r="CF145" s="55"/>
    </row>
    <row r="146" spans="1:84" x14ac:dyDescent="0.25">
      <c r="A146" s="117">
        <v>9</v>
      </c>
      <c r="B146" s="115">
        <f>Inputs!$A$17</f>
        <v>0</v>
      </c>
      <c r="C146" s="44">
        <f>Inputs!$A$17</f>
        <v>0</v>
      </c>
      <c r="D146" s="44" t="s">
        <v>57</v>
      </c>
      <c r="E146" s="44">
        <v>0</v>
      </c>
      <c r="F146" s="50"/>
      <c r="G146" s="119">
        <v>9</v>
      </c>
      <c r="H146" s="115">
        <f>Inputs!$A$17</f>
        <v>0</v>
      </c>
      <c r="I146" s="44">
        <f>Inputs!$A$17</f>
        <v>0</v>
      </c>
      <c r="J146" s="44" t="s">
        <v>58</v>
      </c>
      <c r="K146" s="44">
        <v>0</v>
      </c>
      <c r="L146" s="50"/>
      <c r="M146" s="44">
        <v>0</v>
      </c>
      <c r="N146" s="44">
        <v>0</v>
      </c>
      <c r="O146" s="44">
        <f t="shared" si="149"/>
        <v>0</v>
      </c>
      <c r="P146" s="50"/>
      <c r="Q146" s="44">
        <f t="shared" si="150"/>
        <v>0</v>
      </c>
      <c r="R146" s="63">
        <f>M146*Inputs!$F$17*Inputs!$G$17</f>
        <v>0</v>
      </c>
      <c r="S146" s="44">
        <f>Inputs!$F$17*Inputs!$I$17*N146</f>
        <v>0</v>
      </c>
      <c r="T146" s="18"/>
      <c r="U146" s="55"/>
      <c r="W146" s="117">
        <v>9</v>
      </c>
      <c r="X146" s="115">
        <f>Inputs!$A$17</f>
        <v>0</v>
      </c>
      <c r="Y146" s="44">
        <f>Inputs!$A$17</f>
        <v>0</v>
      </c>
      <c r="Z146" s="44" t="s">
        <v>57</v>
      </c>
      <c r="AA146" s="44">
        <f t="shared" si="143"/>
        <v>0</v>
      </c>
      <c r="AB146" s="50"/>
      <c r="AC146" s="119">
        <v>9</v>
      </c>
      <c r="AD146" s="115">
        <f>Inputs!$A$17</f>
        <v>0</v>
      </c>
      <c r="AE146" s="44">
        <f>Inputs!$A$17</f>
        <v>0</v>
      </c>
      <c r="AF146" s="44" t="s">
        <v>58</v>
      </c>
      <c r="AG146" s="44">
        <f t="shared" si="144"/>
        <v>0</v>
      </c>
      <c r="AH146" s="50"/>
      <c r="AI146" s="44">
        <v>0</v>
      </c>
      <c r="AJ146" s="44">
        <v>0</v>
      </c>
      <c r="AK146" s="44">
        <f t="shared" si="151"/>
        <v>0</v>
      </c>
      <c r="AL146" s="50"/>
      <c r="AM146" s="44">
        <f t="shared" si="152"/>
        <v>0</v>
      </c>
      <c r="AN146" s="63">
        <f>AI146*Inputs!$F$17*Inputs!$G$17</f>
        <v>0</v>
      </c>
      <c r="AO146" s="44">
        <f>Inputs!$F$17*Inputs!$I$17*AJ146</f>
        <v>0</v>
      </c>
      <c r="AP146" s="55"/>
      <c r="AR146" s="117">
        <v>9</v>
      </c>
      <c r="AS146" s="115">
        <f>Inputs!$A$17</f>
        <v>0</v>
      </c>
      <c r="AT146" s="44">
        <f>Inputs!$A$17</f>
        <v>0</v>
      </c>
      <c r="AU146" s="44" t="s">
        <v>57</v>
      </c>
      <c r="AV146" s="44">
        <f t="shared" si="148"/>
        <v>0</v>
      </c>
      <c r="AW146" s="50"/>
      <c r="AX146" s="119">
        <v>9</v>
      </c>
      <c r="AY146" s="115">
        <f>Inputs!$A$17</f>
        <v>0</v>
      </c>
      <c r="AZ146" s="44">
        <f>Inputs!$A$17</f>
        <v>0</v>
      </c>
      <c r="BA146" s="44" t="s">
        <v>58</v>
      </c>
      <c r="BB146" s="44">
        <f t="shared" si="145"/>
        <v>0</v>
      </c>
      <c r="BC146" s="50"/>
      <c r="BD146" s="44">
        <v>0</v>
      </c>
      <c r="BE146" s="44">
        <v>0</v>
      </c>
      <c r="BF146" s="44">
        <f t="shared" si="153"/>
        <v>0</v>
      </c>
      <c r="BG146" s="50"/>
      <c r="BH146" s="44">
        <f t="shared" si="154"/>
        <v>0</v>
      </c>
      <c r="BI146" s="63">
        <f>BD146*Inputs!$F$17*Inputs!$G$17</f>
        <v>0</v>
      </c>
      <c r="BJ146" s="44">
        <f>Inputs!$F$17*Inputs!$I$17*BE146</f>
        <v>0</v>
      </c>
      <c r="BK146" s="55"/>
      <c r="BM146" s="117">
        <v>9</v>
      </c>
      <c r="BN146" s="115">
        <f>Inputs!$A$17</f>
        <v>0</v>
      </c>
      <c r="BO146" s="44">
        <f>Inputs!$A$17</f>
        <v>0</v>
      </c>
      <c r="BP146" s="44" t="s">
        <v>57</v>
      </c>
      <c r="BQ146" s="44">
        <f t="shared" si="146"/>
        <v>0</v>
      </c>
      <c r="BR146" s="50"/>
      <c r="BS146" s="119">
        <v>9</v>
      </c>
      <c r="BT146" s="115">
        <f>Inputs!$A$17</f>
        <v>0</v>
      </c>
      <c r="BU146" s="44">
        <f>Inputs!$A$17</f>
        <v>0</v>
      </c>
      <c r="BV146" s="44" t="s">
        <v>58</v>
      </c>
      <c r="BW146" s="44">
        <f t="shared" si="147"/>
        <v>0</v>
      </c>
      <c r="BX146" s="50"/>
      <c r="BY146" s="44">
        <v>0</v>
      </c>
      <c r="BZ146" s="44">
        <v>0</v>
      </c>
      <c r="CA146" s="44">
        <f t="shared" si="155"/>
        <v>0</v>
      </c>
      <c r="CB146" s="50"/>
      <c r="CC146" s="44">
        <f t="shared" si="156"/>
        <v>0</v>
      </c>
      <c r="CD146" s="63">
        <f>BY146*Inputs!$F$17*Inputs!$G$17</f>
        <v>0</v>
      </c>
      <c r="CE146" s="44">
        <f>Inputs!$F$17*Inputs!$I$17*BZ146</f>
        <v>0</v>
      </c>
      <c r="CF146" s="55"/>
    </row>
    <row r="147" spans="1:84" x14ac:dyDescent="0.25">
      <c r="A147" s="117">
        <v>10</v>
      </c>
      <c r="B147" s="115">
        <f>Inputs!$A$17</f>
        <v>0</v>
      </c>
      <c r="C147" s="44">
        <f>Inputs!$A$17</f>
        <v>0</v>
      </c>
      <c r="D147" s="44" t="s">
        <v>57</v>
      </c>
      <c r="E147" s="44">
        <v>0</v>
      </c>
      <c r="F147" s="50"/>
      <c r="G147" s="119">
        <v>10</v>
      </c>
      <c r="H147" s="115">
        <f>Inputs!$A$17</f>
        <v>0</v>
      </c>
      <c r="I147" s="44">
        <f>Inputs!$A$17</f>
        <v>0</v>
      </c>
      <c r="J147" s="44" t="s">
        <v>58</v>
      </c>
      <c r="K147" s="44">
        <v>0</v>
      </c>
      <c r="L147" s="50"/>
      <c r="M147" s="44">
        <v>0</v>
      </c>
      <c r="N147" s="44">
        <v>0</v>
      </c>
      <c r="O147" s="44">
        <f t="shared" si="149"/>
        <v>0</v>
      </c>
      <c r="P147" s="50"/>
      <c r="Q147" s="44">
        <f t="shared" si="150"/>
        <v>0</v>
      </c>
      <c r="R147" s="63">
        <f>M147*Inputs!$F$17*Inputs!$G$17</f>
        <v>0</v>
      </c>
      <c r="S147" s="44">
        <f>Inputs!$F$17*Inputs!$I$17*N147</f>
        <v>0</v>
      </c>
      <c r="T147" s="18"/>
      <c r="U147" s="91"/>
      <c r="W147" s="117">
        <v>10</v>
      </c>
      <c r="X147" s="115">
        <f>Inputs!$A$17</f>
        <v>0</v>
      </c>
      <c r="Y147" s="44">
        <f>Inputs!$A$17</f>
        <v>0</v>
      </c>
      <c r="Z147" s="44" t="s">
        <v>57</v>
      </c>
      <c r="AA147" s="44">
        <f t="shared" si="143"/>
        <v>0</v>
      </c>
      <c r="AB147" s="50"/>
      <c r="AC147" s="119">
        <v>10</v>
      </c>
      <c r="AD147" s="115">
        <f>Inputs!$A$17</f>
        <v>0</v>
      </c>
      <c r="AE147" s="44">
        <f>Inputs!$A$17</f>
        <v>0</v>
      </c>
      <c r="AF147" s="44" t="s">
        <v>58</v>
      </c>
      <c r="AG147" s="44">
        <f t="shared" si="144"/>
        <v>0</v>
      </c>
      <c r="AH147" s="50"/>
      <c r="AI147" s="44">
        <v>0</v>
      </c>
      <c r="AJ147" s="44">
        <v>0</v>
      </c>
      <c r="AK147" s="44">
        <f t="shared" si="151"/>
        <v>0</v>
      </c>
      <c r="AL147" s="50"/>
      <c r="AM147" s="44">
        <f t="shared" si="152"/>
        <v>0</v>
      </c>
      <c r="AN147" s="63">
        <f>AI147*Inputs!$F$17*Inputs!$G$17</f>
        <v>0</v>
      </c>
      <c r="AO147" s="44">
        <f>Inputs!$F$17*Inputs!$I$17*AJ147</f>
        <v>0</v>
      </c>
      <c r="AP147" s="91"/>
      <c r="AR147" s="117">
        <v>10</v>
      </c>
      <c r="AS147" s="115">
        <f>Inputs!$A$17</f>
        <v>0</v>
      </c>
      <c r="AT147" s="44">
        <f>Inputs!$A$17</f>
        <v>0</v>
      </c>
      <c r="AU147" s="44" t="s">
        <v>57</v>
      </c>
      <c r="AV147" s="44">
        <f t="shared" si="148"/>
        <v>0</v>
      </c>
      <c r="AW147" s="50"/>
      <c r="AX147" s="119">
        <v>10</v>
      </c>
      <c r="AY147" s="115">
        <f>Inputs!$A$17</f>
        <v>0</v>
      </c>
      <c r="AZ147" s="44">
        <f>Inputs!$A$17</f>
        <v>0</v>
      </c>
      <c r="BA147" s="44" t="s">
        <v>58</v>
      </c>
      <c r="BB147" s="44">
        <f t="shared" si="145"/>
        <v>0</v>
      </c>
      <c r="BC147" s="50"/>
      <c r="BD147" s="44">
        <v>0</v>
      </c>
      <c r="BE147" s="44">
        <v>0</v>
      </c>
      <c r="BF147" s="44">
        <f t="shared" si="153"/>
        <v>0</v>
      </c>
      <c r="BG147" s="50"/>
      <c r="BH147" s="44">
        <f t="shared" si="154"/>
        <v>0</v>
      </c>
      <c r="BI147" s="63">
        <f>BD147*Inputs!$F$17*Inputs!$G$17</f>
        <v>0</v>
      </c>
      <c r="BJ147" s="44">
        <f>Inputs!$F$17*Inputs!$I$17*BE147</f>
        <v>0</v>
      </c>
      <c r="BK147" s="91"/>
      <c r="BM147" s="117">
        <v>10</v>
      </c>
      <c r="BN147" s="115">
        <f>Inputs!$A$17</f>
        <v>0</v>
      </c>
      <c r="BO147" s="44">
        <f>Inputs!$A$17</f>
        <v>0</v>
      </c>
      <c r="BP147" s="44" t="s">
        <v>57</v>
      </c>
      <c r="BQ147" s="44">
        <f t="shared" si="146"/>
        <v>0</v>
      </c>
      <c r="BR147" s="50"/>
      <c r="BS147" s="119">
        <v>10</v>
      </c>
      <c r="BT147" s="115">
        <f>Inputs!$A$17</f>
        <v>0</v>
      </c>
      <c r="BU147" s="44">
        <f>Inputs!$A$17</f>
        <v>0</v>
      </c>
      <c r="BV147" s="44" t="s">
        <v>58</v>
      </c>
      <c r="BW147" s="44">
        <f t="shared" si="147"/>
        <v>0</v>
      </c>
      <c r="BX147" s="50"/>
      <c r="BY147" s="44">
        <v>0</v>
      </c>
      <c r="BZ147" s="44">
        <v>0</v>
      </c>
      <c r="CA147" s="44">
        <f t="shared" si="155"/>
        <v>0</v>
      </c>
      <c r="CB147" s="50"/>
      <c r="CC147" s="44">
        <f t="shared" si="156"/>
        <v>0</v>
      </c>
      <c r="CD147" s="63">
        <f>BY147*Inputs!$F$17*Inputs!$G$17</f>
        <v>0</v>
      </c>
      <c r="CE147" s="44">
        <f>Inputs!$F$17*Inputs!$I$17*BZ147</f>
        <v>0</v>
      </c>
      <c r="CF147" s="91"/>
    </row>
    <row r="148" spans="1:84" x14ac:dyDescent="0.25">
      <c r="A148" s="117">
        <v>11</v>
      </c>
      <c r="B148" s="115">
        <f>Inputs!$A$17</f>
        <v>0</v>
      </c>
      <c r="C148" s="44">
        <f>Inputs!$A$17</f>
        <v>0</v>
      </c>
      <c r="D148" s="44" t="s">
        <v>57</v>
      </c>
      <c r="E148" s="44">
        <v>0</v>
      </c>
      <c r="F148" s="50"/>
      <c r="G148" s="119">
        <v>11</v>
      </c>
      <c r="H148" s="115">
        <f>Inputs!$A$17</f>
        <v>0</v>
      </c>
      <c r="I148" s="44">
        <f>Inputs!$A$17</f>
        <v>0</v>
      </c>
      <c r="J148" s="44" t="s">
        <v>58</v>
      </c>
      <c r="K148" s="44">
        <v>0</v>
      </c>
      <c r="L148" s="50"/>
      <c r="M148" s="44">
        <v>0</v>
      </c>
      <c r="N148" s="44">
        <v>0</v>
      </c>
      <c r="O148" s="44">
        <f t="shared" si="149"/>
        <v>0</v>
      </c>
      <c r="P148" s="50"/>
      <c r="Q148" s="44">
        <f t="shared" si="150"/>
        <v>0</v>
      </c>
      <c r="R148" s="63">
        <f>M148*Inputs!$F$17*Inputs!$H$17</f>
        <v>0</v>
      </c>
      <c r="S148" s="44">
        <f>Inputs!$F$17*Inputs!$I$17*N148</f>
        <v>0</v>
      </c>
      <c r="T148" s="18"/>
      <c r="U148" s="56"/>
      <c r="W148" s="117">
        <v>11</v>
      </c>
      <c r="X148" s="115">
        <f>Inputs!$A$17</f>
        <v>0</v>
      </c>
      <c r="Y148" s="44">
        <f>Inputs!$A$17</f>
        <v>0</v>
      </c>
      <c r="Z148" s="44" t="s">
        <v>57</v>
      </c>
      <c r="AA148" s="44">
        <f t="shared" si="143"/>
        <v>0</v>
      </c>
      <c r="AB148" s="50"/>
      <c r="AC148" s="119">
        <v>11</v>
      </c>
      <c r="AD148" s="115">
        <f>Inputs!$A$17</f>
        <v>0</v>
      </c>
      <c r="AE148" s="44">
        <f>Inputs!$A$17</f>
        <v>0</v>
      </c>
      <c r="AF148" s="44" t="s">
        <v>58</v>
      </c>
      <c r="AG148" s="44">
        <f t="shared" si="144"/>
        <v>0</v>
      </c>
      <c r="AH148" s="50"/>
      <c r="AI148" s="44">
        <v>0</v>
      </c>
      <c r="AJ148" s="44">
        <v>0</v>
      </c>
      <c r="AK148" s="44">
        <f t="shared" si="151"/>
        <v>0</v>
      </c>
      <c r="AL148" s="50"/>
      <c r="AM148" s="44">
        <f t="shared" si="152"/>
        <v>0</v>
      </c>
      <c r="AN148" s="63">
        <f>AI148*Inputs!$F$17*Inputs!$H$17</f>
        <v>0</v>
      </c>
      <c r="AO148" s="44">
        <f>Inputs!$F$17*Inputs!$I$17*AJ148</f>
        <v>0</v>
      </c>
      <c r="AP148" s="56"/>
      <c r="AR148" s="117">
        <v>11</v>
      </c>
      <c r="AS148" s="115">
        <f>Inputs!$A$17</f>
        <v>0</v>
      </c>
      <c r="AT148" s="44">
        <f>Inputs!$A$17</f>
        <v>0</v>
      </c>
      <c r="AU148" s="44" t="s">
        <v>57</v>
      </c>
      <c r="AV148" s="44">
        <f t="shared" si="148"/>
        <v>0</v>
      </c>
      <c r="AW148" s="50"/>
      <c r="AX148" s="119">
        <v>11</v>
      </c>
      <c r="AY148" s="115">
        <f>Inputs!$A$17</f>
        <v>0</v>
      </c>
      <c r="AZ148" s="44">
        <f>Inputs!$A$17</f>
        <v>0</v>
      </c>
      <c r="BA148" s="44" t="s">
        <v>58</v>
      </c>
      <c r="BB148" s="44">
        <f t="shared" si="145"/>
        <v>0</v>
      </c>
      <c r="BC148" s="50"/>
      <c r="BD148" s="44">
        <v>0</v>
      </c>
      <c r="BE148" s="44">
        <v>0</v>
      </c>
      <c r="BF148" s="44">
        <f t="shared" si="153"/>
        <v>0</v>
      </c>
      <c r="BG148" s="50"/>
      <c r="BH148" s="44">
        <f t="shared" si="154"/>
        <v>0</v>
      </c>
      <c r="BI148" s="63">
        <f>BD148*Inputs!$F$17*Inputs!$H$17</f>
        <v>0</v>
      </c>
      <c r="BJ148" s="44">
        <f>Inputs!$F$17*Inputs!$I$17*BE148</f>
        <v>0</v>
      </c>
      <c r="BK148" s="56"/>
      <c r="BM148" s="117">
        <v>11</v>
      </c>
      <c r="BN148" s="115">
        <f>Inputs!$A$17</f>
        <v>0</v>
      </c>
      <c r="BO148" s="44">
        <f>Inputs!$A$17</f>
        <v>0</v>
      </c>
      <c r="BP148" s="44" t="s">
        <v>57</v>
      </c>
      <c r="BQ148" s="44">
        <f t="shared" si="146"/>
        <v>0</v>
      </c>
      <c r="BR148" s="50"/>
      <c r="BS148" s="119">
        <v>11</v>
      </c>
      <c r="BT148" s="115">
        <f>Inputs!$A$17</f>
        <v>0</v>
      </c>
      <c r="BU148" s="44">
        <f>Inputs!$A$17</f>
        <v>0</v>
      </c>
      <c r="BV148" s="44" t="s">
        <v>58</v>
      </c>
      <c r="BW148" s="44">
        <f t="shared" si="147"/>
        <v>0</v>
      </c>
      <c r="BX148" s="50"/>
      <c r="BY148" s="44">
        <v>0</v>
      </c>
      <c r="BZ148" s="44">
        <v>0</v>
      </c>
      <c r="CA148" s="44">
        <f t="shared" si="155"/>
        <v>0</v>
      </c>
      <c r="CB148" s="50"/>
      <c r="CC148" s="44">
        <f t="shared" si="156"/>
        <v>0</v>
      </c>
      <c r="CD148" s="63">
        <f>BY148*Inputs!$F$17*Inputs!$H$17</f>
        <v>0</v>
      </c>
      <c r="CE148" s="44">
        <f>Inputs!$F$17*Inputs!$I$17*BZ148</f>
        <v>0</v>
      </c>
      <c r="CF148" s="56"/>
    </row>
    <row r="149" spans="1:84" x14ac:dyDescent="0.25">
      <c r="A149" s="116">
        <v>3</v>
      </c>
      <c r="B149" s="114">
        <f>Inputs!$A$18</f>
        <v>0</v>
      </c>
      <c r="C149" s="45">
        <f>Inputs!$B$18</f>
        <v>0</v>
      </c>
      <c r="D149" s="45" t="s">
        <v>57</v>
      </c>
      <c r="E149" s="45">
        <v>0</v>
      </c>
      <c r="F149" s="50"/>
      <c r="G149" s="118">
        <v>3</v>
      </c>
      <c r="H149" s="114">
        <f>Inputs!$A$18</f>
        <v>0</v>
      </c>
      <c r="I149" s="45">
        <f>Inputs!$B$18</f>
        <v>0</v>
      </c>
      <c r="J149" s="45" t="s">
        <v>58</v>
      </c>
      <c r="K149" s="45">
        <v>0</v>
      </c>
      <c r="L149" s="50"/>
      <c r="M149" s="45">
        <v>0</v>
      </c>
      <c r="N149" s="45">
        <v>0</v>
      </c>
      <c r="O149" s="45">
        <f>U149-0-E149-K149</f>
        <v>0</v>
      </c>
      <c r="P149" s="50"/>
      <c r="Q149" s="45">
        <f>E149+K149+N149-U149+0-M149</f>
        <v>0</v>
      </c>
      <c r="R149" s="64">
        <f>M149*Inputs!$F$18*Inputs!$G$18</f>
        <v>0</v>
      </c>
      <c r="S149" s="45">
        <f>Inputs!$F$18*Inputs!$I$18*N149</f>
        <v>0</v>
      </c>
      <c r="T149" s="18"/>
      <c r="U149" s="54"/>
      <c r="W149" s="116">
        <v>3</v>
      </c>
      <c r="X149" s="114">
        <f>Inputs!$A$18</f>
        <v>0</v>
      </c>
      <c r="Y149" s="45">
        <f>Inputs!$B$18</f>
        <v>0</v>
      </c>
      <c r="Z149" s="45" t="s">
        <v>57</v>
      </c>
      <c r="AA149" s="45">
        <f t="shared" si="143"/>
        <v>0</v>
      </c>
      <c r="AB149" s="50"/>
      <c r="AC149" s="118">
        <v>3</v>
      </c>
      <c r="AD149" s="114">
        <f>Inputs!$A$18</f>
        <v>0</v>
      </c>
      <c r="AE149" s="45">
        <f>Inputs!$B$18</f>
        <v>0</v>
      </c>
      <c r="AF149" s="45" t="s">
        <v>58</v>
      </c>
      <c r="AG149" s="45">
        <f t="shared" si="144"/>
        <v>0</v>
      </c>
      <c r="AH149" s="50"/>
      <c r="AI149" s="45">
        <v>0</v>
      </c>
      <c r="AJ149" s="45">
        <v>0</v>
      </c>
      <c r="AK149" s="45">
        <f>AP149-0-AA149-AG149</f>
        <v>0</v>
      </c>
      <c r="AL149" s="50"/>
      <c r="AM149" s="45">
        <f>AA149+AG149+AJ149-AP149+0-AI149</f>
        <v>0</v>
      </c>
      <c r="AN149" s="64">
        <f>AI149*Inputs!$F$18*Inputs!$G$18</f>
        <v>0</v>
      </c>
      <c r="AO149" s="45">
        <f>Inputs!$F$18*Inputs!$I$18*AJ149</f>
        <v>0</v>
      </c>
      <c r="AP149" s="54"/>
      <c r="AR149" s="116">
        <v>3</v>
      </c>
      <c r="AS149" s="114">
        <f>Inputs!$A$18</f>
        <v>0</v>
      </c>
      <c r="AT149" s="45">
        <f>Inputs!$B$18</f>
        <v>0</v>
      </c>
      <c r="AU149" s="45" t="s">
        <v>57</v>
      </c>
      <c r="AV149" s="45">
        <f t="shared" si="148"/>
        <v>0</v>
      </c>
      <c r="AW149" s="50"/>
      <c r="AX149" s="118">
        <v>3</v>
      </c>
      <c r="AY149" s="114">
        <f>Inputs!$A$18</f>
        <v>0</v>
      </c>
      <c r="AZ149" s="45">
        <f>Inputs!$B$18</f>
        <v>0</v>
      </c>
      <c r="BA149" s="45" t="s">
        <v>58</v>
      </c>
      <c r="BB149" s="45">
        <f t="shared" si="145"/>
        <v>0</v>
      </c>
      <c r="BC149" s="50"/>
      <c r="BD149" s="45">
        <v>0</v>
      </c>
      <c r="BE149" s="45">
        <v>0</v>
      </c>
      <c r="BF149" s="45">
        <f>BK149-0-AV149-BB149</f>
        <v>0</v>
      </c>
      <c r="BG149" s="50"/>
      <c r="BH149" s="45">
        <f>AV149+BB149+BE149-BK149+0-BD149</f>
        <v>0</v>
      </c>
      <c r="BI149" s="64">
        <f>BD149*Inputs!$F$18*Inputs!$G$18</f>
        <v>0</v>
      </c>
      <c r="BJ149" s="45">
        <f>Inputs!$F$18*Inputs!$I$18*BE149</f>
        <v>0</v>
      </c>
      <c r="BK149" s="54"/>
      <c r="BM149" s="116">
        <v>3</v>
      </c>
      <c r="BN149" s="114">
        <f>Inputs!$A$18</f>
        <v>0</v>
      </c>
      <c r="BO149" s="45">
        <f>Inputs!$B$18</f>
        <v>0</v>
      </c>
      <c r="BP149" s="45" t="s">
        <v>57</v>
      </c>
      <c r="BQ149" s="45">
        <f t="shared" si="146"/>
        <v>0</v>
      </c>
      <c r="BR149" s="50"/>
      <c r="BS149" s="118">
        <v>3</v>
      </c>
      <c r="BT149" s="114">
        <f>Inputs!$A$18</f>
        <v>0</v>
      </c>
      <c r="BU149" s="45">
        <f>Inputs!$B$18</f>
        <v>0</v>
      </c>
      <c r="BV149" s="45" t="s">
        <v>58</v>
      </c>
      <c r="BW149" s="45">
        <f t="shared" si="147"/>
        <v>0</v>
      </c>
      <c r="BX149" s="50"/>
      <c r="BY149" s="45">
        <v>0</v>
      </c>
      <c r="BZ149" s="45">
        <v>0</v>
      </c>
      <c r="CA149" s="45">
        <f>CF149-0-BQ149-BW149</f>
        <v>0</v>
      </c>
      <c r="CB149" s="50"/>
      <c r="CC149" s="45">
        <f>BQ149+BW149+BZ149-CF149+0-BY149</f>
        <v>0</v>
      </c>
      <c r="CD149" s="64">
        <f>BY149*Inputs!$F$18*Inputs!$G$18</f>
        <v>0</v>
      </c>
      <c r="CE149" s="45">
        <f>Inputs!$F$18*Inputs!$I$18*BZ149</f>
        <v>0</v>
      </c>
      <c r="CF149" s="54"/>
    </row>
    <row r="150" spans="1:84" x14ac:dyDescent="0.25">
      <c r="A150" s="116">
        <v>4</v>
      </c>
      <c r="B150" s="114">
        <f>Inputs!$A$18</f>
        <v>0</v>
      </c>
      <c r="C150" s="45">
        <f>Inputs!$B$18</f>
        <v>0</v>
      </c>
      <c r="D150" s="45" t="s">
        <v>57</v>
      </c>
      <c r="E150" s="45">
        <v>0</v>
      </c>
      <c r="F150" s="50"/>
      <c r="G150" s="118">
        <v>4</v>
      </c>
      <c r="H150" s="114">
        <f>Inputs!$A$18</f>
        <v>0</v>
      </c>
      <c r="I150" s="45">
        <f>Inputs!$B$18</f>
        <v>0</v>
      </c>
      <c r="J150" s="45" t="s">
        <v>58</v>
      </c>
      <c r="K150" s="45">
        <v>0</v>
      </c>
      <c r="L150" s="50"/>
      <c r="M150" s="45">
        <v>0</v>
      </c>
      <c r="N150" s="45">
        <v>0</v>
      </c>
      <c r="O150" s="45">
        <f t="shared" ref="O150:O157" si="157">U150-M149-E150-K150</f>
        <v>0</v>
      </c>
      <c r="P150" s="50"/>
      <c r="Q150" s="45">
        <f t="shared" ref="Q150:Q157" si="158">E150+K150+N150-U150+M149-M150</f>
        <v>0</v>
      </c>
      <c r="R150" s="64">
        <f>M150*Inputs!$F$18*Inputs!$G$18</f>
        <v>0</v>
      </c>
      <c r="S150" s="45">
        <f>Inputs!$F$18*Inputs!$I$18*N150</f>
        <v>0</v>
      </c>
      <c r="T150" s="18"/>
      <c r="U150" s="55"/>
      <c r="W150" s="116">
        <v>4</v>
      </c>
      <c r="X150" s="114">
        <f>Inputs!$A$18</f>
        <v>0</v>
      </c>
      <c r="Y150" s="45">
        <f>Inputs!$B$18</f>
        <v>0</v>
      </c>
      <c r="Z150" s="45" t="s">
        <v>57</v>
      </c>
      <c r="AA150" s="45">
        <f t="shared" si="143"/>
        <v>0</v>
      </c>
      <c r="AB150" s="50"/>
      <c r="AC150" s="118">
        <v>4</v>
      </c>
      <c r="AD150" s="114">
        <f>Inputs!$A$18</f>
        <v>0</v>
      </c>
      <c r="AE150" s="45">
        <f>Inputs!$B$18</f>
        <v>0</v>
      </c>
      <c r="AF150" s="45" t="s">
        <v>58</v>
      </c>
      <c r="AG150" s="45">
        <f t="shared" si="144"/>
        <v>0</v>
      </c>
      <c r="AH150" s="50"/>
      <c r="AI150" s="45">
        <v>0</v>
      </c>
      <c r="AJ150" s="45">
        <v>0</v>
      </c>
      <c r="AK150" s="45">
        <f t="shared" ref="AK150:AK157" si="159">AP150-AI149-AA150-AG150</f>
        <v>0</v>
      </c>
      <c r="AL150" s="50"/>
      <c r="AM150" s="45">
        <f t="shared" ref="AM150:AM157" si="160">AA150+AG150+AJ150-AP150+AI149-AI150</f>
        <v>0</v>
      </c>
      <c r="AN150" s="64">
        <f>AI150*Inputs!$F$18*Inputs!$G$18</f>
        <v>0</v>
      </c>
      <c r="AO150" s="45">
        <f>Inputs!$F$18*Inputs!$I$18*AJ150</f>
        <v>0</v>
      </c>
      <c r="AP150" s="55"/>
      <c r="AR150" s="116">
        <v>4</v>
      </c>
      <c r="AS150" s="114">
        <f>Inputs!$A$18</f>
        <v>0</v>
      </c>
      <c r="AT150" s="45">
        <f>Inputs!$B$18</f>
        <v>0</v>
      </c>
      <c r="AU150" s="45" t="s">
        <v>57</v>
      </c>
      <c r="AV150" s="45">
        <f t="shared" si="148"/>
        <v>0</v>
      </c>
      <c r="AW150" s="50"/>
      <c r="AX150" s="118">
        <v>4</v>
      </c>
      <c r="AY150" s="114">
        <f>Inputs!$A$18</f>
        <v>0</v>
      </c>
      <c r="AZ150" s="45">
        <f>Inputs!$B$18</f>
        <v>0</v>
      </c>
      <c r="BA150" s="45" t="s">
        <v>58</v>
      </c>
      <c r="BB150" s="45">
        <f t="shared" si="145"/>
        <v>0</v>
      </c>
      <c r="BC150" s="50"/>
      <c r="BD150" s="45">
        <v>0</v>
      </c>
      <c r="BE150" s="45">
        <v>0</v>
      </c>
      <c r="BF150" s="45">
        <f t="shared" ref="BF150:BF157" si="161">BK150-BD149-AV150-BB150</f>
        <v>0</v>
      </c>
      <c r="BG150" s="50"/>
      <c r="BH150" s="45">
        <f t="shared" ref="BH150:BH157" si="162">AV150+BB150+BE150-BK150+BD149-BD150</f>
        <v>0</v>
      </c>
      <c r="BI150" s="64">
        <f>BD150*Inputs!$F$18*Inputs!$G$18</f>
        <v>0</v>
      </c>
      <c r="BJ150" s="45">
        <f>Inputs!$F$18*Inputs!$I$18*BE150</f>
        <v>0</v>
      </c>
      <c r="BK150" s="55"/>
      <c r="BM150" s="116">
        <v>4</v>
      </c>
      <c r="BN150" s="114">
        <f>Inputs!$A$18</f>
        <v>0</v>
      </c>
      <c r="BO150" s="45">
        <f>Inputs!$B$18</f>
        <v>0</v>
      </c>
      <c r="BP150" s="45" t="s">
        <v>57</v>
      </c>
      <c r="BQ150" s="45">
        <f t="shared" si="146"/>
        <v>0</v>
      </c>
      <c r="BR150" s="50"/>
      <c r="BS150" s="118">
        <v>4</v>
      </c>
      <c r="BT150" s="114">
        <f>Inputs!$A$18</f>
        <v>0</v>
      </c>
      <c r="BU150" s="45">
        <f>Inputs!$B$18</f>
        <v>0</v>
      </c>
      <c r="BV150" s="45" t="s">
        <v>58</v>
      </c>
      <c r="BW150" s="45">
        <f t="shared" si="147"/>
        <v>0</v>
      </c>
      <c r="BX150" s="50"/>
      <c r="BY150" s="45">
        <v>0</v>
      </c>
      <c r="BZ150" s="45">
        <v>0</v>
      </c>
      <c r="CA150" s="45">
        <f t="shared" ref="CA150:CA157" si="163">CF150-BY149-BQ150-BW150</f>
        <v>0</v>
      </c>
      <c r="CB150" s="50"/>
      <c r="CC150" s="45">
        <f t="shared" ref="CC150:CC157" si="164">BQ150+BW150+BZ150-CF150+BY149-BY150</f>
        <v>0</v>
      </c>
      <c r="CD150" s="64">
        <f>BY150*Inputs!$F$18*Inputs!$G$18</f>
        <v>0</v>
      </c>
      <c r="CE150" s="45">
        <f>Inputs!$F$18*Inputs!$I$18*BZ150</f>
        <v>0</v>
      </c>
      <c r="CF150" s="55"/>
    </row>
    <row r="151" spans="1:84" x14ac:dyDescent="0.25">
      <c r="A151" s="116">
        <v>5</v>
      </c>
      <c r="B151" s="114">
        <f>Inputs!$A$18</f>
        <v>0</v>
      </c>
      <c r="C151" s="45">
        <f>Inputs!$B$18</f>
        <v>0</v>
      </c>
      <c r="D151" s="45" t="s">
        <v>57</v>
      </c>
      <c r="E151" s="45">
        <v>0</v>
      </c>
      <c r="F151" s="50"/>
      <c r="G151" s="118">
        <v>5</v>
      </c>
      <c r="H151" s="114">
        <f>Inputs!$A$18</f>
        <v>0</v>
      </c>
      <c r="I151" s="45">
        <f>Inputs!$B$18</f>
        <v>0</v>
      </c>
      <c r="J151" s="45" t="s">
        <v>58</v>
      </c>
      <c r="K151" s="45">
        <v>0</v>
      </c>
      <c r="L151" s="50"/>
      <c r="M151" s="45">
        <v>0</v>
      </c>
      <c r="N151" s="45">
        <v>0</v>
      </c>
      <c r="O151" s="45">
        <f t="shared" si="157"/>
        <v>0</v>
      </c>
      <c r="P151" s="50"/>
      <c r="Q151" s="45">
        <f t="shared" si="158"/>
        <v>0</v>
      </c>
      <c r="R151" s="64">
        <f>M151*Inputs!$F$18*Inputs!$G$18</f>
        <v>0</v>
      </c>
      <c r="S151" s="45">
        <f>Inputs!$F$18*Inputs!$I$18*N151</f>
        <v>0</v>
      </c>
      <c r="T151" s="18"/>
      <c r="U151" s="55"/>
      <c r="W151" s="116">
        <v>5</v>
      </c>
      <c r="X151" s="114">
        <f>Inputs!$A$18</f>
        <v>0</v>
      </c>
      <c r="Y151" s="45">
        <f>Inputs!$B$18</f>
        <v>0</v>
      </c>
      <c r="Z151" s="45" t="s">
        <v>57</v>
      </c>
      <c r="AA151" s="45">
        <f t="shared" si="143"/>
        <v>0</v>
      </c>
      <c r="AB151" s="50"/>
      <c r="AC151" s="118">
        <v>5</v>
      </c>
      <c r="AD151" s="114">
        <f>Inputs!$A$18</f>
        <v>0</v>
      </c>
      <c r="AE151" s="45">
        <f>Inputs!$B$18</f>
        <v>0</v>
      </c>
      <c r="AF151" s="45" t="s">
        <v>58</v>
      </c>
      <c r="AG151" s="45">
        <f t="shared" si="144"/>
        <v>0</v>
      </c>
      <c r="AH151" s="50"/>
      <c r="AI151" s="45">
        <v>0</v>
      </c>
      <c r="AJ151" s="45">
        <v>0</v>
      </c>
      <c r="AK151" s="45">
        <f t="shared" si="159"/>
        <v>0</v>
      </c>
      <c r="AL151" s="50"/>
      <c r="AM151" s="45">
        <f t="shared" si="160"/>
        <v>0</v>
      </c>
      <c r="AN151" s="64">
        <f>AI151*Inputs!$F$18*Inputs!$G$18</f>
        <v>0</v>
      </c>
      <c r="AO151" s="45">
        <f>Inputs!$F$18*Inputs!$I$18*AJ151</f>
        <v>0</v>
      </c>
      <c r="AP151" s="55"/>
      <c r="AR151" s="116">
        <v>5</v>
      </c>
      <c r="AS151" s="114">
        <f>Inputs!$A$18</f>
        <v>0</v>
      </c>
      <c r="AT151" s="45">
        <f>Inputs!$B$18</f>
        <v>0</v>
      </c>
      <c r="AU151" s="45" t="s">
        <v>57</v>
      </c>
      <c r="AV151" s="45">
        <f t="shared" si="148"/>
        <v>0</v>
      </c>
      <c r="AW151" s="50"/>
      <c r="AX151" s="118">
        <v>5</v>
      </c>
      <c r="AY151" s="114">
        <f>Inputs!$A$18</f>
        <v>0</v>
      </c>
      <c r="AZ151" s="45">
        <f>Inputs!$B$18</f>
        <v>0</v>
      </c>
      <c r="BA151" s="45" t="s">
        <v>58</v>
      </c>
      <c r="BB151" s="45">
        <f t="shared" si="145"/>
        <v>0</v>
      </c>
      <c r="BC151" s="50"/>
      <c r="BD151" s="45">
        <v>0</v>
      </c>
      <c r="BE151" s="45">
        <v>0</v>
      </c>
      <c r="BF151" s="45">
        <f t="shared" si="161"/>
        <v>0</v>
      </c>
      <c r="BG151" s="50"/>
      <c r="BH151" s="45">
        <f t="shared" si="162"/>
        <v>0</v>
      </c>
      <c r="BI151" s="64">
        <f>BD151*Inputs!$F$18*Inputs!$G$18</f>
        <v>0</v>
      </c>
      <c r="BJ151" s="45">
        <f>Inputs!$F$18*Inputs!$I$18*BE151</f>
        <v>0</v>
      </c>
      <c r="BK151" s="55"/>
      <c r="BM151" s="116">
        <v>5</v>
      </c>
      <c r="BN151" s="114">
        <f>Inputs!$A$18</f>
        <v>0</v>
      </c>
      <c r="BO151" s="45">
        <f>Inputs!$B$18</f>
        <v>0</v>
      </c>
      <c r="BP151" s="45" t="s">
        <v>57</v>
      </c>
      <c r="BQ151" s="45">
        <f t="shared" si="146"/>
        <v>0</v>
      </c>
      <c r="BR151" s="50"/>
      <c r="BS151" s="118">
        <v>5</v>
      </c>
      <c r="BT151" s="114">
        <f>Inputs!$A$18</f>
        <v>0</v>
      </c>
      <c r="BU151" s="45">
        <f>Inputs!$B$18</f>
        <v>0</v>
      </c>
      <c r="BV151" s="45" t="s">
        <v>58</v>
      </c>
      <c r="BW151" s="45">
        <f t="shared" si="147"/>
        <v>0</v>
      </c>
      <c r="BX151" s="50"/>
      <c r="BY151" s="45">
        <v>0</v>
      </c>
      <c r="BZ151" s="45">
        <v>0</v>
      </c>
      <c r="CA151" s="45">
        <f t="shared" si="163"/>
        <v>0</v>
      </c>
      <c r="CB151" s="50"/>
      <c r="CC151" s="45">
        <f t="shared" si="164"/>
        <v>0</v>
      </c>
      <c r="CD151" s="64">
        <f>BY151*Inputs!$F$18*Inputs!$G$18</f>
        <v>0</v>
      </c>
      <c r="CE151" s="45">
        <f>Inputs!$F$18*Inputs!$I$18*BZ151</f>
        <v>0</v>
      </c>
      <c r="CF151" s="55"/>
    </row>
    <row r="152" spans="1:84" x14ac:dyDescent="0.25">
      <c r="A152" s="116">
        <v>6</v>
      </c>
      <c r="B152" s="114">
        <f>Inputs!$A$18</f>
        <v>0</v>
      </c>
      <c r="C152" s="45">
        <f>Inputs!$B$18</f>
        <v>0</v>
      </c>
      <c r="D152" s="45" t="s">
        <v>57</v>
      </c>
      <c r="E152" s="45">
        <v>0</v>
      </c>
      <c r="F152" s="50"/>
      <c r="G152" s="118">
        <v>6</v>
      </c>
      <c r="H152" s="114">
        <f>Inputs!$A$18</f>
        <v>0</v>
      </c>
      <c r="I152" s="45">
        <f>Inputs!$B$18</f>
        <v>0</v>
      </c>
      <c r="J152" s="45" t="s">
        <v>58</v>
      </c>
      <c r="K152" s="45">
        <v>0</v>
      </c>
      <c r="L152" s="50"/>
      <c r="M152" s="45">
        <v>0</v>
      </c>
      <c r="N152" s="45">
        <v>0</v>
      </c>
      <c r="O152" s="45">
        <f t="shared" si="157"/>
        <v>0</v>
      </c>
      <c r="P152" s="50"/>
      <c r="Q152" s="45">
        <f t="shared" si="158"/>
        <v>0</v>
      </c>
      <c r="R152" s="64">
        <f>M152*Inputs!$F$18*Inputs!$G$18</f>
        <v>0</v>
      </c>
      <c r="S152" s="45">
        <f>Inputs!$F$18*Inputs!$I$18*N152</f>
        <v>0</v>
      </c>
      <c r="T152" s="18"/>
      <c r="U152" s="55"/>
      <c r="W152" s="116">
        <v>6</v>
      </c>
      <c r="X152" s="114">
        <f>Inputs!$A$18</f>
        <v>0</v>
      </c>
      <c r="Y152" s="45">
        <f>Inputs!$B$18</f>
        <v>0</v>
      </c>
      <c r="Z152" s="45" t="s">
        <v>57</v>
      </c>
      <c r="AA152" s="45">
        <f t="shared" si="143"/>
        <v>0</v>
      </c>
      <c r="AB152" s="50"/>
      <c r="AC152" s="118">
        <v>6</v>
      </c>
      <c r="AD152" s="114">
        <f>Inputs!$A$18</f>
        <v>0</v>
      </c>
      <c r="AE152" s="45">
        <f>Inputs!$B$18</f>
        <v>0</v>
      </c>
      <c r="AF152" s="45" t="s">
        <v>58</v>
      </c>
      <c r="AG152" s="45">
        <f t="shared" si="144"/>
        <v>0</v>
      </c>
      <c r="AH152" s="50"/>
      <c r="AI152" s="45">
        <v>0</v>
      </c>
      <c r="AJ152" s="45">
        <v>0</v>
      </c>
      <c r="AK152" s="45">
        <f t="shared" si="159"/>
        <v>0</v>
      </c>
      <c r="AL152" s="50"/>
      <c r="AM152" s="45">
        <f t="shared" si="160"/>
        <v>0</v>
      </c>
      <c r="AN152" s="64">
        <f>AI152*Inputs!$F$18*Inputs!$G$18</f>
        <v>0</v>
      </c>
      <c r="AO152" s="45">
        <f>Inputs!$F$18*Inputs!$I$18*AJ152</f>
        <v>0</v>
      </c>
      <c r="AP152" s="55"/>
      <c r="AR152" s="116">
        <v>6</v>
      </c>
      <c r="AS152" s="114">
        <f>Inputs!$A$18</f>
        <v>0</v>
      </c>
      <c r="AT152" s="45">
        <f>Inputs!$B$18</f>
        <v>0</v>
      </c>
      <c r="AU152" s="45" t="s">
        <v>57</v>
      </c>
      <c r="AV152" s="45">
        <f t="shared" si="148"/>
        <v>0</v>
      </c>
      <c r="AW152" s="50"/>
      <c r="AX152" s="118">
        <v>6</v>
      </c>
      <c r="AY152" s="114">
        <f>Inputs!$A$18</f>
        <v>0</v>
      </c>
      <c r="AZ152" s="45">
        <f>Inputs!$B$18</f>
        <v>0</v>
      </c>
      <c r="BA152" s="45" t="s">
        <v>58</v>
      </c>
      <c r="BB152" s="45">
        <f t="shared" si="145"/>
        <v>0</v>
      </c>
      <c r="BC152" s="50"/>
      <c r="BD152" s="45">
        <v>0</v>
      </c>
      <c r="BE152" s="45">
        <v>0</v>
      </c>
      <c r="BF152" s="45">
        <f t="shared" si="161"/>
        <v>0</v>
      </c>
      <c r="BG152" s="50"/>
      <c r="BH152" s="45">
        <f t="shared" si="162"/>
        <v>0</v>
      </c>
      <c r="BI152" s="64">
        <f>BD152*Inputs!$F$18*Inputs!$G$18</f>
        <v>0</v>
      </c>
      <c r="BJ152" s="45">
        <f>Inputs!$F$18*Inputs!$I$18*BE152</f>
        <v>0</v>
      </c>
      <c r="BK152" s="55"/>
      <c r="BM152" s="116">
        <v>6</v>
      </c>
      <c r="BN152" s="114">
        <f>Inputs!$A$18</f>
        <v>0</v>
      </c>
      <c r="BO152" s="45">
        <f>Inputs!$B$18</f>
        <v>0</v>
      </c>
      <c r="BP152" s="45" t="s">
        <v>57</v>
      </c>
      <c r="BQ152" s="45">
        <f t="shared" si="146"/>
        <v>0</v>
      </c>
      <c r="BR152" s="50"/>
      <c r="BS152" s="118">
        <v>6</v>
      </c>
      <c r="BT152" s="114">
        <f>Inputs!$A$18</f>
        <v>0</v>
      </c>
      <c r="BU152" s="45">
        <f>Inputs!$B$18</f>
        <v>0</v>
      </c>
      <c r="BV152" s="45" t="s">
        <v>58</v>
      </c>
      <c r="BW152" s="45">
        <f t="shared" si="147"/>
        <v>0</v>
      </c>
      <c r="BX152" s="50"/>
      <c r="BY152" s="45">
        <v>0</v>
      </c>
      <c r="BZ152" s="45">
        <v>0</v>
      </c>
      <c r="CA152" s="45">
        <f t="shared" si="163"/>
        <v>0</v>
      </c>
      <c r="CB152" s="50"/>
      <c r="CC152" s="45">
        <f t="shared" si="164"/>
        <v>0</v>
      </c>
      <c r="CD152" s="64">
        <f>BY152*Inputs!$F$18*Inputs!$G$18</f>
        <v>0</v>
      </c>
      <c r="CE152" s="45">
        <f>Inputs!$F$18*Inputs!$I$18*BZ152</f>
        <v>0</v>
      </c>
      <c r="CF152" s="55"/>
    </row>
    <row r="153" spans="1:84" x14ac:dyDescent="0.25">
      <c r="A153" s="116">
        <v>7</v>
      </c>
      <c r="B153" s="114">
        <f>Inputs!$A$18</f>
        <v>0</v>
      </c>
      <c r="C153" s="45">
        <f>Inputs!$B$18</f>
        <v>0</v>
      </c>
      <c r="D153" s="45" t="s">
        <v>57</v>
      </c>
      <c r="E153" s="45">
        <v>0</v>
      </c>
      <c r="F153" s="50"/>
      <c r="G153" s="118">
        <v>7</v>
      </c>
      <c r="H153" s="114">
        <f>Inputs!$A$18</f>
        <v>0</v>
      </c>
      <c r="I153" s="45">
        <f>Inputs!$B$18</f>
        <v>0</v>
      </c>
      <c r="J153" s="45" t="s">
        <v>58</v>
      </c>
      <c r="K153" s="45">
        <v>0</v>
      </c>
      <c r="L153" s="50"/>
      <c r="M153" s="45">
        <v>0</v>
      </c>
      <c r="N153" s="45">
        <v>0</v>
      </c>
      <c r="O153" s="45">
        <f t="shared" si="157"/>
        <v>0</v>
      </c>
      <c r="P153" s="50"/>
      <c r="Q153" s="45">
        <f t="shared" si="158"/>
        <v>0</v>
      </c>
      <c r="R153" s="64">
        <f>M153*Inputs!$F$18*Inputs!$G$18</f>
        <v>0</v>
      </c>
      <c r="S153" s="45">
        <f>Inputs!$F$18*Inputs!$I$18*N153</f>
        <v>0</v>
      </c>
      <c r="T153" s="18"/>
      <c r="U153" s="55"/>
      <c r="W153" s="116">
        <v>7</v>
      </c>
      <c r="X153" s="114">
        <f>Inputs!$A$18</f>
        <v>0</v>
      </c>
      <c r="Y153" s="45">
        <f>Inputs!$B$18</f>
        <v>0</v>
      </c>
      <c r="Z153" s="45" t="s">
        <v>57</v>
      </c>
      <c r="AA153" s="45">
        <f t="shared" si="143"/>
        <v>0</v>
      </c>
      <c r="AB153" s="50"/>
      <c r="AC153" s="118">
        <v>7</v>
      </c>
      <c r="AD153" s="114">
        <f>Inputs!$A$18</f>
        <v>0</v>
      </c>
      <c r="AE153" s="45">
        <f>Inputs!$B$18</f>
        <v>0</v>
      </c>
      <c r="AF153" s="45" t="s">
        <v>58</v>
      </c>
      <c r="AG153" s="45">
        <f t="shared" si="144"/>
        <v>0</v>
      </c>
      <c r="AH153" s="50"/>
      <c r="AI153" s="45">
        <v>0</v>
      </c>
      <c r="AJ153" s="45">
        <v>0</v>
      </c>
      <c r="AK153" s="45">
        <f t="shared" si="159"/>
        <v>0</v>
      </c>
      <c r="AL153" s="50"/>
      <c r="AM153" s="45">
        <f t="shared" si="160"/>
        <v>0</v>
      </c>
      <c r="AN153" s="64">
        <f>AI153*Inputs!$F$18*Inputs!$G$18</f>
        <v>0</v>
      </c>
      <c r="AO153" s="45">
        <f>Inputs!$F$18*Inputs!$I$18*AJ153</f>
        <v>0</v>
      </c>
      <c r="AP153" s="55"/>
      <c r="AR153" s="116">
        <v>7</v>
      </c>
      <c r="AS153" s="114">
        <f>Inputs!$A$18</f>
        <v>0</v>
      </c>
      <c r="AT153" s="45">
        <f>Inputs!$B$18</f>
        <v>0</v>
      </c>
      <c r="AU153" s="45" t="s">
        <v>57</v>
      </c>
      <c r="AV153" s="45">
        <f t="shared" si="148"/>
        <v>0</v>
      </c>
      <c r="AW153" s="50"/>
      <c r="AX153" s="118">
        <v>7</v>
      </c>
      <c r="AY153" s="114">
        <f>Inputs!$A$18</f>
        <v>0</v>
      </c>
      <c r="AZ153" s="45">
        <f>Inputs!$B$18</f>
        <v>0</v>
      </c>
      <c r="BA153" s="45" t="s">
        <v>58</v>
      </c>
      <c r="BB153" s="45">
        <f t="shared" si="145"/>
        <v>0</v>
      </c>
      <c r="BC153" s="50"/>
      <c r="BD153" s="45">
        <v>0</v>
      </c>
      <c r="BE153" s="45">
        <v>0</v>
      </c>
      <c r="BF153" s="45">
        <f t="shared" si="161"/>
        <v>0</v>
      </c>
      <c r="BG153" s="50"/>
      <c r="BH153" s="45">
        <f t="shared" si="162"/>
        <v>0</v>
      </c>
      <c r="BI153" s="64">
        <f>BD153*Inputs!$F$18*Inputs!$G$18</f>
        <v>0</v>
      </c>
      <c r="BJ153" s="45">
        <f>Inputs!$F$18*Inputs!$I$18*BE153</f>
        <v>0</v>
      </c>
      <c r="BK153" s="55"/>
      <c r="BM153" s="116">
        <v>7</v>
      </c>
      <c r="BN153" s="114">
        <f>Inputs!$A$18</f>
        <v>0</v>
      </c>
      <c r="BO153" s="45">
        <f>Inputs!$B$18</f>
        <v>0</v>
      </c>
      <c r="BP153" s="45" t="s">
        <v>57</v>
      </c>
      <c r="BQ153" s="45">
        <f t="shared" si="146"/>
        <v>0</v>
      </c>
      <c r="BR153" s="50"/>
      <c r="BS153" s="118">
        <v>7</v>
      </c>
      <c r="BT153" s="114">
        <f>Inputs!$A$18</f>
        <v>0</v>
      </c>
      <c r="BU153" s="45">
        <f>Inputs!$B$18</f>
        <v>0</v>
      </c>
      <c r="BV153" s="45" t="s">
        <v>58</v>
      </c>
      <c r="BW153" s="45">
        <f t="shared" si="147"/>
        <v>0</v>
      </c>
      <c r="BX153" s="50"/>
      <c r="BY153" s="45">
        <v>0</v>
      </c>
      <c r="BZ153" s="45">
        <v>0</v>
      </c>
      <c r="CA153" s="45">
        <f t="shared" si="163"/>
        <v>0</v>
      </c>
      <c r="CB153" s="50"/>
      <c r="CC153" s="45">
        <f t="shared" si="164"/>
        <v>0</v>
      </c>
      <c r="CD153" s="64">
        <f>BY153*Inputs!$F$18*Inputs!$G$18</f>
        <v>0</v>
      </c>
      <c r="CE153" s="45">
        <f>Inputs!$F$18*Inputs!$I$18*BZ153</f>
        <v>0</v>
      </c>
      <c r="CF153" s="55"/>
    </row>
    <row r="154" spans="1:84" x14ac:dyDescent="0.25">
      <c r="A154" s="116">
        <v>8</v>
      </c>
      <c r="B154" s="114">
        <f>Inputs!$A$18</f>
        <v>0</v>
      </c>
      <c r="C154" s="45">
        <f>Inputs!$B$18</f>
        <v>0</v>
      </c>
      <c r="D154" s="45" t="s">
        <v>57</v>
      </c>
      <c r="E154" s="45">
        <v>0</v>
      </c>
      <c r="F154" s="50"/>
      <c r="G154" s="118">
        <v>8</v>
      </c>
      <c r="H154" s="114">
        <f>Inputs!$A$18</f>
        <v>0</v>
      </c>
      <c r="I154" s="45">
        <f>Inputs!$B$18</f>
        <v>0</v>
      </c>
      <c r="J154" s="45" t="s">
        <v>58</v>
      </c>
      <c r="K154" s="45">
        <v>0</v>
      </c>
      <c r="L154" s="50"/>
      <c r="M154" s="45">
        <v>0</v>
      </c>
      <c r="N154" s="45">
        <v>0</v>
      </c>
      <c r="O154" s="45">
        <f t="shared" si="157"/>
        <v>0</v>
      </c>
      <c r="P154" s="50"/>
      <c r="Q154" s="45">
        <f t="shared" si="158"/>
        <v>0</v>
      </c>
      <c r="R154" s="64">
        <f>M154*Inputs!$F$18*Inputs!$G$18</f>
        <v>0</v>
      </c>
      <c r="S154" s="45">
        <f>Inputs!$F$18*Inputs!$I$18*N154</f>
        <v>0</v>
      </c>
      <c r="T154" s="18"/>
      <c r="U154" s="55"/>
      <c r="W154" s="116">
        <v>8</v>
      </c>
      <c r="X154" s="114">
        <f>Inputs!$A$18</f>
        <v>0</v>
      </c>
      <c r="Y154" s="45">
        <f>Inputs!$B$18</f>
        <v>0</v>
      </c>
      <c r="Z154" s="45" t="s">
        <v>57</v>
      </c>
      <c r="AA154" s="45">
        <f t="shared" si="143"/>
        <v>0</v>
      </c>
      <c r="AB154" s="50"/>
      <c r="AC154" s="118">
        <v>8</v>
      </c>
      <c r="AD154" s="114">
        <f>Inputs!$A$18</f>
        <v>0</v>
      </c>
      <c r="AE154" s="45">
        <f>Inputs!$B$18</f>
        <v>0</v>
      </c>
      <c r="AF154" s="45" t="s">
        <v>58</v>
      </c>
      <c r="AG154" s="45">
        <f t="shared" si="144"/>
        <v>0</v>
      </c>
      <c r="AH154" s="50"/>
      <c r="AI154" s="45">
        <v>0</v>
      </c>
      <c r="AJ154" s="45">
        <v>0</v>
      </c>
      <c r="AK154" s="45">
        <f t="shared" si="159"/>
        <v>0</v>
      </c>
      <c r="AL154" s="50"/>
      <c r="AM154" s="45">
        <f t="shared" si="160"/>
        <v>0</v>
      </c>
      <c r="AN154" s="64">
        <f>AI154*Inputs!$F$18*Inputs!$G$18</f>
        <v>0</v>
      </c>
      <c r="AO154" s="45">
        <f>Inputs!$F$18*Inputs!$I$18*AJ154</f>
        <v>0</v>
      </c>
      <c r="AP154" s="55"/>
      <c r="AR154" s="116">
        <v>8</v>
      </c>
      <c r="AS154" s="114">
        <f>Inputs!$A$18</f>
        <v>0</v>
      </c>
      <c r="AT154" s="45">
        <f>Inputs!$B$18</f>
        <v>0</v>
      </c>
      <c r="AU154" s="45" t="s">
        <v>57</v>
      </c>
      <c r="AV154" s="45">
        <f t="shared" si="148"/>
        <v>0</v>
      </c>
      <c r="AW154" s="50"/>
      <c r="AX154" s="118">
        <v>8</v>
      </c>
      <c r="AY154" s="114">
        <f>Inputs!$A$18</f>
        <v>0</v>
      </c>
      <c r="AZ154" s="45">
        <f>Inputs!$B$18</f>
        <v>0</v>
      </c>
      <c r="BA154" s="45" t="s">
        <v>58</v>
      </c>
      <c r="BB154" s="45">
        <f t="shared" si="145"/>
        <v>0</v>
      </c>
      <c r="BC154" s="50"/>
      <c r="BD154" s="45">
        <v>0</v>
      </c>
      <c r="BE154" s="45">
        <v>0</v>
      </c>
      <c r="BF154" s="45">
        <f t="shared" si="161"/>
        <v>0</v>
      </c>
      <c r="BG154" s="50"/>
      <c r="BH154" s="45">
        <f t="shared" si="162"/>
        <v>0</v>
      </c>
      <c r="BI154" s="64">
        <f>BD154*Inputs!$F$18*Inputs!$G$18</f>
        <v>0</v>
      </c>
      <c r="BJ154" s="45">
        <f>Inputs!$F$18*Inputs!$I$18*BE154</f>
        <v>0</v>
      </c>
      <c r="BK154" s="55"/>
      <c r="BM154" s="116">
        <v>8</v>
      </c>
      <c r="BN154" s="114">
        <f>Inputs!$A$18</f>
        <v>0</v>
      </c>
      <c r="BO154" s="45">
        <f>Inputs!$B$18</f>
        <v>0</v>
      </c>
      <c r="BP154" s="45" t="s">
        <v>57</v>
      </c>
      <c r="BQ154" s="45">
        <f t="shared" si="146"/>
        <v>0</v>
      </c>
      <c r="BR154" s="50"/>
      <c r="BS154" s="118">
        <v>8</v>
      </c>
      <c r="BT154" s="114">
        <f>Inputs!$A$18</f>
        <v>0</v>
      </c>
      <c r="BU154" s="45">
        <f>Inputs!$B$18</f>
        <v>0</v>
      </c>
      <c r="BV154" s="45" t="s">
        <v>58</v>
      </c>
      <c r="BW154" s="45">
        <f t="shared" si="147"/>
        <v>0</v>
      </c>
      <c r="BX154" s="50"/>
      <c r="BY154" s="45">
        <v>0</v>
      </c>
      <c r="BZ154" s="45">
        <v>0</v>
      </c>
      <c r="CA154" s="45">
        <f t="shared" si="163"/>
        <v>0</v>
      </c>
      <c r="CB154" s="50"/>
      <c r="CC154" s="45">
        <f t="shared" si="164"/>
        <v>0</v>
      </c>
      <c r="CD154" s="64">
        <f>BY154*Inputs!$F$18*Inputs!$G$18</f>
        <v>0</v>
      </c>
      <c r="CE154" s="45">
        <f>Inputs!$F$18*Inputs!$I$18*BZ154</f>
        <v>0</v>
      </c>
      <c r="CF154" s="55"/>
    </row>
    <row r="155" spans="1:84" x14ac:dyDescent="0.25">
      <c r="A155" s="116">
        <v>9</v>
      </c>
      <c r="B155" s="114">
        <f>Inputs!$A$18</f>
        <v>0</v>
      </c>
      <c r="C155" s="45">
        <f>Inputs!$B$18</f>
        <v>0</v>
      </c>
      <c r="D155" s="45" t="s">
        <v>57</v>
      </c>
      <c r="E155" s="45">
        <v>0</v>
      </c>
      <c r="F155" s="50"/>
      <c r="G155" s="118">
        <v>9</v>
      </c>
      <c r="H155" s="114">
        <f>Inputs!$A$18</f>
        <v>0</v>
      </c>
      <c r="I155" s="45">
        <f>Inputs!$B$18</f>
        <v>0</v>
      </c>
      <c r="J155" s="45" t="s">
        <v>58</v>
      </c>
      <c r="K155" s="45">
        <v>0</v>
      </c>
      <c r="L155" s="50"/>
      <c r="M155" s="45">
        <v>0</v>
      </c>
      <c r="N155" s="45">
        <v>0</v>
      </c>
      <c r="O155" s="45">
        <f t="shared" si="157"/>
        <v>0</v>
      </c>
      <c r="P155" s="50"/>
      <c r="Q155" s="45">
        <f t="shared" si="158"/>
        <v>0</v>
      </c>
      <c r="R155" s="64">
        <f>M155*Inputs!$F$18*Inputs!$G$18</f>
        <v>0</v>
      </c>
      <c r="S155" s="45">
        <f>Inputs!$F$18*Inputs!$I$18*N155</f>
        <v>0</v>
      </c>
      <c r="T155" s="18"/>
      <c r="U155" s="55"/>
      <c r="W155" s="116">
        <v>9</v>
      </c>
      <c r="X155" s="114">
        <f>Inputs!$A$18</f>
        <v>0</v>
      </c>
      <c r="Y155" s="45">
        <f>Inputs!$B$18</f>
        <v>0</v>
      </c>
      <c r="Z155" s="45" t="s">
        <v>57</v>
      </c>
      <c r="AA155" s="45">
        <f t="shared" si="143"/>
        <v>0</v>
      </c>
      <c r="AB155" s="50"/>
      <c r="AC155" s="118">
        <v>9</v>
      </c>
      <c r="AD155" s="114">
        <f>Inputs!$A$18</f>
        <v>0</v>
      </c>
      <c r="AE155" s="45">
        <f>Inputs!$B$18</f>
        <v>0</v>
      </c>
      <c r="AF155" s="45" t="s">
        <v>58</v>
      </c>
      <c r="AG155" s="45">
        <f t="shared" si="144"/>
        <v>0</v>
      </c>
      <c r="AH155" s="50"/>
      <c r="AI155" s="45">
        <v>0</v>
      </c>
      <c r="AJ155" s="45">
        <v>0</v>
      </c>
      <c r="AK155" s="45">
        <f t="shared" si="159"/>
        <v>0</v>
      </c>
      <c r="AL155" s="50"/>
      <c r="AM155" s="45">
        <f t="shared" si="160"/>
        <v>0</v>
      </c>
      <c r="AN155" s="64">
        <f>AI155*Inputs!$F$18*Inputs!$G$18</f>
        <v>0</v>
      </c>
      <c r="AO155" s="45">
        <f>Inputs!$F$18*Inputs!$I$18*AJ155</f>
        <v>0</v>
      </c>
      <c r="AP155" s="55"/>
      <c r="AR155" s="116">
        <v>9</v>
      </c>
      <c r="AS155" s="114">
        <f>Inputs!$A$18</f>
        <v>0</v>
      </c>
      <c r="AT155" s="45">
        <f>Inputs!$B$18</f>
        <v>0</v>
      </c>
      <c r="AU155" s="45" t="s">
        <v>57</v>
      </c>
      <c r="AV155" s="45">
        <f t="shared" si="148"/>
        <v>0</v>
      </c>
      <c r="AW155" s="50"/>
      <c r="AX155" s="118">
        <v>9</v>
      </c>
      <c r="AY155" s="114">
        <f>Inputs!$A$18</f>
        <v>0</v>
      </c>
      <c r="AZ155" s="45">
        <f>Inputs!$B$18</f>
        <v>0</v>
      </c>
      <c r="BA155" s="45" t="s">
        <v>58</v>
      </c>
      <c r="BB155" s="45">
        <f t="shared" si="145"/>
        <v>0</v>
      </c>
      <c r="BC155" s="50"/>
      <c r="BD155" s="45">
        <v>0</v>
      </c>
      <c r="BE155" s="45">
        <v>0</v>
      </c>
      <c r="BF155" s="45">
        <f t="shared" si="161"/>
        <v>0</v>
      </c>
      <c r="BG155" s="50"/>
      <c r="BH155" s="45">
        <f t="shared" si="162"/>
        <v>0</v>
      </c>
      <c r="BI155" s="64">
        <f>BD155*Inputs!$F$18*Inputs!$G$18</f>
        <v>0</v>
      </c>
      <c r="BJ155" s="45">
        <f>Inputs!$F$18*Inputs!$I$18*BE155</f>
        <v>0</v>
      </c>
      <c r="BK155" s="55"/>
      <c r="BM155" s="116">
        <v>9</v>
      </c>
      <c r="BN155" s="114">
        <f>Inputs!$A$18</f>
        <v>0</v>
      </c>
      <c r="BO155" s="45">
        <f>Inputs!$B$18</f>
        <v>0</v>
      </c>
      <c r="BP155" s="45" t="s">
        <v>57</v>
      </c>
      <c r="BQ155" s="45">
        <f t="shared" si="146"/>
        <v>0</v>
      </c>
      <c r="BR155" s="50"/>
      <c r="BS155" s="118">
        <v>9</v>
      </c>
      <c r="BT155" s="114">
        <f>Inputs!$A$18</f>
        <v>0</v>
      </c>
      <c r="BU155" s="45">
        <f>Inputs!$B$18</f>
        <v>0</v>
      </c>
      <c r="BV155" s="45" t="s">
        <v>58</v>
      </c>
      <c r="BW155" s="45">
        <f t="shared" si="147"/>
        <v>0</v>
      </c>
      <c r="BX155" s="50"/>
      <c r="BY155" s="45">
        <v>0</v>
      </c>
      <c r="BZ155" s="45">
        <v>0</v>
      </c>
      <c r="CA155" s="45">
        <f t="shared" si="163"/>
        <v>0</v>
      </c>
      <c r="CB155" s="50"/>
      <c r="CC155" s="45">
        <f t="shared" si="164"/>
        <v>0</v>
      </c>
      <c r="CD155" s="64">
        <f>BY155*Inputs!$F$18*Inputs!$G$18</f>
        <v>0</v>
      </c>
      <c r="CE155" s="45">
        <f>Inputs!$F$18*Inputs!$I$18*BZ155</f>
        <v>0</v>
      </c>
      <c r="CF155" s="55"/>
    </row>
    <row r="156" spans="1:84" x14ac:dyDescent="0.25">
      <c r="A156" s="116">
        <v>10</v>
      </c>
      <c r="B156" s="114">
        <f>Inputs!$A$18</f>
        <v>0</v>
      </c>
      <c r="C156" s="45">
        <f>Inputs!$B$18</f>
        <v>0</v>
      </c>
      <c r="D156" s="45" t="s">
        <v>57</v>
      </c>
      <c r="E156" s="45">
        <v>0</v>
      </c>
      <c r="F156" s="50"/>
      <c r="G156" s="118">
        <v>10</v>
      </c>
      <c r="H156" s="114">
        <f>Inputs!$A$18</f>
        <v>0</v>
      </c>
      <c r="I156" s="45">
        <f>Inputs!$B$18</f>
        <v>0</v>
      </c>
      <c r="J156" s="45" t="s">
        <v>58</v>
      </c>
      <c r="K156" s="45">
        <v>0</v>
      </c>
      <c r="L156" s="50"/>
      <c r="M156" s="45">
        <v>0</v>
      </c>
      <c r="N156" s="45">
        <v>0</v>
      </c>
      <c r="O156" s="45">
        <f t="shared" si="157"/>
        <v>0</v>
      </c>
      <c r="P156" s="50"/>
      <c r="Q156" s="45">
        <f t="shared" si="158"/>
        <v>0</v>
      </c>
      <c r="R156" s="64">
        <f>M156*Inputs!$F$18*Inputs!$G$18</f>
        <v>0</v>
      </c>
      <c r="S156" s="45">
        <f>Inputs!$F$18*Inputs!$I$18*N156</f>
        <v>0</v>
      </c>
      <c r="T156" s="18"/>
      <c r="U156" s="91"/>
      <c r="W156" s="116">
        <v>10</v>
      </c>
      <c r="X156" s="114">
        <f>Inputs!$A$18</f>
        <v>0</v>
      </c>
      <c r="Y156" s="45">
        <f>Inputs!$B$18</f>
        <v>0</v>
      </c>
      <c r="Z156" s="45" t="s">
        <v>57</v>
      </c>
      <c r="AA156" s="45">
        <f t="shared" si="143"/>
        <v>0</v>
      </c>
      <c r="AB156" s="50"/>
      <c r="AC156" s="118">
        <v>10</v>
      </c>
      <c r="AD156" s="114">
        <f>Inputs!$A$18</f>
        <v>0</v>
      </c>
      <c r="AE156" s="45">
        <f>Inputs!$B$18</f>
        <v>0</v>
      </c>
      <c r="AF156" s="45" t="s">
        <v>58</v>
      </c>
      <c r="AG156" s="45">
        <f t="shared" si="144"/>
        <v>0</v>
      </c>
      <c r="AH156" s="50"/>
      <c r="AI156" s="45">
        <v>0</v>
      </c>
      <c r="AJ156" s="45">
        <v>0</v>
      </c>
      <c r="AK156" s="45">
        <f t="shared" si="159"/>
        <v>0</v>
      </c>
      <c r="AL156" s="50"/>
      <c r="AM156" s="45">
        <f t="shared" si="160"/>
        <v>0</v>
      </c>
      <c r="AN156" s="64">
        <f>AI156*Inputs!$F$18*Inputs!$G$18</f>
        <v>0</v>
      </c>
      <c r="AO156" s="45">
        <f>Inputs!$F$18*Inputs!$I$18*AJ156</f>
        <v>0</v>
      </c>
      <c r="AP156" s="91"/>
      <c r="AR156" s="116">
        <v>10</v>
      </c>
      <c r="AS156" s="114">
        <f>Inputs!$A$18</f>
        <v>0</v>
      </c>
      <c r="AT156" s="45">
        <f>Inputs!$B$18</f>
        <v>0</v>
      </c>
      <c r="AU156" s="45" t="s">
        <v>57</v>
      </c>
      <c r="AV156" s="45">
        <f t="shared" si="148"/>
        <v>0</v>
      </c>
      <c r="AW156" s="50"/>
      <c r="AX156" s="118">
        <v>10</v>
      </c>
      <c r="AY156" s="114">
        <f>Inputs!$A$18</f>
        <v>0</v>
      </c>
      <c r="AZ156" s="45">
        <f>Inputs!$B$18</f>
        <v>0</v>
      </c>
      <c r="BA156" s="45" t="s">
        <v>58</v>
      </c>
      <c r="BB156" s="45">
        <f t="shared" si="145"/>
        <v>0</v>
      </c>
      <c r="BC156" s="50"/>
      <c r="BD156" s="45">
        <v>0</v>
      </c>
      <c r="BE156" s="45">
        <v>0</v>
      </c>
      <c r="BF156" s="45">
        <f t="shared" si="161"/>
        <v>0</v>
      </c>
      <c r="BG156" s="50"/>
      <c r="BH156" s="45">
        <f t="shared" si="162"/>
        <v>0</v>
      </c>
      <c r="BI156" s="64">
        <f>BD156*Inputs!$F$18*Inputs!$G$18</f>
        <v>0</v>
      </c>
      <c r="BJ156" s="45">
        <f>Inputs!$F$18*Inputs!$I$18*BE156</f>
        <v>0</v>
      </c>
      <c r="BK156" s="91"/>
      <c r="BM156" s="116">
        <v>10</v>
      </c>
      <c r="BN156" s="114">
        <f>Inputs!$A$18</f>
        <v>0</v>
      </c>
      <c r="BO156" s="45">
        <f>Inputs!$B$18</f>
        <v>0</v>
      </c>
      <c r="BP156" s="45" t="s">
        <v>57</v>
      </c>
      <c r="BQ156" s="45">
        <f t="shared" si="146"/>
        <v>0</v>
      </c>
      <c r="BR156" s="50"/>
      <c r="BS156" s="118">
        <v>10</v>
      </c>
      <c r="BT156" s="114">
        <f>Inputs!$A$18</f>
        <v>0</v>
      </c>
      <c r="BU156" s="45">
        <f>Inputs!$B$18</f>
        <v>0</v>
      </c>
      <c r="BV156" s="45" t="s">
        <v>58</v>
      </c>
      <c r="BW156" s="45">
        <f t="shared" si="147"/>
        <v>0</v>
      </c>
      <c r="BX156" s="50"/>
      <c r="BY156" s="45">
        <v>0</v>
      </c>
      <c r="BZ156" s="45">
        <v>0</v>
      </c>
      <c r="CA156" s="45">
        <f t="shared" si="163"/>
        <v>0</v>
      </c>
      <c r="CB156" s="50"/>
      <c r="CC156" s="45">
        <f t="shared" si="164"/>
        <v>0</v>
      </c>
      <c r="CD156" s="64">
        <f>BY156*Inputs!$F$18*Inputs!$G$18</f>
        <v>0</v>
      </c>
      <c r="CE156" s="45">
        <f>Inputs!$F$18*Inputs!$I$18*BZ156</f>
        <v>0</v>
      </c>
      <c r="CF156" s="91"/>
    </row>
    <row r="157" spans="1:84" x14ac:dyDescent="0.25">
      <c r="A157" s="116">
        <v>11</v>
      </c>
      <c r="B157" s="114">
        <f>Inputs!$A$18</f>
        <v>0</v>
      </c>
      <c r="C157" s="45">
        <f>Inputs!$B$18</f>
        <v>0</v>
      </c>
      <c r="D157" s="45" t="s">
        <v>57</v>
      </c>
      <c r="E157" s="45">
        <v>0</v>
      </c>
      <c r="F157" s="50"/>
      <c r="G157" s="118">
        <v>11</v>
      </c>
      <c r="H157" s="114">
        <f>Inputs!$A$18</f>
        <v>0</v>
      </c>
      <c r="I157" s="45">
        <f>Inputs!$B$18</f>
        <v>0</v>
      </c>
      <c r="J157" s="45" t="s">
        <v>58</v>
      </c>
      <c r="K157" s="45">
        <v>0</v>
      </c>
      <c r="L157" s="50"/>
      <c r="M157" s="45">
        <v>0</v>
      </c>
      <c r="N157" s="45">
        <v>0</v>
      </c>
      <c r="O157" s="45">
        <f t="shared" si="157"/>
        <v>0</v>
      </c>
      <c r="P157" s="50"/>
      <c r="Q157" s="45">
        <f t="shared" si="158"/>
        <v>0</v>
      </c>
      <c r="R157" s="64">
        <f>M157*Inputs!$F$18*Inputs!$H$18</f>
        <v>0</v>
      </c>
      <c r="S157" s="45">
        <f>Inputs!$F$18*Inputs!$I$18*N157</f>
        <v>0</v>
      </c>
      <c r="T157" s="18"/>
      <c r="U157" s="56"/>
      <c r="W157" s="116">
        <v>11</v>
      </c>
      <c r="X157" s="114">
        <f>Inputs!$A$18</f>
        <v>0</v>
      </c>
      <c r="Y157" s="45">
        <f>Inputs!$B$18</f>
        <v>0</v>
      </c>
      <c r="Z157" s="45" t="s">
        <v>57</v>
      </c>
      <c r="AA157" s="45">
        <f t="shared" si="143"/>
        <v>0</v>
      </c>
      <c r="AB157" s="50"/>
      <c r="AC157" s="118">
        <v>11</v>
      </c>
      <c r="AD157" s="114">
        <f>Inputs!$A$18</f>
        <v>0</v>
      </c>
      <c r="AE157" s="45">
        <f>Inputs!$B$18</f>
        <v>0</v>
      </c>
      <c r="AF157" s="45" t="s">
        <v>58</v>
      </c>
      <c r="AG157" s="45">
        <f t="shared" si="144"/>
        <v>0</v>
      </c>
      <c r="AH157" s="50"/>
      <c r="AI157" s="45">
        <v>0</v>
      </c>
      <c r="AJ157" s="45">
        <v>0</v>
      </c>
      <c r="AK157" s="45">
        <f t="shared" si="159"/>
        <v>0</v>
      </c>
      <c r="AL157" s="50"/>
      <c r="AM157" s="45">
        <f t="shared" si="160"/>
        <v>0</v>
      </c>
      <c r="AN157" s="64">
        <f>AI157*Inputs!$F$18*Inputs!$H$18</f>
        <v>0</v>
      </c>
      <c r="AO157" s="45">
        <f>Inputs!$F$18*Inputs!$I$18*AJ157</f>
        <v>0</v>
      </c>
      <c r="AP157" s="56"/>
      <c r="AR157" s="116">
        <v>11</v>
      </c>
      <c r="AS157" s="114">
        <f>Inputs!$A$18</f>
        <v>0</v>
      </c>
      <c r="AT157" s="45">
        <f>Inputs!$B$18</f>
        <v>0</v>
      </c>
      <c r="AU157" s="45" t="s">
        <v>57</v>
      </c>
      <c r="AV157" s="45">
        <f t="shared" si="148"/>
        <v>0</v>
      </c>
      <c r="AW157" s="50"/>
      <c r="AX157" s="118">
        <v>11</v>
      </c>
      <c r="AY157" s="114">
        <f>Inputs!$A$18</f>
        <v>0</v>
      </c>
      <c r="AZ157" s="45">
        <f>Inputs!$B$18</f>
        <v>0</v>
      </c>
      <c r="BA157" s="45" t="s">
        <v>58</v>
      </c>
      <c r="BB157" s="45">
        <f t="shared" si="145"/>
        <v>0</v>
      </c>
      <c r="BC157" s="50"/>
      <c r="BD157" s="45">
        <v>0</v>
      </c>
      <c r="BE157" s="45">
        <v>0</v>
      </c>
      <c r="BF157" s="45">
        <f t="shared" si="161"/>
        <v>0</v>
      </c>
      <c r="BG157" s="50"/>
      <c r="BH157" s="45">
        <f t="shared" si="162"/>
        <v>0</v>
      </c>
      <c r="BI157" s="64">
        <f>BD157*Inputs!$F$18*Inputs!$H$18</f>
        <v>0</v>
      </c>
      <c r="BJ157" s="45">
        <f>Inputs!$F$18*Inputs!$I$18*BE157</f>
        <v>0</v>
      </c>
      <c r="BK157" s="56"/>
      <c r="BM157" s="116">
        <v>11</v>
      </c>
      <c r="BN157" s="114">
        <f>Inputs!$A$18</f>
        <v>0</v>
      </c>
      <c r="BO157" s="45">
        <f>Inputs!$B$18</f>
        <v>0</v>
      </c>
      <c r="BP157" s="45" t="s">
        <v>57</v>
      </c>
      <c r="BQ157" s="45">
        <f t="shared" si="146"/>
        <v>0</v>
      </c>
      <c r="BR157" s="50"/>
      <c r="BS157" s="118">
        <v>11</v>
      </c>
      <c r="BT157" s="114">
        <f>Inputs!$A$18</f>
        <v>0</v>
      </c>
      <c r="BU157" s="45">
        <f>Inputs!$B$18</f>
        <v>0</v>
      </c>
      <c r="BV157" s="45" t="s">
        <v>58</v>
      </c>
      <c r="BW157" s="45">
        <f t="shared" si="147"/>
        <v>0</v>
      </c>
      <c r="BX157" s="50"/>
      <c r="BY157" s="45">
        <v>0</v>
      </c>
      <c r="BZ157" s="45">
        <v>0</v>
      </c>
      <c r="CA157" s="45">
        <f t="shared" si="163"/>
        <v>0</v>
      </c>
      <c r="CB157" s="50"/>
      <c r="CC157" s="45">
        <f t="shared" si="164"/>
        <v>0</v>
      </c>
      <c r="CD157" s="64">
        <f>BY157*Inputs!$F$18*Inputs!$H$18</f>
        <v>0</v>
      </c>
      <c r="CE157" s="45">
        <f>Inputs!$F$18*Inputs!$I$18*BZ157</f>
        <v>0</v>
      </c>
      <c r="CF157" s="56"/>
    </row>
    <row r="158" spans="1:84" x14ac:dyDescent="0.25">
      <c r="A158" s="117">
        <v>3</v>
      </c>
      <c r="B158" s="115">
        <f>Inputs!$A$19</f>
        <v>0</v>
      </c>
      <c r="C158" s="44">
        <f>Inputs!$B$19</f>
        <v>0</v>
      </c>
      <c r="D158" s="44" t="s">
        <v>57</v>
      </c>
      <c r="E158" s="44">
        <v>0</v>
      </c>
      <c r="F158" s="50"/>
      <c r="G158" s="119">
        <v>3</v>
      </c>
      <c r="H158" s="115">
        <f>Inputs!$A$19</f>
        <v>0</v>
      </c>
      <c r="I158" s="44">
        <f>Inputs!$B$19</f>
        <v>0</v>
      </c>
      <c r="J158" s="44" t="s">
        <v>58</v>
      </c>
      <c r="K158" s="44">
        <v>0</v>
      </c>
      <c r="L158" s="50"/>
      <c r="M158" s="44">
        <v>0</v>
      </c>
      <c r="N158" s="44">
        <v>0</v>
      </c>
      <c r="O158" s="44">
        <f>U158-0-E158-K158</f>
        <v>0</v>
      </c>
      <c r="P158" s="50"/>
      <c r="Q158" s="44">
        <f>E158+K158+N158-U158+0-M158</f>
        <v>0</v>
      </c>
      <c r="R158" s="63">
        <f>M158*Inputs!$F$19*Inputs!$G$19</f>
        <v>0</v>
      </c>
      <c r="S158" s="44">
        <f>Inputs!$F$19*Inputs!$I$19*N158</f>
        <v>0</v>
      </c>
      <c r="T158" s="18"/>
      <c r="U158" s="54"/>
      <c r="W158" s="117">
        <v>3</v>
      </c>
      <c r="X158" s="115">
        <f>Inputs!$A$19</f>
        <v>0</v>
      </c>
      <c r="Y158" s="44">
        <f>Inputs!$B$19</f>
        <v>0</v>
      </c>
      <c r="Z158" s="44" t="s">
        <v>57</v>
      </c>
      <c r="AA158" s="44">
        <f t="shared" si="143"/>
        <v>0</v>
      </c>
      <c r="AB158" s="50"/>
      <c r="AC158" s="119">
        <v>3</v>
      </c>
      <c r="AD158" s="115">
        <f>Inputs!$A$19</f>
        <v>0</v>
      </c>
      <c r="AE158" s="44">
        <f>Inputs!$B$19</f>
        <v>0</v>
      </c>
      <c r="AF158" s="44" t="s">
        <v>58</v>
      </c>
      <c r="AG158" s="44">
        <f t="shared" si="144"/>
        <v>0</v>
      </c>
      <c r="AH158" s="50"/>
      <c r="AI158" s="44">
        <v>0</v>
      </c>
      <c r="AJ158" s="44">
        <v>0</v>
      </c>
      <c r="AK158" s="44">
        <f>AP158-0-AA158-AG158</f>
        <v>0</v>
      </c>
      <c r="AL158" s="50"/>
      <c r="AM158" s="44">
        <f>AA158+AG158+AJ158-AP158+0-AI158</f>
        <v>0</v>
      </c>
      <c r="AN158" s="63">
        <f>AI158*Inputs!$F$19*Inputs!$G$19</f>
        <v>0</v>
      </c>
      <c r="AO158" s="44">
        <f>Inputs!$F$19*Inputs!$I$19*AJ158</f>
        <v>0</v>
      </c>
      <c r="AP158" s="54"/>
      <c r="AR158" s="117">
        <v>3</v>
      </c>
      <c r="AS158" s="115">
        <f>Inputs!$A$19</f>
        <v>0</v>
      </c>
      <c r="AT158" s="44">
        <f>Inputs!$B$19</f>
        <v>0</v>
      </c>
      <c r="AU158" s="44" t="s">
        <v>57</v>
      </c>
      <c r="AV158" s="44">
        <f t="shared" si="148"/>
        <v>0</v>
      </c>
      <c r="AW158" s="50"/>
      <c r="AX158" s="119">
        <v>3</v>
      </c>
      <c r="AY158" s="115">
        <f>Inputs!$A$19</f>
        <v>0</v>
      </c>
      <c r="AZ158" s="44">
        <f>Inputs!$B$19</f>
        <v>0</v>
      </c>
      <c r="BA158" s="44" t="s">
        <v>58</v>
      </c>
      <c r="BB158" s="44">
        <f t="shared" si="145"/>
        <v>0</v>
      </c>
      <c r="BC158" s="50"/>
      <c r="BD158" s="44">
        <v>0</v>
      </c>
      <c r="BE158" s="44">
        <v>0</v>
      </c>
      <c r="BF158" s="44">
        <f>BK158-0-AV158-BB158</f>
        <v>0</v>
      </c>
      <c r="BG158" s="50"/>
      <c r="BH158" s="44">
        <f>AV158+BB158+BE158-BK158+0-BD158</f>
        <v>0</v>
      </c>
      <c r="BI158" s="63">
        <f>BD158*Inputs!$F$19*Inputs!$G$19</f>
        <v>0</v>
      </c>
      <c r="BJ158" s="44">
        <f>Inputs!$F$19*Inputs!$I$19*BE158</f>
        <v>0</v>
      </c>
      <c r="BK158" s="54"/>
      <c r="BM158" s="117">
        <v>3</v>
      </c>
      <c r="BN158" s="115">
        <f>Inputs!$A$19</f>
        <v>0</v>
      </c>
      <c r="BO158" s="44">
        <f>Inputs!$B$19</f>
        <v>0</v>
      </c>
      <c r="BP158" s="44" t="s">
        <v>57</v>
      </c>
      <c r="BQ158" s="44">
        <f t="shared" si="146"/>
        <v>0</v>
      </c>
      <c r="BR158" s="50"/>
      <c r="BS158" s="119">
        <v>3</v>
      </c>
      <c r="BT158" s="115">
        <f>Inputs!$A$19</f>
        <v>0</v>
      </c>
      <c r="BU158" s="44">
        <f>Inputs!$B$19</f>
        <v>0</v>
      </c>
      <c r="BV158" s="44" t="s">
        <v>58</v>
      </c>
      <c r="BW158" s="44">
        <f t="shared" si="147"/>
        <v>0</v>
      </c>
      <c r="BX158" s="50"/>
      <c r="BY158" s="44">
        <v>0</v>
      </c>
      <c r="BZ158" s="44">
        <v>0</v>
      </c>
      <c r="CA158" s="44">
        <f>CF158-0-BQ158-BW158</f>
        <v>0</v>
      </c>
      <c r="CB158" s="50"/>
      <c r="CC158" s="44">
        <f>BQ158+BW158+BZ158-CF158+0-BY158</f>
        <v>0</v>
      </c>
      <c r="CD158" s="63">
        <f>BY158*Inputs!$F$19*Inputs!$G$19</f>
        <v>0</v>
      </c>
      <c r="CE158" s="44">
        <f>Inputs!$F$19*Inputs!$I$19*BZ158</f>
        <v>0</v>
      </c>
      <c r="CF158" s="54"/>
    </row>
    <row r="159" spans="1:84" x14ac:dyDescent="0.25">
      <c r="A159" s="117">
        <v>4</v>
      </c>
      <c r="B159" s="115">
        <f>Inputs!$A$19</f>
        <v>0</v>
      </c>
      <c r="C159" s="44">
        <f>Inputs!$B$19</f>
        <v>0</v>
      </c>
      <c r="D159" s="44" t="s">
        <v>57</v>
      </c>
      <c r="E159" s="44">
        <v>0</v>
      </c>
      <c r="F159" s="50"/>
      <c r="G159" s="119">
        <v>4</v>
      </c>
      <c r="H159" s="115">
        <f>Inputs!$A$19</f>
        <v>0</v>
      </c>
      <c r="I159" s="44">
        <f>Inputs!$B$19</f>
        <v>0</v>
      </c>
      <c r="J159" s="44" t="s">
        <v>58</v>
      </c>
      <c r="K159" s="44">
        <v>0</v>
      </c>
      <c r="L159" s="50"/>
      <c r="M159" s="44">
        <v>0</v>
      </c>
      <c r="N159" s="44">
        <v>0</v>
      </c>
      <c r="O159" s="44">
        <f t="shared" ref="O159:O166" si="165">U159-M158-E159-K159</f>
        <v>0</v>
      </c>
      <c r="P159" s="50"/>
      <c r="Q159" s="44">
        <f t="shared" ref="Q159:Q166" si="166">E159+K159+N159-U159+M158-M159</f>
        <v>0</v>
      </c>
      <c r="R159" s="63">
        <f>M159*Inputs!$F$19*Inputs!$G$19</f>
        <v>0</v>
      </c>
      <c r="S159" s="44">
        <f>Inputs!$F$19*Inputs!$I$19*N159</f>
        <v>0</v>
      </c>
      <c r="T159" s="18"/>
      <c r="U159" s="55"/>
      <c r="W159" s="117">
        <v>4</v>
      </c>
      <c r="X159" s="115">
        <f>Inputs!$A$19</f>
        <v>0</v>
      </c>
      <c r="Y159" s="44">
        <f>Inputs!$B$19</f>
        <v>0</v>
      </c>
      <c r="Z159" s="44" t="s">
        <v>57</v>
      </c>
      <c r="AA159" s="44">
        <f t="shared" si="143"/>
        <v>0</v>
      </c>
      <c r="AB159" s="50"/>
      <c r="AC159" s="119">
        <v>4</v>
      </c>
      <c r="AD159" s="115">
        <f>Inputs!$A$19</f>
        <v>0</v>
      </c>
      <c r="AE159" s="44">
        <f>Inputs!$B$19</f>
        <v>0</v>
      </c>
      <c r="AF159" s="44" t="s">
        <v>58</v>
      </c>
      <c r="AG159" s="44">
        <f t="shared" si="144"/>
        <v>0</v>
      </c>
      <c r="AH159" s="50"/>
      <c r="AI159" s="44">
        <v>0</v>
      </c>
      <c r="AJ159" s="44">
        <v>0</v>
      </c>
      <c r="AK159" s="44">
        <f t="shared" ref="AK159:AK166" si="167">AP159-AI158-AA159-AG159</f>
        <v>0</v>
      </c>
      <c r="AL159" s="50"/>
      <c r="AM159" s="44">
        <f t="shared" ref="AM159:AM166" si="168">AA159+AG159+AJ159-AP159+AI158-AI159</f>
        <v>0</v>
      </c>
      <c r="AN159" s="63">
        <f>AI159*Inputs!$F$19*Inputs!$G$19</f>
        <v>0</v>
      </c>
      <c r="AO159" s="44">
        <f>Inputs!$F$19*Inputs!$I$19*AJ159</f>
        <v>0</v>
      </c>
      <c r="AP159" s="55"/>
      <c r="AR159" s="117">
        <v>4</v>
      </c>
      <c r="AS159" s="115">
        <f>Inputs!$A$19</f>
        <v>0</v>
      </c>
      <c r="AT159" s="44">
        <f>Inputs!$B$19</f>
        <v>0</v>
      </c>
      <c r="AU159" s="44" t="s">
        <v>57</v>
      </c>
      <c r="AV159" s="44">
        <f t="shared" si="148"/>
        <v>0</v>
      </c>
      <c r="AW159" s="50"/>
      <c r="AX159" s="119">
        <v>4</v>
      </c>
      <c r="AY159" s="115">
        <f>Inputs!$A$19</f>
        <v>0</v>
      </c>
      <c r="AZ159" s="44">
        <f>Inputs!$B$19</f>
        <v>0</v>
      </c>
      <c r="BA159" s="44" t="s">
        <v>58</v>
      </c>
      <c r="BB159" s="44">
        <f t="shared" si="145"/>
        <v>0</v>
      </c>
      <c r="BC159" s="50"/>
      <c r="BD159" s="44">
        <v>0</v>
      </c>
      <c r="BE159" s="44">
        <v>0</v>
      </c>
      <c r="BF159" s="44">
        <f t="shared" ref="BF159:BF166" si="169">BK159-BD158-AV159-BB159</f>
        <v>0</v>
      </c>
      <c r="BG159" s="50"/>
      <c r="BH159" s="44">
        <f t="shared" ref="BH159:BH166" si="170">AV159+BB159+BE159-BK159+BD158-BD159</f>
        <v>0</v>
      </c>
      <c r="BI159" s="63">
        <f>BD159*Inputs!$F$19*Inputs!$G$19</f>
        <v>0</v>
      </c>
      <c r="BJ159" s="44">
        <f>Inputs!$F$19*Inputs!$I$19*BE159</f>
        <v>0</v>
      </c>
      <c r="BK159" s="55"/>
      <c r="BM159" s="117">
        <v>4</v>
      </c>
      <c r="BN159" s="115">
        <f>Inputs!$A$19</f>
        <v>0</v>
      </c>
      <c r="BO159" s="44">
        <f>Inputs!$B$19</f>
        <v>0</v>
      </c>
      <c r="BP159" s="44" t="s">
        <v>57</v>
      </c>
      <c r="BQ159" s="44">
        <f t="shared" si="146"/>
        <v>0</v>
      </c>
      <c r="BR159" s="50"/>
      <c r="BS159" s="119">
        <v>4</v>
      </c>
      <c r="BT159" s="115">
        <f>Inputs!$A$19</f>
        <v>0</v>
      </c>
      <c r="BU159" s="44">
        <f>Inputs!$B$19</f>
        <v>0</v>
      </c>
      <c r="BV159" s="44" t="s">
        <v>58</v>
      </c>
      <c r="BW159" s="44">
        <f t="shared" si="147"/>
        <v>0</v>
      </c>
      <c r="BX159" s="50"/>
      <c r="BY159" s="44">
        <v>0</v>
      </c>
      <c r="BZ159" s="44">
        <v>0</v>
      </c>
      <c r="CA159" s="44">
        <f t="shared" ref="CA159:CA166" si="171">CF159-BY158-BQ159-BW159</f>
        <v>0</v>
      </c>
      <c r="CB159" s="50"/>
      <c r="CC159" s="44">
        <f t="shared" ref="CC159:CC166" si="172">BQ159+BW159+BZ159-CF159+BY158-BY159</f>
        <v>0</v>
      </c>
      <c r="CD159" s="63">
        <f>BY159*Inputs!$F$19*Inputs!$G$19</f>
        <v>0</v>
      </c>
      <c r="CE159" s="44">
        <f>Inputs!$F$19*Inputs!$I$19*BZ159</f>
        <v>0</v>
      </c>
      <c r="CF159" s="55"/>
    </row>
    <row r="160" spans="1:84" x14ac:dyDescent="0.25">
      <c r="A160" s="117">
        <v>5</v>
      </c>
      <c r="B160" s="115">
        <f>Inputs!$A$19</f>
        <v>0</v>
      </c>
      <c r="C160" s="44">
        <f>Inputs!$B$19</f>
        <v>0</v>
      </c>
      <c r="D160" s="44" t="s">
        <v>57</v>
      </c>
      <c r="E160" s="44">
        <v>0</v>
      </c>
      <c r="F160" s="50"/>
      <c r="G160" s="119">
        <v>5</v>
      </c>
      <c r="H160" s="115">
        <f>Inputs!$A$19</f>
        <v>0</v>
      </c>
      <c r="I160" s="44">
        <f>Inputs!$B$19</f>
        <v>0</v>
      </c>
      <c r="J160" s="44" t="s">
        <v>58</v>
      </c>
      <c r="K160" s="44">
        <v>0</v>
      </c>
      <c r="L160" s="50"/>
      <c r="M160" s="44">
        <v>0</v>
      </c>
      <c r="N160" s="44">
        <v>0</v>
      </c>
      <c r="O160" s="44">
        <f t="shared" si="165"/>
        <v>0</v>
      </c>
      <c r="P160" s="50"/>
      <c r="Q160" s="44">
        <f t="shared" si="166"/>
        <v>0</v>
      </c>
      <c r="R160" s="63">
        <f>M160*Inputs!$F$19*Inputs!$G$19</f>
        <v>0</v>
      </c>
      <c r="S160" s="44">
        <f>Inputs!$F$19*Inputs!$I$19*N160</f>
        <v>0</v>
      </c>
      <c r="T160" s="18"/>
      <c r="U160" s="55"/>
      <c r="W160" s="117">
        <v>5</v>
      </c>
      <c r="X160" s="115">
        <f>Inputs!$A$19</f>
        <v>0</v>
      </c>
      <c r="Y160" s="44">
        <f>Inputs!$B$19</f>
        <v>0</v>
      </c>
      <c r="Z160" s="44" t="s">
        <v>57</v>
      </c>
      <c r="AA160" s="44">
        <f t="shared" si="143"/>
        <v>0</v>
      </c>
      <c r="AB160" s="50"/>
      <c r="AC160" s="119">
        <v>5</v>
      </c>
      <c r="AD160" s="115">
        <f>Inputs!$A$19</f>
        <v>0</v>
      </c>
      <c r="AE160" s="44">
        <f>Inputs!$B$19</f>
        <v>0</v>
      </c>
      <c r="AF160" s="44" t="s">
        <v>58</v>
      </c>
      <c r="AG160" s="44">
        <f t="shared" si="144"/>
        <v>0</v>
      </c>
      <c r="AH160" s="50"/>
      <c r="AI160" s="44">
        <v>0</v>
      </c>
      <c r="AJ160" s="44">
        <v>0</v>
      </c>
      <c r="AK160" s="44">
        <f t="shared" si="167"/>
        <v>0</v>
      </c>
      <c r="AL160" s="50"/>
      <c r="AM160" s="44">
        <f t="shared" si="168"/>
        <v>0</v>
      </c>
      <c r="AN160" s="63">
        <f>AI160*Inputs!$F$19*Inputs!$G$19</f>
        <v>0</v>
      </c>
      <c r="AO160" s="44">
        <f>Inputs!$F$19*Inputs!$I$19*AJ160</f>
        <v>0</v>
      </c>
      <c r="AP160" s="55"/>
      <c r="AR160" s="117">
        <v>5</v>
      </c>
      <c r="AS160" s="115">
        <f>Inputs!$A$19</f>
        <v>0</v>
      </c>
      <c r="AT160" s="44">
        <f>Inputs!$B$19</f>
        <v>0</v>
      </c>
      <c r="AU160" s="44" t="s">
        <v>57</v>
      </c>
      <c r="AV160" s="44">
        <f t="shared" si="148"/>
        <v>0</v>
      </c>
      <c r="AW160" s="50"/>
      <c r="AX160" s="119">
        <v>5</v>
      </c>
      <c r="AY160" s="115">
        <f>Inputs!$A$19</f>
        <v>0</v>
      </c>
      <c r="AZ160" s="44">
        <f>Inputs!$B$19</f>
        <v>0</v>
      </c>
      <c r="BA160" s="44" t="s">
        <v>58</v>
      </c>
      <c r="BB160" s="44">
        <f t="shared" si="145"/>
        <v>0</v>
      </c>
      <c r="BC160" s="50"/>
      <c r="BD160" s="44">
        <v>0</v>
      </c>
      <c r="BE160" s="44">
        <v>0</v>
      </c>
      <c r="BF160" s="44">
        <f t="shared" si="169"/>
        <v>0</v>
      </c>
      <c r="BG160" s="50"/>
      <c r="BH160" s="44">
        <f t="shared" si="170"/>
        <v>0</v>
      </c>
      <c r="BI160" s="63">
        <f>BD160*Inputs!$F$19*Inputs!$G$19</f>
        <v>0</v>
      </c>
      <c r="BJ160" s="44">
        <f>Inputs!$F$19*Inputs!$I$19*BE160</f>
        <v>0</v>
      </c>
      <c r="BK160" s="55"/>
      <c r="BM160" s="117">
        <v>5</v>
      </c>
      <c r="BN160" s="115">
        <f>Inputs!$A$19</f>
        <v>0</v>
      </c>
      <c r="BO160" s="44">
        <f>Inputs!$B$19</f>
        <v>0</v>
      </c>
      <c r="BP160" s="44" t="s">
        <v>57</v>
      </c>
      <c r="BQ160" s="44">
        <f t="shared" si="146"/>
        <v>0</v>
      </c>
      <c r="BR160" s="50"/>
      <c r="BS160" s="119">
        <v>5</v>
      </c>
      <c r="BT160" s="115">
        <f>Inputs!$A$19</f>
        <v>0</v>
      </c>
      <c r="BU160" s="44">
        <f>Inputs!$B$19</f>
        <v>0</v>
      </c>
      <c r="BV160" s="44" t="s">
        <v>58</v>
      </c>
      <c r="BW160" s="44">
        <f t="shared" si="147"/>
        <v>0</v>
      </c>
      <c r="BX160" s="50"/>
      <c r="BY160" s="44">
        <v>0</v>
      </c>
      <c r="BZ160" s="44">
        <v>0</v>
      </c>
      <c r="CA160" s="44">
        <f t="shared" si="171"/>
        <v>0</v>
      </c>
      <c r="CB160" s="50"/>
      <c r="CC160" s="44">
        <f t="shared" si="172"/>
        <v>0</v>
      </c>
      <c r="CD160" s="63">
        <f>BY160*Inputs!$F$19*Inputs!$G$19</f>
        <v>0</v>
      </c>
      <c r="CE160" s="44">
        <f>Inputs!$F$19*Inputs!$I$19*BZ160</f>
        <v>0</v>
      </c>
      <c r="CF160" s="55"/>
    </row>
    <row r="161" spans="1:84" x14ac:dyDescent="0.25">
      <c r="A161" s="117">
        <v>6</v>
      </c>
      <c r="B161" s="115">
        <f>Inputs!$A$19</f>
        <v>0</v>
      </c>
      <c r="C161" s="44">
        <f>Inputs!$B$19</f>
        <v>0</v>
      </c>
      <c r="D161" s="44" t="s">
        <v>57</v>
      </c>
      <c r="E161" s="44">
        <v>0</v>
      </c>
      <c r="F161" s="50"/>
      <c r="G161" s="119">
        <v>6</v>
      </c>
      <c r="H161" s="115">
        <f>Inputs!$A$19</f>
        <v>0</v>
      </c>
      <c r="I161" s="44">
        <f>Inputs!$B$19</f>
        <v>0</v>
      </c>
      <c r="J161" s="44" t="s">
        <v>58</v>
      </c>
      <c r="K161" s="44">
        <v>0</v>
      </c>
      <c r="L161" s="50"/>
      <c r="M161" s="44">
        <v>0</v>
      </c>
      <c r="N161" s="44">
        <v>0</v>
      </c>
      <c r="O161" s="44">
        <f t="shared" si="165"/>
        <v>0</v>
      </c>
      <c r="P161" s="50"/>
      <c r="Q161" s="44">
        <f t="shared" si="166"/>
        <v>0</v>
      </c>
      <c r="R161" s="63">
        <f>M161*Inputs!$F$19*Inputs!$G$19</f>
        <v>0</v>
      </c>
      <c r="S161" s="44">
        <f>Inputs!$F$19*Inputs!$I$19*N161</f>
        <v>0</v>
      </c>
      <c r="T161" s="18"/>
      <c r="U161" s="55"/>
      <c r="W161" s="117">
        <v>6</v>
      </c>
      <c r="X161" s="115">
        <f>Inputs!$A$19</f>
        <v>0</v>
      </c>
      <c r="Y161" s="44">
        <f>Inputs!$B$19</f>
        <v>0</v>
      </c>
      <c r="Z161" s="44" t="s">
        <v>57</v>
      </c>
      <c r="AA161" s="44">
        <f t="shared" si="143"/>
        <v>0</v>
      </c>
      <c r="AB161" s="50"/>
      <c r="AC161" s="119">
        <v>6</v>
      </c>
      <c r="AD161" s="115">
        <f>Inputs!$A$19</f>
        <v>0</v>
      </c>
      <c r="AE161" s="44">
        <f>Inputs!$B$19</f>
        <v>0</v>
      </c>
      <c r="AF161" s="44" t="s">
        <v>58</v>
      </c>
      <c r="AG161" s="44">
        <f t="shared" si="144"/>
        <v>0</v>
      </c>
      <c r="AH161" s="50"/>
      <c r="AI161" s="44">
        <v>0</v>
      </c>
      <c r="AJ161" s="44">
        <v>0</v>
      </c>
      <c r="AK161" s="44">
        <f t="shared" si="167"/>
        <v>0</v>
      </c>
      <c r="AL161" s="50"/>
      <c r="AM161" s="44">
        <f t="shared" si="168"/>
        <v>0</v>
      </c>
      <c r="AN161" s="63">
        <f>AI161*Inputs!$F$19*Inputs!$G$19</f>
        <v>0</v>
      </c>
      <c r="AO161" s="44">
        <f>Inputs!$F$19*Inputs!$I$19*AJ161</f>
        <v>0</v>
      </c>
      <c r="AP161" s="55"/>
      <c r="AR161" s="117">
        <v>6</v>
      </c>
      <c r="AS161" s="115">
        <f>Inputs!$A$19</f>
        <v>0</v>
      </c>
      <c r="AT161" s="44">
        <f>Inputs!$B$19</f>
        <v>0</v>
      </c>
      <c r="AU161" s="44" t="s">
        <v>57</v>
      </c>
      <c r="AV161" s="44">
        <f t="shared" si="148"/>
        <v>0</v>
      </c>
      <c r="AW161" s="50"/>
      <c r="AX161" s="119">
        <v>6</v>
      </c>
      <c r="AY161" s="115">
        <f>Inputs!$A$19</f>
        <v>0</v>
      </c>
      <c r="AZ161" s="44">
        <f>Inputs!$B$19</f>
        <v>0</v>
      </c>
      <c r="BA161" s="44" t="s">
        <v>58</v>
      </c>
      <c r="BB161" s="44">
        <f t="shared" si="145"/>
        <v>0</v>
      </c>
      <c r="BC161" s="50"/>
      <c r="BD161" s="44">
        <v>0</v>
      </c>
      <c r="BE161" s="44">
        <v>0</v>
      </c>
      <c r="BF161" s="44">
        <f t="shared" si="169"/>
        <v>0</v>
      </c>
      <c r="BG161" s="50"/>
      <c r="BH161" s="44">
        <f t="shared" si="170"/>
        <v>0</v>
      </c>
      <c r="BI161" s="63">
        <f>BD161*Inputs!$F$19*Inputs!$G$19</f>
        <v>0</v>
      </c>
      <c r="BJ161" s="44">
        <f>Inputs!$F$19*Inputs!$I$19*BE161</f>
        <v>0</v>
      </c>
      <c r="BK161" s="55"/>
      <c r="BM161" s="117">
        <v>6</v>
      </c>
      <c r="BN161" s="115">
        <f>Inputs!$A$19</f>
        <v>0</v>
      </c>
      <c r="BO161" s="44">
        <f>Inputs!$B$19</f>
        <v>0</v>
      </c>
      <c r="BP161" s="44" t="s">
        <v>57</v>
      </c>
      <c r="BQ161" s="44">
        <f t="shared" si="146"/>
        <v>0</v>
      </c>
      <c r="BR161" s="50"/>
      <c r="BS161" s="119">
        <v>6</v>
      </c>
      <c r="BT161" s="115">
        <f>Inputs!$A$19</f>
        <v>0</v>
      </c>
      <c r="BU161" s="44">
        <f>Inputs!$B$19</f>
        <v>0</v>
      </c>
      <c r="BV161" s="44" t="s">
        <v>58</v>
      </c>
      <c r="BW161" s="44">
        <f t="shared" si="147"/>
        <v>0</v>
      </c>
      <c r="BX161" s="50"/>
      <c r="BY161" s="44">
        <v>0</v>
      </c>
      <c r="BZ161" s="44">
        <v>0</v>
      </c>
      <c r="CA161" s="44">
        <f t="shared" si="171"/>
        <v>0</v>
      </c>
      <c r="CB161" s="50"/>
      <c r="CC161" s="44">
        <f t="shared" si="172"/>
        <v>0</v>
      </c>
      <c r="CD161" s="63">
        <f>BY161*Inputs!$F$19*Inputs!$G$19</f>
        <v>0</v>
      </c>
      <c r="CE161" s="44">
        <f>Inputs!$F$19*Inputs!$I$19*BZ161</f>
        <v>0</v>
      </c>
      <c r="CF161" s="55"/>
    </row>
    <row r="162" spans="1:84" x14ac:dyDescent="0.25">
      <c r="A162" s="117">
        <v>7</v>
      </c>
      <c r="B162" s="115">
        <f>Inputs!$A$19</f>
        <v>0</v>
      </c>
      <c r="C162" s="44">
        <f>Inputs!$B$19</f>
        <v>0</v>
      </c>
      <c r="D162" s="44" t="s">
        <v>57</v>
      </c>
      <c r="E162" s="44">
        <v>0</v>
      </c>
      <c r="F162" s="50"/>
      <c r="G162" s="119">
        <v>7</v>
      </c>
      <c r="H162" s="115">
        <f>Inputs!$A$19</f>
        <v>0</v>
      </c>
      <c r="I162" s="44">
        <f>Inputs!$B$19</f>
        <v>0</v>
      </c>
      <c r="J162" s="44" t="s">
        <v>58</v>
      </c>
      <c r="K162" s="44">
        <v>0</v>
      </c>
      <c r="L162" s="50"/>
      <c r="M162" s="44">
        <v>0</v>
      </c>
      <c r="N162" s="44">
        <v>0</v>
      </c>
      <c r="O162" s="44">
        <f t="shared" si="165"/>
        <v>0</v>
      </c>
      <c r="P162" s="50"/>
      <c r="Q162" s="44">
        <f t="shared" si="166"/>
        <v>0</v>
      </c>
      <c r="R162" s="63">
        <f>M162*Inputs!$F$19*Inputs!$G$19</f>
        <v>0</v>
      </c>
      <c r="S162" s="44">
        <f>Inputs!$F$19*Inputs!$I$19*N162</f>
        <v>0</v>
      </c>
      <c r="T162" s="18"/>
      <c r="U162" s="55"/>
      <c r="W162" s="117">
        <v>7</v>
      </c>
      <c r="X162" s="115">
        <f>Inputs!$A$19</f>
        <v>0</v>
      </c>
      <c r="Y162" s="44">
        <f>Inputs!$B$19</f>
        <v>0</v>
      </c>
      <c r="Z162" s="44" t="s">
        <v>57</v>
      </c>
      <c r="AA162" s="44">
        <f t="shared" si="143"/>
        <v>0</v>
      </c>
      <c r="AB162" s="50"/>
      <c r="AC162" s="119">
        <v>7</v>
      </c>
      <c r="AD162" s="115">
        <f>Inputs!$A$19</f>
        <v>0</v>
      </c>
      <c r="AE162" s="44">
        <f>Inputs!$B$19</f>
        <v>0</v>
      </c>
      <c r="AF162" s="44" t="s">
        <v>58</v>
      </c>
      <c r="AG162" s="44">
        <f t="shared" si="144"/>
        <v>0</v>
      </c>
      <c r="AH162" s="50"/>
      <c r="AI162" s="44">
        <v>0</v>
      </c>
      <c r="AJ162" s="44">
        <v>0</v>
      </c>
      <c r="AK162" s="44">
        <f t="shared" si="167"/>
        <v>0</v>
      </c>
      <c r="AL162" s="50"/>
      <c r="AM162" s="44">
        <f t="shared" si="168"/>
        <v>0</v>
      </c>
      <c r="AN162" s="63">
        <f>AI162*Inputs!$F$19*Inputs!$G$19</f>
        <v>0</v>
      </c>
      <c r="AO162" s="44">
        <f>Inputs!$F$19*Inputs!$I$19*AJ162</f>
        <v>0</v>
      </c>
      <c r="AP162" s="55"/>
      <c r="AR162" s="117">
        <v>7</v>
      </c>
      <c r="AS162" s="115">
        <f>Inputs!$A$19</f>
        <v>0</v>
      </c>
      <c r="AT162" s="44">
        <f>Inputs!$B$19</f>
        <v>0</v>
      </c>
      <c r="AU162" s="44" t="s">
        <v>57</v>
      </c>
      <c r="AV162" s="44">
        <f t="shared" si="148"/>
        <v>0</v>
      </c>
      <c r="AW162" s="50"/>
      <c r="AX162" s="119">
        <v>7</v>
      </c>
      <c r="AY162" s="115">
        <f>Inputs!$A$19</f>
        <v>0</v>
      </c>
      <c r="AZ162" s="44">
        <f>Inputs!$B$19</f>
        <v>0</v>
      </c>
      <c r="BA162" s="44" t="s">
        <v>58</v>
      </c>
      <c r="BB162" s="44">
        <f t="shared" si="145"/>
        <v>0</v>
      </c>
      <c r="BC162" s="50"/>
      <c r="BD162" s="44">
        <v>0</v>
      </c>
      <c r="BE162" s="44">
        <v>0</v>
      </c>
      <c r="BF162" s="44">
        <f t="shared" si="169"/>
        <v>0</v>
      </c>
      <c r="BG162" s="50"/>
      <c r="BH162" s="44">
        <f t="shared" si="170"/>
        <v>0</v>
      </c>
      <c r="BI162" s="63">
        <f>BD162*Inputs!$F$19*Inputs!$G$19</f>
        <v>0</v>
      </c>
      <c r="BJ162" s="44">
        <f>Inputs!$F$19*Inputs!$I$19*BE162</f>
        <v>0</v>
      </c>
      <c r="BK162" s="55"/>
      <c r="BM162" s="117">
        <v>7</v>
      </c>
      <c r="BN162" s="115">
        <f>Inputs!$A$19</f>
        <v>0</v>
      </c>
      <c r="BO162" s="44">
        <f>Inputs!$B$19</f>
        <v>0</v>
      </c>
      <c r="BP162" s="44" t="s">
        <v>57</v>
      </c>
      <c r="BQ162" s="44">
        <f t="shared" si="146"/>
        <v>0</v>
      </c>
      <c r="BR162" s="50"/>
      <c r="BS162" s="119">
        <v>7</v>
      </c>
      <c r="BT162" s="115">
        <f>Inputs!$A$19</f>
        <v>0</v>
      </c>
      <c r="BU162" s="44">
        <f>Inputs!$B$19</f>
        <v>0</v>
      </c>
      <c r="BV162" s="44" t="s">
        <v>58</v>
      </c>
      <c r="BW162" s="44">
        <f t="shared" si="147"/>
        <v>0</v>
      </c>
      <c r="BX162" s="50"/>
      <c r="BY162" s="44">
        <v>0</v>
      </c>
      <c r="BZ162" s="44">
        <v>0</v>
      </c>
      <c r="CA162" s="44">
        <f t="shared" si="171"/>
        <v>0</v>
      </c>
      <c r="CB162" s="50"/>
      <c r="CC162" s="44">
        <f t="shared" si="172"/>
        <v>0</v>
      </c>
      <c r="CD162" s="63">
        <f>BY162*Inputs!$F$19*Inputs!$G$19</f>
        <v>0</v>
      </c>
      <c r="CE162" s="44">
        <f>Inputs!$F$19*Inputs!$I$19*BZ162</f>
        <v>0</v>
      </c>
      <c r="CF162" s="55"/>
    </row>
    <row r="163" spans="1:84" x14ac:dyDescent="0.25">
      <c r="A163" s="117">
        <v>8</v>
      </c>
      <c r="B163" s="115">
        <f>Inputs!$A$19</f>
        <v>0</v>
      </c>
      <c r="C163" s="44">
        <f>Inputs!$B$19</f>
        <v>0</v>
      </c>
      <c r="D163" s="44" t="s">
        <v>57</v>
      </c>
      <c r="E163" s="44">
        <v>0</v>
      </c>
      <c r="F163" s="50"/>
      <c r="G163" s="119">
        <v>8</v>
      </c>
      <c r="H163" s="115">
        <f>Inputs!$A$19</f>
        <v>0</v>
      </c>
      <c r="I163" s="44">
        <f>Inputs!$B$19</f>
        <v>0</v>
      </c>
      <c r="J163" s="44" t="s">
        <v>58</v>
      </c>
      <c r="K163" s="44">
        <v>0</v>
      </c>
      <c r="L163" s="50"/>
      <c r="M163" s="44">
        <v>0</v>
      </c>
      <c r="N163" s="44">
        <v>0</v>
      </c>
      <c r="O163" s="44">
        <f t="shared" si="165"/>
        <v>0</v>
      </c>
      <c r="P163" s="50"/>
      <c r="Q163" s="44">
        <f t="shared" si="166"/>
        <v>0</v>
      </c>
      <c r="R163" s="63">
        <f>M163*Inputs!$F$19*Inputs!$G$19</f>
        <v>0</v>
      </c>
      <c r="S163" s="44">
        <f>Inputs!$F$19*Inputs!$I$19*N163</f>
        <v>0</v>
      </c>
      <c r="T163" s="18"/>
      <c r="U163" s="55"/>
      <c r="W163" s="117">
        <v>8</v>
      </c>
      <c r="X163" s="115">
        <f>Inputs!$A$19</f>
        <v>0</v>
      </c>
      <c r="Y163" s="44">
        <f>Inputs!$B$19</f>
        <v>0</v>
      </c>
      <c r="Z163" s="44" t="s">
        <v>57</v>
      </c>
      <c r="AA163" s="44">
        <f t="shared" si="143"/>
        <v>0</v>
      </c>
      <c r="AB163" s="50"/>
      <c r="AC163" s="119">
        <v>8</v>
      </c>
      <c r="AD163" s="115">
        <f>Inputs!$A$19</f>
        <v>0</v>
      </c>
      <c r="AE163" s="44">
        <f>Inputs!$B$19</f>
        <v>0</v>
      </c>
      <c r="AF163" s="44" t="s">
        <v>58</v>
      </c>
      <c r="AG163" s="44">
        <f t="shared" si="144"/>
        <v>0</v>
      </c>
      <c r="AH163" s="50"/>
      <c r="AI163" s="44">
        <v>0</v>
      </c>
      <c r="AJ163" s="44">
        <v>0</v>
      </c>
      <c r="AK163" s="44">
        <f t="shared" si="167"/>
        <v>0</v>
      </c>
      <c r="AL163" s="50"/>
      <c r="AM163" s="44">
        <f t="shared" si="168"/>
        <v>0</v>
      </c>
      <c r="AN163" s="63">
        <f>AI163*Inputs!$F$19*Inputs!$G$19</f>
        <v>0</v>
      </c>
      <c r="AO163" s="44">
        <f>Inputs!$F$19*Inputs!$I$19*AJ163</f>
        <v>0</v>
      </c>
      <c r="AP163" s="55"/>
      <c r="AR163" s="117">
        <v>8</v>
      </c>
      <c r="AS163" s="115">
        <f>Inputs!$A$19</f>
        <v>0</v>
      </c>
      <c r="AT163" s="44">
        <f>Inputs!$B$19</f>
        <v>0</v>
      </c>
      <c r="AU163" s="44" t="s">
        <v>57</v>
      </c>
      <c r="AV163" s="44">
        <f t="shared" si="148"/>
        <v>0</v>
      </c>
      <c r="AW163" s="50"/>
      <c r="AX163" s="119">
        <v>8</v>
      </c>
      <c r="AY163" s="115">
        <f>Inputs!$A$19</f>
        <v>0</v>
      </c>
      <c r="AZ163" s="44">
        <f>Inputs!$B$19</f>
        <v>0</v>
      </c>
      <c r="BA163" s="44" t="s">
        <v>58</v>
      </c>
      <c r="BB163" s="44">
        <f t="shared" si="145"/>
        <v>0</v>
      </c>
      <c r="BC163" s="50"/>
      <c r="BD163" s="44">
        <v>0</v>
      </c>
      <c r="BE163" s="44">
        <v>0</v>
      </c>
      <c r="BF163" s="44">
        <f t="shared" si="169"/>
        <v>0</v>
      </c>
      <c r="BG163" s="50"/>
      <c r="BH163" s="44">
        <f t="shared" si="170"/>
        <v>0</v>
      </c>
      <c r="BI163" s="63">
        <f>BD163*Inputs!$F$19*Inputs!$G$19</f>
        <v>0</v>
      </c>
      <c r="BJ163" s="44">
        <f>Inputs!$F$19*Inputs!$I$19*BE163</f>
        <v>0</v>
      </c>
      <c r="BK163" s="55"/>
      <c r="BM163" s="117">
        <v>8</v>
      </c>
      <c r="BN163" s="115">
        <f>Inputs!$A$19</f>
        <v>0</v>
      </c>
      <c r="BO163" s="44">
        <f>Inputs!$B$19</f>
        <v>0</v>
      </c>
      <c r="BP163" s="44" t="s">
        <v>57</v>
      </c>
      <c r="BQ163" s="44">
        <f t="shared" si="146"/>
        <v>0</v>
      </c>
      <c r="BR163" s="50"/>
      <c r="BS163" s="119">
        <v>8</v>
      </c>
      <c r="BT163" s="115">
        <f>Inputs!$A$19</f>
        <v>0</v>
      </c>
      <c r="BU163" s="44">
        <f>Inputs!$B$19</f>
        <v>0</v>
      </c>
      <c r="BV163" s="44" t="s">
        <v>58</v>
      </c>
      <c r="BW163" s="44">
        <f t="shared" si="147"/>
        <v>0</v>
      </c>
      <c r="BX163" s="50"/>
      <c r="BY163" s="44">
        <v>0</v>
      </c>
      <c r="BZ163" s="44">
        <v>0</v>
      </c>
      <c r="CA163" s="44">
        <f t="shared" si="171"/>
        <v>0</v>
      </c>
      <c r="CB163" s="50"/>
      <c r="CC163" s="44">
        <f t="shared" si="172"/>
        <v>0</v>
      </c>
      <c r="CD163" s="63">
        <f>BY163*Inputs!$F$19*Inputs!$G$19</f>
        <v>0</v>
      </c>
      <c r="CE163" s="44">
        <f>Inputs!$F$19*Inputs!$I$19*BZ163</f>
        <v>0</v>
      </c>
      <c r="CF163" s="55"/>
    </row>
    <row r="164" spans="1:84" x14ac:dyDescent="0.25">
      <c r="A164" s="117">
        <v>9</v>
      </c>
      <c r="B164" s="115">
        <f>Inputs!$A$19</f>
        <v>0</v>
      </c>
      <c r="C164" s="44">
        <f>Inputs!$B$19</f>
        <v>0</v>
      </c>
      <c r="D164" s="44" t="s">
        <v>57</v>
      </c>
      <c r="E164" s="44">
        <v>0</v>
      </c>
      <c r="F164" s="50"/>
      <c r="G164" s="119">
        <v>9</v>
      </c>
      <c r="H164" s="115">
        <f>Inputs!$A$19</f>
        <v>0</v>
      </c>
      <c r="I164" s="44">
        <f>Inputs!$B$19</f>
        <v>0</v>
      </c>
      <c r="J164" s="44" t="s">
        <v>58</v>
      </c>
      <c r="K164" s="44">
        <v>0</v>
      </c>
      <c r="L164" s="50"/>
      <c r="M164" s="44">
        <v>0</v>
      </c>
      <c r="N164" s="44">
        <v>0</v>
      </c>
      <c r="O164" s="44">
        <f t="shared" si="165"/>
        <v>0</v>
      </c>
      <c r="P164" s="50"/>
      <c r="Q164" s="44">
        <f t="shared" si="166"/>
        <v>0</v>
      </c>
      <c r="R164" s="63">
        <f>M164*Inputs!$F$19*Inputs!$G$19</f>
        <v>0</v>
      </c>
      <c r="S164" s="44">
        <f>Inputs!$F$19*Inputs!$I$19*N164</f>
        <v>0</v>
      </c>
      <c r="T164" s="18"/>
      <c r="U164" s="55"/>
      <c r="W164" s="117">
        <v>9</v>
      </c>
      <c r="X164" s="115">
        <f>Inputs!$A$19</f>
        <v>0</v>
      </c>
      <c r="Y164" s="44">
        <f>Inputs!$B$19</f>
        <v>0</v>
      </c>
      <c r="Z164" s="44" t="s">
        <v>57</v>
      </c>
      <c r="AA164" s="44">
        <f t="shared" si="143"/>
        <v>0</v>
      </c>
      <c r="AB164" s="50"/>
      <c r="AC164" s="119">
        <v>9</v>
      </c>
      <c r="AD164" s="115">
        <f>Inputs!$A$19</f>
        <v>0</v>
      </c>
      <c r="AE164" s="44">
        <f>Inputs!$B$19</f>
        <v>0</v>
      </c>
      <c r="AF164" s="44" t="s">
        <v>58</v>
      </c>
      <c r="AG164" s="44">
        <f t="shared" si="144"/>
        <v>0</v>
      </c>
      <c r="AH164" s="50"/>
      <c r="AI164" s="44">
        <v>0</v>
      </c>
      <c r="AJ164" s="44">
        <v>0</v>
      </c>
      <c r="AK164" s="44">
        <f t="shared" si="167"/>
        <v>0</v>
      </c>
      <c r="AL164" s="50"/>
      <c r="AM164" s="44">
        <f t="shared" si="168"/>
        <v>0</v>
      </c>
      <c r="AN164" s="63">
        <f>AI164*Inputs!$F$19*Inputs!$G$19</f>
        <v>0</v>
      </c>
      <c r="AO164" s="44">
        <f>Inputs!$F$19*Inputs!$I$19*AJ164</f>
        <v>0</v>
      </c>
      <c r="AP164" s="55"/>
      <c r="AR164" s="117">
        <v>9</v>
      </c>
      <c r="AS164" s="115">
        <f>Inputs!$A$19</f>
        <v>0</v>
      </c>
      <c r="AT164" s="44">
        <f>Inputs!$B$19</f>
        <v>0</v>
      </c>
      <c r="AU164" s="44" t="s">
        <v>57</v>
      </c>
      <c r="AV164" s="44">
        <f t="shared" si="148"/>
        <v>0</v>
      </c>
      <c r="AW164" s="50"/>
      <c r="AX164" s="119">
        <v>9</v>
      </c>
      <c r="AY164" s="115">
        <f>Inputs!$A$19</f>
        <v>0</v>
      </c>
      <c r="AZ164" s="44">
        <f>Inputs!$B$19</f>
        <v>0</v>
      </c>
      <c r="BA164" s="44" t="s">
        <v>58</v>
      </c>
      <c r="BB164" s="44">
        <f t="shared" si="145"/>
        <v>0</v>
      </c>
      <c r="BC164" s="50"/>
      <c r="BD164" s="44">
        <v>0</v>
      </c>
      <c r="BE164" s="44">
        <v>0</v>
      </c>
      <c r="BF164" s="44">
        <f t="shared" si="169"/>
        <v>0</v>
      </c>
      <c r="BG164" s="50"/>
      <c r="BH164" s="44">
        <f t="shared" si="170"/>
        <v>0</v>
      </c>
      <c r="BI164" s="63">
        <f>BD164*Inputs!$F$19*Inputs!$G$19</f>
        <v>0</v>
      </c>
      <c r="BJ164" s="44">
        <f>Inputs!$F$19*Inputs!$I$19*BE164</f>
        <v>0</v>
      </c>
      <c r="BK164" s="55"/>
      <c r="BM164" s="117">
        <v>9</v>
      </c>
      <c r="BN164" s="115">
        <f>Inputs!$A$19</f>
        <v>0</v>
      </c>
      <c r="BO164" s="44">
        <f>Inputs!$B$19</f>
        <v>0</v>
      </c>
      <c r="BP164" s="44" t="s">
        <v>57</v>
      </c>
      <c r="BQ164" s="44">
        <f t="shared" si="146"/>
        <v>0</v>
      </c>
      <c r="BR164" s="50"/>
      <c r="BS164" s="119">
        <v>9</v>
      </c>
      <c r="BT164" s="115">
        <f>Inputs!$A$19</f>
        <v>0</v>
      </c>
      <c r="BU164" s="44">
        <f>Inputs!$B$19</f>
        <v>0</v>
      </c>
      <c r="BV164" s="44" t="s">
        <v>58</v>
      </c>
      <c r="BW164" s="44">
        <f t="shared" si="147"/>
        <v>0</v>
      </c>
      <c r="BX164" s="50"/>
      <c r="BY164" s="44">
        <v>0</v>
      </c>
      <c r="BZ164" s="44">
        <v>0</v>
      </c>
      <c r="CA164" s="44">
        <f t="shared" si="171"/>
        <v>0</v>
      </c>
      <c r="CB164" s="50"/>
      <c r="CC164" s="44">
        <f t="shared" si="172"/>
        <v>0</v>
      </c>
      <c r="CD164" s="63">
        <f>BY164*Inputs!$F$19*Inputs!$G$19</f>
        <v>0</v>
      </c>
      <c r="CE164" s="44">
        <f>Inputs!$F$19*Inputs!$I$19*BZ164</f>
        <v>0</v>
      </c>
      <c r="CF164" s="55"/>
    </row>
    <row r="165" spans="1:84" x14ac:dyDescent="0.25">
      <c r="A165" s="117">
        <v>10</v>
      </c>
      <c r="B165" s="115">
        <f>Inputs!$A$19</f>
        <v>0</v>
      </c>
      <c r="C165" s="44">
        <f>Inputs!$B$19</f>
        <v>0</v>
      </c>
      <c r="D165" s="44" t="s">
        <v>57</v>
      </c>
      <c r="E165" s="44">
        <v>0</v>
      </c>
      <c r="F165" s="50"/>
      <c r="G165" s="119">
        <v>10</v>
      </c>
      <c r="H165" s="115">
        <f>Inputs!$A$19</f>
        <v>0</v>
      </c>
      <c r="I165" s="44">
        <f>Inputs!$B$19</f>
        <v>0</v>
      </c>
      <c r="J165" s="44" t="s">
        <v>58</v>
      </c>
      <c r="K165" s="44">
        <v>0</v>
      </c>
      <c r="L165" s="50"/>
      <c r="M165" s="44">
        <v>0</v>
      </c>
      <c r="N165" s="44">
        <v>0</v>
      </c>
      <c r="O165" s="44">
        <f t="shared" si="165"/>
        <v>0</v>
      </c>
      <c r="P165" s="50"/>
      <c r="Q165" s="44">
        <f t="shared" si="166"/>
        <v>0</v>
      </c>
      <c r="R165" s="63">
        <f>M165*Inputs!$F$19*Inputs!$H$19</f>
        <v>0</v>
      </c>
      <c r="S165" s="44">
        <f>Inputs!$F$19*Inputs!$I$19*N165</f>
        <v>0</v>
      </c>
      <c r="T165" s="18"/>
      <c r="U165" s="91"/>
      <c r="W165" s="117">
        <v>10</v>
      </c>
      <c r="X165" s="115">
        <f>Inputs!$A$19</f>
        <v>0</v>
      </c>
      <c r="Y165" s="44">
        <f>Inputs!$B$19</f>
        <v>0</v>
      </c>
      <c r="Z165" s="44" t="s">
        <v>57</v>
      </c>
      <c r="AA165" s="44">
        <f t="shared" si="143"/>
        <v>0</v>
      </c>
      <c r="AB165" s="50"/>
      <c r="AC165" s="119">
        <v>10</v>
      </c>
      <c r="AD165" s="115">
        <f>Inputs!$A$19</f>
        <v>0</v>
      </c>
      <c r="AE165" s="44">
        <f>Inputs!$B$19</f>
        <v>0</v>
      </c>
      <c r="AF165" s="44" t="s">
        <v>58</v>
      </c>
      <c r="AG165" s="44">
        <f t="shared" si="144"/>
        <v>0</v>
      </c>
      <c r="AH165" s="50"/>
      <c r="AI165" s="44">
        <v>0</v>
      </c>
      <c r="AJ165" s="44">
        <v>0</v>
      </c>
      <c r="AK165" s="44">
        <f t="shared" si="167"/>
        <v>0</v>
      </c>
      <c r="AL165" s="50"/>
      <c r="AM165" s="44">
        <f t="shared" si="168"/>
        <v>0</v>
      </c>
      <c r="AN165" s="63">
        <f>AI165*Inputs!$F$19*Inputs!$H$19</f>
        <v>0</v>
      </c>
      <c r="AO165" s="44">
        <f>Inputs!$F$19*Inputs!$I$19*AJ165</f>
        <v>0</v>
      </c>
      <c r="AP165" s="91"/>
      <c r="AR165" s="117">
        <v>10</v>
      </c>
      <c r="AS165" s="115">
        <f>Inputs!$A$19</f>
        <v>0</v>
      </c>
      <c r="AT165" s="44">
        <f>Inputs!$B$19</f>
        <v>0</v>
      </c>
      <c r="AU165" s="44" t="s">
        <v>57</v>
      </c>
      <c r="AV165" s="44">
        <f t="shared" si="148"/>
        <v>0</v>
      </c>
      <c r="AW165" s="50"/>
      <c r="AX165" s="119">
        <v>10</v>
      </c>
      <c r="AY165" s="115">
        <f>Inputs!$A$19</f>
        <v>0</v>
      </c>
      <c r="AZ165" s="44">
        <f>Inputs!$B$19</f>
        <v>0</v>
      </c>
      <c r="BA165" s="44" t="s">
        <v>58</v>
      </c>
      <c r="BB165" s="44">
        <f t="shared" si="145"/>
        <v>0</v>
      </c>
      <c r="BC165" s="50"/>
      <c r="BD165" s="44">
        <v>0</v>
      </c>
      <c r="BE165" s="44">
        <v>0</v>
      </c>
      <c r="BF165" s="44">
        <f t="shared" si="169"/>
        <v>0</v>
      </c>
      <c r="BG165" s="50"/>
      <c r="BH165" s="44">
        <f t="shared" si="170"/>
        <v>0</v>
      </c>
      <c r="BI165" s="63">
        <f>BD165*Inputs!$F$19*Inputs!$H$19</f>
        <v>0</v>
      </c>
      <c r="BJ165" s="44">
        <f>Inputs!$F$19*Inputs!$I$19*BE165</f>
        <v>0</v>
      </c>
      <c r="BK165" s="91"/>
      <c r="BM165" s="117">
        <v>10</v>
      </c>
      <c r="BN165" s="115">
        <f>Inputs!$A$19</f>
        <v>0</v>
      </c>
      <c r="BO165" s="44">
        <f>Inputs!$B$19</f>
        <v>0</v>
      </c>
      <c r="BP165" s="44" t="s">
        <v>57</v>
      </c>
      <c r="BQ165" s="44">
        <f t="shared" si="146"/>
        <v>0</v>
      </c>
      <c r="BR165" s="50"/>
      <c r="BS165" s="119">
        <v>10</v>
      </c>
      <c r="BT165" s="115">
        <f>Inputs!$A$19</f>
        <v>0</v>
      </c>
      <c r="BU165" s="44">
        <f>Inputs!$B$19</f>
        <v>0</v>
      </c>
      <c r="BV165" s="44" t="s">
        <v>58</v>
      </c>
      <c r="BW165" s="44">
        <f t="shared" si="147"/>
        <v>0</v>
      </c>
      <c r="BX165" s="50"/>
      <c r="BY165" s="44">
        <v>0</v>
      </c>
      <c r="BZ165" s="44">
        <v>0</v>
      </c>
      <c r="CA165" s="44">
        <f t="shared" si="171"/>
        <v>0</v>
      </c>
      <c r="CB165" s="50"/>
      <c r="CC165" s="44">
        <f t="shared" si="172"/>
        <v>0</v>
      </c>
      <c r="CD165" s="63">
        <f>BY165*Inputs!$F$19*Inputs!$H$19</f>
        <v>0</v>
      </c>
      <c r="CE165" s="44">
        <f>Inputs!$F$19*Inputs!$I$19*BZ165</f>
        <v>0</v>
      </c>
      <c r="CF165" s="91"/>
    </row>
    <row r="166" spans="1:84" x14ac:dyDescent="0.25">
      <c r="A166" s="117">
        <v>11</v>
      </c>
      <c r="B166" s="115">
        <f>Inputs!$A$19</f>
        <v>0</v>
      </c>
      <c r="C166" s="44">
        <f>Inputs!$B$19</f>
        <v>0</v>
      </c>
      <c r="D166" s="44" t="s">
        <v>57</v>
      </c>
      <c r="E166" s="44">
        <v>0</v>
      </c>
      <c r="F166" s="50"/>
      <c r="G166" s="119">
        <v>11</v>
      </c>
      <c r="H166" s="115">
        <f>Inputs!$A$19</f>
        <v>0</v>
      </c>
      <c r="I166" s="44">
        <f>Inputs!$B$19</f>
        <v>0</v>
      </c>
      <c r="J166" s="44" t="s">
        <v>58</v>
      </c>
      <c r="K166" s="44">
        <v>0</v>
      </c>
      <c r="L166" s="50"/>
      <c r="M166" s="44">
        <v>0</v>
      </c>
      <c r="N166" s="44">
        <v>0</v>
      </c>
      <c r="O166" s="44">
        <f t="shared" si="165"/>
        <v>0</v>
      </c>
      <c r="P166" s="50"/>
      <c r="Q166" s="44">
        <f t="shared" si="166"/>
        <v>0</v>
      </c>
      <c r="R166" s="63">
        <f>M166*Inputs!$F$19*Inputs!$H$19</f>
        <v>0</v>
      </c>
      <c r="S166" s="44">
        <f>Inputs!$F$19*Inputs!$I$19*N166</f>
        <v>0</v>
      </c>
      <c r="T166" s="18"/>
      <c r="U166" s="56"/>
      <c r="W166" s="117">
        <v>11</v>
      </c>
      <c r="X166" s="115">
        <f>Inputs!$A$19</f>
        <v>0</v>
      </c>
      <c r="Y166" s="44">
        <f>Inputs!$B$19</f>
        <v>0</v>
      </c>
      <c r="Z166" s="44" t="s">
        <v>57</v>
      </c>
      <c r="AA166" s="44">
        <f t="shared" si="143"/>
        <v>0</v>
      </c>
      <c r="AB166" s="50"/>
      <c r="AC166" s="119">
        <v>11</v>
      </c>
      <c r="AD166" s="115">
        <f>Inputs!$A$19</f>
        <v>0</v>
      </c>
      <c r="AE166" s="44">
        <f>Inputs!$B$19</f>
        <v>0</v>
      </c>
      <c r="AF166" s="44" t="s">
        <v>58</v>
      </c>
      <c r="AG166" s="44">
        <f t="shared" si="144"/>
        <v>0</v>
      </c>
      <c r="AH166" s="50"/>
      <c r="AI166" s="44">
        <v>0</v>
      </c>
      <c r="AJ166" s="44">
        <v>0</v>
      </c>
      <c r="AK166" s="44">
        <f t="shared" si="167"/>
        <v>0</v>
      </c>
      <c r="AL166" s="50"/>
      <c r="AM166" s="44">
        <f t="shared" si="168"/>
        <v>0</v>
      </c>
      <c r="AN166" s="63">
        <f>AI166*Inputs!$F$19*Inputs!$H$19</f>
        <v>0</v>
      </c>
      <c r="AO166" s="44">
        <f>Inputs!$F$19*Inputs!$I$19*AJ166</f>
        <v>0</v>
      </c>
      <c r="AP166" s="56"/>
      <c r="AR166" s="117">
        <v>11</v>
      </c>
      <c r="AS166" s="115">
        <f>Inputs!$A$19</f>
        <v>0</v>
      </c>
      <c r="AT166" s="44">
        <f>Inputs!$B$19</f>
        <v>0</v>
      </c>
      <c r="AU166" s="44" t="s">
        <v>57</v>
      </c>
      <c r="AV166" s="44">
        <f t="shared" si="148"/>
        <v>0</v>
      </c>
      <c r="AW166" s="50"/>
      <c r="AX166" s="119">
        <v>11</v>
      </c>
      <c r="AY166" s="115">
        <f>Inputs!$A$19</f>
        <v>0</v>
      </c>
      <c r="AZ166" s="44">
        <f>Inputs!$B$19</f>
        <v>0</v>
      </c>
      <c r="BA166" s="44" t="s">
        <v>58</v>
      </c>
      <c r="BB166" s="44">
        <f t="shared" si="145"/>
        <v>0</v>
      </c>
      <c r="BC166" s="50"/>
      <c r="BD166" s="44">
        <v>0</v>
      </c>
      <c r="BE166" s="44">
        <v>0</v>
      </c>
      <c r="BF166" s="44">
        <f t="shared" si="169"/>
        <v>0</v>
      </c>
      <c r="BG166" s="50"/>
      <c r="BH166" s="44">
        <f t="shared" si="170"/>
        <v>0</v>
      </c>
      <c r="BI166" s="63">
        <f>BD166*Inputs!$F$19*Inputs!$H$19</f>
        <v>0</v>
      </c>
      <c r="BJ166" s="44">
        <f>Inputs!$F$19*Inputs!$I$19*BE166</f>
        <v>0</v>
      </c>
      <c r="BK166" s="56"/>
      <c r="BM166" s="117">
        <v>11</v>
      </c>
      <c r="BN166" s="115">
        <f>Inputs!$A$19</f>
        <v>0</v>
      </c>
      <c r="BO166" s="44">
        <f>Inputs!$B$19</f>
        <v>0</v>
      </c>
      <c r="BP166" s="44" t="s">
        <v>57</v>
      </c>
      <c r="BQ166" s="44">
        <f t="shared" si="146"/>
        <v>0</v>
      </c>
      <c r="BR166" s="50"/>
      <c r="BS166" s="119">
        <v>11</v>
      </c>
      <c r="BT166" s="115">
        <f>Inputs!$A$19</f>
        <v>0</v>
      </c>
      <c r="BU166" s="44">
        <f>Inputs!$B$19</f>
        <v>0</v>
      </c>
      <c r="BV166" s="44" t="s">
        <v>58</v>
      </c>
      <c r="BW166" s="44">
        <f t="shared" si="147"/>
        <v>0</v>
      </c>
      <c r="BX166" s="50"/>
      <c r="BY166" s="44">
        <v>0</v>
      </c>
      <c r="BZ166" s="44">
        <v>0</v>
      </c>
      <c r="CA166" s="44">
        <f t="shared" si="171"/>
        <v>0</v>
      </c>
      <c r="CB166" s="50"/>
      <c r="CC166" s="44">
        <f t="shared" si="172"/>
        <v>0</v>
      </c>
      <c r="CD166" s="63">
        <f>BY166*Inputs!$F$19*Inputs!$H$19</f>
        <v>0</v>
      </c>
      <c r="CE166" s="44">
        <f>Inputs!$F$19*Inputs!$I$19*BZ166</f>
        <v>0</v>
      </c>
      <c r="CF166" s="56"/>
    </row>
    <row r="167" spans="1:84" x14ac:dyDescent="0.25">
      <c r="A167" s="116">
        <v>3</v>
      </c>
      <c r="B167" s="114">
        <f>Inputs!$A$20</f>
        <v>0</v>
      </c>
      <c r="C167" s="45">
        <f>Inputs!$A$20</f>
        <v>0</v>
      </c>
      <c r="D167" s="45" t="s">
        <v>57</v>
      </c>
      <c r="E167" s="45">
        <v>0</v>
      </c>
      <c r="F167" s="50"/>
      <c r="G167" s="118">
        <v>3</v>
      </c>
      <c r="H167" s="114">
        <f>Inputs!$A$20</f>
        <v>0</v>
      </c>
      <c r="I167" s="45">
        <f>Inputs!$A$20</f>
        <v>0</v>
      </c>
      <c r="J167" s="45" t="s">
        <v>58</v>
      </c>
      <c r="K167" s="45">
        <v>0</v>
      </c>
      <c r="L167" s="50"/>
      <c r="M167" s="45">
        <v>0</v>
      </c>
      <c r="N167" s="45">
        <v>0</v>
      </c>
      <c r="O167" s="45">
        <f>U167-0-E167-K167</f>
        <v>0</v>
      </c>
      <c r="P167" s="50"/>
      <c r="Q167" s="45">
        <f>E167+K167+N167-U167+0-M167</f>
        <v>0</v>
      </c>
      <c r="R167" s="64">
        <f>M167*Inputs!$F$20*Inputs!$G$20</f>
        <v>0</v>
      </c>
      <c r="S167" s="45">
        <f>Inputs!$F$20*Inputs!$I$20*N167</f>
        <v>0</v>
      </c>
      <c r="T167" s="18"/>
      <c r="U167" s="54"/>
      <c r="W167" s="116">
        <v>3</v>
      </c>
      <c r="X167" s="114">
        <f>Inputs!$A$20</f>
        <v>0</v>
      </c>
      <c r="Y167" s="45">
        <f>Inputs!$A$20</f>
        <v>0</v>
      </c>
      <c r="Z167" s="45" t="s">
        <v>57</v>
      </c>
      <c r="AA167" s="45">
        <f t="shared" si="143"/>
        <v>0</v>
      </c>
      <c r="AB167" s="50"/>
      <c r="AC167" s="118">
        <v>3</v>
      </c>
      <c r="AD167" s="114">
        <f>Inputs!$A$20</f>
        <v>0</v>
      </c>
      <c r="AE167" s="45">
        <f>Inputs!$A$20</f>
        <v>0</v>
      </c>
      <c r="AF167" s="45" t="s">
        <v>58</v>
      </c>
      <c r="AG167" s="45">
        <f t="shared" si="144"/>
        <v>0</v>
      </c>
      <c r="AH167" s="50"/>
      <c r="AI167" s="45">
        <v>0</v>
      </c>
      <c r="AJ167" s="45">
        <v>0</v>
      </c>
      <c r="AK167" s="45">
        <f>AP167-0-AA167-AG167</f>
        <v>0</v>
      </c>
      <c r="AL167" s="50"/>
      <c r="AM167" s="45">
        <f>AA167+AG167+AJ167-AP167+0-AI167</f>
        <v>0</v>
      </c>
      <c r="AN167" s="64">
        <f>AI167*Inputs!$F$20*Inputs!$G$20</f>
        <v>0</v>
      </c>
      <c r="AO167" s="45">
        <f>Inputs!$F$20*Inputs!$I$20*AJ167</f>
        <v>0</v>
      </c>
      <c r="AP167" s="54"/>
      <c r="AR167" s="116">
        <v>3</v>
      </c>
      <c r="AS167" s="114">
        <f>Inputs!$A$20</f>
        <v>0</v>
      </c>
      <c r="AT167" s="45">
        <f>Inputs!$A$20</f>
        <v>0</v>
      </c>
      <c r="AU167" s="45" t="s">
        <v>57</v>
      </c>
      <c r="AV167" s="45">
        <f t="shared" si="148"/>
        <v>0</v>
      </c>
      <c r="AW167" s="50"/>
      <c r="AX167" s="118">
        <v>3</v>
      </c>
      <c r="AY167" s="114">
        <f>Inputs!$A$20</f>
        <v>0</v>
      </c>
      <c r="AZ167" s="45">
        <f>Inputs!$A$20</f>
        <v>0</v>
      </c>
      <c r="BA167" s="45" t="s">
        <v>58</v>
      </c>
      <c r="BB167" s="45">
        <f t="shared" si="145"/>
        <v>0</v>
      </c>
      <c r="BC167" s="50"/>
      <c r="BD167" s="45">
        <v>0</v>
      </c>
      <c r="BE167" s="45">
        <v>0</v>
      </c>
      <c r="BF167" s="45">
        <f>BK167-0-AV167-BB167</f>
        <v>0</v>
      </c>
      <c r="BG167" s="50"/>
      <c r="BH167" s="45">
        <f>AV167+BB167+BE167-BK167+0-BD167</f>
        <v>0</v>
      </c>
      <c r="BI167" s="64">
        <f>BD167*Inputs!$F$20*Inputs!$G$20</f>
        <v>0</v>
      </c>
      <c r="BJ167" s="45">
        <f>Inputs!$F$20*Inputs!$I$20*BE167</f>
        <v>0</v>
      </c>
      <c r="BK167" s="54"/>
      <c r="BM167" s="116">
        <v>3</v>
      </c>
      <c r="BN167" s="114">
        <f>Inputs!$A$20</f>
        <v>0</v>
      </c>
      <c r="BO167" s="45">
        <f>Inputs!$A$20</f>
        <v>0</v>
      </c>
      <c r="BP167" s="45" t="s">
        <v>57</v>
      </c>
      <c r="BQ167" s="45">
        <f t="shared" si="146"/>
        <v>0</v>
      </c>
      <c r="BR167" s="50"/>
      <c r="BS167" s="118">
        <v>3</v>
      </c>
      <c r="BT167" s="114">
        <f>Inputs!$A$20</f>
        <v>0</v>
      </c>
      <c r="BU167" s="45">
        <f>Inputs!$A$20</f>
        <v>0</v>
      </c>
      <c r="BV167" s="45" t="s">
        <v>58</v>
      </c>
      <c r="BW167" s="45">
        <f t="shared" si="147"/>
        <v>0</v>
      </c>
      <c r="BX167" s="50"/>
      <c r="BY167" s="45">
        <v>0</v>
      </c>
      <c r="BZ167" s="45">
        <v>0</v>
      </c>
      <c r="CA167" s="45">
        <f>CF167-0-BQ167-BW167</f>
        <v>0</v>
      </c>
      <c r="CB167" s="50"/>
      <c r="CC167" s="45">
        <f>BQ167+BW167+BZ167-CF167+0-BY167</f>
        <v>0</v>
      </c>
      <c r="CD167" s="64">
        <f>BY167*Inputs!$F$20*Inputs!$G$20</f>
        <v>0</v>
      </c>
      <c r="CE167" s="45">
        <f>Inputs!$F$20*Inputs!$I$20*BZ167</f>
        <v>0</v>
      </c>
      <c r="CF167" s="54"/>
    </row>
    <row r="168" spans="1:84" x14ac:dyDescent="0.25">
      <c r="A168" s="116">
        <v>4</v>
      </c>
      <c r="B168" s="114">
        <f>Inputs!$A$20</f>
        <v>0</v>
      </c>
      <c r="C168" s="45">
        <f>Inputs!$A$20</f>
        <v>0</v>
      </c>
      <c r="D168" s="45" t="s">
        <v>57</v>
      </c>
      <c r="E168" s="45">
        <v>0</v>
      </c>
      <c r="F168" s="50"/>
      <c r="G168" s="118">
        <v>4</v>
      </c>
      <c r="H168" s="114">
        <f>Inputs!$A$20</f>
        <v>0</v>
      </c>
      <c r="I168" s="45">
        <f>Inputs!$A$20</f>
        <v>0</v>
      </c>
      <c r="J168" s="45" t="s">
        <v>58</v>
      </c>
      <c r="K168" s="45">
        <v>0</v>
      </c>
      <c r="L168" s="50"/>
      <c r="M168" s="45">
        <v>0</v>
      </c>
      <c r="N168" s="45">
        <v>0</v>
      </c>
      <c r="O168" s="45">
        <f t="shared" ref="O168:O175" si="173">U168-M167-E168-K168</f>
        <v>0</v>
      </c>
      <c r="P168" s="50"/>
      <c r="Q168" s="45">
        <f t="shared" ref="Q168:Q175" si="174">E168+K168+N168-U168+M167-M168</f>
        <v>0</v>
      </c>
      <c r="R168" s="64">
        <f>M168*Inputs!$F$20*Inputs!$G$20</f>
        <v>0</v>
      </c>
      <c r="S168" s="45">
        <f>Inputs!$F$20*Inputs!$I$20*N168</f>
        <v>0</v>
      </c>
      <c r="T168" s="18"/>
      <c r="U168" s="55"/>
      <c r="W168" s="116">
        <v>4</v>
      </c>
      <c r="X168" s="114">
        <f>Inputs!$A$20</f>
        <v>0</v>
      </c>
      <c r="Y168" s="45">
        <f>Inputs!$A$20</f>
        <v>0</v>
      </c>
      <c r="Z168" s="45" t="s">
        <v>57</v>
      </c>
      <c r="AA168" s="45">
        <f t="shared" si="143"/>
        <v>0</v>
      </c>
      <c r="AB168" s="50"/>
      <c r="AC168" s="118">
        <v>4</v>
      </c>
      <c r="AD168" s="114">
        <f>Inputs!$A$20</f>
        <v>0</v>
      </c>
      <c r="AE168" s="45">
        <f>Inputs!$A$20</f>
        <v>0</v>
      </c>
      <c r="AF168" s="45" t="s">
        <v>58</v>
      </c>
      <c r="AG168" s="45">
        <f t="shared" si="144"/>
        <v>0</v>
      </c>
      <c r="AH168" s="50"/>
      <c r="AI168" s="45">
        <v>0</v>
      </c>
      <c r="AJ168" s="45">
        <v>0</v>
      </c>
      <c r="AK168" s="45">
        <f t="shared" ref="AK168:AK175" si="175">AP168-AI167-AA168-AG168</f>
        <v>0</v>
      </c>
      <c r="AL168" s="50"/>
      <c r="AM168" s="45">
        <f t="shared" ref="AM168:AM175" si="176">AA168+AG168+AJ168-AP168+AI167-AI168</f>
        <v>0</v>
      </c>
      <c r="AN168" s="64">
        <f>AI168*Inputs!$F$20*Inputs!$G$20</f>
        <v>0</v>
      </c>
      <c r="AO168" s="45">
        <f>Inputs!$F$20*Inputs!$I$20*AJ168</f>
        <v>0</v>
      </c>
      <c r="AP168" s="55"/>
      <c r="AR168" s="116">
        <v>4</v>
      </c>
      <c r="AS168" s="114">
        <f>Inputs!$A$20</f>
        <v>0</v>
      </c>
      <c r="AT168" s="45">
        <f>Inputs!$A$20</f>
        <v>0</v>
      </c>
      <c r="AU168" s="45" t="s">
        <v>57</v>
      </c>
      <c r="AV168" s="45">
        <f t="shared" si="148"/>
        <v>0</v>
      </c>
      <c r="AW168" s="50"/>
      <c r="AX168" s="118">
        <v>4</v>
      </c>
      <c r="AY168" s="114">
        <f>Inputs!$A$20</f>
        <v>0</v>
      </c>
      <c r="AZ168" s="45">
        <f>Inputs!$A$20</f>
        <v>0</v>
      </c>
      <c r="BA168" s="45" t="s">
        <v>58</v>
      </c>
      <c r="BB168" s="45">
        <f t="shared" si="145"/>
        <v>0</v>
      </c>
      <c r="BC168" s="50"/>
      <c r="BD168" s="45">
        <v>0</v>
      </c>
      <c r="BE168" s="45">
        <v>0</v>
      </c>
      <c r="BF168" s="45">
        <f t="shared" ref="BF168:BF175" si="177">BK168-BD167-AV168-BB168</f>
        <v>0</v>
      </c>
      <c r="BG168" s="50"/>
      <c r="BH168" s="45">
        <f t="shared" ref="BH168:BH175" si="178">AV168+BB168+BE168-BK168+BD167-BD168</f>
        <v>0</v>
      </c>
      <c r="BI168" s="64">
        <f>BD168*Inputs!$F$20*Inputs!$G$20</f>
        <v>0</v>
      </c>
      <c r="BJ168" s="45">
        <f>Inputs!$F$20*Inputs!$I$20*BE168</f>
        <v>0</v>
      </c>
      <c r="BK168" s="55"/>
      <c r="BM168" s="116">
        <v>4</v>
      </c>
      <c r="BN168" s="114">
        <f>Inputs!$A$20</f>
        <v>0</v>
      </c>
      <c r="BO168" s="45">
        <f>Inputs!$A$20</f>
        <v>0</v>
      </c>
      <c r="BP168" s="45" t="s">
        <v>57</v>
      </c>
      <c r="BQ168" s="45">
        <f t="shared" si="146"/>
        <v>0</v>
      </c>
      <c r="BR168" s="50"/>
      <c r="BS168" s="118">
        <v>4</v>
      </c>
      <c r="BT168" s="114">
        <f>Inputs!$A$20</f>
        <v>0</v>
      </c>
      <c r="BU168" s="45">
        <f>Inputs!$A$20</f>
        <v>0</v>
      </c>
      <c r="BV168" s="45" t="s">
        <v>58</v>
      </c>
      <c r="BW168" s="45">
        <f t="shared" si="147"/>
        <v>0</v>
      </c>
      <c r="BX168" s="50"/>
      <c r="BY168" s="45">
        <v>0</v>
      </c>
      <c r="BZ168" s="45">
        <v>0</v>
      </c>
      <c r="CA168" s="45">
        <f t="shared" ref="CA168:CA175" si="179">CF168-BY167-BQ168-BW168</f>
        <v>0</v>
      </c>
      <c r="CB168" s="50"/>
      <c r="CC168" s="45">
        <f t="shared" ref="CC168:CC175" si="180">BQ168+BW168+BZ168-CF168+BY167-BY168</f>
        <v>0</v>
      </c>
      <c r="CD168" s="64">
        <f>BY168*Inputs!$F$20*Inputs!$G$20</f>
        <v>0</v>
      </c>
      <c r="CE168" s="45">
        <f>Inputs!$F$20*Inputs!$I$20*BZ168</f>
        <v>0</v>
      </c>
      <c r="CF168" s="55"/>
    </row>
    <row r="169" spans="1:84" x14ac:dyDescent="0.25">
      <c r="A169" s="116">
        <v>5</v>
      </c>
      <c r="B169" s="114">
        <f>Inputs!$A$20</f>
        <v>0</v>
      </c>
      <c r="C169" s="45">
        <f>Inputs!$A$20</f>
        <v>0</v>
      </c>
      <c r="D169" s="45" t="s">
        <v>57</v>
      </c>
      <c r="E169" s="45">
        <v>0</v>
      </c>
      <c r="F169" s="50"/>
      <c r="G169" s="118">
        <v>5</v>
      </c>
      <c r="H169" s="114">
        <f>Inputs!$A$20</f>
        <v>0</v>
      </c>
      <c r="I169" s="45">
        <f>Inputs!$A$20</f>
        <v>0</v>
      </c>
      <c r="J169" s="45" t="s">
        <v>58</v>
      </c>
      <c r="K169" s="45">
        <v>0</v>
      </c>
      <c r="L169" s="50"/>
      <c r="M169" s="45">
        <v>0</v>
      </c>
      <c r="N169" s="45">
        <v>0</v>
      </c>
      <c r="O169" s="45">
        <f t="shared" si="173"/>
        <v>0</v>
      </c>
      <c r="P169" s="50"/>
      <c r="Q169" s="45">
        <f t="shared" si="174"/>
        <v>0</v>
      </c>
      <c r="R169" s="64">
        <f>M169*Inputs!$F$20*Inputs!$G$20</f>
        <v>0</v>
      </c>
      <c r="S169" s="45">
        <f>Inputs!$F$20*Inputs!$I$20*N169</f>
        <v>0</v>
      </c>
      <c r="T169" s="18"/>
      <c r="U169" s="55"/>
      <c r="W169" s="116">
        <v>5</v>
      </c>
      <c r="X169" s="114">
        <f>Inputs!$A$20</f>
        <v>0</v>
      </c>
      <c r="Y169" s="45">
        <f>Inputs!$A$20</f>
        <v>0</v>
      </c>
      <c r="Z169" s="45" t="s">
        <v>57</v>
      </c>
      <c r="AA169" s="45">
        <f t="shared" si="143"/>
        <v>0</v>
      </c>
      <c r="AB169" s="50"/>
      <c r="AC169" s="118">
        <v>5</v>
      </c>
      <c r="AD169" s="114">
        <f>Inputs!$A$20</f>
        <v>0</v>
      </c>
      <c r="AE169" s="45">
        <f>Inputs!$A$20</f>
        <v>0</v>
      </c>
      <c r="AF169" s="45" t="s">
        <v>58</v>
      </c>
      <c r="AG169" s="45">
        <f t="shared" si="144"/>
        <v>0</v>
      </c>
      <c r="AH169" s="50"/>
      <c r="AI169" s="45">
        <v>0</v>
      </c>
      <c r="AJ169" s="45">
        <v>0</v>
      </c>
      <c r="AK169" s="45">
        <f t="shared" si="175"/>
        <v>0</v>
      </c>
      <c r="AL169" s="50"/>
      <c r="AM169" s="45">
        <f t="shared" si="176"/>
        <v>0</v>
      </c>
      <c r="AN169" s="64">
        <f>AI169*Inputs!$F$20*Inputs!$G$20</f>
        <v>0</v>
      </c>
      <c r="AO169" s="45">
        <f>Inputs!$F$20*Inputs!$I$20*AJ169</f>
        <v>0</v>
      </c>
      <c r="AP169" s="55"/>
      <c r="AR169" s="116">
        <v>5</v>
      </c>
      <c r="AS169" s="114">
        <f>Inputs!$A$20</f>
        <v>0</v>
      </c>
      <c r="AT169" s="45">
        <f>Inputs!$A$20</f>
        <v>0</v>
      </c>
      <c r="AU169" s="45" t="s">
        <v>57</v>
      </c>
      <c r="AV169" s="45">
        <f t="shared" si="148"/>
        <v>0</v>
      </c>
      <c r="AW169" s="50"/>
      <c r="AX169" s="118">
        <v>5</v>
      </c>
      <c r="AY169" s="114">
        <f>Inputs!$A$20</f>
        <v>0</v>
      </c>
      <c r="AZ169" s="45">
        <f>Inputs!$A$20</f>
        <v>0</v>
      </c>
      <c r="BA169" s="45" t="s">
        <v>58</v>
      </c>
      <c r="BB169" s="45">
        <f t="shared" si="145"/>
        <v>0</v>
      </c>
      <c r="BC169" s="50"/>
      <c r="BD169" s="45">
        <v>0</v>
      </c>
      <c r="BE169" s="45">
        <v>0</v>
      </c>
      <c r="BF169" s="45">
        <f t="shared" si="177"/>
        <v>0</v>
      </c>
      <c r="BG169" s="50"/>
      <c r="BH169" s="45">
        <f t="shared" si="178"/>
        <v>0</v>
      </c>
      <c r="BI169" s="64">
        <f>BD169*Inputs!$F$20*Inputs!$G$20</f>
        <v>0</v>
      </c>
      <c r="BJ169" s="45">
        <f>Inputs!$F$20*Inputs!$I$20*BE169</f>
        <v>0</v>
      </c>
      <c r="BK169" s="55"/>
      <c r="BM169" s="116">
        <v>5</v>
      </c>
      <c r="BN169" s="114">
        <f>Inputs!$A$20</f>
        <v>0</v>
      </c>
      <c r="BO169" s="45">
        <f>Inputs!$A$20</f>
        <v>0</v>
      </c>
      <c r="BP169" s="45" t="s">
        <v>57</v>
      </c>
      <c r="BQ169" s="45">
        <f t="shared" si="146"/>
        <v>0</v>
      </c>
      <c r="BR169" s="50"/>
      <c r="BS169" s="118">
        <v>5</v>
      </c>
      <c r="BT169" s="114">
        <f>Inputs!$A$20</f>
        <v>0</v>
      </c>
      <c r="BU169" s="45">
        <f>Inputs!$A$20</f>
        <v>0</v>
      </c>
      <c r="BV169" s="45" t="s">
        <v>58</v>
      </c>
      <c r="BW169" s="45">
        <f t="shared" si="147"/>
        <v>0</v>
      </c>
      <c r="BX169" s="50"/>
      <c r="BY169" s="45">
        <v>0</v>
      </c>
      <c r="BZ169" s="45">
        <v>0</v>
      </c>
      <c r="CA169" s="45">
        <f t="shared" si="179"/>
        <v>0</v>
      </c>
      <c r="CB169" s="50"/>
      <c r="CC169" s="45">
        <f t="shared" si="180"/>
        <v>0</v>
      </c>
      <c r="CD169" s="64">
        <f>BY169*Inputs!$F$20*Inputs!$G$20</f>
        <v>0</v>
      </c>
      <c r="CE169" s="45">
        <f>Inputs!$F$20*Inputs!$I$20*BZ169</f>
        <v>0</v>
      </c>
      <c r="CF169" s="55"/>
    </row>
    <row r="170" spans="1:84" x14ac:dyDescent="0.25">
      <c r="A170" s="116">
        <v>6</v>
      </c>
      <c r="B170" s="114">
        <f>Inputs!$A$20</f>
        <v>0</v>
      </c>
      <c r="C170" s="45">
        <f>Inputs!$A$20</f>
        <v>0</v>
      </c>
      <c r="D170" s="45" t="s">
        <v>57</v>
      </c>
      <c r="E170" s="45">
        <v>0</v>
      </c>
      <c r="F170" s="50"/>
      <c r="G170" s="118">
        <v>6</v>
      </c>
      <c r="H170" s="114">
        <f>Inputs!$A$20</f>
        <v>0</v>
      </c>
      <c r="I170" s="45">
        <f>Inputs!$A$20</f>
        <v>0</v>
      </c>
      <c r="J170" s="45" t="s">
        <v>58</v>
      </c>
      <c r="K170" s="45">
        <v>0</v>
      </c>
      <c r="L170" s="50"/>
      <c r="M170" s="45">
        <v>0</v>
      </c>
      <c r="N170" s="45">
        <v>0</v>
      </c>
      <c r="O170" s="45">
        <f t="shared" si="173"/>
        <v>0</v>
      </c>
      <c r="P170" s="50"/>
      <c r="Q170" s="45">
        <f t="shared" si="174"/>
        <v>0</v>
      </c>
      <c r="R170" s="64">
        <f>M170*Inputs!$F$20*Inputs!$G$20</f>
        <v>0</v>
      </c>
      <c r="S170" s="45">
        <f>Inputs!$F$20*Inputs!$I$20*N170</f>
        <v>0</v>
      </c>
      <c r="T170" s="18"/>
      <c r="U170" s="55"/>
      <c r="W170" s="116">
        <v>6</v>
      </c>
      <c r="X170" s="114">
        <f>Inputs!$A$20</f>
        <v>0</v>
      </c>
      <c r="Y170" s="45">
        <f>Inputs!$A$20</f>
        <v>0</v>
      </c>
      <c r="Z170" s="45" t="s">
        <v>57</v>
      </c>
      <c r="AA170" s="45">
        <f t="shared" si="143"/>
        <v>0</v>
      </c>
      <c r="AB170" s="50"/>
      <c r="AC170" s="118">
        <v>6</v>
      </c>
      <c r="AD170" s="114">
        <f>Inputs!$A$20</f>
        <v>0</v>
      </c>
      <c r="AE170" s="45">
        <f>Inputs!$A$20</f>
        <v>0</v>
      </c>
      <c r="AF170" s="45" t="s">
        <v>58</v>
      </c>
      <c r="AG170" s="45">
        <f t="shared" si="144"/>
        <v>0</v>
      </c>
      <c r="AH170" s="50"/>
      <c r="AI170" s="45">
        <v>0</v>
      </c>
      <c r="AJ170" s="45">
        <v>0</v>
      </c>
      <c r="AK170" s="45">
        <f t="shared" si="175"/>
        <v>0</v>
      </c>
      <c r="AL170" s="50"/>
      <c r="AM170" s="45">
        <f t="shared" si="176"/>
        <v>0</v>
      </c>
      <c r="AN170" s="64">
        <f>AI170*Inputs!$F$20*Inputs!$G$20</f>
        <v>0</v>
      </c>
      <c r="AO170" s="45">
        <f>Inputs!$F$20*Inputs!$I$20*AJ170</f>
        <v>0</v>
      </c>
      <c r="AP170" s="55"/>
      <c r="AR170" s="116">
        <v>6</v>
      </c>
      <c r="AS170" s="114">
        <f>Inputs!$A$20</f>
        <v>0</v>
      </c>
      <c r="AT170" s="45">
        <f>Inputs!$A$20</f>
        <v>0</v>
      </c>
      <c r="AU170" s="45" t="s">
        <v>57</v>
      </c>
      <c r="AV170" s="45">
        <f t="shared" si="148"/>
        <v>0</v>
      </c>
      <c r="AW170" s="50"/>
      <c r="AX170" s="118">
        <v>6</v>
      </c>
      <c r="AY170" s="114">
        <f>Inputs!$A$20</f>
        <v>0</v>
      </c>
      <c r="AZ170" s="45">
        <f>Inputs!$A$20</f>
        <v>0</v>
      </c>
      <c r="BA170" s="45" t="s">
        <v>58</v>
      </c>
      <c r="BB170" s="45">
        <f t="shared" si="145"/>
        <v>0</v>
      </c>
      <c r="BC170" s="50"/>
      <c r="BD170" s="45">
        <v>0</v>
      </c>
      <c r="BE170" s="45">
        <v>0</v>
      </c>
      <c r="BF170" s="45">
        <f t="shared" si="177"/>
        <v>0</v>
      </c>
      <c r="BG170" s="50"/>
      <c r="BH170" s="45">
        <f t="shared" si="178"/>
        <v>0</v>
      </c>
      <c r="BI170" s="64">
        <f>BD170*Inputs!$F$20*Inputs!$G$20</f>
        <v>0</v>
      </c>
      <c r="BJ170" s="45">
        <f>Inputs!$F$20*Inputs!$I$20*BE170</f>
        <v>0</v>
      </c>
      <c r="BK170" s="55"/>
      <c r="BM170" s="116">
        <v>6</v>
      </c>
      <c r="BN170" s="114">
        <f>Inputs!$A$20</f>
        <v>0</v>
      </c>
      <c r="BO170" s="45">
        <f>Inputs!$A$20</f>
        <v>0</v>
      </c>
      <c r="BP170" s="45" t="s">
        <v>57</v>
      </c>
      <c r="BQ170" s="45">
        <f t="shared" si="146"/>
        <v>0</v>
      </c>
      <c r="BR170" s="50"/>
      <c r="BS170" s="118">
        <v>6</v>
      </c>
      <c r="BT170" s="114">
        <f>Inputs!$A$20</f>
        <v>0</v>
      </c>
      <c r="BU170" s="45">
        <f>Inputs!$A$20</f>
        <v>0</v>
      </c>
      <c r="BV170" s="45" t="s">
        <v>58</v>
      </c>
      <c r="BW170" s="45">
        <f t="shared" si="147"/>
        <v>0</v>
      </c>
      <c r="BX170" s="50"/>
      <c r="BY170" s="45">
        <v>0</v>
      </c>
      <c r="BZ170" s="45">
        <v>0</v>
      </c>
      <c r="CA170" s="45">
        <f t="shared" si="179"/>
        <v>0</v>
      </c>
      <c r="CB170" s="50"/>
      <c r="CC170" s="45">
        <f t="shared" si="180"/>
        <v>0</v>
      </c>
      <c r="CD170" s="64">
        <f>BY170*Inputs!$F$20*Inputs!$G$20</f>
        <v>0</v>
      </c>
      <c r="CE170" s="45">
        <f>Inputs!$F$20*Inputs!$I$20*BZ170</f>
        <v>0</v>
      </c>
      <c r="CF170" s="55"/>
    </row>
    <row r="171" spans="1:84" x14ac:dyDescent="0.25">
      <c r="A171" s="116">
        <v>7</v>
      </c>
      <c r="B171" s="114">
        <f>Inputs!$A$20</f>
        <v>0</v>
      </c>
      <c r="C171" s="45">
        <f>Inputs!$A$20</f>
        <v>0</v>
      </c>
      <c r="D171" s="45" t="s">
        <v>57</v>
      </c>
      <c r="E171" s="45">
        <v>0</v>
      </c>
      <c r="F171" s="50"/>
      <c r="G171" s="118">
        <v>7</v>
      </c>
      <c r="H171" s="114">
        <f>Inputs!$A$20</f>
        <v>0</v>
      </c>
      <c r="I171" s="45">
        <f>Inputs!$A$20</f>
        <v>0</v>
      </c>
      <c r="J171" s="45" t="s">
        <v>58</v>
      </c>
      <c r="K171" s="45">
        <v>0</v>
      </c>
      <c r="L171" s="50"/>
      <c r="M171" s="45">
        <v>0</v>
      </c>
      <c r="N171" s="45">
        <v>0</v>
      </c>
      <c r="O171" s="45">
        <f t="shared" si="173"/>
        <v>0</v>
      </c>
      <c r="P171" s="50"/>
      <c r="Q171" s="45">
        <f t="shared" si="174"/>
        <v>0</v>
      </c>
      <c r="R171" s="64">
        <f>M171*Inputs!$F$20*Inputs!$G$20</f>
        <v>0</v>
      </c>
      <c r="S171" s="45">
        <f>Inputs!$F$20*Inputs!$I$20*N171</f>
        <v>0</v>
      </c>
      <c r="T171" s="18"/>
      <c r="U171" s="55"/>
      <c r="W171" s="116">
        <v>7</v>
      </c>
      <c r="X171" s="114">
        <f>Inputs!$A$20</f>
        <v>0</v>
      </c>
      <c r="Y171" s="45">
        <f>Inputs!$A$20</f>
        <v>0</v>
      </c>
      <c r="Z171" s="45" t="s">
        <v>57</v>
      </c>
      <c r="AA171" s="45">
        <f t="shared" si="143"/>
        <v>0</v>
      </c>
      <c r="AB171" s="50"/>
      <c r="AC171" s="118">
        <v>7</v>
      </c>
      <c r="AD171" s="114">
        <f>Inputs!$A$20</f>
        <v>0</v>
      </c>
      <c r="AE171" s="45">
        <f>Inputs!$A$20</f>
        <v>0</v>
      </c>
      <c r="AF171" s="45" t="s">
        <v>58</v>
      </c>
      <c r="AG171" s="45">
        <f t="shared" si="144"/>
        <v>0</v>
      </c>
      <c r="AH171" s="50"/>
      <c r="AI171" s="45">
        <v>0</v>
      </c>
      <c r="AJ171" s="45">
        <v>0</v>
      </c>
      <c r="AK171" s="45">
        <f t="shared" si="175"/>
        <v>0</v>
      </c>
      <c r="AL171" s="50"/>
      <c r="AM171" s="45">
        <f t="shared" si="176"/>
        <v>0</v>
      </c>
      <c r="AN171" s="64">
        <f>AI171*Inputs!$F$20*Inputs!$G$20</f>
        <v>0</v>
      </c>
      <c r="AO171" s="45">
        <f>Inputs!$F$20*Inputs!$I$20*AJ171</f>
        <v>0</v>
      </c>
      <c r="AP171" s="55"/>
      <c r="AR171" s="116">
        <v>7</v>
      </c>
      <c r="AS171" s="114">
        <f>Inputs!$A$20</f>
        <v>0</v>
      </c>
      <c r="AT171" s="45">
        <f>Inputs!$A$20</f>
        <v>0</v>
      </c>
      <c r="AU171" s="45" t="s">
        <v>57</v>
      </c>
      <c r="AV171" s="45">
        <f t="shared" si="148"/>
        <v>0</v>
      </c>
      <c r="AW171" s="50"/>
      <c r="AX171" s="118">
        <v>7</v>
      </c>
      <c r="AY171" s="114">
        <f>Inputs!$A$20</f>
        <v>0</v>
      </c>
      <c r="AZ171" s="45">
        <f>Inputs!$A$20</f>
        <v>0</v>
      </c>
      <c r="BA171" s="45" t="s">
        <v>58</v>
      </c>
      <c r="BB171" s="45">
        <f t="shared" si="145"/>
        <v>0</v>
      </c>
      <c r="BC171" s="50"/>
      <c r="BD171" s="45">
        <v>0</v>
      </c>
      <c r="BE171" s="45">
        <v>0</v>
      </c>
      <c r="BF171" s="45">
        <f t="shared" si="177"/>
        <v>0</v>
      </c>
      <c r="BG171" s="50"/>
      <c r="BH171" s="45">
        <f t="shared" si="178"/>
        <v>0</v>
      </c>
      <c r="BI171" s="64">
        <f>BD171*Inputs!$F$20*Inputs!$G$20</f>
        <v>0</v>
      </c>
      <c r="BJ171" s="45">
        <f>Inputs!$F$20*Inputs!$I$20*BE171</f>
        <v>0</v>
      </c>
      <c r="BK171" s="55"/>
      <c r="BM171" s="116">
        <v>7</v>
      </c>
      <c r="BN171" s="114">
        <f>Inputs!$A$20</f>
        <v>0</v>
      </c>
      <c r="BO171" s="45">
        <f>Inputs!$A$20</f>
        <v>0</v>
      </c>
      <c r="BP171" s="45" t="s">
        <v>57</v>
      </c>
      <c r="BQ171" s="45">
        <f t="shared" si="146"/>
        <v>0</v>
      </c>
      <c r="BR171" s="50"/>
      <c r="BS171" s="118">
        <v>7</v>
      </c>
      <c r="BT171" s="114">
        <f>Inputs!$A$20</f>
        <v>0</v>
      </c>
      <c r="BU171" s="45">
        <f>Inputs!$A$20</f>
        <v>0</v>
      </c>
      <c r="BV171" s="45" t="s">
        <v>58</v>
      </c>
      <c r="BW171" s="45">
        <f t="shared" si="147"/>
        <v>0</v>
      </c>
      <c r="BX171" s="50"/>
      <c r="BY171" s="45">
        <v>0</v>
      </c>
      <c r="BZ171" s="45">
        <v>0</v>
      </c>
      <c r="CA171" s="45">
        <f t="shared" si="179"/>
        <v>0</v>
      </c>
      <c r="CB171" s="50"/>
      <c r="CC171" s="45">
        <f t="shared" si="180"/>
        <v>0</v>
      </c>
      <c r="CD171" s="64">
        <f>BY171*Inputs!$F$20*Inputs!$G$20</f>
        <v>0</v>
      </c>
      <c r="CE171" s="45">
        <f>Inputs!$F$20*Inputs!$I$20*BZ171</f>
        <v>0</v>
      </c>
      <c r="CF171" s="55"/>
    </row>
    <row r="172" spans="1:84" x14ac:dyDescent="0.25">
      <c r="A172" s="116">
        <v>8</v>
      </c>
      <c r="B172" s="114">
        <f>Inputs!$A$20</f>
        <v>0</v>
      </c>
      <c r="C172" s="45">
        <f>Inputs!$A$20</f>
        <v>0</v>
      </c>
      <c r="D172" s="45" t="s">
        <v>57</v>
      </c>
      <c r="E172" s="45">
        <v>0</v>
      </c>
      <c r="F172" s="50"/>
      <c r="G172" s="118">
        <v>8</v>
      </c>
      <c r="H172" s="114">
        <f>Inputs!$A$20</f>
        <v>0</v>
      </c>
      <c r="I172" s="45">
        <f>Inputs!$A$20</f>
        <v>0</v>
      </c>
      <c r="J172" s="45" t="s">
        <v>58</v>
      </c>
      <c r="K172" s="45">
        <v>0</v>
      </c>
      <c r="L172" s="50"/>
      <c r="M172" s="45">
        <v>0</v>
      </c>
      <c r="N172" s="45">
        <v>0</v>
      </c>
      <c r="O172" s="45">
        <f t="shared" si="173"/>
        <v>0</v>
      </c>
      <c r="P172" s="50"/>
      <c r="Q172" s="45">
        <f t="shared" si="174"/>
        <v>0</v>
      </c>
      <c r="R172" s="64">
        <f>M172*Inputs!$F$20*Inputs!$G$20</f>
        <v>0</v>
      </c>
      <c r="S172" s="45">
        <f>Inputs!$F$20*Inputs!$I$20*N172</f>
        <v>0</v>
      </c>
      <c r="T172" s="18"/>
      <c r="U172" s="55"/>
      <c r="W172" s="116">
        <v>8</v>
      </c>
      <c r="X172" s="114">
        <f>Inputs!$A$20</f>
        <v>0</v>
      </c>
      <c r="Y172" s="45">
        <f>Inputs!$A$20</f>
        <v>0</v>
      </c>
      <c r="Z172" s="45" t="s">
        <v>57</v>
      </c>
      <c r="AA172" s="45">
        <f t="shared" si="143"/>
        <v>0</v>
      </c>
      <c r="AB172" s="50"/>
      <c r="AC172" s="118">
        <v>8</v>
      </c>
      <c r="AD172" s="114">
        <f>Inputs!$A$20</f>
        <v>0</v>
      </c>
      <c r="AE172" s="45">
        <f>Inputs!$A$20</f>
        <v>0</v>
      </c>
      <c r="AF172" s="45" t="s">
        <v>58</v>
      </c>
      <c r="AG172" s="45">
        <f t="shared" si="144"/>
        <v>0</v>
      </c>
      <c r="AH172" s="50"/>
      <c r="AI172" s="45">
        <v>0</v>
      </c>
      <c r="AJ172" s="45">
        <v>0</v>
      </c>
      <c r="AK172" s="45">
        <f t="shared" si="175"/>
        <v>0</v>
      </c>
      <c r="AL172" s="50"/>
      <c r="AM172" s="45">
        <f t="shared" si="176"/>
        <v>0</v>
      </c>
      <c r="AN172" s="64">
        <f>AI172*Inputs!$F$20*Inputs!$G$20</f>
        <v>0</v>
      </c>
      <c r="AO172" s="45">
        <f>Inputs!$F$20*Inputs!$I$20*AJ172</f>
        <v>0</v>
      </c>
      <c r="AP172" s="55"/>
      <c r="AR172" s="116">
        <v>8</v>
      </c>
      <c r="AS172" s="114">
        <f>Inputs!$A$20</f>
        <v>0</v>
      </c>
      <c r="AT172" s="45">
        <f>Inputs!$A$20</f>
        <v>0</v>
      </c>
      <c r="AU172" s="45" t="s">
        <v>57</v>
      </c>
      <c r="AV172" s="45">
        <f t="shared" si="148"/>
        <v>0</v>
      </c>
      <c r="AW172" s="50"/>
      <c r="AX172" s="118">
        <v>8</v>
      </c>
      <c r="AY172" s="114">
        <f>Inputs!$A$20</f>
        <v>0</v>
      </c>
      <c r="AZ172" s="45">
        <f>Inputs!$A$20</f>
        <v>0</v>
      </c>
      <c r="BA172" s="45" t="s">
        <v>58</v>
      </c>
      <c r="BB172" s="45">
        <f t="shared" si="145"/>
        <v>0</v>
      </c>
      <c r="BC172" s="50"/>
      <c r="BD172" s="45">
        <v>0</v>
      </c>
      <c r="BE172" s="45">
        <v>0</v>
      </c>
      <c r="BF172" s="45">
        <f t="shared" si="177"/>
        <v>0</v>
      </c>
      <c r="BG172" s="50"/>
      <c r="BH172" s="45">
        <f t="shared" si="178"/>
        <v>0</v>
      </c>
      <c r="BI172" s="64">
        <f>BD172*Inputs!$F$20*Inputs!$G$20</f>
        <v>0</v>
      </c>
      <c r="BJ172" s="45">
        <f>Inputs!$F$20*Inputs!$I$20*BE172</f>
        <v>0</v>
      </c>
      <c r="BK172" s="55"/>
      <c r="BM172" s="116">
        <v>8</v>
      </c>
      <c r="BN172" s="114">
        <f>Inputs!$A$20</f>
        <v>0</v>
      </c>
      <c r="BO172" s="45">
        <f>Inputs!$A$20</f>
        <v>0</v>
      </c>
      <c r="BP172" s="45" t="s">
        <v>57</v>
      </c>
      <c r="BQ172" s="45">
        <f t="shared" si="146"/>
        <v>0</v>
      </c>
      <c r="BR172" s="50"/>
      <c r="BS172" s="118">
        <v>8</v>
      </c>
      <c r="BT172" s="114">
        <f>Inputs!$A$20</f>
        <v>0</v>
      </c>
      <c r="BU172" s="45">
        <f>Inputs!$A$20</f>
        <v>0</v>
      </c>
      <c r="BV172" s="45" t="s">
        <v>58</v>
      </c>
      <c r="BW172" s="45">
        <f t="shared" si="147"/>
        <v>0</v>
      </c>
      <c r="BX172" s="50"/>
      <c r="BY172" s="45">
        <v>0</v>
      </c>
      <c r="BZ172" s="45">
        <v>0</v>
      </c>
      <c r="CA172" s="45">
        <f t="shared" si="179"/>
        <v>0</v>
      </c>
      <c r="CB172" s="50"/>
      <c r="CC172" s="45">
        <f t="shared" si="180"/>
        <v>0</v>
      </c>
      <c r="CD172" s="64">
        <f>BY172*Inputs!$F$20*Inputs!$G$20</f>
        <v>0</v>
      </c>
      <c r="CE172" s="45">
        <f>Inputs!$F$20*Inputs!$I$20*BZ172</f>
        <v>0</v>
      </c>
      <c r="CF172" s="55"/>
    </row>
    <row r="173" spans="1:84" x14ac:dyDescent="0.25">
      <c r="A173" s="116">
        <v>9</v>
      </c>
      <c r="B173" s="114">
        <f>Inputs!$A$20</f>
        <v>0</v>
      </c>
      <c r="C173" s="45">
        <f>Inputs!$A$20</f>
        <v>0</v>
      </c>
      <c r="D173" s="45" t="s">
        <v>57</v>
      </c>
      <c r="E173" s="45">
        <v>0</v>
      </c>
      <c r="F173" s="50"/>
      <c r="G173" s="118">
        <v>9</v>
      </c>
      <c r="H173" s="114">
        <f>Inputs!$A$20</f>
        <v>0</v>
      </c>
      <c r="I173" s="45">
        <f>Inputs!$A$20</f>
        <v>0</v>
      </c>
      <c r="J173" s="45" t="s">
        <v>58</v>
      </c>
      <c r="K173" s="45">
        <v>0</v>
      </c>
      <c r="L173" s="50"/>
      <c r="M173" s="45">
        <v>0</v>
      </c>
      <c r="N173" s="45">
        <v>0</v>
      </c>
      <c r="O173" s="45">
        <f t="shared" si="173"/>
        <v>0</v>
      </c>
      <c r="P173" s="50"/>
      <c r="Q173" s="45">
        <f t="shared" si="174"/>
        <v>0</v>
      </c>
      <c r="R173" s="64">
        <f>M173*Inputs!$F$20*Inputs!$G$20</f>
        <v>0</v>
      </c>
      <c r="S173" s="45">
        <f>Inputs!$F$20*Inputs!$I$20*N173</f>
        <v>0</v>
      </c>
      <c r="T173" s="18"/>
      <c r="U173" s="55"/>
      <c r="W173" s="116">
        <v>9</v>
      </c>
      <c r="X173" s="114">
        <f>Inputs!$A$20</f>
        <v>0</v>
      </c>
      <c r="Y173" s="45">
        <f>Inputs!$A$20</f>
        <v>0</v>
      </c>
      <c r="Z173" s="45" t="s">
        <v>57</v>
      </c>
      <c r="AA173" s="45">
        <f t="shared" si="143"/>
        <v>0</v>
      </c>
      <c r="AB173" s="50"/>
      <c r="AC173" s="118">
        <v>9</v>
      </c>
      <c r="AD173" s="114">
        <f>Inputs!$A$20</f>
        <v>0</v>
      </c>
      <c r="AE173" s="45">
        <f>Inputs!$A$20</f>
        <v>0</v>
      </c>
      <c r="AF173" s="45" t="s">
        <v>58</v>
      </c>
      <c r="AG173" s="45">
        <f t="shared" si="144"/>
        <v>0</v>
      </c>
      <c r="AH173" s="50"/>
      <c r="AI173" s="45">
        <v>0</v>
      </c>
      <c r="AJ173" s="45">
        <v>0</v>
      </c>
      <c r="AK173" s="45">
        <f t="shared" si="175"/>
        <v>0</v>
      </c>
      <c r="AL173" s="50"/>
      <c r="AM173" s="45">
        <f t="shared" si="176"/>
        <v>0</v>
      </c>
      <c r="AN173" s="64">
        <f>AI173*Inputs!$F$20*Inputs!$G$20</f>
        <v>0</v>
      </c>
      <c r="AO173" s="45">
        <f>Inputs!$F$20*Inputs!$I$20*AJ173</f>
        <v>0</v>
      </c>
      <c r="AP173" s="55"/>
      <c r="AR173" s="116">
        <v>9</v>
      </c>
      <c r="AS173" s="114">
        <f>Inputs!$A$20</f>
        <v>0</v>
      </c>
      <c r="AT173" s="45">
        <f>Inputs!$A$20</f>
        <v>0</v>
      </c>
      <c r="AU173" s="45" t="s">
        <v>57</v>
      </c>
      <c r="AV173" s="45">
        <f t="shared" si="148"/>
        <v>0</v>
      </c>
      <c r="AW173" s="50"/>
      <c r="AX173" s="118">
        <v>9</v>
      </c>
      <c r="AY173" s="114">
        <f>Inputs!$A$20</f>
        <v>0</v>
      </c>
      <c r="AZ173" s="45">
        <f>Inputs!$A$20</f>
        <v>0</v>
      </c>
      <c r="BA173" s="45" t="s">
        <v>58</v>
      </c>
      <c r="BB173" s="45">
        <f t="shared" si="145"/>
        <v>0</v>
      </c>
      <c r="BC173" s="50"/>
      <c r="BD173" s="45">
        <v>0</v>
      </c>
      <c r="BE173" s="45">
        <v>0</v>
      </c>
      <c r="BF173" s="45">
        <f t="shared" si="177"/>
        <v>0</v>
      </c>
      <c r="BG173" s="50"/>
      <c r="BH173" s="45">
        <f t="shared" si="178"/>
        <v>0</v>
      </c>
      <c r="BI173" s="64">
        <f>BD173*Inputs!$F$20*Inputs!$G$20</f>
        <v>0</v>
      </c>
      <c r="BJ173" s="45">
        <f>Inputs!$F$20*Inputs!$I$20*BE173</f>
        <v>0</v>
      </c>
      <c r="BK173" s="55"/>
      <c r="BM173" s="116">
        <v>9</v>
      </c>
      <c r="BN173" s="114">
        <f>Inputs!$A$20</f>
        <v>0</v>
      </c>
      <c r="BO173" s="45">
        <f>Inputs!$A$20</f>
        <v>0</v>
      </c>
      <c r="BP173" s="45" t="s">
        <v>57</v>
      </c>
      <c r="BQ173" s="45">
        <f t="shared" si="146"/>
        <v>0</v>
      </c>
      <c r="BR173" s="50"/>
      <c r="BS173" s="118">
        <v>9</v>
      </c>
      <c r="BT173" s="114">
        <f>Inputs!$A$20</f>
        <v>0</v>
      </c>
      <c r="BU173" s="45">
        <f>Inputs!$A$20</f>
        <v>0</v>
      </c>
      <c r="BV173" s="45" t="s">
        <v>58</v>
      </c>
      <c r="BW173" s="45">
        <f t="shared" si="147"/>
        <v>0</v>
      </c>
      <c r="BX173" s="50"/>
      <c r="BY173" s="45">
        <v>0</v>
      </c>
      <c r="BZ173" s="45">
        <v>0</v>
      </c>
      <c r="CA173" s="45">
        <f t="shared" si="179"/>
        <v>0</v>
      </c>
      <c r="CB173" s="50"/>
      <c r="CC173" s="45">
        <f t="shared" si="180"/>
        <v>0</v>
      </c>
      <c r="CD173" s="64">
        <f>BY173*Inputs!$F$20*Inputs!$G$20</f>
        <v>0</v>
      </c>
      <c r="CE173" s="45">
        <f>Inputs!$F$20*Inputs!$I$20*BZ173</f>
        <v>0</v>
      </c>
      <c r="CF173" s="55"/>
    </row>
    <row r="174" spans="1:84" x14ac:dyDescent="0.25">
      <c r="A174" s="116">
        <v>10</v>
      </c>
      <c r="B174" s="114">
        <f>Inputs!$A$20</f>
        <v>0</v>
      </c>
      <c r="C174" s="45">
        <f>Inputs!$A$20</f>
        <v>0</v>
      </c>
      <c r="D174" s="45" t="s">
        <v>57</v>
      </c>
      <c r="E174" s="45">
        <v>0</v>
      </c>
      <c r="F174" s="50"/>
      <c r="G174" s="118">
        <v>10</v>
      </c>
      <c r="H174" s="114">
        <f>Inputs!$A$20</f>
        <v>0</v>
      </c>
      <c r="I174" s="45">
        <f>Inputs!$A$20</f>
        <v>0</v>
      </c>
      <c r="J174" s="45" t="s">
        <v>58</v>
      </c>
      <c r="K174" s="45">
        <v>0</v>
      </c>
      <c r="L174" s="50"/>
      <c r="M174" s="45">
        <v>0</v>
      </c>
      <c r="N174" s="45">
        <v>0</v>
      </c>
      <c r="O174" s="45">
        <f t="shared" si="173"/>
        <v>0</v>
      </c>
      <c r="P174" s="50"/>
      <c r="Q174" s="45">
        <f t="shared" si="174"/>
        <v>0</v>
      </c>
      <c r="R174" s="64">
        <f>M174*Inputs!$F$20*Inputs!$G$20</f>
        <v>0</v>
      </c>
      <c r="S174" s="45">
        <f>Inputs!$F$20*Inputs!$I$20*N174</f>
        <v>0</v>
      </c>
      <c r="T174" s="18"/>
      <c r="U174" s="91"/>
      <c r="W174" s="116">
        <v>10</v>
      </c>
      <c r="X174" s="114">
        <f>Inputs!$A$20</f>
        <v>0</v>
      </c>
      <c r="Y174" s="45">
        <f>Inputs!$A$20</f>
        <v>0</v>
      </c>
      <c r="Z174" s="45" t="s">
        <v>57</v>
      </c>
      <c r="AA174" s="45">
        <f t="shared" si="143"/>
        <v>0</v>
      </c>
      <c r="AB174" s="50"/>
      <c r="AC174" s="118">
        <v>10</v>
      </c>
      <c r="AD174" s="114">
        <f>Inputs!$A$20</f>
        <v>0</v>
      </c>
      <c r="AE174" s="45">
        <f>Inputs!$A$20</f>
        <v>0</v>
      </c>
      <c r="AF174" s="45" t="s">
        <v>58</v>
      </c>
      <c r="AG174" s="45">
        <f t="shared" si="144"/>
        <v>0</v>
      </c>
      <c r="AH174" s="50"/>
      <c r="AI174" s="45">
        <v>0</v>
      </c>
      <c r="AJ174" s="45">
        <v>0</v>
      </c>
      <c r="AK174" s="45">
        <f t="shared" si="175"/>
        <v>0</v>
      </c>
      <c r="AL174" s="50"/>
      <c r="AM174" s="45">
        <f t="shared" si="176"/>
        <v>0</v>
      </c>
      <c r="AN174" s="64">
        <f>AI174*Inputs!$F$20*Inputs!$G$20</f>
        <v>0</v>
      </c>
      <c r="AO174" s="45">
        <f>Inputs!$F$20*Inputs!$I$20*AJ174</f>
        <v>0</v>
      </c>
      <c r="AP174" s="91"/>
      <c r="AR174" s="116">
        <v>10</v>
      </c>
      <c r="AS174" s="114">
        <f>Inputs!$A$20</f>
        <v>0</v>
      </c>
      <c r="AT174" s="45">
        <f>Inputs!$A$20</f>
        <v>0</v>
      </c>
      <c r="AU174" s="45" t="s">
        <v>57</v>
      </c>
      <c r="AV174" s="45">
        <f t="shared" si="148"/>
        <v>0</v>
      </c>
      <c r="AW174" s="50"/>
      <c r="AX174" s="118">
        <v>10</v>
      </c>
      <c r="AY174" s="114">
        <f>Inputs!$A$20</f>
        <v>0</v>
      </c>
      <c r="AZ174" s="45">
        <f>Inputs!$A$20</f>
        <v>0</v>
      </c>
      <c r="BA174" s="45" t="s">
        <v>58</v>
      </c>
      <c r="BB174" s="45">
        <f t="shared" si="145"/>
        <v>0</v>
      </c>
      <c r="BC174" s="50"/>
      <c r="BD174" s="45">
        <v>0</v>
      </c>
      <c r="BE174" s="45">
        <v>0</v>
      </c>
      <c r="BF174" s="45">
        <f t="shared" si="177"/>
        <v>0</v>
      </c>
      <c r="BG174" s="50"/>
      <c r="BH174" s="45">
        <f t="shared" si="178"/>
        <v>0</v>
      </c>
      <c r="BI174" s="64">
        <f>BD174*Inputs!$F$20*Inputs!$G$20</f>
        <v>0</v>
      </c>
      <c r="BJ174" s="45">
        <f>Inputs!$F$20*Inputs!$I$20*BE174</f>
        <v>0</v>
      </c>
      <c r="BK174" s="91"/>
      <c r="BM174" s="116">
        <v>10</v>
      </c>
      <c r="BN174" s="114">
        <f>Inputs!$A$20</f>
        <v>0</v>
      </c>
      <c r="BO174" s="45">
        <f>Inputs!$A$20</f>
        <v>0</v>
      </c>
      <c r="BP174" s="45" t="s">
        <v>57</v>
      </c>
      <c r="BQ174" s="45">
        <f t="shared" si="146"/>
        <v>0</v>
      </c>
      <c r="BR174" s="50"/>
      <c r="BS174" s="118">
        <v>10</v>
      </c>
      <c r="BT174" s="114">
        <f>Inputs!$A$20</f>
        <v>0</v>
      </c>
      <c r="BU174" s="45">
        <f>Inputs!$A$20</f>
        <v>0</v>
      </c>
      <c r="BV174" s="45" t="s">
        <v>58</v>
      </c>
      <c r="BW174" s="45">
        <f t="shared" si="147"/>
        <v>0</v>
      </c>
      <c r="BX174" s="50"/>
      <c r="BY174" s="45">
        <v>0</v>
      </c>
      <c r="BZ174" s="45">
        <v>0</v>
      </c>
      <c r="CA174" s="45">
        <f t="shared" si="179"/>
        <v>0</v>
      </c>
      <c r="CB174" s="50"/>
      <c r="CC174" s="45">
        <f t="shared" si="180"/>
        <v>0</v>
      </c>
      <c r="CD174" s="64">
        <f>BY174*Inputs!$F$20*Inputs!$G$20</f>
        <v>0</v>
      </c>
      <c r="CE174" s="45">
        <f>Inputs!$F$20*Inputs!$I$20*BZ174</f>
        <v>0</v>
      </c>
      <c r="CF174" s="91"/>
    </row>
    <row r="175" spans="1:84" x14ac:dyDescent="0.25">
      <c r="A175" s="116">
        <v>11</v>
      </c>
      <c r="B175" s="114">
        <f>Inputs!$A$20</f>
        <v>0</v>
      </c>
      <c r="C175" s="45">
        <f>Inputs!$A$20</f>
        <v>0</v>
      </c>
      <c r="D175" s="45" t="s">
        <v>57</v>
      </c>
      <c r="E175" s="45">
        <v>0</v>
      </c>
      <c r="F175" s="50"/>
      <c r="G175" s="118">
        <v>11</v>
      </c>
      <c r="H175" s="114">
        <f>Inputs!$A$20</f>
        <v>0</v>
      </c>
      <c r="I175" s="45">
        <f>Inputs!$A$20</f>
        <v>0</v>
      </c>
      <c r="J175" s="45" t="s">
        <v>58</v>
      </c>
      <c r="K175" s="45">
        <v>0</v>
      </c>
      <c r="L175" s="50"/>
      <c r="M175" s="45">
        <v>0</v>
      </c>
      <c r="N175" s="45">
        <v>0</v>
      </c>
      <c r="O175" s="45">
        <f t="shared" si="173"/>
        <v>0</v>
      </c>
      <c r="P175" s="50"/>
      <c r="Q175" s="45">
        <f t="shared" si="174"/>
        <v>0</v>
      </c>
      <c r="R175" s="64">
        <f>M175*Inputs!$F$20*Inputs!$H$20</f>
        <v>0</v>
      </c>
      <c r="S175" s="45">
        <f>Inputs!$F$20*Inputs!$I$20*N175</f>
        <v>0</v>
      </c>
      <c r="T175" s="18"/>
      <c r="U175" s="56"/>
      <c r="W175" s="116">
        <v>11</v>
      </c>
      <c r="X175" s="114">
        <f>Inputs!$A$20</f>
        <v>0</v>
      </c>
      <c r="Y175" s="45">
        <f>Inputs!$A$20</f>
        <v>0</v>
      </c>
      <c r="Z175" s="45" t="s">
        <v>57</v>
      </c>
      <c r="AA175" s="45">
        <f t="shared" si="143"/>
        <v>0</v>
      </c>
      <c r="AB175" s="50"/>
      <c r="AC175" s="118">
        <v>11</v>
      </c>
      <c r="AD175" s="114">
        <f>Inputs!$A$20</f>
        <v>0</v>
      </c>
      <c r="AE175" s="45">
        <f>Inputs!$A$20</f>
        <v>0</v>
      </c>
      <c r="AF175" s="45" t="s">
        <v>58</v>
      </c>
      <c r="AG175" s="45">
        <f t="shared" si="144"/>
        <v>0</v>
      </c>
      <c r="AH175" s="50"/>
      <c r="AI175" s="45">
        <v>0</v>
      </c>
      <c r="AJ175" s="45">
        <v>0</v>
      </c>
      <c r="AK175" s="45">
        <f t="shared" si="175"/>
        <v>0</v>
      </c>
      <c r="AL175" s="50"/>
      <c r="AM175" s="45">
        <f t="shared" si="176"/>
        <v>0</v>
      </c>
      <c r="AN175" s="64">
        <f>AI175*Inputs!$F$20*Inputs!$H$20</f>
        <v>0</v>
      </c>
      <c r="AO175" s="45">
        <f>Inputs!$F$20*Inputs!$I$20*AJ175</f>
        <v>0</v>
      </c>
      <c r="AP175" s="56"/>
      <c r="AR175" s="116">
        <v>11</v>
      </c>
      <c r="AS175" s="114">
        <f>Inputs!$A$20</f>
        <v>0</v>
      </c>
      <c r="AT175" s="45">
        <f>Inputs!$A$20</f>
        <v>0</v>
      </c>
      <c r="AU175" s="45" t="s">
        <v>57</v>
      </c>
      <c r="AV175" s="45">
        <f t="shared" si="148"/>
        <v>0</v>
      </c>
      <c r="AW175" s="50"/>
      <c r="AX175" s="118">
        <v>11</v>
      </c>
      <c r="AY175" s="114">
        <f>Inputs!$A$20</f>
        <v>0</v>
      </c>
      <c r="AZ175" s="45">
        <f>Inputs!$A$20</f>
        <v>0</v>
      </c>
      <c r="BA175" s="45" t="s">
        <v>58</v>
      </c>
      <c r="BB175" s="45">
        <f t="shared" si="145"/>
        <v>0</v>
      </c>
      <c r="BC175" s="50"/>
      <c r="BD175" s="45">
        <v>0</v>
      </c>
      <c r="BE175" s="45">
        <v>0</v>
      </c>
      <c r="BF175" s="45">
        <f t="shared" si="177"/>
        <v>0</v>
      </c>
      <c r="BG175" s="50"/>
      <c r="BH175" s="45">
        <f t="shared" si="178"/>
        <v>0</v>
      </c>
      <c r="BI175" s="64">
        <f>BD175*Inputs!$F$20*Inputs!$H$20</f>
        <v>0</v>
      </c>
      <c r="BJ175" s="45">
        <f>Inputs!$F$20*Inputs!$I$20*BE175</f>
        <v>0</v>
      </c>
      <c r="BK175" s="56"/>
      <c r="BM175" s="116">
        <v>11</v>
      </c>
      <c r="BN175" s="114">
        <f>Inputs!$A$20</f>
        <v>0</v>
      </c>
      <c r="BO175" s="45">
        <f>Inputs!$A$20</f>
        <v>0</v>
      </c>
      <c r="BP175" s="45" t="s">
        <v>57</v>
      </c>
      <c r="BQ175" s="45">
        <f t="shared" si="146"/>
        <v>0</v>
      </c>
      <c r="BR175" s="50"/>
      <c r="BS175" s="118">
        <v>11</v>
      </c>
      <c r="BT175" s="114">
        <f>Inputs!$A$20</f>
        <v>0</v>
      </c>
      <c r="BU175" s="45">
        <f>Inputs!$A$20</f>
        <v>0</v>
      </c>
      <c r="BV175" s="45" t="s">
        <v>58</v>
      </c>
      <c r="BW175" s="45">
        <f t="shared" si="147"/>
        <v>0</v>
      </c>
      <c r="BX175" s="50"/>
      <c r="BY175" s="45">
        <v>0</v>
      </c>
      <c r="BZ175" s="45">
        <v>0</v>
      </c>
      <c r="CA175" s="45">
        <f t="shared" si="179"/>
        <v>0</v>
      </c>
      <c r="CB175" s="50"/>
      <c r="CC175" s="45">
        <f t="shared" si="180"/>
        <v>0</v>
      </c>
      <c r="CD175" s="64">
        <f>BY175*Inputs!$F$20*Inputs!$H$20</f>
        <v>0</v>
      </c>
      <c r="CE175" s="45">
        <f>Inputs!$F$20*Inputs!$I$20*BZ175</f>
        <v>0</v>
      </c>
      <c r="CF175" s="56"/>
    </row>
    <row r="176" spans="1:84" x14ac:dyDescent="0.25">
      <c r="A176" s="117">
        <v>3</v>
      </c>
      <c r="B176" s="115">
        <f>Inputs!$A$21</f>
        <v>0</v>
      </c>
      <c r="C176" s="44">
        <f>Inputs!$B$21</f>
        <v>0</v>
      </c>
      <c r="D176" s="44" t="s">
        <v>57</v>
      </c>
      <c r="E176" s="44">
        <v>0</v>
      </c>
      <c r="F176" s="50"/>
      <c r="G176" s="119">
        <v>3</v>
      </c>
      <c r="H176" s="115">
        <f>Inputs!$A$21</f>
        <v>0</v>
      </c>
      <c r="I176" s="44">
        <f>Inputs!$B$21</f>
        <v>0</v>
      </c>
      <c r="J176" s="44" t="s">
        <v>58</v>
      </c>
      <c r="K176" s="44">
        <v>0</v>
      </c>
      <c r="L176" s="50"/>
      <c r="M176" s="44">
        <v>0</v>
      </c>
      <c r="N176" s="44">
        <v>0</v>
      </c>
      <c r="O176" s="44">
        <f>U176-0-E176-K176</f>
        <v>0</v>
      </c>
      <c r="P176" s="50"/>
      <c r="Q176" s="44">
        <f>E176+K176+N176-U176+0-M176</f>
        <v>0</v>
      </c>
      <c r="R176" s="63">
        <f>M176*Inputs!$F$21*Inputs!$G$21</f>
        <v>0</v>
      </c>
      <c r="S176" s="44">
        <f>Inputs!$F$21*Inputs!$I$21*N176</f>
        <v>0</v>
      </c>
      <c r="T176" s="18"/>
      <c r="U176" s="54"/>
      <c r="W176" s="117">
        <v>3</v>
      </c>
      <c r="X176" s="115">
        <f>Inputs!$A$21</f>
        <v>0</v>
      </c>
      <c r="Y176" s="44">
        <f>Inputs!$B$21</f>
        <v>0</v>
      </c>
      <c r="Z176" s="44" t="s">
        <v>57</v>
      </c>
      <c r="AA176" s="44">
        <f t="shared" si="143"/>
        <v>0</v>
      </c>
      <c r="AB176" s="50"/>
      <c r="AC176" s="119">
        <v>3</v>
      </c>
      <c r="AD176" s="115">
        <f>Inputs!$A$21</f>
        <v>0</v>
      </c>
      <c r="AE176" s="44">
        <f>Inputs!$B$21</f>
        <v>0</v>
      </c>
      <c r="AF176" s="44" t="s">
        <v>58</v>
      </c>
      <c r="AG176" s="44">
        <f t="shared" si="144"/>
        <v>0</v>
      </c>
      <c r="AH176" s="50"/>
      <c r="AI176" s="44">
        <v>0</v>
      </c>
      <c r="AJ176" s="44">
        <v>0</v>
      </c>
      <c r="AK176" s="44">
        <f>AP176-0-AA176-AG176</f>
        <v>0</v>
      </c>
      <c r="AL176" s="50"/>
      <c r="AM176" s="44">
        <f>AA176+AG176+AJ176-AP176+0-AI176</f>
        <v>0</v>
      </c>
      <c r="AN176" s="63">
        <f>AI176*Inputs!$F$21*Inputs!$G$21</f>
        <v>0</v>
      </c>
      <c r="AO176" s="44">
        <f>Inputs!$F$21*Inputs!$I$21*AJ176</f>
        <v>0</v>
      </c>
      <c r="AP176" s="54"/>
      <c r="AR176" s="117">
        <v>3</v>
      </c>
      <c r="AS176" s="115">
        <f>Inputs!$A$21</f>
        <v>0</v>
      </c>
      <c r="AT176" s="44">
        <f>Inputs!$B$21</f>
        <v>0</v>
      </c>
      <c r="AU176" s="44" t="s">
        <v>57</v>
      </c>
      <c r="AV176" s="44">
        <f t="shared" si="148"/>
        <v>0</v>
      </c>
      <c r="AW176" s="50"/>
      <c r="AX176" s="119">
        <v>3</v>
      </c>
      <c r="AY176" s="115">
        <f>Inputs!$A$21</f>
        <v>0</v>
      </c>
      <c r="AZ176" s="44">
        <f>Inputs!$B$21</f>
        <v>0</v>
      </c>
      <c r="BA176" s="44" t="s">
        <v>58</v>
      </c>
      <c r="BB176" s="44">
        <f t="shared" si="145"/>
        <v>0</v>
      </c>
      <c r="BC176" s="50"/>
      <c r="BD176" s="44">
        <v>0</v>
      </c>
      <c r="BE176" s="44">
        <v>0</v>
      </c>
      <c r="BF176" s="44">
        <f>BK176-0-AV176-BB176</f>
        <v>0</v>
      </c>
      <c r="BG176" s="50"/>
      <c r="BH176" s="44">
        <f>AV176+BB176+BE176-BK176+0-BD176</f>
        <v>0</v>
      </c>
      <c r="BI176" s="63">
        <f>BD176*Inputs!$F$21*Inputs!$G$21</f>
        <v>0</v>
      </c>
      <c r="BJ176" s="44">
        <f>Inputs!$F$21*Inputs!$I$21*BE176</f>
        <v>0</v>
      </c>
      <c r="BK176" s="54"/>
      <c r="BM176" s="117">
        <v>3</v>
      </c>
      <c r="BN176" s="115">
        <f>Inputs!$A$21</f>
        <v>0</v>
      </c>
      <c r="BO176" s="44">
        <f>Inputs!$B$21</f>
        <v>0</v>
      </c>
      <c r="BP176" s="44" t="s">
        <v>57</v>
      </c>
      <c r="BQ176" s="44">
        <f t="shared" si="146"/>
        <v>0</v>
      </c>
      <c r="BR176" s="50"/>
      <c r="BS176" s="119">
        <v>3</v>
      </c>
      <c r="BT176" s="115">
        <f>Inputs!$A$21</f>
        <v>0</v>
      </c>
      <c r="BU176" s="44">
        <f>Inputs!$B$21</f>
        <v>0</v>
      </c>
      <c r="BV176" s="44" t="s">
        <v>58</v>
      </c>
      <c r="BW176" s="44">
        <f t="shared" si="147"/>
        <v>0</v>
      </c>
      <c r="BX176" s="50"/>
      <c r="BY176" s="44">
        <v>0</v>
      </c>
      <c r="BZ176" s="44">
        <v>0</v>
      </c>
      <c r="CA176" s="44">
        <f>CF176-0-BQ176-BW176</f>
        <v>0</v>
      </c>
      <c r="CB176" s="50"/>
      <c r="CC176" s="44">
        <f>BQ176+BW176+BZ176-CF176+0-BY176</f>
        <v>0</v>
      </c>
      <c r="CD176" s="63">
        <f>BY176*Inputs!$F$21*Inputs!$G$21</f>
        <v>0</v>
      </c>
      <c r="CE176" s="44">
        <f>Inputs!$F$21*Inputs!$I$21*BZ176</f>
        <v>0</v>
      </c>
      <c r="CF176" s="54"/>
    </row>
    <row r="177" spans="1:84" x14ac:dyDescent="0.25">
      <c r="A177" s="117">
        <v>4</v>
      </c>
      <c r="B177" s="115">
        <f>Inputs!$A$21</f>
        <v>0</v>
      </c>
      <c r="C177" s="44">
        <f>Inputs!$B$21</f>
        <v>0</v>
      </c>
      <c r="D177" s="44" t="s">
        <v>57</v>
      </c>
      <c r="E177" s="44">
        <v>0</v>
      </c>
      <c r="F177" s="50"/>
      <c r="G177" s="119">
        <v>4</v>
      </c>
      <c r="H177" s="115">
        <f>Inputs!$A$21</f>
        <v>0</v>
      </c>
      <c r="I177" s="44">
        <f>Inputs!$B$21</f>
        <v>0</v>
      </c>
      <c r="J177" s="44" t="s">
        <v>58</v>
      </c>
      <c r="K177" s="44">
        <v>0</v>
      </c>
      <c r="L177" s="50"/>
      <c r="M177" s="44">
        <v>0</v>
      </c>
      <c r="N177" s="44">
        <v>0</v>
      </c>
      <c r="O177" s="44">
        <f t="shared" ref="O177:O184" si="181">U177-M176-E177-K177</f>
        <v>0</v>
      </c>
      <c r="P177" s="50"/>
      <c r="Q177" s="44">
        <f t="shared" ref="Q177:Q184" si="182">E177+K177+N177-U177+M176-M177</f>
        <v>0</v>
      </c>
      <c r="R177" s="63">
        <f>M177*Inputs!$F$21*Inputs!$G$21</f>
        <v>0</v>
      </c>
      <c r="S177" s="44">
        <f>Inputs!$F$21*Inputs!$I$21*N177</f>
        <v>0</v>
      </c>
      <c r="T177" s="18"/>
      <c r="U177" s="55"/>
      <c r="W177" s="117">
        <v>4</v>
      </c>
      <c r="X177" s="115">
        <f>Inputs!$A$21</f>
        <v>0</v>
      </c>
      <c r="Y177" s="44">
        <f>Inputs!$B$21</f>
        <v>0</v>
      </c>
      <c r="Z177" s="44" t="s">
        <v>57</v>
      </c>
      <c r="AA177" s="44">
        <f t="shared" si="143"/>
        <v>0</v>
      </c>
      <c r="AB177" s="50"/>
      <c r="AC177" s="119">
        <v>4</v>
      </c>
      <c r="AD177" s="115">
        <f>Inputs!$A$21</f>
        <v>0</v>
      </c>
      <c r="AE177" s="44">
        <f>Inputs!$B$21</f>
        <v>0</v>
      </c>
      <c r="AF177" s="44" t="s">
        <v>58</v>
      </c>
      <c r="AG177" s="44">
        <f t="shared" si="144"/>
        <v>0</v>
      </c>
      <c r="AH177" s="50"/>
      <c r="AI177" s="44">
        <v>0</v>
      </c>
      <c r="AJ177" s="44">
        <v>0</v>
      </c>
      <c r="AK177" s="44">
        <f t="shared" ref="AK177:AK184" si="183">AP177-AI176-AA177-AG177</f>
        <v>0</v>
      </c>
      <c r="AL177" s="50"/>
      <c r="AM177" s="44">
        <f t="shared" ref="AM177:AM184" si="184">AA177+AG177+AJ177-AP177+AI176-AI177</f>
        <v>0</v>
      </c>
      <c r="AN177" s="63">
        <f>AI177*Inputs!$F$21*Inputs!$G$21</f>
        <v>0</v>
      </c>
      <c r="AO177" s="44">
        <f>Inputs!$F$21*Inputs!$I$21*AJ177</f>
        <v>0</v>
      </c>
      <c r="AP177" s="55"/>
      <c r="AR177" s="117">
        <v>4</v>
      </c>
      <c r="AS177" s="115">
        <f>Inputs!$A$21</f>
        <v>0</v>
      </c>
      <c r="AT177" s="44">
        <f>Inputs!$B$21</f>
        <v>0</v>
      </c>
      <c r="AU177" s="44" t="s">
        <v>57</v>
      </c>
      <c r="AV177" s="44">
        <f t="shared" si="148"/>
        <v>0</v>
      </c>
      <c r="AW177" s="50"/>
      <c r="AX177" s="119">
        <v>4</v>
      </c>
      <c r="AY177" s="115">
        <f>Inputs!$A$21</f>
        <v>0</v>
      </c>
      <c r="AZ177" s="44">
        <f>Inputs!$B$21</f>
        <v>0</v>
      </c>
      <c r="BA177" s="44" t="s">
        <v>58</v>
      </c>
      <c r="BB177" s="44">
        <f t="shared" si="145"/>
        <v>0</v>
      </c>
      <c r="BC177" s="50"/>
      <c r="BD177" s="44">
        <v>0</v>
      </c>
      <c r="BE177" s="44">
        <v>0</v>
      </c>
      <c r="BF177" s="44">
        <f t="shared" ref="BF177:BF184" si="185">BK177-BD176-AV177-BB177</f>
        <v>0</v>
      </c>
      <c r="BG177" s="50"/>
      <c r="BH177" s="44">
        <f t="shared" ref="BH177:BH184" si="186">AV177+BB177+BE177-BK177+BD176-BD177</f>
        <v>0</v>
      </c>
      <c r="BI177" s="63">
        <f>BD177*Inputs!$F$21*Inputs!$G$21</f>
        <v>0</v>
      </c>
      <c r="BJ177" s="44">
        <f>Inputs!$F$21*Inputs!$I$21*BE177</f>
        <v>0</v>
      </c>
      <c r="BK177" s="55"/>
      <c r="BM177" s="117">
        <v>4</v>
      </c>
      <c r="BN177" s="115">
        <f>Inputs!$A$21</f>
        <v>0</v>
      </c>
      <c r="BO177" s="44">
        <f>Inputs!$B$21</f>
        <v>0</v>
      </c>
      <c r="BP177" s="44" t="s">
        <v>57</v>
      </c>
      <c r="BQ177" s="44">
        <f t="shared" si="146"/>
        <v>0</v>
      </c>
      <c r="BR177" s="50"/>
      <c r="BS177" s="119">
        <v>4</v>
      </c>
      <c r="BT177" s="115">
        <f>Inputs!$A$21</f>
        <v>0</v>
      </c>
      <c r="BU177" s="44">
        <f>Inputs!$B$21</f>
        <v>0</v>
      </c>
      <c r="BV177" s="44" t="s">
        <v>58</v>
      </c>
      <c r="BW177" s="44">
        <f t="shared" si="147"/>
        <v>0</v>
      </c>
      <c r="BX177" s="50"/>
      <c r="BY177" s="44">
        <v>0</v>
      </c>
      <c r="BZ177" s="44">
        <v>0</v>
      </c>
      <c r="CA177" s="44">
        <f t="shared" ref="CA177:CA184" si="187">CF177-BY176-BQ177-BW177</f>
        <v>0</v>
      </c>
      <c r="CB177" s="50"/>
      <c r="CC177" s="44">
        <f t="shared" ref="CC177:CC184" si="188">BQ177+BW177+BZ177-CF177+BY176-BY177</f>
        <v>0</v>
      </c>
      <c r="CD177" s="63">
        <f>BY177*Inputs!$F$21*Inputs!$G$21</f>
        <v>0</v>
      </c>
      <c r="CE177" s="44">
        <f>Inputs!$F$21*Inputs!$I$21*BZ177</f>
        <v>0</v>
      </c>
      <c r="CF177" s="55"/>
    </row>
    <row r="178" spans="1:84" x14ac:dyDescent="0.25">
      <c r="A178" s="117">
        <v>5</v>
      </c>
      <c r="B178" s="115">
        <f>Inputs!$A$21</f>
        <v>0</v>
      </c>
      <c r="C178" s="44">
        <f>Inputs!$B$21</f>
        <v>0</v>
      </c>
      <c r="D178" s="44" t="s">
        <v>57</v>
      </c>
      <c r="E178" s="44">
        <v>0</v>
      </c>
      <c r="F178" s="50"/>
      <c r="G178" s="119">
        <v>5</v>
      </c>
      <c r="H178" s="115">
        <f>Inputs!$A$21</f>
        <v>0</v>
      </c>
      <c r="I178" s="44">
        <f>Inputs!$B$21</f>
        <v>0</v>
      </c>
      <c r="J178" s="44" t="s">
        <v>58</v>
      </c>
      <c r="K178" s="44">
        <v>0</v>
      </c>
      <c r="L178" s="50"/>
      <c r="M178" s="44">
        <v>0</v>
      </c>
      <c r="N178" s="44">
        <v>0</v>
      </c>
      <c r="O178" s="44">
        <f t="shared" si="181"/>
        <v>0</v>
      </c>
      <c r="P178" s="50"/>
      <c r="Q178" s="44">
        <f t="shared" si="182"/>
        <v>0</v>
      </c>
      <c r="R178" s="63">
        <f>M178*Inputs!$F$21*Inputs!$G$21</f>
        <v>0</v>
      </c>
      <c r="S178" s="44">
        <f>Inputs!$F$21*Inputs!$I$21*N178</f>
        <v>0</v>
      </c>
      <c r="T178" s="18"/>
      <c r="U178" s="55"/>
      <c r="W178" s="117">
        <v>5</v>
      </c>
      <c r="X178" s="115">
        <f>Inputs!$A$21</f>
        <v>0</v>
      </c>
      <c r="Y178" s="44">
        <f>Inputs!$B$21</f>
        <v>0</v>
      </c>
      <c r="Z178" s="44" t="s">
        <v>57</v>
      </c>
      <c r="AA178" s="44">
        <f t="shared" si="143"/>
        <v>0</v>
      </c>
      <c r="AB178" s="50"/>
      <c r="AC178" s="119">
        <v>5</v>
      </c>
      <c r="AD178" s="115">
        <f>Inputs!$A$21</f>
        <v>0</v>
      </c>
      <c r="AE178" s="44">
        <f>Inputs!$B$21</f>
        <v>0</v>
      </c>
      <c r="AF178" s="44" t="s">
        <v>58</v>
      </c>
      <c r="AG178" s="44">
        <f t="shared" si="144"/>
        <v>0</v>
      </c>
      <c r="AH178" s="50"/>
      <c r="AI178" s="44">
        <v>0</v>
      </c>
      <c r="AJ178" s="44">
        <v>0</v>
      </c>
      <c r="AK178" s="44">
        <f t="shared" si="183"/>
        <v>0</v>
      </c>
      <c r="AL178" s="50"/>
      <c r="AM178" s="44">
        <f t="shared" si="184"/>
        <v>0</v>
      </c>
      <c r="AN178" s="63">
        <f>AI178*Inputs!$F$21*Inputs!$G$21</f>
        <v>0</v>
      </c>
      <c r="AO178" s="44">
        <f>Inputs!$F$21*Inputs!$I$21*AJ178</f>
        <v>0</v>
      </c>
      <c r="AP178" s="55"/>
      <c r="AR178" s="117">
        <v>5</v>
      </c>
      <c r="AS178" s="115">
        <f>Inputs!$A$21</f>
        <v>0</v>
      </c>
      <c r="AT178" s="44">
        <f>Inputs!$B$21</f>
        <v>0</v>
      </c>
      <c r="AU178" s="44" t="s">
        <v>57</v>
      </c>
      <c r="AV178" s="44">
        <f t="shared" si="148"/>
        <v>0</v>
      </c>
      <c r="AW178" s="50"/>
      <c r="AX178" s="119">
        <v>5</v>
      </c>
      <c r="AY178" s="115">
        <f>Inputs!$A$21</f>
        <v>0</v>
      </c>
      <c r="AZ178" s="44">
        <f>Inputs!$B$21</f>
        <v>0</v>
      </c>
      <c r="BA178" s="44" t="s">
        <v>58</v>
      </c>
      <c r="BB178" s="44">
        <f t="shared" si="145"/>
        <v>0</v>
      </c>
      <c r="BC178" s="50"/>
      <c r="BD178" s="44">
        <v>0</v>
      </c>
      <c r="BE178" s="44">
        <v>0</v>
      </c>
      <c r="BF178" s="44">
        <f t="shared" si="185"/>
        <v>0</v>
      </c>
      <c r="BG178" s="50"/>
      <c r="BH178" s="44">
        <f t="shared" si="186"/>
        <v>0</v>
      </c>
      <c r="BI178" s="63">
        <f>BD178*Inputs!$F$21*Inputs!$G$21</f>
        <v>0</v>
      </c>
      <c r="BJ178" s="44">
        <f>Inputs!$F$21*Inputs!$I$21*BE178</f>
        <v>0</v>
      </c>
      <c r="BK178" s="55"/>
      <c r="BM178" s="117">
        <v>5</v>
      </c>
      <c r="BN178" s="115">
        <f>Inputs!$A$21</f>
        <v>0</v>
      </c>
      <c r="BO178" s="44">
        <f>Inputs!$B$21</f>
        <v>0</v>
      </c>
      <c r="BP178" s="44" t="s">
        <v>57</v>
      </c>
      <c r="BQ178" s="44">
        <f t="shared" si="146"/>
        <v>0</v>
      </c>
      <c r="BR178" s="50"/>
      <c r="BS178" s="119">
        <v>5</v>
      </c>
      <c r="BT178" s="115">
        <f>Inputs!$A$21</f>
        <v>0</v>
      </c>
      <c r="BU178" s="44">
        <f>Inputs!$B$21</f>
        <v>0</v>
      </c>
      <c r="BV178" s="44" t="s">
        <v>58</v>
      </c>
      <c r="BW178" s="44">
        <f t="shared" si="147"/>
        <v>0</v>
      </c>
      <c r="BX178" s="50"/>
      <c r="BY178" s="44">
        <v>0</v>
      </c>
      <c r="BZ178" s="44">
        <v>0</v>
      </c>
      <c r="CA178" s="44">
        <f t="shared" si="187"/>
        <v>0</v>
      </c>
      <c r="CB178" s="50"/>
      <c r="CC178" s="44">
        <f t="shared" si="188"/>
        <v>0</v>
      </c>
      <c r="CD178" s="63">
        <f>BY178*Inputs!$F$21*Inputs!$G$21</f>
        <v>0</v>
      </c>
      <c r="CE178" s="44">
        <f>Inputs!$F$21*Inputs!$I$21*BZ178</f>
        <v>0</v>
      </c>
      <c r="CF178" s="55"/>
    </row>
    <row r="179" spans="1:84" x14ac:dyDescent="0.25">
      <c r="A179" s="117">
        <v>6</v>
      </c>
      <c r="B179" s="115">
        <f>Inputs!$A$21</f>
        <v>0</v>
      </c>
      <c r="C179" s="44">
        <f>Inputs!$B$21</f>
        <v>0</v>
      </c>
      <c r="D179" s="44" t="s">
        <v>57</v>
      </c>
      <c r="E179" s="44">
        <v>0</v>
      </c>
      <c r="F179" s="50"/>
      <c r="G179" s="119">
        <v>6</v>
      </c>
      <c r="H179" s="115">
        <f>Inputs!$A$21</f>
        <v>0</v>
      </c>
      <c r="I179" s="44">
        <f>Inputs!$B$21</f>
        <v>0</v>
      </c>
      <c r="J179" s="44" t="s">
        <v>58</v>
      </c>
      <c r="K179" s="44">
        <v>0</v>
      </c>
      <c r="L179" s="50"/>
      <c r="M179" s="44">
        <v>0</v>
      </c>
      <c r="N179" s="44">
        <v>0</v>
      </c>
      <c r="O179" s="44">
        <f t="shared" si="181"/>
        <v>0</v>
      </c>
      <c r="P179" s="50"/>
      <c r="Q179" s="44">
        <f t="shared" si="182"/>
        <v>0</v>
      </c>
      <c r="R179" s="63">
        <f>M179*Inputs!$F$21*Inputs!$G$21</f>
        <v>0</v>
      </c>
      <c r="S179" s="44">
        <f>Inputs!$F$21*Inputs!$I$21*N179</f>
        <v>0</v>
      </c>
      <c r="T179" s="18"/>
      <c r="U179" s="55"/>
      <c r="W179" s="117">
        <v>6</v>
      </c>
      <c r="X179" s="115">
        <f>Inputs!$A$21</f>
        <v>0</v>
      </c>
      <c r="Y179" s="44">
        <f>Inputs!$B$21</f>
        <v>0</v>
      </c>
      <c r="Z179" s="44" t="s">
        <v>57</v>
      </c>
      <c r="AA179" s="44">
        <f t="shared" si="143"/>
        <v>0</v>
      </c>
      <c r="AB179" s="50"/>
      <c r="AC179" s="119">
        <v>6</v>
      </c>
      <c r="AD179" s="115">
        <f>Inputs!$A$21</f>
        <v>0</v>
      </c>
      <c r="AE179" s="44">
        <f>Inputs!$B$21</f>
        <v>0</v>
      </c>
      <c r="AF179" s="44" t="s">
        <v>58</v>
      </c>
      <c r="AG179" s="44">
        <f t="shared" si="144"/>
        <v>0</v>
      </c>
      <c r="AH179" s="50"/>
      <c r="AI179" s="44">
        <v>0</v>
      </c>
      <c r="AJ179" s="44">
        <v>0</v>
      </c>
      <c r="AK179" s="44">
        <f t="shared" si="183"/>
        <v>0</v>
      </c>
      <c r="AL179" s="50"/>
      <c r="AM179" s="44">
        <f t="shared" si="184"/>
        <v>0</v>
      </c>
      <c r="AN179" s="63">
        <f>AI179*Inputs!$F$21*Inputs!$G$21</f>
        <v>0</v>
      </c>
      <c r="AO179" s="44">
        <f>Inputs!$F$21*Inputs!$I$21*AJ179</f>
        <v>0</v>
      </c>
      <c r="AP179" s="55"/>
      <c r="AR179" s="117">
        <v>6</v>
      </c>
      <c r="AS179" s="115">
        <f>Inputs!$A$21</f>
        <v>0</v>
      </c>
      <c r="AT179" s="44">
        <f>Inputs!$B$21</f>
        <v>0</v>
      </c>
      <c r="AU179" s="44" t="s">
        <v>57</v>
      </c>
      <c r="AV179" s="44">
        <f t="shared" si="148"/>
        <v>0</v>
      </c>
      <c r="AW179" s="50"/>
      <c r="AX179" s="119">
        <v>6</v>
      </c>
      <c r="AY179" s="115">
        <f>Inputs!$A$21</f>
        <v>0</v>
      </c>
      <c r="AZ179" s="44">
        <f>Inputs!$B$21</f>
        <v>0</v>
      </c>
      <c r="BA179" s="44" t="s">
        <v>58</v>
      </c>
      <c r="BB179" s="44">
        <f t="shared" si="145"/>
        <v>0</v>
      </c>
      <c r="BC179" s="50"/>
      <c r="BD179" s="44">
        <v>0</v>
      </c>
      <c r="BE179" s="44">
        <v>0</v>
      </c>
      <c r="BF179" s="44">
        <f t="shared" si="185"/>
        <v>0</v>
      </c>
      <c r="BG179" s="50"/>
      <c r="BH179" s="44">
        <f t="shared" si="186"/>
        <v>0</v>
      </c>
      <c r="BI179" s="63">
        <f>BD179*Inputs!$F$21*Inputs!$G$21</f>
        <v>0</v>
      </c>
      <c r="BJ179" s="44">
        <f>Inputs!$F$21*Inputs!$I$21*BE179</f>
        <v>0</v>
      </c>
      <c r="BK179" s="55"/>
      <c r="BM179" s="117">
        <v>6</v>
      </c>
      <c r="BN179" s="115">
        <f>Inputs!$A$21</f>
        <v>0</v>
      </c>
      <c r="BO179" s="44">
        <f>Inputs!$B$21</f>
        <v>0</v>
      </c>
      <c r="BP179" s="44" t="s">
        <v>57</v>
      </c>
      <c r="BQ179" s="44">
        <f t="shared" si="146"/>
        <v>0</v>
      </c>
      <c r="BR179" s="50"/>
      <c r="BS179" s="119">
        <v>6</v>
      </c>
      <c r="BT179" s="115">
        <f>Inputs!$A$21</f>
        <v>0</v>
      </c>
      <c r="BU179" s="44">
        <f>Inputs!$B$21</f>
        <v>0</v>
      </c>
      <c r="BV179" s="44" t="s">
        <v>58</v>
      </c>
      <c r="BW179" s="44">
        <f t="shared" si="147"/>
        <v>0</v>
      </c>
      <c r="BX179" s="50"/>
      <c r="BY179" s="44">
        <v>0</v>
      </c>
      <c r="BZ179" s="44">
        <v>0</v>
      </c>
      <c r="CA179" s="44">
        <f t="shared" si="187"/>
        <v>0</v>
      </c>
      <c r="CB179" s="50"/>
      <c r="CC179" s="44">
        <f t="shared" si="188"/>
        <v>0</v>
      </c>
      <c r="CD179" s="63">
        <f>BY179*Inputs!$F$21*Inputs!$G$21</f>
        <v>0</v>
      </c>
      <c r="CE179" s="44">
        <f>Inputs!$F$21*Inputs!$I$21*BZ179</f>
        <v>0</v>
      </c>
      <c r="CF179" s="55"/>
    </row>
    <row r="180" spans="1:84" x14ac:dyDescent="0.25">
      <c r="A180" s="117">
        <v>7</v>
      </c>
      <c r="B180" s="115">
        <f>Inputs!$A$21</f>
        <v>0</v>
      </c>
      <c r="C180" s="44">
        <f>Inputs!$B$21</f>
        <v>0</v>
      </c>
      <c r="D180" s="44" t="s">
        <v>57</v>
      </c>
      <c r="E180" s="44">
        <v>0</v>
      </c>
      <c r="F180" s="50"/>
      <c r="G180" s="119">
        <v>7</v>
      </c>
      <c r="H180" s="115">
        <f>Inputs!$A$21</f>
        <v>0</v>
      </c>
      <c r="I180" s="44">
        <f>Inputs!$B$21</f>
        <v>0</v>
      </c>
      <c r="J180" s="44" t="s">
        <v>58</v>
      </c>
      <c r="K180" s="44">
        <v>0</v>
      </c>
      <c r="L180" s="50"/>
      <c r="M180" s="44">
        <v>0</v>
      </c>
      <c r="N180" s="44">
        <v>0</v>
      </c>
      <c r="O180" s="44">
        <f t="shared" si="181"/>
        <v>0</v>
      </c>
      <c r="P180" s="50"/>
      <c r="Q180" s="44">
        <f t="shared" si="182"/>
        <v>0</v>
      </c>
      <c r="R180" s="63">
        <f>M180*Inputs!$F$21*Inputs!$G$21</f>
        <v>0</v>
      </c>
      <c r="S180" s="44">
        <f>Inputs!$F$21*Inputs!$I$21*N180</f>
        <v>0</v>
      </c>
      <c r="T180" s="18"/>
      <c r="U180" s="55"/>
      <c r="W180" s="117">
        <v>7</v>
      </c>
      <c r="X180" s="115">
        <f>Inputs!$A$21</f>
        <v>0</v>
      </c>
      <c r="Y180" s="44">
        <f>Inputs!$B$21</f>
        <v>0</v>
      </c>
      <c r="Z180" s="44" t="s">
        <v>57</v>
      </c>
      <c r="AA180" s="44">
        <f t="shared" si="143"/>
        <v>0</v>
      </c>
      <c r="AB180" s="50"/>
      <c r="AC180" s="119">
        <v>7</v>
      </c>
      <c r="AD180" s="115">
        <f>Inputs!$A$21</f>
        <v>0</v>
      </c>
      <c r="AE180" s="44">
        <f>Inputs!$B$21</f>
        <v>0</v>
      </c>
      <c r="AF180" s="44" t="s">
        <v>58</v>
      </c>
      <c r="AG180" s="44">
        <f t="shared" si="144"/>
        <v>0</v>
      </c>
      <c r="AH180" s="50"/>
      <c r="AI180" s="44">
        <v>0</v>
      </c>
      <c r="AJ180" s="44">
        <v>0</v>
      </c>
      <c r="AK180" s="44">
        <f t="shared" si="183"/>
        <v>0</v>
      </c>
      <c r="AL180" s="50"/>
      <c r="AM180" s="44">
        <f t="shared" si="184"/>
        <v>0</v>
      </c>
      <c r="AN180" s="63">
        <f>AI180*Inputs!$F$21*Inputs!$G$21</f>
        <v>0</v>
      </c>
      <c r="AO180" s="44">
        <f>Inputs!$F$21*Inputs!$I$21*AJ180</f>
        <v>0</v>
      </c>
      <c r="AP180" s="55"/>
      <c r="AR180" s="117">
        <v>7</v>
      </c>
      <c r="AS180" s="115">
        <f>Inputs!$A$21</f>
        <v>0</v>
      </c>
      <c r="AT180" s="44">
        <f>Inputs!$B$21</f>
        <v>0</v>
      </c>
      <c r="AU180" s="44" t="s">
        <v>57</v>
      </c>
      <c r="AV180" s="44">
        <f t="shared" si="148"/>
        <v>0</v>
      </c>
      <c r="AW180" s="50"/>
      <c r="AX180" s="119">
        <v>7</v>
      </c>
      <c r="AY180" s="115">
        <f>Inputs!$A$21</f>
        <v>0</v>
      </c>
      <c r="AZ180" s="44">
        <f>Inputs!$B$21</f>
        <v>0</v>
      </c>
      <c r="BA180" s="44" t="s">
        <v>58</v>
      </c>
      <c r="BB180" s="44">
        <f t="shared" si="145"/>
        <v>0</v>
      </c>
      <c r="BC180" s="50"/>
      <c r="BD180" s="44">
        <v>0</v>
      </c>
      <c r="BE180" s="44">
        <v>0</v>
      </c>
      <c r="BF180" s="44">
        <f t="shared" si="185"/>
        <v>0</v>
      </c>
      <c r="BG180" s="50"/>
      <c r="BH180" s="44">
        <f t="shared" si="186"/>
        <v>0</v>
      </c>
      <c r="BI180" s="63">
        <f>BD180*Inputs!$F$21*Inputs!$G$21</f>
        <v>0</v>
      </c>
      <c r="BJ180" s="44">
        <f>Inputs!$F$21*Inputs!$I$21*BE180</f>
        <v>0</v>
      </c>
      <c r="BK180" s="55"/>
      <c r="BM180" s="117">
        <v>7</v>
      </c>
      <c r="BN180" s="115">
        <f>Inputs!$A$21</f>
        <v>0</v>
      </c>
      <c r="BO180" s="44">
        <f>Inputs!$B$21</f>
        <v>0</v>
      </c>
      <c r="BP180" s="44" t="s">
        <v>57</v>
      </c>
      <c r="BQ180" s="44">
        <f t="shared" si="146"/>
        <v>0</v>
      </c>
      <c r="BR180" s="50"/>
      <c r="BS180" s="119">
        <v>7</v>
      </c>
      <c r="BT180" s="115">
        <f>Inputs!$A$21</f>
        <v>0</v>
      </c>
      <c r="BU180" s="44">
        <f>Inputs!$B$21</f>
        <v>0</v>
      </c>
      <c r="BV180" s="44" t="s">
        <v>58</v>
      </c>
      <c r="BW180" s="44">
        <f t="shared" si="147"/>
        <v>0</v>
      </c>
      <c r="BX180" s="50"/>
      <c r="BY180" s="44">
        <v>0</v>
      </c>
      <c r="BZ180" s="44">
        <v>0</v>
      </c>
      <c r="CA180" s="44">
        <f t="shared" si="187"/>
        <v>0</v>
      </c>
      <c r="CB180" s="50"/>
      <c r="CC180" s="44">
        <f t="shared" si="188"/>
        <v>0</v>
      </c>
      <c r="CD180" s="63">
        <f>BY180*Inputs!$F$21*Inputs!$G$21</f>
        <v>0</v>
      </c>
      <c r="CE180" s="44">
        <f>Inputs!$F$21*Inputs!$I$21*BZ180</f>
        <v>0</v>
      </c>
      <c r="CF180" s="55"/>
    </row>
    <row r="181" spans="1:84" x14ac:dyDescent="0.25">
      <c r="A181" s="117">
        <v>8</v>
      </c>
      <c r="B181" s="115">
        <f>Inputs!$A$21</f>
        <v>0</v>
      </c>
      <c r="C181" s="44">
        <f>Inputs!$B$21</f>
        <v>0</v>
      </c>
      <c r="D181" s="44" t="s">
        <v>57</v>
      </c>
      <c r="E181" s="44">
        <v>0</v>
      </c>
      <c r="F181" s="50"/>
      <c r="G181" s="119">
        <v>8</v>
      </c>
      <c r="H181" s="115">
        <f>Inputs!$A$21</f>
        <v>0</v>
      </c>
      <c r="I181" s="44">
        <f>Inputs!$B$21</f>
        <v>0</v>
      </c>
      <c r="J181" s="44" t="s">
        <v>58</v>
      </c>
      <c r="K181" s="44">
        <v>0</v>
      </c>
      <c r="L181" s="50"/>
      <c r="M181" s="44">
        <v>0</v>
      </c>
      <c r="N181" s="44">
        <v>0</v>
      </c>
      <c r="O181" s="44">
        <f t="shared" si="181"/>
        <v>0</v>
      </c>
      <c r="P181" s="50"/>
      <c r="Q181" s="44">
        <f t="shared" si="182"/>
        <v>0</v>
      </c>
      <c r="R181" s="63">
        <f>M181*Inputs!$F$21*Inputs!$G$21</f>
        <v>0</v>
      </c>
      <c r="S181" s="44">
        <f>Inputs!$F$21*Inputs!$I$21*N181</f>
        <v>0</v>
      </c>
      <c r="T181" s="18"/>
      <c r="U181" s="55"/>
      <c r="W181" s="117">
        <v>8</v>
      </c>
      <c r="X181" s="115">
        <f>Inputs!$A$21</f>
        <v>0</v>
      </c>
      <c r="Y181" s="44">
        <f>Inputs!$B$21</f>
        <v>0</v>
      </c>
      <c r="Z181" s="44" t="s">
        <v>57</v>
      </c>
      <c r="AA181" s="44">
        <f t="shared" si="143"/>
        <v>0</v>
      </c>
      <c r="AB181" s="50"/>
      <c r="AC181" s="119">
        <v>8</v>
      </c>
      <c r="AD181" s="115">
        <f>Inputs!$A$21</f>
        <v>0</v>
      </c>
      <c r="AE181" s="44">
        <f>Inputs!$B$21</f>
        <v>0</v>
      </c>
      <c r="AF181" s="44" t="s">
        <v>58</v>
      </c>
      <c r="AG181" s="44">
        <f t="shared" si="144"/>
        <v>0</v>
      </c>
      <c r="AH181" s="50"/>
      <c r="AI181" s="44">
        <v>0</v>
      </c>
      <c r="AJ181" s="44">
        <v>0</v>
      </c>
      <c r="AK181" s="44">
        <f t="shared" si="183"/>
        <v>0</v>
      </c>
      <c r="AL181" s="50"/>
      <c r="AM181" s="44">
        <f t="shared" si="184"/>
        <v>0</v>
      </c>
      <c r="AN181" s="63">
        <f>AI181*Inputs!$F$21*Inputs!$G$21</f>
        <v>0</v>
      </c>
      <c r="AO181" s="44">
        <f>Inputs!$F$21*Inputs!$I$21*AJ181</f>
        <v>0</v>
      </c>
      <c r="AP181" s="55"/>
      <c r="AR181" s="117">
        <v>8</v>
      </c>
      <c r="AS181" s="115">
        <f>Inputs!$A$21</f>
        <v>0</v>
      </c>
      <c r="AT181" s="44">
        <f>Inputs!$B$21</f>
        <v>0</v>
      </c>
      <c r="AU181" s="44" t="s">
        <v>57</v>
      </c>
      <c r="AV181" s="44">
        <f t="shared" si="148"/>
        <v>0</v>
      </c>
      <c r="AW181" s="50"/>
      <c r="AX181" s="119">
        <v>8</v>
      </c>
      <c r="AY181" s="115">
        <f>Inputs!$A$21</f>
        <v>0</v>
      </c>
      <c r="AZ181" s="44">
        <f>Inputs!$B$21</f>
        <v>0</v>
      </c>
      <c r="BA181" s="44" t="s">
        <v>58</v>
      </c>
      <c r="BB181" s="44">
        <f t="shared" si="145"/>
        <v>0</v>
      </c>
      <c r="BC181" s="50"/>
      <c r="BD181" s="44">
        <v>0</v>
      </c>
      <c r="BE181" s="44">
        <v>0</v>
      </c>
      <c r="BF181" s="44">
        <f t="shared" si="185"/>
        <v>0</v>
      </c>
      <c r="BG181" s="50"/>
      <c r="BH181" s="44">
        <f t="shared" si="186"/>
        <v>0</v>
      </c>
      <c r="BI181" s="63">
        <f>BD181*Inputs!$F$21*Inputs!$G$21</f>
        <v>0</v>
      </c>
      <c r="BJ181" s="44">
        <f>Inputs!$F$21*Inputs!$I$21*BE181</f>
        <v>0</v>
      </c>
      <c r="BK181" s="55"/>
      <c r="BM181" s="117">
        <v>8</v>
      </c>
      <c r="BN181" s="115">
        <f>Inputs!$A$21</f>
        <v>0</v>
      </c>
      <c r="BO181" s="44">
        <f>Inputs!$B$21</f>
        <v>0</v>
      </c>
      <c r="BP181" s="44" t="s">
        <v>57</v>
      </c>
      <c r="BQ181" s="44">
        <f t="shared" si="146"/>
        <v>0</v>
      </c>
      <c r="BR181" s="50"/>
      <c r="BS181" s="119">
        <v>8</v>
      </c>
      <c r="BT181" s="115">
        <f>Inputs!$A$21</f>
        <v>0</v>
      </c>
      <c r="BU181" s="44">
        <f>Inputs!$B$21</f>
        <v>0</v>
      </c>
      <c r="BV181" s="44" t="s">
        <v>58</v>
      </c>
      <c r="BW181" s="44">
        <f t="shared" si="147"/>
        <v>0</v>
      </c>
      <c r="BX181" s="50"/>
      <c r="BY181" s="44">
        <v>0</v>
      </c>
      <c r="BZ181" s="44">
        <v>0</v>
      </c>
      <c r="CA181" s="44">
        <f t="shared" si="187"/>
        <v>0</v>
      </c>
      <c r="CB181" s="50"/>
      <c r="CC181" s="44">
        <f t="shared" si="188"/>
        <v>0</v>
      </c>
      <c r="CD181" s="63">
        <f>BY181*Inputs!$F$21*Inputs!$G$21</f>
        <v>0</v>
      </c>
      <c r="CE181" s="44">
        <f>Inputs!$F$21*Inputs!$I$21*BZ181</f>
        <v>0</v>
      </c>
      <c r="CF181" s="55"/>
    </row>
    <row r="182" spans="1:84" x14ac:dyDescent="0.25">
      <c r="A182" s="117">
        <v>9</v>
      </c>
      <c r="B182" s="115">
        <f>Inputs!$A$21</f>
        <v>0</v>
      </c>
      <c r="C182" s="44">
        <f>Inputs!$B$21</f>
        <v>0</v>
      </c>
      <c r="D182" s="44" t="s">
        <v>57</v>
      </c>
      <c r="E182" s="44">
        <v>0</v>
      </c>
      <c r="F182" s="50"/>
      <c r="G182" s="119">
        <v>9</v>
      </c>
      <c r="H182" s="115">
        <f>Inputs!$A$21</f>
        <v>0</v>
      </c>
      <c r="I182" s="44">
        <f>Inputs!$B$21</f>
        <v>0</v>
      </c>
      <c r="J182" s="44" t="s">
        <v>58</v>
      </c>
      <c r="K182" s="44">
        <v>0</v>
      </c>
      <c r="L182" s="50"/>
      <c r="M182" s="44">
        <v>0</v>
      </c>
      <c r="N182" s="44">
        <v>0</v>
      </c>
      <c r="O182" s="44">
        <f t="shared" si="181"/>
        <v>0</v>
      </c>
      <c r="P182" s="50"/>
      <c r="Q182" s="44">
        <f t="shared" si="182"/>
        <v>0</v>
      </c>
      <c r="R182" s="63">
        <f>M182*Inputs!$F$21*Inputs!$G$21</f>
        <v>0</v>
      </c>
      <c r="S182" s="44">
        <f>Inputs!$F$21*Inputs!$I$21*N182</f>
        <v>0</v>
      </c>
      <c r="T182" s="18"/>
      <c r="U182" s="55"/>
      <c r="W182" s="117">
        <v>9</v>
      </c>
      <c r="X182" s="115">
        <f>Inputs!$A$21</f>
        <v>0</v>
      </c>
      <c r="Y182" s="44">
        <f>Inputs!$B$21</f>
        <v>0</v>
      </c>
      <c r="Z182" s="44" t="s">
        <v>57</v>
      </c>
      <c r="AA182" s="44">
        <f t="shared" si="143"/>
        <v>0</v>
      </c>
      <c r="AB182" s="50"/>
      <c r="AC182" s="119">
        <v>9</v>
      </c>
      <c r="AD182" s="115">
        <f>Inputs!$A$21</f>
        <v>0</v>
      </c>
      <c r="AE182" s="44">
        <f>Inputs!$B$21</f>
        <v>0</v>
      </c>
      <c r="AF182" s="44" t="s">
        <v>58</v>
      </c>
      <c r="AG182" s="44">
        <f t="shared" si="144"/>
        <v>0</v>
      </c>
      <c r="AH182" s="50"/>
      <c r="AI182" s="44">
        <v>0</v>
      </c>
      <c r="AJ182" s="44">
        <v>0</v>
      </c>
      <c r="AK182" s="44">
        <f t="shared" si="183"/>
        <v>0</v>
      </c>
      <c r="AL182" s="50"/>
      <c r="AM182" s="44">
        <f t="shared" si="184"/>
        <v>0</v>
      </c>
      <c r="AN182" s="63">
        <f>AI182*Inputs!$F$21*Inputs!$G$21</f>
        <v>0</v>
      </c>
      <c r="AO182" s="44">
        <f>Inputs!$F$21*Inputs!$I$21*AJ182</f>
        <v>0</v>
      </c>
      <c r="AP182" s="55"/>
      <c r="AR182" s="117">
        <v>9</v>
      </c>
      <c r="AS182" s="115">
        <f>Inputs!$A$21</f>
        <v>0</v>
      </c>
      <c r="AT182" s="44">
        <f>Inputs!$B$21</f>
        <v>0</v>
      </c>
      <c r="AU182" s="44" t="s">
        <v>57</v>
      </c>
      <c r="AV182" s="44">
        <f t="shared" si="148"/>
        <v>0</v>
      </c>
      <c r="AW182" s="50"/>
      <c r="AX182" s="119">
        <v>9</v>
      </c>
      <c r="AY182" s="115">
        <f>Inputs!$A$21</f>
        <v>0</v>
      </c>
      <c r="AZ182" s="44">
        <f>Inputs!$B$21</f>
        <v>0</v>
      </c>
      <c r="BA182" s="44" t="s">
        <v>58</v>
      </c>
      <c r="BB182" s="44">
        <f t="shared" si="145"/>
        <v>0</v>
      </c>
      <c r="BC182" s="50"/>
      <c r="BD182" s="44">
        <v>0</v>
      </c>
      <c r="BE182" s="44">
        <v>0</v>
      </c>
      <c r="BF182" s="44">
        <f t="shared" si="185"/>
        <v>0</v>
      </c>
      <c r="BG182" s="50"/>
      <c r="BH182" s="44">
        <f t="shared" si="186"/>
        <v>0</v>
      </c>
      <c r="BI182" s="63">
        <f>BD182*Inputs!$F$21*Inputs!$G$21</f>
        <v>0</v>
      </c>
      <c r="BJ182" s="44">
        <f>Inputs!$F$21*Inputs!$I$21*BE182</f>
        <v>0</v>
      </c>
      <c r="BK182" s="55"/>
      <c r="BM182" s="117">
        <v>9</v>
      </c>
      <c r="BN182" s="115">
        <f>Inputs!$A$21</f>
        <v>0</v>
      </c>
      <c r="BO182" s="44">
        <f>Inputs!$B$21</f>
        <v>0</v>
      </c>
      <c r="BP182" s="44" t="s">
        <v>57</v>
      </c>
      <c r="BQ182" s="44">
        <f t="shared" si="146"/>
        <v>0</v>
      </c>
      <c r="BR182" s="50"/>
      <c r="BS182" s="119">
        <v>9</v>
      </c>
      <c r="BT182" s="115">
        <f>Inputs!$A$21</f>
        <v>0</v>
      </c>
      <c r="BU182" s="44">
        <f>Inputs!$B$21</f>
        <v>0</v>
      </c>
      <c r="BV182" s="44" t="s">
        <v>58</v>
      </c>
      <c r="BW182" s="44">
        <f t="shared" si="147"/>
        <v>0</v>
      </c>
      <c r="BX182" s="50"/>
      <c r="BY182" s="44">
        <v>0</v>
      </c>
      <c r="BZ182" s="44">
        <v>0</v>
      </c>
      <c r="CA182" s="44">
        <f t="shared" si="187"/>
        <v>0</v>
      </c>
      <c r="CB182" s="50"/>
      <c r="CC182" s="44">
        <f t="shared" si="188"/>
        <v>0</v>
      </c>
      <c r="CD182" s="63">
        <f>BY182*Inputs!$F$21*Inputs!$G$21</f>
        <v>0</v>
      </c>
      <c r="CE182" s="44">
        <f>Inputs!$F$21*Inputs!$I$21*BZ182</f>
        <v>0</v>
      </c>
      <c r="CF182" s="55"/>
    </row>
    <row r="183" spans="1:84" x14ac:dyDescent="0.25">
      <c r="A183" s="117">
        <v>10</v>
      </c>
      <c r="B183" s="115">
        <f>Inputs!$A$21</f>
        <v>0</v>
      </c>
      <c r="C183" s="44">
        <f>Inputs!$B$21</f>
        <v>0</v>
      </c>
      <c r="D183" s="44" t="s">
        <v>57</v>
      </c>
      <c r="E183" s="44">
        <v>0</v>
      </c>
      <c r="F183" s="50"/>
      <c r="G183" s="119">
        <v>10</v>
      </c>
      <c r="H183" s="115">
        <f>Inputs!$A$21</f>
        <v>0</v>
      </c>
      <c r="I183" s="44">
        <f>Inputs!$B$21</f>
        <v>0</v>
      </c>
      <c r="J183" s="44" t="s">
        <v>58</v>
      </c>
      <c r="K183" s="44">
        <v>0</v>
      </c>
      <c r="L183" s="50"/>
      <c r="M183" s="44">
        <v>0</v>
      </c>
      <c r="N183" s="44">
        <v>0</v>
      </c>
      <c r="O183" s="44">
        <f t="shared" si="181"/>
        <v>0</v>
      </c>
      <c r="P183" s="50"/>
      <c r="Q183" s="44">
        <f t="shared" si="182"/>
        <v>0</v>
      </c>
      <c r="R183" s="63">
        <f>M183*Inputs!$F$21*Inputs!$H$21</f>
        <v>0</v>
      </c>
      <c r="S183" s="44">
        <f>Inputs!$F$21*Inputs!$I$21*N183</f>
        <v>0</v>
      </c>
      <c r="T183" s="18"/>
      <c r="U183" s="91"/>
      <c r="W183" s="117">
        <v>10</v>
      </c>
      <c r="X183" s="115">
        <f>Inputs!$A$21</f>
        <v>0</v>
      </c>
      <c r="Y183" s="44">
        <f>Inputs!$B$21</f>
        <v>0</v>
      </c>
      <c r="Z183" s="44" t="s">
        <v>57</v>
      </c>
      <c r="AA183" s="44">
        <f t="shared" si="143"/>
        <v>0</v>
      </c>
      <c r="AB183" s="50"/>
      <c r="AC183" s="119">
        <v>10</v>
      </c>
      <c r="AD183" s="115">
        <f>Inputs!$A$21</f>
        <v>0</v>
      </c>
      <c r="AE183" s="44">
        <f>Inputs!$B$21</f>
        <v>0</v>
      </c>
      <c r="AF183" s="44" t="s">
        <v>58</v>
      </c>
      <c r="AG183" s="44">
        <f t="shared" si="144"/>
        <v>0</v>
      </c>
      <c r="AH183" s="50"/>
      <c r="AI183" s="44">
        <v>0</v>
      </c>
      <c r="AJ183" s="44">
        <v>0</v>
      </c>
      <c r="AK183" s="44">
        <f t="shared" si="183"/>
        <v>0</v>
      </c>
      <c r="AL183" s="50"/>
      <c r="AM183" s="44">
        <f t="shared" si="184"/>
        <v>0</v>
      </c>
      <c r="AN183" s="63">
        <f>AI183*Inputs!$F$21*Inputs!$H$21</f>
        <v>0</v>
      </c>
      <c r="AO183" s="44">
        <f>Inputs!$F$21*Inputs!$I$21*AJ183</f>
        <v>0</v>
      </c>
      <c r="AP183" s="91"/>
      <c r="AR183" s="117">
        <v>10</v>
      </c>
      <c r="AS183" s="115">
        <f>Inputs!$A$21</f>
        <v>0</v>
      </c>
      <c r="AT183" s="44">
        <f>Inputs!$B$21</f>
        <v>0</v>
      </c>
      <c r="AU183" s="44" t="s">
        <v>57</v>
      </c>
      <c r="AV183" s="44">
        <f t="shared" si="148"/>
        <v>0</v>
      </c>
      <c r="AW183" s="50"/>
      <c r="AX183" s="119">
        <v>10</v>
      </c>
      <c r="AY183" s="115">
        <f>Inputs!$A$21</f>
        <v>0</v>
      </c>
      <c r="AZ183" s="44">
        <f>Inputs!$B$21</f>
        <v>0</v>
      </c>
      <c r="BA183" s="44" t="s">
        <v>58</v>
      </c>
      <c r="BB183" s="44">
        <f t="shared" si="145"/>
        <v>0</v>
      </c>
      <c r="BC183" s="50"/>
      <c r="BD183" s="44">
        <v>0</v>
      </c>
      <c r="BE183" s="44">
        <v>0</v>
      </c>
      <c r="BF183" s="44">
        <f t="shared" si="185"/>
        <v>0</v>
      </c>
      <c r="BG183" s="50"/>
      <c r="BH183" s="44">
        <f t="shared" si="186"/>
        <v>0</v>
      </c>
      <c r="BI183" s="63">
        <f>BD183*Inputs!$F$21*Inputs!$H$21</f>
        <v>0</v>
      </c>
      <c r="BJ183" s="44">
        <f>Inputs!$F$21*Inputs!$I$21*BE183</f>
        <v>0</v>
      </c>
      <c r="BK183" s="91"/>
      <c r="BM183" s="117">
        <v>10</v>
      </c>
      <c r="BN183" s="115">
        <f>Inputs!$A$21</f>
        <v>0</v>
      </c>
      <c r="BO183" s="44">
        <f>Inputs!$B$21</f>
        <v>0</v>
      </c>
      <c r="BP183" s="44" t="s">
        <v>57</v>
      </c>
      <c r="BQ183" s="44">
        <f t="shared" si="146"/>
        <v>0</v>
      </c>
      <c r="BR183" s="50"/>
      <c r="BS183" s="119">
        <v>10</v>
      </c>
      <c r="BT183" s="115">
        <f>Inputs!$A$21</f>
        <v>0</v>
      </c>
      <c r="BU183" s="44">
        <f>Inputs!$B$21</f>
        <v>0</v>
      </c>
      <c r="BV183" s="44" t="s">
        <v>58</v>
      </c>
      <c r="BW183" s="44">
        <f t="shared" si="147"/>
        <v>0</v>
      </c>
      <c r="BX183" s="50"/>
      <c r="BY183" s="44">
        <v>0</v>
      </c>
      <c r="BZ183" s="44">
        <v>0</v>
      </c>
      <c r="CA183" s="44">
        <f t="shared" si="187"/>
        <v>0</v>
      </c>
      <c r="CB183" s="50"/>
      <c r="CC183" s="44">
        <f t="shared" si="188"/>
        <v>0</v>
      </c>
      <c r="CD183" s="63">
        <f>BY183*Inputs!$F$21*Inputs!$H$21</f>
        <v>0</v>
      </c>
      <c r="CE183" s="44">
        <f>Inputs!$F$21*Inputs!$I$21*BZ183</f>
        <v>0</v>
      </c>
      <c r="CF183" s="91"/>
    </row>
    <row r="184" spans="1:84" x14ac:dyDescent="0.25">
      <c r="A184" s="117">
        <v>11</v>
      </c>
      <c r="B184" s="115">
        <f>Inputs!$A$21</f>
        <v>0</v>
      </c>
      <c r="C184" s="44">
        <f>Inputs!$B$21</f>
        <v>0</v>
      </c>
      <c r="D184" s="44" t="s">
        <v>57</v>
      </c>
      <c r="E184" s="44">
        <v>0</v>
      </c>
      <c r="F184" s="50"/>
      <c r="G184" s="119">
        <v>11</v>
      </c>
      <c r="H184" s="115">
        <f>Inputs!$A$21</f>
        <v>0</v>
      </c>
      <c r="I184" s="44">
        <f>Inputs!$B$21</f>
        <v>0</v>
      </c>
      <c r="J184" s="44" t="s">
        <v>58</v>
      </c>
      <c r="K184" s="44">
        <v>0</v>
      </c>
      <c r="L184" s="50"/>
      <c r="M184" s="44">
        <v>0</v>
      </c>
      <c r="N184" s="44">
        <v>0</v>
      </c>
      <c r="O184" s="44">
        <f t="shared" si="181"/>
        <v>0</v>
      </c>
      <c r="P184" s="50"/>
      <c r="Q184" s="44">
        <f t="shared" si="182"/>
        <v>0</v>
      </c>
      <c r="R184" s="63">
        <f>M184*Inputs!$F$21*Inputs!$H$21</f>
        <v>0</v>
      </c>
      <c r="S184" s="44">
        <f>Inputs!$F$21*Inputs!$I$21*N184</f>
        <v>0</v>
      </c>
      <c r="T184" s="18"/>
      <c r="U184" s="56"/>
      <c r="W184" s="117">
        <v>11</v>
      </c>
      <c r="X184" s="115">
        <f>Inputs!$A$21</f>
        <v>0</v>
      </c>
      <c r="Y184" s="44">
        <f>Inputs!$B$21</f>
        <v>0</v>
      </c>
      <c r="Z184" s="44" t="s">
        <v>57</v>
      </c>
      <c r="AA184" s="44">
        <f t="shared" si="143"/>
        <v>0</v>
      </c>
      <c r="AB184" s="50"/>
      <c r="AC184" s="119">
        <v>11</v>
      </c>
      <c r="AD184" s="115">
        <f>Inputs!$A$21</f>
        <v>0</v>
      </c>
      <c r="AE184" s="44">
        <f>Inputs!$B$21</f>
        <v>0</v>
      </c>
      <c r="AF184" s="44" t="s">
        <v>58</v>
      </c>
      <c r="AG184" s="44">
        <f t="shared" si="144"/>
        <v>0</v>
      </c>
      <c r="AH184" s="50"/>
      <c r="AI184" s="44">
        <v>0</v>
      </c>
      <c r="AJ184" s="44">
        <v>0</v>
      </c>
      <c r="AK184" s="44">
        <f t="shared" si="183"/>
        <v>0</v>
      </c>
      <c r="AL184" s="50"/>
      <c r="AM184" s="44">
        <f t="shared" si="184"/>
        <v>0</v>
      </c>
      <c r="AN184" s="63">
        <f>AI184*Inputs!$F$21*Inputs!$H$21</f>
        <v>0</v>
      </c>
      <c r="AO184" s="44">
        <f>Inputs!$F$21*Inputs!$I$21*AJ184</f>
        <v>0</v>
      </c>
      <c r="AP184" s="56"/>
      <c r="AR184" s="117">
        <v>11</v>
      </c>
      <c r="AS184" s="115">
        <f>Inputs!$A$21</f>
        <v>0</v>
      </c>
      <c r="AT184" s="44">
        <f>Inputs!$B$21</f>
        <v>0</v>
      </c>
      <c r="AU184" s="44" t="s">
        <v>57</v>
      </c>
      <c r="AV184" s="44">
        <f t="shared" si="148"/>
        <v>0</v>
      </c>
      <c r="AW184" s="50"/>
      <c r="AX184" s="119">
        <v>11</v>
      </c>
      <c r="AY184" s="115">
        <f>Inputs!$A$21</f>
        <v>0</v>
      </c>
      <c r="AZ184" s="44">
        <f>Inputs!$B$21</f>
        <v>0</v>
      </c>
      <c r="BA184" s="44" t="s">
        <v>58</v>
      </c>
      <c r="BB184" s="44">
        <f t="shared" si="145"/>
        <v>0</v>
      </c>
      <c r="BC184" s="50"/>
      <c r="BD184" s="44">
        <v>0</v>
      </c>
      <c r="BE184" s="44">
        <v>0</v>
      </c>
      <c r="BF184" s="44">
        <f t="shared" si="185"/>
        <v>0</v>
      </c>
      <c r="BG184" s="50"/>
      <c r="BH184" s="44">
        <f t="shared" si="186"/>
        <v>0</v>
      </c>
      <c r="BI184" s="63">
        <f>BD184*Inputs!$F$21*Inputs!$H$21</f>
        <v>0</v>
      </c>
      <c r="BJ184" s="44">
        <f>Inputs!$F$21*Inputs!$I$21*BE184</f>
        <v>0</v>
      </c>
      <c r="BK184" s="56"/>
      <c r="BM184" s="117">
        <v>11</v>
      </c>
      <c r="BN184" s="115">
        <f>Inputs!$A$21</f>
        <v>0</v>
      </c>
      <c r="BO184" s="44">
        <f>Inputs!$B$21</f>
        <v>0</v>
      </c>
      <c r="BP184" s="44" t="s">
        <v>57</v>
      </c>
      <c r="BQ184" s="44">
        <f t="shared" si="146"/>
        <v>0</v>
      </c>
      <c r="BR184" s="50"/>
      <c r="BS184" s="119">
        <v>11</v>
      </c>
      <c r="BT184" s="115">
        <f>Inputs!$A$21</f>
        <v>0</v>
      </c>
      <c r="BU184" s="44">
        <f>Inputs!$B$21</f>
        <v>0</v>
      </c>
      <c r="BV184" s="44" t="s">
        <v>58</v>
      </c>
      <c r="BW184" s="44">
        <f t="shared" si="147"/>
        <v>0</v>
      </c>
      <c r="BX184" s="50"/>
      <c r="BY184" s="44">
        <v>0</v>
      </c>
      <c r="BZ184" s="44">
        <v>0</v>
      </c>
      <c r="CA184" s="44">
        <f t="shared" si="187"/>
        <v>0</v>
      </c>
      <c r="CB184" s="50"/>
      <c r="CC184" s="44">
        <f t="shared" si="188"/>
        <v>0</v>
      </c>
      <c r="CD184" s="63">
        <f>BY184*Inputs!$F$21*Inputs!$H$21</f>
        <v>0</v>
      </c>
      <c r="CE184" s="44">
        <f>Inputs!$F$21*Inputs!$I$21*BZ184</f>
        <v>0</v>
      </c>
      <c r="CF184" s="56"/>
    </row>
    <row r="185" spans="1:84" x14ac:dyDescent="0.25">
      <c r="A185" s="116">
        <v>3</v>
      </c>
      <c r="B185" s="114">
        <f>Inputs!$A$22</f>
        <v>0</v>
      </c>
      <c r="C185" s="45">
        <f>Inputs!$B$22</f>
        <v>0</v>
      </c>
      <c r="D185" s="45" t="s">
        <v>57</v>
      </c>
      <c r="E185" s="45">
        <v>0</v>
      </c>
      <c r="F185" s="50"/>
      <c r="G185" s="118">
        <v>3</v>
      </c>
      <c r="H185" s="114">
        <f>Inputs!$A$22</f>
        <v>0</v>
      </c>
      <c r="I185" s="45">
        <f>Inputs!$B$22</f>
        <v>0</v>
      </c>
      <c r="J185" s="45" t="s">
        <v>58</v>
      </c>
      <c r="K185" s="45">
        <v>0</v>
      </c>
      <c r="L185" s="50"/>
      <c r="M185" s="45">
        <v>0</v>
      </c>
      <c r="N185" s="45">
        <v>0</v>
      </c>
      <c r="O185" s="45">
        <f>U185-0-E185-K185</f>
        <v>0</v>
      </c>
      <c r="P185" s="50"/>
      <c r="Q185" s="45">
        <f>E185+K185+N185-U185+0-M185</f>
        <v>0</v>
      </c>
      <c r="R185" s="64">
        <f>M185*Inputs!$F$22*Inputs!$G$22</f>
        <v>0</v>
      </c>
      <c r="S185" s="45">
        <f>Inputs!$F$22*Inputs!$I$22*N185</f>
        <v>0</v>
      </c>
      <c r="T185" s="18"/>
      <c r="U185" s="54"/>
      <c r="W185" s="116">
        <v>3</v>
      </c>
      <c r="X185" s="114">
        <f>Inputs!$A$22</f>
        <v>0</v>
      </c>
      <c r="Y185" s="45">
        <f>Inputs!$B$22</f>
        <v>0</v>
      </c>
      <c r="Z185" s="45" t="s">
        <v>57</v>
      </c>
      <c r="AA185" s="45">
        <f t="shared" si="143"/>
        <v>0</v>
      </c>
      <c r="AB185" s="50"/>
      <c r="AC185" s="118">
        <v>3</v>
      </c>
      <c r="AD185" s="114">
        <f>Inputs!$A$22</f>
        <v>0</v>
      </c>
      <c r="AE185" s="45">
        <f>Inputs!$B$22</f>
        <v>0</v>
      </c>
      <c r="AF185" s="45" t="s">
        <v>58</v>
      </c>
      <c r="AG185" s="45">
        <f t="shared" si="144"/>
        <v>0</v>
      </c>
      <c r="AH185" s="50"/>
      <c r="AI185" s="45">
        <v>0</v>
      </c>
      <c r="AJ185" s="45">
        <v>0</v>
      </c>
      <c r="AK185" s="45">
        <f>AP185-0-AA185-AG185</f>
        <v>0</v>
      </c>
      <c r="AL185" s="50"/>
      <c r="AM185" s="45">
        <f>AA185+AG185+AJ185-AP185+0-AI185</f>
        <v>0</v>
      </c>
      <c r="AN185" s="64">
        <f>AI185*Inputs!$F$22*Inputs!$G$22</f>
        <v>0</v>
      </c>
      <c r="AO185" s="45">
        <f>Inputs!$F$22*Inputs!$I$22*AJ185</f>
        <v>0</v>
      </c>
      <c r="AP185" s="54"/>
      <c r="AR185" s="116">
        <v>3</v>
      </c>
      <c r="AS185" s="114">
        <f>Inputs!$A$22</f>
        <v>0</v>
      </c>
      <c r="AT185" s="45">
        <f>Inputs!$B$22</f>
        <v>0</v>
      </c>
      <c r="AU185" s="45" t="s">
        <v>57</v>
      </c>
      <c r="AV185" s="45">
        <f t="shared" si="148"/>
        <v>0</v>
      </c>
      <c r="AW185" s="50"/>
      <c r="AX185" s="118">
        <v>3</v>
      </c>
      <c r="AY185" s="114">
        <f>Inputs!$A$22</f>
        <v>0</v>
      </c>
      <c r="AZ185" s="45">
        <f>Inputs!$B$22</f>
        <v>0</v>
      </c>
      <c r="BA185" s="45" t="s">
        <v>58</v>
      </c>
      <c r="BB185" s="45">
        <f t="shared" si="145"/>
        <v>0</v>
      </c>
      <c r="BC185" s="50"/>
      <c r="BD185" s="45">
        <v>0</v>
      </c>
      <c r="BE185" s="45">
        <v>0</v>
      </c>
      <c r="BF185" s="45">
        <f>BK185-0-AV185-BB185</f>
        <v>0</v>
      </c>
      <c r="BG185" s="50"/>
      <c r="BH185" s="45">
        <f>AV185+BB185+BE185-BK185+0-BD185</f>
        <v>0</v>
      </c>
      <c r="BI185" s="64">
        <f>BD185*Inputs!$F$22*Inputs!$G$22</f>
        <v>0</v>
      </c>
      <c r="BJ185" s="45">
        <f>Inputs!$F$22*Inputs!$I$22*BE185</f>
        <v>0</v>
      </c>
      <c r="BK185" s="54"/>
      <c r="BM185" s="116">
        <v>3</v>
      </c>
      <c r="BN185" s="114">
        <f>Inputs!$A$22</f>
        <v>0</v>
      </c>
      <c r="BO185" s="45">
        <f>Inputs!$B$22</f>
        <v>0</v>
      </c>
      <c r="BP185" s="45" t="s">
        <v>57</v>
      </c>
      <c r="BQ185" s="45">
        <f t="shared" si="146"/>
        <v>0</v>
      </c>
      <c r="BR185" s="50"/>
      <c r="BS185" s="118">
        <v>3</v>
      </c>
      <c r="BT185" s="114">
        <f>Inputs!$A$22</f>
        <v>0</v>
      </c>
      <c r="BU185" s="45">
        <f>Inputs!$B$22</f>
        <v>0</v>
      </c>
      <c r="BV185" s="45" t="s">
        <v>58</v>
      </c>
      <c r="BW185" s="45">
        <f t="shared" si="147"/>
        <v>0</v>
      </c>
      <c r="BX185" s="50"/>
      <c r="BY185" s="45">
        <v>0</v>
      </c>
      <c r="BZ185" s="45">
        <v>0</v>
      </c>
      <c r="CA185" s="45">
        <f>CF185-0-BQ185-BW185</f>
        <v>0</v>
      </c>
      <c r="CB185" s="50"/>
      <c r="CC185" s="45">
        <f>BQ185+BW185+BZ185-CF185+0-BY185</f>
        <v>0</v>
      </c>
      <c r="CD185" s="64">
        <f>BY185*Inputs!$F$22*Inputs!$G$22</f>
        <v>0</v>
      </c>
      <c r="CE185" s="45">
        <f>Inputs!$F$22*Inputs!$I$22*BZ185</f>
        <v>0</v>
      </c>
      <c r="CF185" s="54"/>
    </row>
    <row r="186" spans="1:84" x14ac:dyDescent="0.25">
      <c r="A186" s="116">
        <v>4</v>
      </c>
      <c r="B186" s="114">
        <f>Inputs!$A$22</f>
        <v>0</v>
      </c>
      <c r="C186" s="45">
        <f>Inputs!$B$22</f>
        <v>0</v>
      </c>
      <c r="D186" s="45" t="s">
        <v>57</v>
      </c>
      <c r="E186" s="45">
        <v>0</v>
      </c>
      <c r="F186" s="50"/>
      <c r="G186" s="118">
        <v>4</v>
      </c>
      <c r="H186" s="114">
        <f>Inputs!$A$22</f>
        <v>0</v>
      </c>
      <c r="I186" s="45">
        <f>Inputs!$B$22</f>
        <v>0</v>
      </c>
      <c r="J186" s="45" t="s">
        <v>58</v>
      </c>
      <c r="K186" s="45">
        <v>0</v>
      </c>
      <c r="L186" s="50"/>
      <c r="M186" s="45">
        <v>0</v>
      </c>
      <c r="N186" s="45">
        <v>0</v>
      </c>
      <c r="O186" s="45">
        <f t="shared" ref="O186:O193" si="189">U186-M185-E186-K186</f>
        <v>0</v>
      </c>
      <c r="P186" s="50"/>
      <c r="Q186" s="45">
        <f t="shared" ref="Q186:Q193" si="190">E186+K186+N186-U186+M185-M186</f>
        <v>0</v>
      </c>
      <c r="R186" s="64">
        <f>M186*Inputs!$F$22*Inputs!$G$22</f>
        <v>0</v>
      </c>
      <c r="S186" s="45">
        <f>Inputs!$F$22*Inputs!$I$22*N186</f>
        <v>0</v>
      </c>
      <c r="T186" s="18"/>
      <c r="U186" s="55"/>
      <c r="W186" s="116">
        <v>4</v>
      </c>
      <c r="X186" s="114">
        <f>Inputs!$A$22</f>
        <v>0</v>
      </c>
      <c r="Y186" s="45">
        <f>Inputs!$B$22</f>
        <v>0</v>
      </c>
      <c r="Z186" s="45" t="s">
        <v>57</v>
      </c>
      <c r="AA186" s="45">
        <f t="shared" si="143"/>
        <v>0</v>
      </c>
      <c r="AB186" s="50"/>
      <c r="AC186" s="118">
        <v>4</v>
      </c>
      <c r="AD186" s="114">
        <f>Inputs!$A$22</f>
        <v>0</v>
      </c>
      <c r="AE186" s="45">
        <f>Inputs!$B$22</f>
        <v>0</v>
      </c>
      <c r="AF186" s="45" t="s">
        <v>58</v>
      </c>
      <c r="AG186" s="45">
        <f t="shared" si="144"/>
        <v>0</v>
      </c>
      <c r="AH186" s="50"/>
      <c r="AI186" s="45">
        <v>0</v>
      </c>
      <c r="AJ186" s="45">
        <v>0</v>
      </c>
      <c r="AK186" s="45">
        <f t="shared" ref="AK186:AK193" si="191">AP186-AI185-AA186-AG186</f>
        <v>0</v>
      </c>
      <c r="AL186" s="50"/>
      <c r="AM186" s="45">
        <f t="shared" ref="AM186:AM193" si="192">AA186+AG186+AJ186-AP186+AI185-AI186</f>
        <v>0</v>
      </c>
      <c r="AN186" s="64">
        <f>AI186*Inputs!$F$22*Inputs!$G$22</f>
        <v>0</v>
      </c>
      <c r="AO186" s="45">
        <f>Inputs!$F$22*Inputs!$I$22*AJ186</f>
        <v>0</v>
      </c>
      <c r="AP186" s="55"/>
      <c r="AR186" s="116">
        <v>4</v>
      </c>
      <c r="AS186" s="114">
        <f>Inputs!$A$22</f>
        <v>0</v>
      </c>
      <c r="AT186" s="45">
        <f>Inputs!$B$22</f>
        <v>0</v>
      </c>
      <c r="AU186" s="45" t="s">
        <v>57</v>
      </c>
      <c r="AV186" s="45">
        <f t="shared" si="148"/>
        <v>0</v>
      </c>
      <c r="AW186" s="50"/>
      <c r="AX186" s="118">
        <v>4</v>
      </c>
      <c r="AY186" s="114">
        <f>Inputs!$A$22</f>
        <v>0</v>
      </c>
      <c r="AZ186" s="45">
        <f>Inputs!$B$22</f>
        <v>0</v>
      </c>
      <c r="BA186" s="45" t="s">
        <v>58</v>
      </c>
      <c r="BB186" s="45">
        <f t="shared" si="145"/>
        <v>0</v>
      </c>
      <c r="BC186" s="50"/>
      <c r="BD186" s="45">
        <v>0</v>
      </c>
      <c r="BE186" s="45">
        <v>0</v>
      </c>
      <c r="BF186" s="45">
        <f t="shared" ref="BF186:BF193" si="193">BK186-BD185-AV186-BB186</f>
        <v>0</v>
      </c>
      <c r="BG186" s="50"/>
      <c r="BH186" s="45">
        <f t="shared" ref="BH186:BH193" si="194">AV186+BB186+BE186-BK186+BD185-BD186</f>
        <v>0</v>
      </c>
      <c r="BI186" s="64">
        <f>BD186*Inputs!$F$22*Inputs!$G$22</f>
        <v>0</v>
      </c>
      <c r="BJ186" s="45">
        <f>Inputs!$F$22*Inputs!$I$22*BE186</f>
        <v>0</v>
      </c>
      <c r="BK186" s="55"/>
      <c r="BM186" s="116">
        <v>4</v>
      </c>
      <c r="BN186" s="114">
        <f>Inputs!$A$22</f>
        <v>0</v>
      </c>
      <c r="BO186" s="45">
        <f>Inputs!$B$22</f>
        <v>0</v>
      </c>
      <c r="BP186" s="45" t="s">
        <v>57</v>
      </c>
      <c r="BQ186" s="45">
        <f t="shared" si="146"/>
        <v>0</v>
      </c>
      <c r="BR186" s="50"/>
      <c r="BS186" s="118">
        <v>4</v>
      </c>
      <c r="BT186" s="114">
        <f>Inputs!$A$22</f>
        <v>0</v>
      </c>
      <c r="BU186" s="45">
        <f>Inputs!$B$22</f>
        <v>0</v>
      </c>
      <c r="BV186" s="45" t="s">
        <v>58</v>
      </c>
      <c r="BW186" s="45">
        <f t="shared" si="147"/>
        <v>0</v>
      </c>
      <c r="BX186" s="50"/>
      <c r="BY186" s="45">
        <v>0</v>
      </c>
      <c r="BZ186" s="45">
        <v>0</v>
      </c>
      <c r="CA186" s="45">
        <f t="shared" ref="CA186:CA193" si="195">CF186-BY185-BQ186-BW186</f>
        <v>0</v>
      </c>
      <c r="CB186" s="50"/>
      <c r="CC186" s="45">
        <f t="shared" ref="CC186:CC193" si="196">BQ186+BW186+BZ186-CF186+BY185-BY186</f>
        <v>0</v>
      </c>
      <c r="CD186" s="64">
        <f>BY186*Inputs!$F$22*Inputs!$G$22</f>
        <v>0</v>
      </c>
      <c r="CE186" s="45">
        <f>Inputs!$F$22*Inputs!$I$22*BZ186</f>
        <v>0</v>
      </c>
      <c r="CF186" s="55"/>
    </row>
    <row r="187" spans="1:84" x14ac:dyDescent="0.25">
      <c r="A187" s="116">
        <v>5</v>
      </c>
      <c r="B187" s="114">
        <f>Inputs!$A$22</f>
        <v>0</v>
      </c>
      <c r="C187" s="45">
        <f>Inputs!$B$22</f>
        <v>0</v>
      </c>
      <c r="D187" s="45" t="s">
        <v>57</v>
      </c>
      <c r="E187" s="45">
        <v>0</v>
      </c>
      <c r="F187" s="50"/>
      <c r="G187" s="118">
        <v>5</v>
      </c>
      <c r="H187" s="114">
        <f>Inputs!$A$22</f>
        <v>0</v>
      </c>
      <c r="I187" s="45">
        <f>Inputs!$B$22</f>
        <v>0</v>
      </c>
      <c r="J187" s="45" t="s">
        <v>58</v>
      </c>
      <c r="K187" s="45">
        <v>0</v>
      </c>
      <c r="L187" s="50"/>
      <c r="M187" s="45">
        <v>0</v>
      </c>
      <c r="N187" s="45">
        <v>0</v>
      </c>
      <c r="O187" s="45">
        <f t="shared" si="189"/>
        <v>0</v>
      </c>
      <c r="P187" s="50"/>
      <c r="Q187" s="45">
        <f t="shared" si="190"/>
        <v>0</v>
      </c>
      <c r="R187" s="64">
        <f>M187*Inputs!$F$22*Inputs!$G$22</f>
        <v>0</v>
      </c>
      <c r="S187" s="45">
        <f>Inputs!$F$22*Inputs!$I$22*N187</f>
        <v>0</v>
      </c>
      <c r="T187" s="18"/>
      <c r="U187" s="55"/>
      <c r="W187" s="116">
        <v>5</v>
      </c>
      <c r="X187" s="114">
        <f>Inputs!$A$22</f>
        <v>0</v>
      </c>
      <c r="Y187" s="45">
        <f>Inputs!$B$22</f>
        <v>0</v>
      </c>
      <c r="Z187" s="45" t="s">
        <v>57</v>
      </c>
      <c r="AA187" s="45">
        <f t="shared" si="143"/>
        <v>0</v>
      </c>
      <c r="AB187" s="50"/>
      <c r="AC187" s="118">
        <v>5</v>
      </c>
      <c r="AD187" s="114">
        <f>Inputs!$A$22</f>
        <v>0</v>
      </c>
      <c r="AE187" s="45">
        <f>Inputs!$B$22</f>
        <v>0</v>
      </c>
      <c r="AF187" s="45" t="s">
        <v>58</v>
      </c>
      <c r="AG187" s="45">
        <f t="shared" si="144"/>
        <v>0</v>
      </c>
      <c r="AH187" s="50"/>
      <c r="AI187" s="45">
        <v>0</v>
      </c>
      <c r="AJ187" s="45">
        <v>0</v>
      </c>
      <c r="AK187" s="45">
        <f t="shared" si="191"/>
        <v>0</v>
      </c>
      <c r="AL187" s="50"/>
      <c r="AM187" s="45">
        <f t="shared" si="192"/>
        <v>0</v>
      </c>
      <c r="AN187" s="64">
        <f>AI187*Inputs!$F$22*Inputs!$G$22</f>
        <v>0</v>
      </c>
      <c r="AO187" s="45">
        <f>Inputs!$F$22*Inputs!$I$22*AJ187</f>
        <v>0</v>
      </c>
      <c r="AP187" s="55"/>
      <c r="AR187" s="116">
        <v>5</v>
      </c>
      <c r="AS187" s="114">
        <f>Inputs!$A$22</f>
        <v>0</v>
      </c>
      <c r="AT187" s="45">
        <f>Inputs!$B$22</f>
        <v>0</v>
      </c>
      <c r="AU187" s="45" t="s">
        <v>57</v>
      </c>
      <c r="AV187" s="45">
        <f t="shared" si="148"/>
        <v>0</v>
      </c>
      <c r="AW187" s="50"/>
      <c r="AX187" s="118">
        <v>5</v>
      </c>
      <c r="AY187" s="114">
        <f>Inputs!$A$22</f>
        <v>0</v>
      </c>
      <c r="AZ187" s="45">
        <f>Inputs!$B$22</f>
        <v>0</v>
      </c>
      <c r="BA187" s="45" t="s">
        <v>58</v>
      </c>
      <c r="BB187" s="45">
        <f t="shared" si="145"/>
        <v>0</v>
      </c>
      <c r="BC187" s="50"/>
      <c r="BD187" s="45">
        <v>0</v>
      </c>
      <c r="BE187" s="45">
        <v>0</v>
      </c>
      <c r="BF187" s="45">
        <f t="shared" si="193"/>
        <v>0</v>
      </c>
      <c r="BG187" s="50"/>
      <c r="BH187" s="45">
        <f t="shared" si="194"/>
        <v>0</v>
      </c>
      <c r="BI187" s="64">
        <f>BD187*Inputs!$F$22*Inputs!$G$22</f>
        <v>0</v>
      </c>
      <c r="BJ187" s="45">
        <f>Inputs!$F$22*Inputs!$I$22*BE187</f>
        <v>0</v>
      </c>
      <c r="BK187" s="55"/>
      <c r="BM187" s="116">
        <v>5</v>
      </c>
      <c r="BN187" s="114">
        <f>Inputs!$A$22</f>
        <v>0</v>
      </c>
      <c r="BO187" s="45">
        <f>Inputs!$B$22</f>
        <v>0</v>
      </c>
      <c r="BP187" s="45" t="s">
        <v>57</v>
      </c>
      <c r="BQ187" s="45">
        <f t="shared" si="146"/>
        <v>0</v>
      </c>
      <c r="BR187" s="50"/>
      <c r="BS187" s="118">
        <v>5</v>
      </c>
      <c r="BT187" s="114">
        <f>Inputs!$A$22</f>
        <v>0</v>
      </c>
      <c r="BU187" s="45">
        <f>Inputs!$B$22</f>
        <v>0</v>
      </c>
      <c r="BV187" s="45" t="s">
        <v>58</v>
      </c>
      <c r="BW187" s="45">
        <f t="shared" si="147"/>
        <v>0</v>
      </c>
      <c r="BX187" s="50"/>
      <c r="BY187" s="45">
        <v>0</v>
      </c>
      <c r="BZ187" s="45">
        <v>0</v>
      </c>
      <c r="CA187" s="45">
        <f t="shared" si="195"/>
        <v>0</v>
      </c>
      <c r="CB187" s="50"/>
      <c r="CC187" s="45">
        <f t="shared" si="196"/>
        <v>0</v>
      </c>
      <c r="CD187" s="64">
        <f>BY187*Inputs!$F$22*Inputs!$G$22</f>
        <v>0</v>
      </c>
      <c r="CE187" s="45">
        <f>Inputs!$F$22*Inputs!$I$22*BZ187</f>
        <v>0</v>
      </c>
      <c r="CF187" s="55"/>
    </row>
    <row r="188" spans="1:84" x14ac:dyDescent="0.25">
      <c r="A188" s="116">
        <v>6</v>
      </c>
      <c r="B188" s="114">
        <f>Inputs!$A$22</f>
        <v>0</v>
      </c>
      <c r="C188" s="45">
        <f>Inputs!$B$22</f>
        <v>0</v>
      </c>
      <c r="D188" s="45" t="s">
        <v>57</v>
      </c>
      <c r="E188" s="45">
        <v>0</v>
      </c>
      <c r="F188" s="50"/>
      <c r="G188" s="118">
        <v>6</v>
      </c>
      <c r="H188" s="114">
        <f>Inputs!$A$22</f>
        <v>0</v>
      </c>
      <c r="I188" s="45">
        <f>Inputs!$B$22</f>
        <v>0</v>
      </c>
      <c r="J188" s="45" t="s">
        <v>58</v>
      </c>
      <c r="K188" s="45">
        <v>0</v>
      </c>
      <c r="L188" s="50"/>
      <c r="M188" s="45">
        <v>0</v>
      </c>
      <c r="N188" s="45">
        <v>0</v>
      </c>
      <c r="O188" s="45">
        <f t="shared" si="189"/>
        <v>0</v>
      </c>
      <c r="P188" s="50"/>
      <c r="Q188" s="45">
        <f t="shared" si="190"/>
        <v>0</v>
      </c>
      <c r="R188" s="64">
        <f>M188*Inputs!$F$22*Inputs!$G$22</f>
        <v>0</v>
      </c>
      <c r="S188" s="45">
        <f>Inputs!$F$22*Inputs!$I$22*N188</f>
        <v>0</v>
      </c>
      <c r="T188" s="18"/>
      <c r="U188" s="55"/>
      <c r="W188" s="116">
        <v>6</v>
      </c>
      <c r="X188" s="114">
        <f>Inputs!$A$22</f>
        <v>0</v>
      </c>
      <c r="Y188" s="45">
        <f>Inputs!$B$22</f>
        <v>0</v>
      </c>
      <c r="Z188" s="45" t="s">
        <v>57</v>
      </c>
      <c r="AA188" s="45">
        <f t="shared" si="143"/>
        <v>0</v>
      </c>
      <c r="AB188" s="50"/>
      <c r="AC188" s="118">
        <v>6</v>
      </c>
      <c r="AD188" s="114">
        <f>Inputs!$A$22</f>
        <v>0</v>
      </c>
      <c r="AE188" s="45">
        <f>Inputs!$B$22</f>
        <v>0</v>
      </c>
      <c r="AF188" s="45" t="s">
        <v>58</v>
      </c>
      <c r="AG188" s="45">
        <f t="shared" si="144"/>
        <v>0</v>
      </c>
      <c r="AH188" s="50"/>
      <c r="AI188" s="45">
        <v>0</v>
      </c>
      <c r="AJ188" s="45">
        <v>0</v>
      </c>
      <c r="AK188" s="45">
        <f t="shared" si="191"/>
        <v>0</v>
      </c>
      <c r="AL188" s="50"/>
      <c r="AM188" s="45">
        <f t="shared" si="192"/>
        <v>0</v>
      </c>
      <c r="AN188" s="64">
        <f>AI188*Inputs!$F$22*Inputs!$G$22</f>
        <v>0</v>
      </c>
      <c r="AO188" s="45">
        <f>Inputs!$F$22*Inputs!$I$22*AJ188</f>
        <v>0</v>
      </c>
      <c r="AP188" s="55"/>
      <c r="AR188" s="116">
        <v>6</v>
      </c>
      <c r="AS188" s="114">
        <f>Inputs!$A$22</f>
        <v>0</v>
      </c>
      <c r="AT188" s="45">
        <f>Inputs!$B$22</f>
        <v>0</v>
      </c>
      <c r="AU188" s="45" t="s">
        <v>57</v>
      </c>
      <c r="AV188" s="45">
        <f t="shared" si="148"/>
        <v>0</v>
      </c>
      <c r="AW188" s="50"/>
      <c r="AX188" s="118">
        <v>6</v>
      </c>
      <c r="AY188" s="114">
        <f>Inputs!$A$22</f>
        <v>0</v>
      </c>
      <c r="AZ188" s="45">
        <f>Inputs!$B$22</f>
        <v>0</v>
      </c>
      <c r="BA188" s="45" t="s">
        <v>58</v>
      </c>
      <c r="BB188" s="45">
        <f t="shared" si="145"/>
        <v>0</v>
      </c>
      <c r="BC188" s="50"/>
      <c r="BD188" s="45">
        <v>0</v>
      </c>
      <c r="BE188" s="45">
        <v>0</v>
      </c>
      <c r="BF188" s="45">
        <f t="shared" si="193"/>
        <v>0</v>
      </c>
      <c r="BG188" s="50"/>
      <c r="BH188" s="45">
        <f t="shared" si="194"/>
        <v>0</v>
      </c>
      <c r="BI188" s="64">
        <f>BD188*Inputs!$F$22*Inputs!$G$22</f>
        <v>0</v>
      </c>
      <c r="BJ188" s="45">
        <f>Inputs!$F$22*Inputs!$I$22*BE188</f>
        <v>0</v>
      </c>
      <c r="BK188" s="55"/>
      <c r="BM188" s="116">
        <v>6</v>
      </c>
      <c r="BN188" s="114">
        <f>Inputs!$A$22</f>
        <v>0</v>
      </c>
      <c r="BO188" s="45">
        <f>Inputs!$B$22</f>
        <v>0</v>
      </c>
      <c r="BP188" s="45" t="s">
        <v>57</v>
      </c>
      <c r="BQ188" s="45">
        <f t="shared" si="146"/>
        <v>0</v>
      </c>
      <c r="BR188" s="50"/>
      <c r="BS188" s="118">
        <v>6</v>
      </c>
      <c r="BT188" s="114">
        <f>Inputs!$A$22</f>
        <v>0</v>
      </c>
      <c r="BU188" s="45">
        <f>Inputs!$B$22</f>
        <v>0</v>
      </c>
      <c r="BV188" s="45" t="s">
        <v>58</v>
      </c>
      <c r="BW188" s="45">
        <f t="shared" si="147"/>
        <v>0</v>
      </c>
      <c r="BX188" s="50"/>
      <c r="BY188" s="45">
        <v>0</v>
      </c>
      <c r="BZ188" s="45">
        <v>0</v>
      </c>
      <c r="CA188" s="45">
        <f t="shared" si="195"/>
        <v>0</v>
      </c>
      <c r="CB188" s="50"/>
      <c r="CC188" s="45">
        <f t="shared" si="196"/>
        <v>0</v>
      </c>
      <c r="CD188" s="64">
        <f>BY188*Inputs!$F$22*Inputs!$G$22</f>
        <v>0</v>
      </c>
      <c r="CE188" s="45">
        <f>Inputs!$F$22*Inputs!$I$22*BZ188</f>
        <v>0</v>
      </c>
      <c r="CF188" s="55"/>
    </row>
    <row r="189" spans="1:84" x14ac:dyDescent="0.25">
      <c r="A189" s="116">
        <v>7</v>
      </c>
      <c r="B189" s="114">
        <f>Inputs!$A$22</f>
        <v>0</v>
      </c>
      <c r="C189" s="45">
        <f>Inputs!$B$22</f>
        <v>0</v>
      </c>
      <c r="D189" s="45" t="s">
        <v>57</v>
      </c>
      <c r="E189" s="45">
        <v>0</v>
      </c>
      <c r="F189" s="50"/>
      <c r="G189" s="118">
        <v>7</v>
      </c>
      <c r="H189" s="114">
        <f>Inputs!$A$22</f>
        <v>0</v>
      </c>
      <c r="I189" s="45">
        <f>Inputs!$B$22</f>
        <v>0</v>
      </c>
      <c r="J189" s="45" t="s">
        <v>58</v>
      </c>
      <c r="K189" s="45">
        <v>0</v>
      </c>
      <c r="L189" s="50"/>
      <c r="M189" s="45">
        <v>0</v>
      </c>
      <c r="N189" s="45">
        <v>0</v>
      </c>
      <c r="O189" s="45">
        <f t="shared" si="189"/>
        <v>0</v>
      </c>
      <c r="P189" s="50"/>
      <c r="Q189" s="45">
        <f t="shared" si="190"/>
        <v>0</v>
      </c>
      <c r="R189" s="64">
        <f>M189*Inputs!$F$22*Inputs!$G$22</f>
        <v>0</v>
      </c>
      <c r="S189" s="45">
        <f>Inputs!$F$22*Inputs!$I$22*N189</f>
        <v>0</v>
      </c>
      <c r="T189" s="18"/>
      <c r="U189" s="55"/>
      <c r="W189" s="116">
        <v>7</v>
      </c>
      <c r="X189" s="114">
        <f>Inputs!$A$22</f>
        <v>0</v>
      </c>
      <c r="Y189" s="45">
        <f>Inputs!$B$22</f>
        <v>0</v>
      </c>
      <c r="Z189" s="45" t="s">
        <v>57</v>
      </c>
      <c r="AA189" s="45">
        <f t="shared" si="143"/>
        <v>0</v>
      </c>
      <c r="AB189" s="50"/>
      <c r="AC189" s="118">
        <v>7</v>
      </c>
      <c r="AD189" s="114">
        <f>Inputs!$A$22</f>
        <v>0</v>
      </c>
      <c r="AE189" s="45">
        <f>Inputs!$B$22</f>
        <v>0</v>
      </c>
      <c r="AF189" s="45" t="s">
        <v>58</v>
      </c>
      <c r="AG189" s="45">
        <f t="shared" si="144"/>
        <v>0</v>
      </c>
      <c r="AH189" s="50"/>
      <c r="AI189" s="45">
        <v>0</v>
      </c>
      <c r="AJ189" s="45">
        <v>0</v>
      </c>
      <c r="AK189" s="45">
        <f t="shared" si="191"/>
        <v>0</v>
      </c>
      <c r="AL189" s="50"/>
      <c r="AM189" s="45">
        <f t="shared" si="192"/>
        <v>0</v>
      </c>
      <c r="AN189" s="64">
        <f>AI189*Inputs!$F$22*Inputs!$G$22</f>
        <v>0</v>
      </c>
      <c r="AO189" s="45">
        <f>Inputs!$F$22*Inputs!$I$22*AJ189</f>
        <v>0</v>
      </c>
      <c r="AP189" s="55"/>
      <c r="AR189" s="116">
        <v>7</v>
      </c>
      <c r="AS189" s="114">
        <f>Inputs!$A$22</f>
        <v>0</v>
      </c>
      <c r="AT189" s="45">
        <f>Inputs!$B$22</f>
        <v>0</v>
      </c>
      <c r="AU189" s="45" t="s">
        <v>57</v>
      </c>
      <c r="AV189" s="45">
        <f t="shared" si="148"/>
        <v>0</v>
      </c>
      <c r="AW189" s="50"/>
      <c r="AX189" s="118">
        <v>7</v>
      </c>
      <c r="AY189" s="114">
        <f>Inputs!$A$22</f>
        <v>0</v>
      </c>
      <c r="AZ189" s="45">
        <f>Inputs!$B$22</f>
        <v>0</v>
      </c>
      <c r="BA189" s="45" t="s">
        <v>58</v>
      </c>
      <c r="BB189" s="45">
        <f t="shared" si="145"/>
        <v>0</v>
      </c>
      <c r="BC189" s="50"/>
      <c r="BD189" s="45">
        <v>0</v>
      </c>
      <c r="BE189" s="45">
        <v>0</v>
      </c>
      <c r="BF189" s="45">
        <f t="shared" si="193"/>
        <v>0</v>
      </c>
      <c r="BG189" s="50"/>
      <c r="BH189" s="45">
        <f t="shared" si="194"/>
        <v>0</v>
      </c>
      <c r="BI189" s="64">
        <f>BD189*Inputs!$F$22*Inputs!$G$22</f>
        <v>0</v>
      </c>
      <c r="BJ189" s="45">
        <f>Inputs!$F$22*Inputs!$I$22*BE189</f>
        <v>0</v>
      </c>
      <c r="BK189" s="55"/>
      <c r="BM189" s="116">
        <v>7</v>
      </c>
      <c r="BN189" s="114">
        <f>Inputs!$A$22</f>
        <v>0</v>
      </c>
      <c r="BO189" s="45">
        <f>Inputs!$B$22</f>
        <v>0</v>
      </c>
      <c r="BP189" s="45" t="s">
        <v>57</v>
      </c>
      <c r="BQ189" s="45">
        <f t="shared" si="146"/>
        <v>0</v>
      </c>
      <c r="BR189" s="50"/>
      <c r="BS189" s="118">
        <v>7</v>
      </c>
      <c r="BT189" s="114">
        <f>Inputs!$A$22</f>
        <v>0</v>
      </c>
      <c r="BU189" s="45">
        <f>Inputs!$B$22</f>
        <v>0</v>
      </c>
      <c r="BV189" s="45" t="s">
        <v>58</v>
      </c>
      <c r="BW189" s="45">
        <f t="shared" si="147"/>
        <v>0</v>
      </c>
      <c r="BX189" s="50"/>
      <c r="BY189" s="45">
        <v>0</v>
      </c>
      <c r="BZ189" s="45">
        <v>0</v>
      </c>
      <c r="CA189" s="45">
        <f t="shared" si="195"/>
        <v>0</v>
      </c>
      <c r="CB189" s="50"/>
      <c r="CC189" s="45">
        <f t="shared" si="196"/>
        <v>0</v>
      </c>
      <c r="CD189" s="64">
        <f>BY189*Inputs!$F$22*Inputs!$G$22</f>
        <v>0</v>
      </c>
      <c r="CE189" s="45">
        <f>Inputs!$F$22*Inputs!$I$22*BZ189</f>
        <v>0</v>
      </c>
      <c r="CF189" s="55"/>
    </row>
    <row r="190" spans="1:84" x14ac:dyDescent="0.25">
      <c r="A190" s="116">
        <v>8</v>
      </c>
      <c r="B190" s="114">
        <f>Inputs!$A$22</f>
        <v>0</v>
      </c>
      <c r="C190" s="45">
        <f>Inputs!$B$22</f>
        <v>0</v>
      </c>
      <c r="D190" s="45" t="s">
        <v>57</v>
      </c>
      <c r="E190" s="45">
        <v>0</v>
      </c>
      <c r="F190" s="50"/>
      <c r="G190" s="118">
        <v>8</v>
      </c>
      <c r="H190" s="114">
        <f>Inputs!$A$22</f>
        <v>0</v>
      </c>
      <c r="I190" s="45">
        <f>Inputs!$B$22</f>
        <v>0</v>
      </c>
      <c r="J190" s="45" t="s">
        <v>58</v>
      </c>
      <c r="K190" s="45">
        <v>0</v>
      </c>
      <c r="L190" s="50"/>
      <c r="M190" s="45">
        <v>0</v>
      </c>
      <c r="N190" s="45">
        <v>0</v>
      </c>
      <c r="O190" s="45">
        <f t="shared" si="189"/>
        <v>0</v>
      </c>
      <c r="P190" s="50"/>
      <c r="Q190" s="45">
        <f t="shared" si="190"/>
        <v>0</v>
      </c>
      <c r="R190" s="64">
        <f>M190*Inputs!$F$22*Inputs!$G$22</f>
        <v>0</v>
      </c>
      <c r="S190" s="45">
        <f>Inputs!$F$22*Inputs!$I$22*N190</f>
        <v>0</v>
      </c>
      <c r="T190" s="18"/>
      <c r="U190" s="55"/>
      <c r="W190" s="116">
        <v>8</v>
      </c>
      <c r="X190" s="114">
        <f>Inputs!$A$22</f>
        <v>0</v>
      </c>
      <c r="Y190" s="45">
        <f>Inputs!$B$22</f>
        <v>0</v>
      </c>
      <c r="Z190" s="45" t="s">
        <v>57</v>
      </c>
      <c r="AA190" s="45">
        <f t="shared" si="143"/>
        <v>0</v>
      </c>
      <c r="AB190" s="50"/>
      <c r="AC190" s="118">
        <v>8</v>
      </c>
      <c r="AD190" s="114">
        <f>Inputs!$A$22</f>
        <v>0</v>
      </c>
      <c r="AE190" s="45">
        <f>Inputs!$B$22</f>
        <v>0</v>
      </c>
      <c r="AF190" s="45" t="s">
        <v>58</v>
      </c>
      <c r="AG190" s="45">
        <f t="shared" si="144"/>
        <v>0</v>
      </c>
      <c r="AH190" s="50"/>
      <c r="AI190" s="45">
        <v>0</v>
      </c>
      <c r="AJ190" s="45">
        <v>0</v>
      </c>
      <c r="AK190" s="45">
        <f t="shared" si="191"/>
        <v>0</v>
      </c>
      <c r="AL190" s="50"/>
      <c r="AM190" s="45">
        <f t="shared" si="192"/>
        <v>0</v>
      </c>
      <c r="AN190" s="64">
        <f>AI190*Inputs!$F$22*Inputs!$G$22</f>
        <v>0</v>
      </c>
      <c r="AO190" s="45">
        <f>Inputs!$F$22*Inputs!$I$22*AJ190</f>
        <v>0</v>
      </c>
      <c r="AP190" s="55"/>
      <c r="AR190" s="116">
        <v>8</v>
      </c>
      <c r="AS190" s="114">
        <f>Inputs!$A$22</f>
        <v>0</v>
      </c>
      <c r="AT190" s="45">
        <f>Inputs!$B$22</f>
        <v>0</v>
      </c>
      <c r="AU190" s="45" t="s">
        <v>57</v>
      </c>
      <c r="AV190" s="45">
        <f t="shared" si="148"/>
        <v>0</v>
      </c>
      <c r="AW190" s="50"/>
      <c r="AX190" s="118">
        <v>8</v>
      </c>
      <c r="AY190" s="114">
        <f>Inputs!$A$22</f>
        <v>0</v>
      </c>
      <c r="AZ190" s="45">
        <f>Inputs!$B$22</f>
        <v>0</v>
      </c>
      <c r="BA190" s="45" t="s">
        <v>58</v>
      </c>
      <c r="BB190" s="45">
        <f t="shared" si="145"/>
        <v>0</v>
      </c>
      <c r="BC190" s="50"/>
      <c r="BD190" s="45">
        <v>0</v>
      </c>
      <c r="BE190" s="45">
        <v>0</v>
      </c>
      <c r="BF190" s="45">
        <f t="shared" si="193"/>
        <v>0</v>
      </c>
      <c r="BG190" s="50"/>
      <c r="BH190" s="45">
        <f t="shared" si="194"/>
        <v>0</v>
      </c>
      <c r="BI190" s="64">
        <f>BD190*Inputs!$F$22*Inputs!$G$22</f>
        <v>0</v>
      </c>
      <c r="BJ190" s="45">
        <f>Inputs!$F$22*Inputs!$I$22*BE190</f>
        <v>0</v>
      </c>
      <c r="BK190" s="55"/>
      <c r="BM190" s="116">
        <v>8</v>
      </c>
      <c r="BN190" s="114">
        <f>Inputs!$A$22</f>
        <v>0</v>
      </c>
      <c r="BO190" s="45">
        <f>Inputs!$B$22</f>
        <v>0</v>
      </c>
      <c r="BP190" s="45" t="s">
        <v>57</v>
      </c>
      <c r="BQ190" s="45">
        <f t="shared" si="146"/>
        <v>0</v>
      </c>
      <c r="BR190" s="50"/>
      <c r="BS190" s="118">
        <v>8</v>
      </c>
      <c r="BT190" s="114">
        <f>Inputs!$A$22</f>
        <v>0</v>
      </c>
      <c r="BU190" s="45">
        <f>Inputs!$B$22</f>
        <v>0</v>
      </c>
      <c r="BV190" s="45" t="s">
        <v>58</v>
      </c>
      <c r="BW190" s="45">
        <f t="shared" si="147"/>
        <v>0</v>
      </c>
      <c r="BX190" s="50"/>
      <c r="BY190" s="45">
        <v>0</v>
      </c>
      <c r="BZ190" s="45">
        <v>0</v>
      </c>
      <c r="CA190" s="45">
        <f t="shared" si="195"/>
        <v>0</v>
      </c>
      <c r="CB190" s="50"/>
      <c r="CC190" s="45">
        <f t="shared" si="196"/>
        <v>0</v>
      </c>
      <c r="CD190" s="64">
        <f>BY190*Inputs!$F$22*Inputs!$G$22</f>
        <v>0</v>
      </c>
      <c r="CE190" s="45">
        <f>Inputs!$F$22*Inputs!$I$22*BZ190</f>
        <v>0</v>
      </c>
      <c r="CF190" s="55"/>
    </row>
    <row r="191" spans="1:84" x14ac:dyDescent="0.25">
      <c r="A191" s="116">
        <v>9</v>
      </c>
      <c r="B191" s="114">
        <f>Inputs!$A$22</f>
        <v>0</v>
      </c>
      <c r="C191" s="45">
        <f>Inputs!$B$22</f>
        <v>0</v>
      </c>
      <c r="D191" s="45" t="s">
        <v>57</v>
      </c>
      <c r="E191" s="45">
        <v>0</v>
      </c>
      <c r="F191" s="50"/>
      <c r="G191" s="118">
        <v>9</v>
      </c>
      <c r="H191" s="114">
        <f>Inputs!$A$22</f>
        <v>0</v>
      </c>
      <c r="I191" s="45">
        <f>Inputs!$B$22</f>
        <v>0</v>
      </c>
      <c r="J191" s="45" t="s">
        <v>58</v>
      </c>
      <c r="K191" s="45">
        <v>0</v>
      </c>
      <c r="L191" s="50"/>
      <c r="M191" s="45">
        <v>0</v>
      </c>
      <c r="N191" s="45">
        <v>0</v>
      </c>
      <c r="O191" s="45">
        <f t="shared" si="189"/>
        <v>0</v>
      </c>
      <c r="P191" s="50"/>
      <c r="Q191" s="45">
        <f t="shared" si="190"/>
        <v>0</v>
      </c>
      <c r="R191" s="64">
        <f>M191*Inputs!$F$22*Inputs!$G$22</f>
        <v>0</v>
      </c>
      <c r="S191" s="45">
        <f>Inputs!$F$22*Inputs!$I$22*N191</f>
        <v>0</v>
      </c>
      <c r="T191" s="18"/>
      <c r="U191" s="55"/>
      <c r="W191" s="116">
        <v>9</v>
      </c>
      <c r="X191" s="114">
        <f>Inputs!$A$22</f>
        <v>0</v>
      </c>
      <c r="Y191" s="45">
        <f>Inputs!$B$22</f>
        <v>0</v>
      </c>
      <c r="Z191" s="45" t="s">
        <v>57</v>
      </c>
      <c r="AA191" s="45">
        <f t="shared" si="143"/>
        <v>0</v>
      </c>
      <c r="AB191" s="50"/>
      <c r="AC191" s="118">
        <v>9</v>
      </c>
      <c r="AD191" s="114">
        <f>Inputs!$A$22</f>
        <v>0</v>
      </c>
      <c r="AE191" s="45">
        <f>Inputs!$B$22</f>
        <v>0</v>
      </c>
      <c r="AF191" s="45" t="s">
        <v>58</v>
      </c>
      <c r="AG191" s="45">
        <f t="shared" si="144"/>
        <v>0</v>
      </c>
      <c r="AH191" s="50"/>
      <c r="AI191" s="45">
        <v>0</v>
      </c>
      <c r="AJ191" s="45">
        <v>0</v>
      </c>
      <c r="AK191" s="45">
        <f t="shared" si="191"/>
        <v>0</v>
      </c>
      <c r="AL191" s="50"/>
      <c r="AM191" s="45">
        <f t="shared" si="192"/>
        <v>0</v>
      </c>
      <c r="AN191" s="64">
        <f>AI191*Inputs!$F$22*Inputs!$G$22</f>
        <v>0</v>
      </c>
      <c r="AO191" s="45">
        <f>Inputs!$F$22*Inputs!$I$22*AJ191</f>
        <v>0</v>
      </c>
      <c r="AP191" s="55"/>
      <c r="AR191" s="116">
        <v>9</v>
      </c>
      <c r="AS191" s="114">
        <f>Inputs!$A$22</f>
        <v>0</v>
      </c>
      <c r="AT191" s="45">
        <f>Inputs!$B$22</f>
        <v>0</v>
      </c>
      <c r="AU191" s="45" t="s">
        <v>57</v>
      </c>
      <c r="AV191" s="45">
        <f t="shared" si="148"/>
        <v>0</v>
      </c>
      <c r="AW191" s="50"/>
      <c r="AX191" s="118">
        <v>9</v>
      </c>
      <c r="AY191" s="114">
        <f>Inputs!$A$22</f>
        <v>0</v>
      </c>
      <c r="AZ191" s="45">
        <f>Inputs!$B$22</f>
        <v>0</v>
      </c>
      <c r="BA191" s="45" t="s">
        <v>58</v>
      </c>
      <c r="BB191" s="45">
        <f t="shared" si="145"/>
        <v>0</v>
      </c>
      <c r="BC191" s="50"/>
      <c r="BD191" s="45">
        <v>0</v>
      </c>
      <c r="BE191" s="45">
        <v>0</v>
      </c>
      <c r="BF191" s="45">
        <f t="shared" si="193"/>
        <v>0</v>
      </c>
      <c r="BG191" s="50"/>
      <c r="BH191" s="45">
        <f t="shared" si="194"/>
        <v>0</v>
      </c>
      <c r="BI191" s="64">
        <f>BD191*Inputs!$F$22*Inputs!$G$22</f>
        <v>0</v>
      </c>
      <c r="BJ191" s="45">
        <f>Inputs!$F$22*Inputs!$I$22*BE191</f>
        <v>0</v>
      </c>
      <c r="BK191" s="55"/>
      <c r="BM191" s="116">
        <v>9</v>
      </c>
      <c r="BN191" s="114">
        <f>Inputs!$A$22</f>
        <v>0</v>
      </c>
      <c r="BO191" s="45">
        <f>Inputs!$B$22</f>
        <v>0</v>
      </c>
      <c r="BP191" s="45" t="s">
        <v>57</v>
      </c>
      <c r="BQ191" s="45">
        <f t="shared" si="146"/>
        <v>0</v>
      </c>
      <c r="BR191" s="50"/>
      <c r="BS191" s="118">
        <v>9</v>
      </c>
      <c r="BT191" s="114">
        <f>Inputs!$A$22</f>
        <v>0</v>
      </c>
      <c r="BU191" s="45">
        <f>Inputs!$B$22</f>
        <v>0</v>
      </c>
      <c r="BV191" s="45" t="s">
        <v>58</v>
      </c>
      <c r="BW191" s="45">
        <f t="shared" si="147"/>
        <v>0</v>
      </c>
      <c r="BX191" s="50"/>
      <c r="BY191" s="45">
        <v>0</v>
      </c>
      <c r="BZ191" s="45">
        <v>0</v>
      </c>
      <c r="CA191" s="45">
        <f t="shared" si="195"/>
        <v>0</v>
      </c>
      <c r="CB191" s="50"/>
      <c r="CC191" s="45">
        <f t="shared" si="196"/>
        <v>0</v>
      </c>
      <c r="CD191" s="64">
        <f>BY191*Inputs!$F$22*Inputs!$G$22</f>
        <v>0</v>
      </c>
      <c r="CE191" s="45">
        <f>Inputs!$F$22*Inputs!$I$22*BZ191</f>
        <v>0</v>
      </c>
      <c r="CF191" s="55"/>
    </row>
    <row r="192" spans="1:84" x14ac:dyDescent="0.25">
      <c r="A192" s="116">
        <v>10</v>
      </c>
      <c r="B192" s="114">
        <f>Inputs!$A$22</f>
        <v>0</v>
      </c>
      <c r="C192" s="45">
        <f>Inputs!$B$22</f>
        <v>0</v>
      </c>
      <c r="D192" s="45" t="s">
        <v>57</v>
      </c>
      <c r="E192" s="45">
        <v>0</v>
      </c>
      <c r="F192" s="50"/>
      <c r="G192" s="118">
        <v>10</v>
      </c>
      <c r="H192" s="114">
        <f>Inputs!$A$22</f>
        <v>0</v>
      </c>
      <c r="I192" s="45">
        <f>Inputs!$B$22</f>
        <v>0</v>
      </c>
      <c r="J192" s="45" t="s">
        <v>58</v>
      </c>
      <c r="K192" s="45">
        <v>0</v>
      </c>
      <c r="L192" s="50"/>
      <c r="M192" s="45">
        <v>0</v>
      </c>
      <c r="N192" s="45">
        <v>0</v>
      </c>
      <c r="O192" s="45">
        <f t="shared" si="189"/>
        <v>0</v>
      </c>
      <c r="P192" s="50"/>
      <c r="Q192" s="45">
        <f t="shared" si="190"/>
        <v>0</v>
      </c>
      <c r="R192" s="64">
        <f>M192*Inputs!$F$22*Inputs!$H$22</f>
        <v>0</v>
      </c>
      <c r="S192" s="45">
        <f>Inputs!$F$22*Inputs!$I$22*N192</f>
        <v>0</v>
      </c>
      <c r="T192" s="18"/>
      <c r="U192" s="91"/>
      <c r="W192" s="116">
        <v>10</v>
      </c>
      <c r="X192" s="114">
        <f>Inputs!$A$22</f>
        <v>0</v>
      </c>
      <c r="Y192" s="45">
        <f>Inputs!$B$22</f>
        <v>0</v>
      </c>
      <c r="Z192" s="45" t="s">
        <v>57</v>
      </c>
      <c r="AA192" s="45">
        <f t="shared" si="143"/>
        <v>0</v>
      </c>
      <c r="AB192" s="50"/>
      <c r="AC192" s="118">
        <v>10</v>
      </c>
      <c r="AD192" s="114">
        <f>Inputs!$A$22</f>
        <v>0</v>
      </c>
      <c r="AE192" s="45">
        <f>Inputs!$B$22</f>
        <v>0</v>
      </c>
      <c r="AF192" s="45" t="s">
        <v>58</v>
      </c>
      <c r="AG192" s="45">
        <f t="shared" si="144"/>
        <v>0</v>
      </c>
      <c r="AH192" s="50"/>
      <c r="AI192" s="45">
        <v>0</v>
      </c>
      <c r="AJ192" s="45">
        <v>0</v>
      </c>
      <c r="AK192" s="45">
        <f t="shared" si="191"/>
        <v>0</v>
      </c>
      <c r="AL192" s="50"/>
      <c r="AM192" s="45">
        <f t="shared" si="192"/>
        <v>0</v>
      </c>
      <c r="AN192" s="64">
        <f>AI192*Inputs!$F$22*Inputs!$H$22</f>
        <v>0</v>
      </c>
      <c r="AO192" s="45">
        <f>Inputs!$F$22*Inputs!$I$22*AJ192</f>
        <v>0</v>
      </c>
      <c r="AP192" s="91"/>
      <c r="AR192" s="116">
        <v>10</v>
      </c>
      <c r="AS192" s="114">
        <f>Inputs!$A$22</f>
        <v>0</v>
      </c>
      <c r="AT192" s="45">
        <f>Inputs!$B$22</f>
        <v>0</v>
      </c>
      <c r="AU192" s="45" t="s">
        <v>57</v>
      </c>
      <c r="AV192" s="45">
        <f t="shared" si="148"/>
        <v>0</v>
      </c>
      <c r="AW192" s="50"/>
      <c r="AX192" s="118">
        <v>10</v>
      </c>
      <c r="AY192" s="114">
        <f>Inputs!$A$22</f>
        <v>0</v>
      </c>
      <c r="AZ192" s="45">
        <f>Inputs!$B$22</f>
        <v>0</v>
      </c>
      <c r="BA192" s="45" t="s">
        <v>58</v>
      </c>
      <c r="BB192" s="45">
        <f t="shared" si="145"/>
        <v>0</v>
      </c>
      <c r="BC192" s="50"/>
      <c r="BD192" s="45">
        <v>0</v>
      </c>
      <c r="BE192" s="45">
        <v>0</v>
      </c>
      <c r="BF192" s="45">
        <f t="shared" si="193"/>
        <v>0</v>
      </c>
      <c r="BG192" s="50"/>
      <c r="BH192" s="45">
        <f t="shared" si="194"/>
        <v>0</v>
      </c>
      <c r="BI192" s="64">
        <f>BD192*Inputs!$F$22*Inputs!$H$22</f>
        <v>0</v>
      </c>
      <c r="BJ192" s="45">
        <f>Inputs!$F$22*Inputs!$I$22*BE192</f>
        <v>0</v>
      </c>
      <c r="BK192" s="91"/>
      <c r="BM192" s="116">
        <v>10</v>
      </c>
      <c r="BN192" s="114">
        <f>Inputs!$A$22</f>
        <v>0</v>
      </c>
      <c r="BO192" s="45">
        <f>Inputs!$B$22</f>
        <v>0</v>
      </c>
      <c r="BP192" s="45" t="s">
        <v>57</v>
      </c>
      <c r="BQ192" s="45">
        <f t="shared" si="146"/>
        <v>0</v>
      </c>
      <c r="BR192" s="50"/>
      <c r="BS192" s="118">
        <v>10</v>
      </c>
      <c r="BT192" s="114">
        <f>Inputs!$A$22</f>
        <v>0</v>
      </c>
      <c r="BU192" s="45">
        <f>Inputs!$B$22</f>
        <v>0</v>
      </c>
      <c r="BV192" s="45" t="s">
        <v>58</v>
      </c>
      <c r="BW192" s="45">
        <f t="shared" si="147"/>
        <v>0</v>
      </c>
      <c r="BX192" s="50"/>
      <c r="BY192" s="45">
        <v>0</v>
      </c>
      <c r="BZ192" s="45">
        <v>0</v>
      </c>
      <c r="CA192" s="45">
        <f t="shared" si="195"/>
        <v>0</v>
      </c>
      <c r="CB192" s="50"/>
      <c r="CC192" s="45">
        <f t="shared" si="196"/>
        <v>0</v>
      </c>
      <c r="CD192" s="64">
        <f>BY192*Inputs!$F$22*Inputs!$H$22</f>
        <v>0</v>
      </c>
      <c r="CE192" s="45">
        <f>Inputs!$F$22*Inputs!$I$22*BZ192</f>
        <v>0</v>
      </c>
      <c r="CF192" s="91"/>
    </row>
    <row r="193" spans="1:84" x14ac:dyDescent="0.25">
      <c r="A193" s="116">
        <v>11</v>
      </c>
      <c r="B193" s="114">
        <f>Inputs!$A$22</f>
        <v>0</v>
      </c>
      <c r="C193" s="45">
        <f>Inputs!$B$22</f>
        <v>0</v>
      </c>
      <c r="D193" s="45" t="s">
        <v>57</v>
      </c>
      <c r="E193" s="45">
        <v>0</v>
      </c>
      <c r="F193" s="50"/>
      <c r="G193" s="118">
        <v>11</v>
      </c>
      <c r="H193" s="114">
        <f>Inputs!$A$22</f>
        <v>0</v>
      </c>
      <c r="I193" s="45">
        <f>Inputs!$B$22</f>
        <v>0</v>
      </c>
      <c r="J193" s="45" t="s">
        <v>58</v>
      </c>
      <c r="K193" s="45">
        <v>0</v>
      </c>
      <c r="L193" s="50"/>
      <c r="M193" s="45">
        <v>0</v>
      </c>
      <c r="N193" s="45">
        <v>0</v>
      </c>
      <c r="O193" s="45">
        <f t="shared" si="189"/>
        <v>0</v>
      </c>
      <c r="P193" s="50"/>
      <c r="Q193" s="45">
        <f t="shared" si="190"/>
        <v>0</v>
      </c>
      <c r="R193" s="64">
        <f>M193*Inputs!$F$22*Inputs!$H$22</f>
        <v>0</v>
      </c>
      <c r="S193" s="45">
        <f>Inputs!$F$22*Inputs!$I$22*N193</f>
        <v>0</v>
      </c>
      <c r="T193" s="18"/>
      <c r="U193" s="56"/>
      <c r="W193" s="116">
        <v>11</v>
      </c>
      <c r="X193" s="114">
        <f>Inputs!$A$22</f>
        <v>0</v>
      </c>
      <c r="Y193" s="45">
        <f>Inputs!$B$22</f>
        <v>0</v>
      </c>
      <c r="Z193" s="45" t="s">
        <v>57</v>
      </c>
      <c r="AA193" s="45">
        <f t="shared" si="143"/>
        <v>0</v>
      </c>
      <c r="AB193" s="50"/>
      <c r="AC193" s="118">
        <v>11</v>
      </c>
      <c r="AD193" s="114">
        <f>Inputs!$A$22</f>
        <v>0</v>
      </c>
      <c r="AE193" s="45">
        <f>Inputs!$B$22</f>
        <v>0</v>
      </c>
      <c r="AF193" s="45" t="s">
        <v>58</v>
      </c>
      <c r="AG193" s="45">
        <f t="shared" si="144"/>
        <v>0</v>
      </c>
      <c r="AH193" s="50"/>
      <c r="AI193" s="45">
        <v>0</v>
      </c>
      <c r="AJ193" s="45">
        <v>0</v>
      </c>
      <c r="AK193" s="45">
        <f t="shared" si="191"/>
        <v>0</v>
      </c>
      <c r="AL193" s="50"/>
      <c r="AM193" s="45">
        <f t="shared" si="192"/>
        <v>0</v>
      </c>
      <c r="AN193" s="64">
        <f>AI193*Inputs!$F$22*Inputs!$H$22</f>
        <v>0</v>
      </c>
      <c r="AO193" s="45">
        <f>Inputs!$F$22*Inputs!$I$22*AJ193</f>
        <v>0</v>
      </c>
      <c r="AP193" s="56"/>
      <c r="AR193" s="116">
        <v>11</v>
      </c>
      <c r="AS193" s="114">
        <f>Inputs!$A$22</f>
        <v>0</v>
      </c>
      <c r="AT193" s="45">
        <f>Inputs!$B$22</f>
        <v>0</v>
      </c>
      <c r="AU193" s="45" t="s">
        <v>57</v>
      </c>
      <c r="AV193" s="45">
        <f t="shared" si="148"/>
        <v>0</v>
      </c>
      <c r="AW193" s="50"/>
      <c r="AX193" s="118">
        <v>11</v>
      </c>
      <c r="AY193" s="114">
        <f>Inputs!$A$22</f>
        <v>0</v>
      </c>
      <c r="AZ193" s="45">
        <f>Inputs!$B$22</f>
        <v>0</v>
      </c>
      <c r="BA193" s="45" t="s">
        <v>58</v>
      </c>
      <c r="BB193" s="45">
        <f t="shared" si="145"/>
        <v>0</v>
      </c>
      <c r="BC193" s="50"/>
      <c r="BD193" s="45">
        <v>0</v>
      </c>
      <c r="BE193" s="45">
        <v>0</v>
      </c>
      <c r="BF193" s="45">
        <f t="shared" si="193"/>
        <v>0</v>
      </c>
      <c r="BG193" s="50"/>
      <c r="BH193" s="45">
        <f t="shared" si="194"/>
        <v>0</v>
      </c>
      <c r="BI193" s="64">
        <f>BD193*Inputs!$F$22*Inputs!$H$22</f>
        <v>0</v>
      </c>
      <c r="BJ193" s="45">
        <f>Inputs!$F$22*Inputs!$I$22*BE193</f>
        <v>0</v>
      </c>
      <c r="BK193" s="56"/>
      <c r="BM193" s="116">
        <v>11</v>
      </c>
      <c r="BN193" s="114">
        <f>Inputs!$A$22</f>
        <v>0</v>
      </c>
      <c r="BO193" s="45">
        <f>Inputs!$B$22</f>
        <v>0</v>
      </c>
      <c r="BP193" s="45" t="s">
        <v>57</v>
      </c>
      <c r="BQ193" s="45">
        <f t="shared" si="146"/>
        <v>0</v>
      </c>
      <c r="BR193" s="50"/>
      <c r="BS193" s="118">
        <v>11</v>
      </c>
      <c r="BT193" s="114">
        <f>Inputs!$A$22</f>
        <v>0</v>
      </c>
      <c r="BU193" s="45">
        <f>Inputs!$B$22</f>
        <v>0</v>
      </c>
      <c r="BV193" s="45" t="s">
        <v>58</v>
      </c>
      <c r="BW193" s="45">
        <f t="shared" si="147"/>
        <v>0</v>
      </c>
      <c r="BX193" s="50"/>
      <c r="BY193" s="45">
        <v>0</v>
      </c>
      <c r="BZ193" s="45">
        <v>0</v>
      </c>
      <c r="CA193" s="45">
        <f t="shared" si="195"/>
        <v>0</v>
      </c>
      <c r="CB193" s="50"/>
      <c r="CC193" s="45">
        <f t="shared" si="196"/>
        <v>0</v>
      </c>
      <c r="CD193" s="64">
        <f>BY193*Inputs!$F$22*Inputs!$H$22</f>
        <v>0</v>
      </c>
      <c r="CE193" s="45">
        <f>Inputs!$F$22*Inputs!$I$22*BZ193</f>
        <v>0</v>
      </c>
      <c r="CF193" s="56"/>
    </row>
    <row r="194" spans="1:84" x14ac:dyDescent="0.25">
      <c r="A194" s="117">
        <v>3</v>
      </c>
      <c r="B194" s="115">
        <f>Inputs!$A$23</f>
        <v>0</v>
      </c>
      <c r="C194" s="44">
        <f>Inputs!$B$23</f>
        <v>0</v>
      </c>
      <c r="D194" s="44" t="s">
        <v>57</v>
      </c>
      <c r="E194" s="44">
        <v>0</v>
      </c>
      <c r="F194" s="50"/>
      <c r="G194" s="119">
        <v>3</v>
      </c>
      <c r="H194" s="115">
        <f>Inputs!$A$23</f>
        <v>0</v>
      </c>
      <c r="I194" s="44">
        <f>Inputs!$B$23</f>
        <v>0</v>
      </c>
      <c r="J194" s="44" t="s">
        <v>58</v>
      </c>
      <c r="K194" s="44">
        <v>0</v>
      </c>
      <c r="L194" s="50"/>
      <c r="M194" s="44">
        <v>0</v>
      </c>
      <c r="N194" s="44">
        <v>0</v>
      </c>
      <c r="O194" s="44">
        <f>U194-0-E194-K194</f>
        <v>0</v>
      </c>
      <c r="P194" s="50"/>
      <c r="Q194" s="44">
        <f>E194+K194+N194-U194+0-M194</f>
        <v>0</v>
      </c>
      <c r="R194" s="63">
        <f>M194*Inputs!$F$23*Inputs!$G$23</f>
        <v>0</v>
      </c>
      <c r="S194" s="44">
        <f>Inputs!$F$23*Inputs!$I$23*N194</f>
        <v>0</v>
      </c>
      <c r="T194" s="18"/>
      <c r="U194" s="54"/>
      <c r="W194" s="117">
        <v>3</v>
      </c>
      <c r="X194" s="115">
        <f>Inputs!$A$23</f>
        <v>0</v>
      </c>
      <c r="Y194" s="44">
        <f>Inputs!$B$23</f>
        <v>0</v>
      </c>
      <c r="Z194" s="44" t="s">
        <v>57</v>
      </c>
      <c r="AA194" s="44">
        <f t="shared" si="143"/>
        <v>0</v>
      </c>
      <c r="AB194" s="50"/>
      <c r="AC194" s="119">
        <v>3</v>
      </c>
      <c r="AD194" s="115">
        <f>Inputs!$A$23</f>
        <v>0</v>
      </c>
      <c r="AE194" s="44">
        <f>Inputs!$B$23</f>
        <v>0</v>
      </c>
      <c r="AF194" s="44" t="s">
        <v>58</v>
      </c>
      <c r="AG194" s="44">
        <f t="shared" si="144"/>
        <v>0</v>
      </c>
      <c r="AH194" s="50"/>
      <c r="AI194" s="44">
        <v>0</v>
      </c>
      <c r="AJ194" s="44">
        <v>0</v>
      </c>
      <c r="AK194" s="44">
        <f>AP194-0-AA194-AG194</f>
        <v>0</v>
      </c>
      <c r="AL194" s="50"/>
      <c r="AM194" s="44">
        <f>AA194+AG194+AJ194-AP194+0-AI194</f>
        <v>0</v>
      </c>
      <c r="AN194" s="63">
        <f>AI194*Inputs!$F$23*Inputs!$G$23</f>
        <v>0</v>
      </c>
      <c r="AO194" s="44">
        <f>Inputs!$F$23*Inputs!$I$23*AJ194</f>
        <v>0</v>
      </c>
      <c r="AP194" s="54"/>
      <c r="AR194" s="117">
        <v>3</v>
      </c>
      <c r="AS194" s="115">
        <f>Inputs!$A$23</f>
        <v>0</v>
      </c>
      <c r="AT194" s="44">
        <f>Inputs!$B$23</f>
        <v>0</v>
      </c>
      <c r="AU194" s="44" t="s">
        <v>57</v>
      </c>
      <c r="AV194" s="44">
        <f t="shared" si="148"/>
        <v>0</v>
      </c>
      <c r="AW194" s="50"/>
      <c r="AX194" s="119">
        <v>3</v>
      </c>
      <c r="AY194" s="115">
        <f>Inputs!$A$23</f>
        <v>0</v>
      </c>
      <c r="AZ194" s="44">
        <f>Inputs!$B$23</f>
        <v>0</v>
      </c>
      <c r="BA194" s="44" t="s">
        <v>58</v>
      </c>
      <c r="BB194" s="44">
        <f t="shared" si="145"/>
        <v>0</v>
      </c>
      <c r="BC194" s="50"/>
      <c r="BD194" s="44">
        <v>0</v>
      </c>
      <c r="BE194" s="44">
        <v>0</v>
      </c>
      <c r="BF194" s="44">
        <f>BK194-0-AV194-BB194</f>
        <v>0</v>
      </c>
      <c r="BG194" s="50"/>
      <c r="BH194" s="44">
        <f>AV194+BB194+BE194-BK194+0-BD194</f>
        <v>0</v>
      </c>
      <c r="BI194" s="63">
        <f>BD194*Inputs!$F$23*Inputs!$G$23</f>
        <v>0</v>
      </c>
      <c r="BJ194" s="44">
        <f>Inputs!$F$23*Inputs!$I$23*BE194</f>
        <v>0</v>
      </c>
      <c r="BK194" s="54"/>
      <c r="BM194" s="117">
        <v>3</v>
      </c>
      <c r="BN194" s="115">
        <f>Inputs!$A$23</f>
        <v>0</v>
      </c>
      <c r="BO194" s="44">
        <f>Inputs!$B$23</f>
        <v>0</v>
      </c>
      <c r="BP194" s="44" t="s">
        <v>57</v>
      </c>
      <c r="BQ194" s="44">
        <f t="shared" si="146"/>
        <v>0</v>
      </c>
      <c r="BR194" s="50"/>
      <c r="BS194" s="119">
        <v>3</v>
      </c>
      <c r="BT194" s="115">
        <f>Inputs!$A$23</f>
        <v>0</v>
      </c>
      <c r="BU194" s="44">
        <f>Inputs!$B$23</f>
        <v>0</v>
      </c>
      <c r="BV194" s="44" t="s">
        <v>58</v>
      </c>
      <c r="BW194" s="44">
        <f t="shared" si="147"/>
        <v>0</v>
      </c>
      <c r="BX194" s="50"/>
      <c r="BY194" s="44">
        <v>0</v>
      </c>
      <c r="BZ194" s="44">
        <v>0</v>
      </c>
      <c r="CA194" s="44">
        <f>CF194-0-BQ194-BW194</f>
        <v>0</v>
      </c>
      <c r="CB194" s="50"/>
      <c r="CC194" s="44">
        <f>BQ194+BW194+BZ194-CF194+0-BY194</f>
        <v>0</v>
      </c>
      <c r="CD194" s="63">
        <f>BY194*Inputs!$F$23*Inputs!$G$23</f>
        <v>0</v>
      </c>
      <c r="CE194" s="44">
        <f>Inputs!$F$23*Inputs!$I$23*BZ194</f>
        <v>0</v>
      </c>
      <c r="CF194" s="54"/>
    </row>
    <row r="195" spans="1:84" x14ac:dyDescent="0.25">
      <c r="A195" s="117">
        <v>4</v>
      </c>
      <c r="B195" s="115">
        <f>Inputs!$A$23</f>
        <v>0</v>
      </c>
      <c r="C195" s="44">
        <f>Inputs!$B$23</f>
        <v>0</v>
      </c>
      <c r="D195" s="44" t="s">
        <v>57</v>
      </c>
      <c r="E195" s="44">
        <v>0</v>
      </c>
      <c r="F195" s="50"/>
      <c r="G195" s="119">
        <v>4</v>
      </c>
      <c r="H195" s="115">
        <f>Inputs!$A$23</f>
        <v>0</v>
      </c>
      <c r="I195" s="44">
        <f>Inputs!$B$23</f>
        <v>0</v>
      </c>
      <c r="J195" s="44" t="s">
        <v>58</v>
      </c>
      <c r="K195" s="44">
        <v>0</v>
      </c>
      <c r="L195" s="50"/>
      <c r="M195" s="44">
        <v>0</v>
      </c>
      <c r="N195" s="44">
        <v>0</v>
      </c>
      <c r="O195" s="44">
        <f t="shared" ref="O195:O202" si="197">U195-M194-E195-K195</f>
        <v>0</v>
      </c>
      <c r="P195" s="50"/>
      <c r="Q195" s="44">
        <f t="shared" ref="Q195:Q202" si="198">E195+K195+N195-U195+M194-M195</f>
        <v>0</v>
      </c>
      <c r="R195" s="63">
        <f>M195*Inputs!$F$23*Inputs!$G$23</f>
        <v>0</v>
      </c>
      <c r="S195" s="44">
        <f>Inputs!$F$23*Inputs!$I$23*N195</f>
        <v>0</v>
      </c>
      <c r="T195" s="18"/>
      <c r="U195" s="55"/>
      <c r="W195" s="117">
        <v>4</v>
      </c>
      <c r="X195" s="115">
        <f>Inputs!$A$23</f>
        <v>0</v>
      </c>
      <c r="Y195" s="44">
        <f>Inputs!$B$23</f>
        <v>0</v>
      </c>
      <c r="Z195" s="44" t="s">
        <v>57</v>
      </c>
      <c r="AA195" s="44">
        <f t="shared" si="143"/>
        <v>0</v>
      </c>
      <c r="AB195" s="50"/>
      <c r="AC195" s="119">
        <v>4</v>
      </c>
      <c r="AD195" s="115">
        <f>Inputs!$A$23</f>
        <v>0</v>
      </c>
      <c r="AE195" s="44">
        <f>Inputs!$B$23</f>
        <v>0</v>
      </c>
      <c r="AF195" s="44" t="s">
        <v>58</v>
      </c>
      <c r="AG195" s="44">
        <f t="shared" si="144"/>
        <v>0</v>
      </c>
      <c r="AH195" s="50"/>
      <c r="AI195" s="44">
        <v>0</v>
      </c>
      <c r="AJ195" s="44">
        <v>0</v>
      </c>
      <c r="AK195" s="44">
        <f t="shared" ref="AK195:AK202" si="199">AP195-AI194-AA195-AG195</f>
        <v>0</v>
      </c>
      <c r="AL195" s="50"/>
      <c r="AM195" s="44">
        <f t="shared" ref="AM195:AM202" si="200">AA195+AG195+AJ195-AP195+AI194-AI195</f>
        <v>0</v>
      </c>
      <c r="AN195" s="63">
        <f>AI195*Inputs!$F$23*Inputs!$G$23</f>
        <v>0</v>
      </c>
      <c r="AO195" s="44">
        <f>Inputs!$F$23*Inputs!$I$23*AJ195</f>
        <v>0</v>
      </c>
      <c r="AP195" s="55"/>
      <c r="AR195" s="117">
        <v>4</v>
      </c>
      <c r="AS195" s="115">
        <f>Inputs!$A$23</f>
        <v>0</v>
      </c>
      <c r="AT195" s="44">
        <f>Inputs!$B$23</f>
        <v>0</v>
      </c>
      <c r="AU195" s="44" t="s">
        <v>57</v>
      </c>
      <c r="AV195" s="44">
        <f t="shared" si="148"/>
        <v>0</v>
      </c>
      <c r="AW195" s="50"/>
      <c r="AX195" s="119">
        <v>4</v>
      </c>
      <c r="AY195" s="115">
        <f>Inputs!$A$23</f>
        <v>0</v>
      </c>
      <c r="AZ195" s="44">
        <f>Inputs!$B$23</f>
        <v>0</v>
      </c>
      <c r="BA195" s="44" t="s">
        <v>58</v>
      </c>
      <c r="BB195" s="44">
        <f t="shared" si="145"/>
        <v>0</v>
      </c>
      <c r="BC195" s="50"/>
      <c r="BD195" s="44">
        <v>0</v>
      </c>
      <c r="BE195" s="44">
        <v>0</v>
      </c>
      <c r="BF195" s="44">
        <f t="shared" ref="BF195:BF202" si="201">BK195-BD194-AV195-BB195</f>
        <v>0</v>
      </c>
      <c r="BG195" s="50"/>
      <c r="BH195" s="44">
        <f t="shared" ref="BH195:BH202" si="202">AV195+BB195+BE195-BK195+BD194-BD195</f>
        <v>0</v>
      </c>
      <c r="BI195" s="63">
        <f>BD195*Inputs!$F$23*Inputs!$G$23</f>
        <v>0</v>
      </c>
      <c r="BJ195" s="44">
        <f>Inputs!$F$23*Inputs!$I$23*BE195</f>
        <v>0</v>
      </c>
      <c r="BK195" s="55"/>
      <c r="BM195" s="117">
        <v>4</v>
      </c>
      <c r="BN195" s="115">
        <f>Inputs!$A$23</f>
        <v>0</v>
      </c>
      <c r="BO195" s="44">
        <f>Inputs!$B$23</f>
        <v>0</v>
      </c>
      <c r="BP195" s="44" t="s">
        <v>57</v>
      </c>
      <c r="BQ195" s="44">
        <f t="shared" si="146"/>
        <v>0</v>
      </c>
      <c r="BR195" s="50"/>
      <c r="BS195" s="119">
        <v>4</v>
      </c>
      <c r="BT195" s="115">
        <f>Inputs!$A$23</f>
        <v>0</v>
      </c>
      <c r="BU195" s="44">
        <f>Inputs!$B$23</f>
        <v>0</v>
      </c>
      <c r="BV195" s="44" t="s">
        <v>58</v>
      </c>
      <c r="BW195" s="44">
        <f t="shared" si="147"/>
        <v>0</v>
      </c>
      <c r="BX195" s="50"/>
      <c r="BY195" s="44">
        <v>0</v>
      </c>
      <c r="BZ195" s="44">
        <v>0</v>
      </c>
      <c r="CA195" s="44">
        <f t="shared" ref="CA195:CA202" si="203">CF195-BY194-BQ195-BW195</f>
        <v>0</v>
      </c>
      <c r="CB195" s="50"/>
      <c r="CC195" s="44">
        <f t="shared" ref="CC195:CC202" si="204">BQ195+BW195+BZ195-CF195+BY194-BY195</f>
        <v>0</v>
      </c>
      <c r="CD195" s="63">
        <f>BY195*Inputs!$F$23*Inputs!$G$23</f>
        <v>0</v>
      </c>
      <c r="CE195" s="44">
        <f>Inputs!$F$23*Inputs!$I$23*BZ195</f>
        <v>0</v>
      </c>
      <c r="CF195" s="55"/>
    </row>
    <row r="196" spans="1:84" x14ac:dyDescent="0.25">
      <c r="A196" s="117">
        <v>5</v>
      </c>
      <c r="B196" s="115">
        <f>Inputs!$A$23</f>
        <v>0</v>
      </c>
      <c r="C196" s="44">
        <f>Inputs!$B$23</f>
        <v>0</v>
      </c>
      <c r="D196" s="44" t="s">
        <v>57</v>
      </c>
      <c r="E196" s="44">
        <v>0</v>
      </c>
      <c r="F196" s="50"/>
      <c r="G196" s="119">
        <v>5</v>
      </c>
      <c r="H196" s="115">
        <f>Inputs!$A$23</f>
        <v>0</v>
      </c>
      <c r="I196" s="44">
        <f>Inputs!$B$23</f>
        <v>0</v>
      </c>
      <c r="J196" s="44" t="s">
        <v>58</v>
      </c>
      <c r="K196" s="44">
        <v>0</v>
      </c>
      <c r="L196" s="50"/>
      <c r="M196" s="44">
        <v>0</v>
      </c>
      <c r="N196" s="44">
        <v>0</v>
      </c>
      <c r="O196" s="44">
        <f t="shared" si="197"/>
        <v>0</v>
      </c>
      <c r="P196" s="50"/>
      <c r="Q196" s="44">
        <f t="shared" si="198"/>
        <v>0</v>
      </c>
      <c r="R196" s="63">
        <f>M196*Inputs!$F$23*Inputs!$G$23</f>
        <v>0</v>
      </c>
      <c r="S196" s="44">
        <f>Inputs!$F$23*Inputs!$I$23*N196</f>
        <v>0</v>
      </c>
      <c r="T196" s="18"/>
      <c r="U196" s="55"/>
      <c r="W196" s="117">
        <v>5</v>
      </c>
      <c r="X196" s="115">
        <f>Inputs!$A$23</f>
        <v>0</v>
      </c>
      <c r="Y196" s="44">
        <f>Inputs!$B$23</f>
        <v>0</v>
      </c>
      <c r="Z196" s="44" t="s">
        <v>57</v>
      </c>
      <c r="AA196" s="44">
        <f t="shared" si="143"/>
        <v>0</v>
      </c>
      <c r="AB196" s="50"/>
      <c r="AC196" s="119">
        <v>5</v>
      </c>
      <c r="AD196" s="115">
        <f>Inputs!$A$23</f>
        <v>0</v>
      </c>
      <c r="AE196" s="44">
        <f>Inputs!$B$23</f>
        <v>0</v>
      </c>
      <c r="AF196" s="44" t="s">
        <v>58</v>
      </c>
      <c r="AG196" s="44">
        <f t="shared" si="144"/>
        <v>0</v>
      </c>
      <c r="AH196" s="50"/>
      <c r="AI196" s="44">
        <v>0</v>
      </c>
      <c r="AJ196" s="44">
        <v>0</v>
      </c>
      <c r="AK196" s="44">
        <f t="shared" si="199"/>
        <v>0</v>
      </c>
      <c r="AL196" s="50"/>
      <c r="AM196" s="44">
        <f t="shared" si="200"/>
        <v>0</v>
      </c>
      <c r="AN196" s="63">
        <f>AI196*Inputs!$F$23*Inputs!$G$23</f>
        <v>0</v>
      </c>
      <c r="AO196" s="44">
        <f>Inputs!$F$23*Inputs!$I$23*AJ196</f>
        <v>0</v>
      </c>
      <c r="AP196" s="55"/>
      <c r="AR196" s="117">
        <v>5</v>
      </c>
      <c r="AS196" s="115">
        <f>Inputs!$A$23</f>
        <v>0</v>
      </c>
      <c r="AT196" s="44">
        <f>Inputs!$B$23</f>
        <v>0</v>
      </c>
      <c r="AU196" s="44" t="s">
        <v>57</v>
      </c>
      <c r="AV196" s="44">
        <f t="shared" si="148"/>
        <v>0</v>
      </c>
      <c r="AW196" s="50"/>
      <c r="AX196" s="119">
        <v>5</v>
      </c>
      <c r="AY196" s="115">
        <f>Inputs!$A$23</f>
        <v>0</v>
      </c>
      <c r="AZ196" s="44">
        <f>Inputs!$B$23</f>
        <v>0</v>
      </c>
      <c r="BA196" s="44" t="s">
        <v>58</v>
      </c>
      <c r="BB196" s="44">
        <f t="shared" si="145"/>
        <v>0</v>
      </c>
      <c r="BC196" s="50"/>
      <c r="BD196" s="44">
        <v>0</v>
      </c>
      <c r="BE196" s="44">
        <v>0</v>
      </c>
      <c r="BF196" s="44">
        <f t="shared" si="201"/>
        <v>0</v>
      </c>
      <c r="BG196" s="50"/>
      <c r="BH196" s="44">
        <f t="shared" si="202"/>
        <v>0</v>
      </c>
      <c r="BI196" s="63">
        <f>BD196*Inputs!$F$23*Inputs!$G$23</f>
        <v>0</v>
      </c>
      <c r="BJ196" s="44">
        <f>Inputs!$F$23*Inputs!$I$23*BE196</f>
        <v>0</v>
      </c>
      <c r="BK196" s="55"/>
      <c r="BM196" s="117">
        <v>5</v>
      </c>
      <c r="BN196" s="115">
        <f>Inputs!$A$23</f>
        <v>0</v>
      </c>
      <c r="BO196" s="44">
        <f>Inputs!$B$23</f>
        <v>0</v>
      </c>
      <c r="BP196" s="44" t="s">
        <v>57</v>
      </c>
      <c r="BQ196" s="44">
        <f t="shared" si="146"/>
        <v>0</v>
      </c>
      <c r="BR196" s="50"/>
      <c r="BS196" s="119">
        <v>5</v>
      </c>
      <c r="BT196" s="115">
        <f>Inputs!$A$23</f>
        <v>0</v>
      </c>
      <c r="BU196" s="44">
        <f>Inputs!$B$23</f>
        <v>0</v>
      </c>
      <c r="BV196" s="44" t="s">
        <v>58</v>
      </c>
      <c r="BW196" s="44">
        <f t="shared" si="147"/>
        <v>0</v>
      </c>
      <c r="BX196" s="50"/>
      <c r="BY196" s="44">
        <v>0</v>
      </c>
      <c r="BZ196" s="44">
        <v>0</v>
      </c>
      <c r="CA196" s="44">
        <f t="shared" si="203"/>
        <v>0</v>
      </c>
      <c r="CB196" s="50"/>
      <c r="CC196" s="44">
        <f t="shared" si="204"/>
        <v>0</v>
      </c>
      <c r="CD196" s="63">
        <f>BY196*Inputs!$F$23*Inputs!$G$23</f>
        <v>0</v>
      </c>
      <c r="CE196" s="44">
        <f>Inputs!$F$23*Inputs!$I$23*BZ196</f>
        <v>0</v>
      </c>
      <c r="CF196" s="55"/>
    </row>
    <row r="197" spans="1:84" x14ac:dyDescent="0.25">
      <c r="A197" s="117">
        <v>6</v>
      </c>
      <c r="B197" s="115">
        <f>Inputs!$A$23</f>
        <v>0</v>
      </c>
      <c r="C197" s="44">
        <f>Inputs!$B$23</f>
        <v>0</v>
      </c>
      <c r="D197" s="44" t="s">
        <v>57</v>
      </c>
      <c r="E197" s="44">
        <v>0</v>
      </c>
      <c r="F197" s="50"/>
      <c r="G197" s="119">
        <v>6</v>
      </c>
      <c r="H197" s="115">
        <f>Inputs!$A$23</f>
        <v>0</v>
      </c>
      <c r="I197" s="44">
        <f>Inputs!$B$23</f>
        <v>0</v>
      </c>
      <c r="J197" s="44" t="s">
        <v>58</v>
      </c>
      <c r="K197" s="44">
        <v>0</v>
      </c>
      <c r="L197" s="50"/>
      <c r="M197" s="44">
        <v>0</v>
      </c>
      <c r="N197" s="44">
        <v>0</v>
      </c>
      <c r="O197" s="44">
        <f t="shared" si="197"/>
        <v>0</v>
      </c>
      <c r="P197" s="50"/>
      <c r="Q197" s="44">
        <f t="shared" si="198"/>
        <v>0</v>
      </c>
      <c r="R197" s="63">
        <f>M197*Inputs!$F$23*Inputs!$G$23</f>
        <v>0</v>
      </c>
      <c r="S197" s="44">
        <f>Inputs!$F$23*Inputs!$I$23*N197</f>
        <v>0</v>
      </c>
      <c r="T197" s="18"/>
      <c r="U197" s="55"/>
      <c r="W197" s="117">
        <v>6</v>
      </c>
      <c r="X197" s="115">
        <f>Inputs!$A$23</f>
        <v>0</v>
      </c>
      <c r="Y197" s="44">
        <f>Inputs!$B$23</f>
        <v>0</v>
      </c>
      <c r="Z197" s="44" t="s">
        <v>57</v>
      </c>
      <c r="AA197" s="44">
        <f t="shared" ref="AA197:AA260" si="205">E197</f>
        <v>0</v>
      </c>
      <c r="AB197" s="50"/>
      <c r="AC197" s="119">
        <v>6</v>
      </c>
      <c r="AD197" s="115">
        <f>Inputs!$A$23</f>
        <v>0</v>
      </c>
      <c r="AE197" s="44">
        <f>Inputs!$B$23</f>
        <v>0</v>
      </c>
      <c r="AF197" s="44" t="s">
        <v>58</v>
      </c>
      <c r="AG197" s="44">
        <f t="shared" ref="AG197:AG260" si="206">K197</f>
        <v>0</v>
      </c>
      <c r="AH197" s="50"/>
      <c r="AI197" s="44">
        <v>0</v>
      </c>
      <c r="AJ197" s="44">
        <v>0</v>
      </c>
      <c r="AK197" s="44">
        <f t="shared" si="199"/>
        <v>0</v>
      </c>
      <c r="AL197" s="50"/>
      <c r="AM197" s="44">
        <f t="shared" si="200"/>
        <v>0</v>
      </c>
      <c r="AN197" s="63">
        <f>AI197*Inputs!$F$23*Inputs!$G$23</f>
        <v>0</v>
      </c>
      <c r="AO197" s="44">
        <f>Inputs!$F$23*Inputs!$I$23*AJ197</f>
        <v>0</v>
      </c>
      <c r="AP197" s="55"/>
      <c r="AR197" s="117">
        <v>6</v>
      </c>
      <c r="AS197" s="115">
        <f>Inputs!$A$23</f>
        <v>0</v>
      </c>
      <c r="AT197" s="44">
        <f>Inputs!$B$23</f>
        <v>0</v>
      </c>
      <c r="AU197" s="44" t="s">
        <v>57</v>
      </c>
      <c r="AV197" s="44">
        <f t="shared" si="148"/>
        <v>0</v>
      </c>
      <c r="AW197" s="50"/>
      <c r="AX197" s="119">
        <v>6</v>
      </c>
      <c r="AY197" s="115">
        <f>Inputs!$A$23</f>
        <v>0</v>
      </c>
      <c r="AZ197" s="44">
        <f>Inputs!$B$23</f>
        <v>0</v>
      </c>
      <c r="BA197" s="44" t="s">
        <v>58</v>
      </c>
      <c r="BB197" s="44">
        <f t="shared" ref="BB197:BB260" si="207">K197</f>
        <v>0</v>
      </c>
      <c r="BC197" s="50"/>
      <c r="BD197" s="44">
        <v>0</v>
      </c>
      <c r="BE197" s="44">
        <v>0</v>
      </c>
      <c r="BF197" s="44">
        <f t="shared" si="201"/>
        <v>0</v>
      </c>
      <c r="BG197" s="50"/>
      <c r="BH197" s="44">
        <f t="shared" si="202"/>
        <v>0</v>
      </c>
      <c r="BI197" s="63">
        <f>BD197*Inputs!$F$23*Inputs!$G$23</f>
        <v>0</v>
      </c>
      <c r="BJ197" s="44">
        <f>Inputs!$F$23*Inputs!$I$23*BE197</f>
        <v>0</v>
      </c>
      <c r="BK197" s="55"/>
      <c r="BM197" s="117">
        <v>6</v>
      </c>
      <c r="BN197" s="115">
        <f>Inputs!$A$23</f>
        <v>0</v>
      </c>
      <c r="BO197" s="44">
        <f>Inputs!$B$23</f>
        <v>0</v>
      </c>
      <c r="BP197" s="44" t="s">
        <v>57</v>
      </c>
      <c r="BQ197" s="44">
        <f t="shared" ref="BQ197:BQ260" si="208">E197</f>
        <v>0</v>
      </c>
      <c r="BR197" s="50"/>
      <c r="BS197" s="119">
        <v>6</v>
      </c>
      <c r="BT197" s="115">
        <f>Inputs!$A$23</f>
        <v>0</v>
      </c>
      <c r="BU197" s="44">
        <f>Inputs!$B$23</f>
        <v>0</v>
      </c>
      <c r="BV197" s="44" t="s">
        <v>58</v>
      </c>
      <c r="BW197" s="44">
        <f t="shared" ref="BW197:BW260" si="209">K197</f>
        <v>0</v>
      </c>
      <c r="BX197" s="50"/>
      <c r="BY197" s="44">
        <v>0</v>
      </c>
      <c r="BZ197" s="44">
        <v>0</v>
      </c>
      <c r="CA197" s="44">
        <f t="shared" si="203"/>
        <v>0</v>
      </c>
      <c r="CB197" s="50"/>
      <c r="CC197" s="44">
        <f t="shared" si="204"/>
        <v>0</v>
      </c>
      <c r="CD197" s="63">
        <f>BY197*Inputs!$F$23*Inputs!$G$23</f>
        <v>0</v>
      </c>
      <c r="CE197" s="44">
        <f>Inputs!$F$23*Inputs!$I$23*BZ197</f>
        <v>0</v>
      </c>
      <c r="CF197" s="55"/>
    </row>
    <row r="198" spans="1:84" x14ac:dyDescent="0.25">
      <c r="A198" s="117">
        <v>7</v>
      </c>
      <c r="B198" s="115">
        <f>Inputs!$A$23</f>
        <v>0</v>
      </c>
      <c r="C198" s="44">
        <f>Inputs!$B$23</f>
        <v>0</v>
      </c>
      <c r="D198" s="44" t="s">
        <v>57</v>
      </c>
      <c r="E198" s="44">
        <v>0</v>
      </c>
      <c r="F198" s="50"/>
      <c r="G198" s="119">
        <v>7</v>
      </c>
      <c r="H198" s="115">
        <f>Inputs!$A$23</f>
        <v>0</v>
      </c>
      <c r="I198" s="44">
        <f>Inputs!$B$23</f>
        <v>0</v>
      </c>
      <c r="J198" s="44" t="s">
        <v>58</v>
      </c>
      <c r="K198" s="44">
        <v>0</v>
      </c>
      <c r="L198" s="50"/>
      <c r="M198" s="44">
        <v>0</v>
      </c>
      <c r="N198" s="44">
        <v>0</v>
      </c>
      <c r="O198" s="44">
        <f t="shared" si="197"/>
        <v>0</v>
      </c>
      <c r="P198" s="50"/>
      <c r="Q198" s="44">
        <f t="shared" si="198"/>
        <v>0</v>
      </c>
      <c r="R198" s="63">
        <f>M198*Inputs!$F$23*Inputs!$G$23</f>
        <v>0</v>
      </c>
      <c r="S198" s="44">
        <f>Inputs!$F$23*Inputs!$I$23*N198</f>
        <v>0</v>
      </c>
      <c r="T198" s="18"/>
      <c r="U198" s="55"/>
      <c r="W198" s="117">
        <v>7</v>
      </c>
      <c r="X198" s="115">
        <f>Inputs!$A$23</f>
        <v>0</v>
      </c>
      <c r="Y198" s="44">
        <f>Inputs!$B$23</f>
        <v>0</v>
      </c>
      <c r="Z198" s="44" t="s">
        <v>57</v>
      </c>
      <c r="AA198" s="44">
        <f t="shared" si="205"/>
        <v>0</v>
      </c>
      <c r="AB198" s="50"/>
      <c r="AC198" s="119">
        <v>7</v>
      </c>
      <c r="AD198" s="115">
        <f>Inputs!$A$23</f>
        <v>0</v>
      </c>
      <c r="AE198" s="44">
        <f>Inputs!$B$23</f>
        <v>0</v>
      </c>
      <c r="AF198" s="44" t="s">
        <v>58</v>
      </c>
      <c r="AG198" s="44">
        <f t="shared" si="206"/>
        <v>0</v>
      </c>
      <c r="AH198" s="50"/>
      <c r="AI198" s="44">
        <v>0</v>
      </c>
      <c r="AJ198" s="44">
        <v>0</v>
      </c>
      <c r="AK198" s="44">
        <f t="shared" si="199"/>
        <v>0</v>
      </c>
      <c r="AL198" s="50"/>
      <c r="AM198" s="44">
        <f t="shared" si="200"/>
        <v>0</v>
      </c>
      <c r="AN198" s="63">
        <f>AI198*Inputs!$F$23*Inputs!$G$23</f>
        <v>0</v>
      </c>
      <c r="AO198" s="44">
        <f>Inputs!$F$23*Inputs!$I$23*AJ198</f>
        <v>0</v>
      </c>
      <c r="AP198" s="55"/>
      <c r="AR198" s="117">
        <v>7</v>
      </c>
      <c r="AS198" s="115">
        <f>Inputs!$A$23</f>
        <v>0</v>
      </c>
      <c r="AT198" s="44">
        <f>Inputs!$B$23</f>
        <v>0</v>
      </c>
      <c r="AU198" s="44" t="s">
        <v>57</v>
      </c>
      <c r="AV198" s="44">
        <f t="shared" ref="AV198:AV261" si="210">E198</f>
        <v>0</v>
      </c>
      <c r="AW198" s="50"/>
      <c r="AX198" s="119">
        <v>7</v>
      </c>
      <c r="AY198" s="115">
        <f>Inputs!$A$23</f>
        <v>0</v>
      </c>
      <c r="AZ198" s="44">
        <f>Inputs!$B$23</f>
        <v>0</v>
      </c>
      <c r="BA198" s="44" t="s">
        <v>58</v>
      </c>
      <c r="BB198" s="44">
        <f t="shared" si="207"/>
        <v>0</v>
      </c>
      <c r="BC198" s="50"/>
      <c r="BD198" s="44">
        <v>0</v>
      </c>
      <c r="BE198" s="44">
        <v>0</v>
      </c>
      <c r="BF198" s="44">
        <f t="shared" si="201"/>
        <v>0</v>
      </c>
      <c r="BG198" s="50"/>
      <c r="BH198" s="44">
        <f t="shared" si="202"/>
        <v>0</v>
      </c>
      <c r="BI198" s="63">
        <f>BD198*Inputs!$F$23*Inputs!$G$23</f>
        <v>0</v>
      </c>
      <c r="BJ198" s="44">
        <f>Inputs!$F$23*Inputs!$I$23*BE198</f>
        <v>0</v>
      </c>
      <c r="BK198" s="55"/>
      <c r="BM198" s="117">
        <v>7</v>
      </c>
      <c r="BN198" s="115">
        <f>Inputs!$A$23</f>
        <v>0</v>
      </c>
      <c r="BO198" s="44">
        <f>Inputs!$B$23</f>
        <v>0</v>
      </c>
      <c r="BP198" s="44" t="s">
        <v>57</v>
      </c>
      <c r="BQ198" s="44">
        <f t="shared" si="208"/>
        <v>0</v>
      </c>
      <c r="BR198" s="50"/>
      <c r="BS198" s="119">
        <v>7</v>
      </c>
      <c r="BT198" s="115">
        <f>Inputs!$A$23</f>
        <v>0</v>
      </c>
      <c r="BU198" s="44">
        <f>Inputs!$B$23</f>
        <v>0</v>
      </c>
      <c r="BV198" s="44" t="s">
        <v>58</v>
      </c>
      <c r="BW198" s="44">
        <f t="shared" si="209"/>
        <v>0</v>
      </c>
      <c r="BX198" s="50"/>
      <c r="BY198" s="44">
        <v>0</v>
      </c>
      <c r="BZ198" s="44">
        <v>0</v>
      </c>
      <c r="CA198" s="44">
        <f t="shared" si="203"/>
        <v>0</v>
      </c>
      <c r="CB198" s="50"/>
      <c r="CC198" s="44">
        <f t="shared" si="204"/>
        <v>0</v>
      </c>
      <c r="CD198" s="63">
        <f>BY198*Inputs!$F$23*Inputs!$G$23</f>
        <v>0</v>
      </c>
      <c r="CE198" s="44">
        <f>Inputs!$F$23*Inputs!$I$23*BZ198</f>
        <v>0</v>
      </c>
      <c r="CF198" s="55"/>
    </row>
    <row r="199" spans="1:84" x14ac:dyDescent="0.25">
      <c r="A199" s="117">
        <v>8</v>
      </c>
      <c r="B199" s="115">
        <f>Inputs!$A$23</f>
        <v>0</v>
      </c>
      <c r="C199" s="44">
        <f>Inputs!$B$23</f>
        <v>0</v>
      </c>
      <c r="D199" s="44" t="s">
        <v>57</v>
      </c>
      <c r="E199" s="44">
        <v>0</v>
      </c>
      <c r="F199" s="50"/>
      <c r="G199" s="119">
        <v>8</v>
      </c>
      <c r="H199" s="115">
        <f>Inputs!$A$23</f>
        <v>0</v>
      </c>
      <c r="I199" s="44">
        <f>Inputs!$B$23</f>
        <v>0</v>
      </c>
      <c r="J199" s="44" t="s">
        <v>58</v>
      </c>
      <c r="K199" s="44">
        <v>0</v>
      </c>
      <c r="L199" s="50"/>
      <c r="M199" s="44">
        <v>0</v>
      </c>
      <c r="N199" s="44">
        <v>0</v>
      </c>
      <c r="O199" s="44">
        <f t="shared" si="197"/>
        <v>0</v>
      </c>
      <c r="P199" s="50"/>
      <c r="Q199" s="44">
        <f t="shared" si="198"/>
        <v>0</v>
      </c>
      <c r="R199" s="63">
        <f>M199*Inputs!$F$23*Inputs!$G$23</f>
        <v>0</v>
      </c>
      <c r="S199" s="44">
        <f>Inputs!$F$23*Inputs!$I$23*N199</f>
        <v>0</v>
      </c>
      <c r="T199" s="18"/>
      <c r="U199" s="55"/>
      <c r="W199" s="117">
        <v>8</v>
      </c>
      <c r="X199" s="115">
        <f>Inputs!$A$23</f>
        <v>0</v>
      </c>
      <c r="Y199" s="44">
        <f>Inputs!$B$23</f>
        <v>0</v>
      </c>
      <c r="Z199" s="44" t="s">
        <v>57</v>
      </c>
      <c r="AA199" s="44">
        <f t="shared" si="205"/>
        <v>0</v>
      </c>
      <c r="AB199" s="50"/>
      <c r="AC199" s="119">
        <v>8</v>
      </c>
      <c r="AD199" s="115">
        <f>Inputs!$A$23</f>
        <v>0</v>
      </c>
      <c r="AE199" s="44">
        <f>Inputs!$B$23</f>
        <v>0</v>
      </c>
      <c r="AF199" s="44" t="s">
        <v>58</v>
      </c>
      <c r="AG199" s="44">
        <f t="shared" si="206"/>
        <v>0</v>
      </c>
      <c r="AH199" s="50"/>
      <c r="AI199" s="44">
        <v>0</v>
      </c>
      <c r="AJ199" s="44">
        <v>0</v>
      </c>
      <c r="AK199" s="44">
        <f t="shared" si="199"/>
        <v>0</v>
      </c>
      <c r="AL199" s="50"/>
      <c r="AM199" s="44">
        <f t="shared" si="200"/>
        <v>0</v>
      </c>
      <c r="AN199" s="63">
        <f>AI199*Inputs!$F$23*Inputs!$G$23</f>
        <v>0</v>
      </c>
      <c r="AO199" s="44">
        <f>Inputs!$F$23*Inputs!$I$23*AJ199</f>
        <v>0</v>
      </c>
      <c r="AP199" s="55"/>
      <c r="AR199" s="117">
        <v>8</v>
      </c>
      <c r="AS199" s="115">
        <f>Inputs!$A$23</f>
        <v>0</v>
      </c>
      <c r="AT199" s="44">
        <f>Inputs!$B$23</f>
        <v>0</v>
      </c>
      <c r="AU199" s="44" t="s">
        <v>57</v>
      </c>
      <c r="AV199" s="44">
        <f t="shared" si="210"/>
        <v>0</v>
      </c>
      <c r="AW199" s="50"/>
      <c r="AX199" s="119">
        <v>8</v>
      </c>
      <c r="AY199" s="115">
        <f>Inputs!$A$23</f>
        <v>0</v>
      </c>
      <c r="AZ199" s="44">
        <f>Inputs!$B$23</f>
        <v>0</v>
      </c>
      <c r="BA199" s="44" t="s">
        <v>58</v>
      </c>
      <c r="BB199" s="44">
        <f t="shared" si="207"/>
        <v>0</v>
      </c>
      <c r="BC199" s="50"/>
      <c r="BD199" s="44">
        <v>0</v>
      </c>
      <c r="BE199" s="44">
        <v>0</v>
      </c>
      <c r="BF199" s="44">
        <f t="shared" si="201"/>
        <v>0</v>
      </c>
      <c r="BG199" s="50"/>
      <c r="BH199" s="44">
        <f t="shared" si="202"/>
        <v>0</v>
      </c>
      <c r="BI199" s="63">
        <f>BD199*Inputs!$F$23*Inputs!$G$23</f>
        <v>0</v>
      </c>
      <c r="BJ199" s="44">
        <f>Inputs!$F$23*Inputs!$I$23*BE199</f>
        <v>0</v>
      </c>
      <c r="BK199" s="55"/>
      <c r="BM199" s="117">
        <v>8</v>
      </c>
      <c r="BN199" s="115">
        <f>Inputs!$A$23</f>
        <v>0</v>
      </c>
      <c r="BO199" s="44">
        <f>Inputs!$B$23</f>
        <v>0</v>
      </c>
      <c r="BP199" s="44" t="s">
        <v>57</v>
      </c>
      <c r="BQ199" s="44">
        <f t="shared" si="208"/>
        <v>0</v>
      </c>
      <c r="BR199" s="50"/>
      <c r="BS199" s="119">
        <v>8</v>
      </c>
      <c r="BT199" s="115">
        <f>Inputs!$A$23</f>
        <v>0</v>
      </c>
      <c r="BU199" s="44">
        <f>Inputs!$B$23</f>
        <v>0</v>
      </c>
      <c r="BV199" s="44" t="s">
        <v>58</v>
      </c>
      <c r="BW199" s="44">
        <f t="shared" si="209"/>
        <v>0</v>
      </c>
      <c r="BX199" s="50"/>
      <c r="BY199" s="44">
        <v>0</v>
      </c>
      <c r="BZ199" s="44">
        <v>0</v>
      </c>
      <c r="CA199" s="44">
        <f t="shared" si="203"/>
        <v>0</v>
      </c>
      <c r="CB199" s="50"/>
      <c r="CC199" s="44">
        <f t="shared" si="204"/>
        <v>0</v>
      </c>
      <c r="CD199" s="63">
        <f>BY199*Inputs!$F$23*Inputs!$G$23</f>
        <v>0</v>
      </c>
      <c r="CE199" s="44">
        <f>Inputs!$F$23*Inputs!$I$23*BZ199</f>
        <v>0</v>
      </c>
      <c r="CF199" s="55"/>
    </row>
    <row r="200" spans="1:84" x14ac:dyDescent="0.25">
      <c r="A200" s="117">
        <v>9</v>
      </c>
      <c r="B200" s="115">
        <f>Inputs!$A$23</f>
        <v>0</v>
      </c>
      <c r="C200" s="44">
        <f>Inputs!$B$23</f>
        <v>0</v>
      </c>
      <c r="D200" s="44" t="s">
        <v>57</v>
      </c>
      <c r="E200" s="44">
        <v>0</v>
      </c>
      <c r="F200" s="50"/>
      <c r="G200" s="119">
        <v>9</v>
      </c>
      <c r="H200" s="115">
        <f>Inputs!$A$23</f>
        <v>0</v>
      </c>
      <c r="I200" s="44">
        <f>Inputs!$B$23</f>
        <v>0</v>
      </c>
      <c r="J200" s="44" t="s">
        <v>58</v>
      </c>
      <c r="K200" s="44">
        <v>0</v>
      </c>
      <c r="L200" s="50"/>
      <c r="M200" s="44">
        <v>0</v>
      </c>
      <c r="N200" s="44">
        <v>0</v>
      </c>
      <c r="O200" s="44">
        <f t="shared" si="197"/>
        <v>0</v>
      </c>
      <c r="P200" s="50"/>
      <c r="Q200" s="44">
        <f t="shared" si="198"/>
        <v>0</v>
      </c>
      <c r="R200" s="63">
        <f>M200*Inputs!$F$23*Inputs!$G$23</f>
        <v>0</v>
      </c>
      <c r="S200" s="44">
        <f>Inputs!$F$23*Inputs!$I$23*N200</f>
        <v>0</v>
      </c>
      <c r="T200" s="18"/>
      <c r="U200" s="55"/>
      <c r="W200" s="117">
        <v>9</v>
      </c>
      <c r="X200" s="115">
        <f>Inputs!$A$23</f>
        <v>0</v>
      </c>
      <c r="Y200" s="44">
        <f>Inputs!$B$23</f>
        <v>0</v>
      </c>
      <c r="Z200" s="44" t="s">
        <v>57</v>
      </c>
      <c r="AA200" s="44">
        <f t="shared" si="205"/>
        <v>0</v>
      </c>
      <c r="AB200" s="50"/>
      <c r="AC200" s="119">
        <v>9</v>
      </c>
      <c r="AD200" s="115">
        <f>Inputs!$A$23</f>
        <v>0</v>
      </c>
      <c r="AE200" s="44">
        <f>Inputs!$B$23</f>
        <v>0</v>
      </c>
      <c r="AF200" s="44" t="s">
        <v>58</v>
      </c>
      <c r="AG200" s="44">
        <f t="shared" si="206"/>
        <v>0</v>
      </c>
      <c r="AH200" s="50"/>
      <c r="AI200" s="44">
        <v>0</v>
      </c>
      <c r="AJ200" s="44">
        <v>0</v>
      </c>
      <c r="AK200" s="44">
        <f t="shared" si="199"/>
        <v>0</v>
      </c>
      <c r="AL200" s="50"/>
      <c r="AM200" s="44">
        <f t="shared" si="200"/>
        <v>0</v>
      </c>
      <c r="AN200" s="63">
        <f>AI200*Inputs!$F$23*Inputs!$G$23</f>
        <v>0</v>
      </c>
      <c r="AO200" s="44">
        <f>Inputs!$F$23*Inputs!$I$23*AJ200</f>
        <v>0</v>
      </c>
      <c r="AP200" s="55"/>
      <c r="AR200" s="117">
        <v>9</v>
      </c>
      <c r="AS200" s="115">
        <f>Inputs!$A$23</f>
        <v>0</v>
      </c>
      <c r="AT200" s="44">
        <f>Inputs!$B$23</f>
        <v>0</v>
      </c>
      <c r="AU200" s="44" t="s">
        <v>57</v>
      </c>
      <c r="AV200" s="44">
        <f t="shared" si="210"/>
        <v>0</v>
      </c>
      <c r="AW200" s="50"/>
      <c r="AX200" s="119">
        <v>9</v>
      </c>
      <c r="AY200" s="115">
        <f>Inputs!$A$23</f>
        <v>0</v>
      </c>
      <c r="AZ200" s="44">
        <f>Inputs!$B$23</f>
        <v>0</v>
      </c>
      <c r="BA200" s="44" t="s">
        <v>58</v>
      </c>
      <c r="BB200" s="44">
        <f t="shared" si="207"/>
        <v>0</v>
      </c>
      <c r="BC200" s="50"/>
      <c r="BD200" s="44">
        <v>0</v>
      </c>
      <c r="BE200" s="44">
        <v>0</v>
      </c>
      <c r="BF200" s="44">
        <f t="shared" si="201"/>
        <v>0</v>
      </c>
      <c r="BG200" s="50"/>
      <c r="BH200" s="44">
        <f t="shared" si="202"/>
        <v>0</v>
      </c>
      <c r="BI200" s="63">
        <f>BD200*Inputs!$F$23*Inputs!$G$23</f>
        <v>0</v>
      </c>
      <c r="BJ200" s="44">
        <f>Inputs!$F$23*Inputs!$I$23*BE200</f>
        <v>0</v>
      </c>
      <c r="BK200" s="55"/>
      <c r="BM200" s="117">
        <v>9</v>
      </c>
      <c r="BN200" s="115">
        <f>Inputs!$A$23</f>
        <v>0</v>
      </c>
      <c r="BO200" s="44">
        <f>Inputs!$B$23</f>
        <v>0</v>
      </c>
      <c r="BP200" s="44" t="s">
        <v>57</v>
      </c>
      <c r="BQ200" s="44">
        <f t="shared" si="208"/>
        <v>0</v>
      </c>
      <c r="BR200" s="50"/>
      <c r="BS200" s="119">
        <v>9</v>
      </c>
      <c r="BT200" s="115">
        <f>Inputs!$A$23</f>
        <v>0</v>
      </c>
      <c r="BU200" s="44">
        <f>Inputs!$B$23</f>
        <v>0</v>
      </c>
      <c r="BV200" s="44" t="s">
        <v>58</v>
      </c>
      <c r="BW200" s="44">
        <f t="shared" si="209"/>
        <v>0</v>
      </c>
      <c r="BX200" s="50"/>
      <c r="BY200" s="44">
        <v>0</v>
      </c>
      <c r="BZ200" s="44">
        <v>0</v>
      </c>
      <c r="CA200" s="44">
        <f t="shared" si="203"/>
        <v>0</v>
      </c>
      <c r="CB200" s="50"/>
      <c r="CC200" s="44">
        <f t="shared" si="204"/>
        <v>0</v>
      </c>
      <c r="CD200" s="63">
        <f>BY200*Inputs!$F$23*Inputs!$G$23</f>
        <v>0</v>
      </c>
      <c r="CE200" s="44">
        <f>Inputs!$F$23*Inputs!$I$23*BZ200</f>
        <v>0</v>
      </c>
      <c r="CF200" s="55"/>
    </row>
    <row r="201" spans="1:84" x14ac:dyDescent="0.25">
      <c r="A201" s="117">
        <v>10</v>
      </c>
      <c r="B201" s="115">
        <f>Inputs!$A$23</f>
        <v>0</v>
      </c>
      <c r="C201" s="44">
        <f>Inputs!$B$23</f>
        <v>0</v>
      </c>
      <c r="D201" s="44" t="s">
        <v>57</v>
      </c>
      <c r="E201" s="44">
        <v>0</v>
      </c>
      <c r="F201" s="50"/>
      <c r="G201" s="119">
        <v>10</v>
      </c>
      <c r="H201" s="115">
        <f>Inputs!$A$23</f>
        <v>0</v>
      </c>
      <c r="I201" s="44">
        <f>Inputs!$B$23</f>
        <v>0</v>
      </c>
      <c r="J201" s="44" t="s">
        <v>58</v>
      </c>
      <c r="K201" s="44">
        <v>0</v>
      </c>
      <c r="L201" s="50"/>
      <c r="M201" s="44">
        <v>0</v>
      </c>
      <c r="N201" s="44">
        <v>0</v>
      </c>
      <c r="O201" s="44">
        <f t="shared" si="197"/>
        <v>0</v>
      </c>
      <c r="P201" s="50"/>
      <c r="Q201" s="44">
        <f t="shared" si="198"/>
        <v>0</v>
      </c>
      <c r="R201" s="63">
        <f>M201*Inputs!$F$23*Inputs!$H$23</f>
        <v>0</v>
      </c>
      <c r="S201" s="44">
        <f>Inputs!$F$23*Inputs!$I$23*N201</f>
        <v>0</v>
      </c>
      <c r="T201" s="18"/>
      <c r="U201" s="91"/>
      <c r="W201" s="117">
        <v>10</v>
      </c>
      <c r="X201" s="115">
        <f>Inputs!$A$23</f>
        <v>0</v>
      </c>
      <c r="Y201" s="44">
        <f>Inputs!$B$23</f>
        <v>0</v>
      </c>
      <c r="Z201" s="44" t="s">
        <v>57</v>
      </c>
      <c r="AA201" s="44">
        <f t="shared" si="205"/>
        <v>0</v>
      </c>
      <c r="AB201" s="50"/>
      <c r="AC201" s="119">
        <v>10</v>
      </c>
      <c r="AD201" s="115">
        <f>Inputs!$A$23</f>
        <v>0</v>
      </c>
      <c r="AE201" s="44">
        <f>Inputs!$B$23</f>
        <v>0</v>
      </c>
      <c r="AF201" s="44" t="s">
        <v>58</v>
      </c>
      <c r="AG201" s="44">
        <f t="shared" si="206"/>
        <v>0</v>
      </c>
      <c r="AH201" s="50"/>
      <c r="AI201" s="44">
        <v>0</v>
      </c>
      <c r="AJ201" s="44">
        <v>0</v>
      </c>
      <c r="AK201" s="44">
        <f t="shared" si="199"/>
        <v>0</v>
      </c>
      <c r="AL201" s="50"/>
      <c r="AM201" s="44">
        <f t="shared" si="200"/>
        <v>0</v>
      </c>
      <c r="AN201" s="63">
        <f>AI201*Inputs!$F$23*Inputs!$H$23</f>
        <v>0</v>
      </c>
      <c r="AO201" s="44">
        <f>Inputs!$F$23*Inputs!$I$23*AJ201</f>
        <v>0</v>
      </c>
      <c r="AP201" s="91"/>
      <c r="AR201" s="117">
        <v>10</v>
      </c>
      <c r="AS201" s="115">
        <f>Inputs!$A$23</f>
        <v>0</v>
      </c>
      <c r="AT201" s="44">
        <f>Inputs!$B$23</f>
        <v>0</v>
      </c>
      <c r="AU201" s="44" t="s">
        <v>57</v>
      </c>
      <c r="AV201" s="44">
        <f t="shared" si="210"/>
        <v>0</v>
      </c>
      <c r="AW201" s="50"/>
      <c r="AX201" s="119">
        <v>10</v>
      </c>
      <c r="AY201" s="115">
        <f>Inputs!$A$23</f>
        <v>0</v>
      </c>
      <c r="AZ201" s="44">
        <f>Inputs!$B$23</f>
        <v>0</v>
      </c>
      <c r="BA201" s="44" t="s">
        <v>58</v>
      </c>
      <c r="BB201" s="44">
        <f t="shared" si="207"/>
        <v>0</v>
      </c>
      <c r="BC201" s="50"/>
      <c r="BD201" s="44">
        <v>0</v>
      </c>
      <c r="BE201" s="44">
        <v>0</v>
      </c>
      <c r="BF201" s="44">
        <f t="shared" si="201"/>
        <v>0</v>
      </c>
      <c r="BG201" s="50"/>
      <c r="BH201" s="44">
        <f t="shared" si="202"/>
        <v>0</v>
      </c>
      <c r="BI201" s="63">
        <f>BD201*Inputs!$F$23*Inputs!$H$23</f>
        <v>0</v>
      </c>
      <c r="BJ201" s="44">
        <f>Inputs!$F$23*Inputs!$I$23*BE201</f>
        <v>0</v>
      </c>
      <c r="BK201" s="91"/>
      <c r="BM201" s="117">
        <v>10</v>
      </c>
      <c r="BN201" s="115">
        <f>Inputs!$A$23</f>
        <v>0</v>
      </c>
      <c r="BO201" s="44">
        <f>Inputs!$B$23</f>
        <v>0</v>
      </c>
      <c r="BP201" s="44" t="s">
        <v>57</v>
      </c>
      <c r="BQ201" s="44">
        <f t="shared" si="208"/>
        <v>0</v>
      </c>
      <c r="BR201" s="50"/>
      <c r="BS201" s="119">
        <v>10</v>
      </c>
      <c r="BT201" s="115">
        <f>Inputs!$A$23</f>
        <v>0</v>
      </c>
      <c r="BU201" s="44">
        <f>Inputs!$B$23</f>
        <v>0</v>
      </c>
      <c r="BV201" s="44" t="s">
        <v>58</v>
      </c>
      <c r="BW201" s="44">
        <f t="shared" si="209"/>
        <v>0</v>
      </c>
      <c r="BX201" s="50"/>
      <c r="BY201" s="44">
        <v>0</v>
      </c>
      <c r="BZ201" s="44">
        <v>0</v>
      </c>
      <c r="CA201" s="44">
        <f t="shared" si="203"/>
        <v>0</v>
      </c>
      <c r="CB201" s="50"/>
      <c r="CC201" s="44">
        <f t="shared" si="204"/>
        <v>0</v>
      </c>
      <c r="CD201" s="63">
        <f>BY201*Inputs!$F$23*Inputs!$H$23</f>
        <v>0</v>
      </c>
      <c r="CE201" s="44">
        <f>Inputs!$F$23*Inputs!$I$23*BZ201</f>
        <v>0</v>
      </c>
      <c r="CF201" s="91"/>
    </row>
    <row r="202" spans="1:84" x14ac:dyDescent="0.25">
      <c r="A202" s="117">
        <v>11</v>
      </c>
      <c r="B202" s="115">
        <f>Inputs!$A$23</f>
        <v>0</v>
      </c>
      <c r="C202" s="44">
        <f>Inputs!$B$23</f>
        <v>0</v>
      </c>
      <c r="D202" s="44" t="s">
        <v>57</v>
      </c>
      <c r="E202" s="44">
        <v>0</v>
      </c>
      <c r="F202" s="50"/>
      <c r="G202" s="119">
        <v>11</v>
      </c>
      <c r="H202" s="115">
        <f>Inputs!$A$23</f>
        <v>0</v>
      </c>
      <c r="I202" s="44">
        <f>Inputs!$B$23</f>
        <v>0</v>
      </c>
      <c r="J202" s="44" t="s">
        <v>58</v>
      </c>
      <c r="K202" s="44">
        <v>0</v>
      </c>
      <c r="L202" s="50"/>
      <c r="M202" s="44">
        <v>0</v>
      </c>
      <c r="N202" s="44">
        <v>0</v>
      </c>
      <c r="O202" s="44">
        <f t="shared" si="197"/>
        <v>0</v>
      </c>
      <c r="P202" s="50"/>
      <c r="Q202" s="44">
        <f t="shared" si="198"/>
        <v>0</v>
      </c>
      <c r="R202" s="63">
        <f>M202*Inputs!$F$23*Inputs!$H$23</f>
        <v>0</v>
      </c>
      <c r="S202" s="44">
        <f>Inputs!$F$23*Inputs!$I$23*N202</f>
        <v>0</v>
      </c>
      <c r="T202" s="18"/>
      <c r="U202" s="56"/>
      <c r="W202" s="117">
        <v>11</v>
      </c>
      <c r="X202" s="115">
        <f>Inputs!$A$23</f>
        <v>0</v>
      </c>
      <c r="Y202" s="44">
        <f>Inputs!$B$23</f>
        <v>0</v>
      </c>
      <c r="Z202" s="44" t="s">
        <v>57</v>
      </c>
      <c r="AA202" s="44">
        <f t="shared" si="205"/>
        <v>0</v>
      </c>
      <c r="AB202" s="50"/>
      <c r="AC202" s="119">
        <v>11</v>
      </c>
      <c r="AD202" s="115">
        <f>Inputs!$A$23</f>
        <v>0</v>
      </c>
      <c r="AE202" s="44">
        <f>Inputs!$B$23</f>
        <v>0</v>
      </c>
      <c r="AF202" s="44" t="s">
        <v>58</v>
      </c>
      <c r="AG202" s="44">
        <f t="shared" si="206"/>
        <v>0</v>
      </c>
      <c r="AH202" s="50"/>
      <c r="AI202" s="44">
        <v>0</v>
      </c>
      <c r="AJ202" s="44">
        <v>0</v>
      </c>
      <c r="AK202" s="44">
        <f t="shared" si="199"/>
        <v>0</v>
      </c>
      <c r="AL202" s="50"/>
      <c r="AM202" s="44">
        <f t="shared" si="200"/>
        <v>0</v>
      </c>
      <c r="AN202" s="63">
        <f>AI202*Inputs!$F$23*Inputs!$H$23</f>
        <v>0</v>
      </c>
      <c r="AO202" s="44">
        <f>Inputs!$F$23*Inputs!$I$23*AJ202</f>
        <v>0</v>
      </c>
      <c r="AP202" s="56"/>
      <c r="AR202" s="117">
        <v>11</v>
      </c>
      <c r="AS202" s="115">
        <f>Inputs!$A$23</f>
        <v>0</v>
      </c>
      <c r="AT202" s="44">
        <f>Inputs!$B$23</f>
        <v>0</v>
      </c>
      <c r="AU202" s="44" t="s">
        <v>57</v>
      </c>
      <c r="AV202" s="44">
        <f t="shared" si="210"/>
        <v>0</v>
      </c>
      <c r="AW202" s="50"/>
      <c r="AX202" s="119">
        <v>11</v>
      </c>
      <c r="AY202" s="115">
        <f>Inputs!$A$23</f>
        <v>0</v>
      </c>
      <c r="AZ202" s="44">
        <f>Inputs!$B$23</f>
        <v>0</v>
      </c>
      <c r="BA202" s="44" t="s">
        <v>58</v>
      </c>
      <c r="BB202" s="44">
        <f t="shared" si="207"/>
        <v>0</v>
      </c>
      <c r="BC202" s="50"/>
      <c r="BD202" s="44">
        <v>0</v>
      </c>
      <c r="BE202" s="44">
        <v>0</v>
      </c>
      <c r="BF202" s="44">
        <f t="shared" si="201"/>
        <v>0</v>
      </c>
      <c r="BG202" s="50"/>
      <c r="BH202" s="44">
        <f t="shared" si="202"/>
        <v>0</v>
      </c>
      <c r="BI202" s="63">
        <f>BD202*Inputs!$F$23*Inputs!$H$23</f>
        <v>0</v>
      </c>
      <c r="BJ202" s="44">
        <f>Inputs!$F$23*Inputs!$I$23*BE202</f>
        <v>0</v>
      </c>
      <c r="BK202" s="56"/>
      <c r="BM202" s="117">
        <v>11</v>
      </c>
      <c r="BN202" s="115">
        <f>Inputs!$A$23</f>
        <v>0</v>
      </c>
      <c r="BO202" s="44">
        <f>Inputs!$B$23</f>
        <v>0</v>
      </c>
      <c r="BP202" s="44" t="s">
        <v>57</v>
      </c>
      <c r="BQ202" s="44">
        <f t="shared" si="208"/>
        <v>0</v>
      </c>
      <c r="BR202" s="50"/>
      <c r="BS202" s="119">
        <v>11</v>
      </c>
      <c r="BT202" s="115">
        <f>Inputs!$A$23</f>
        <v>0</v>
      </c>
      <c r="BU202" s="44">
        <f>Inputs!$B$23</f>
        <v>0</v>
      </c>
      <c r="BV202" s="44" t="s">
        <v>58</v>
      </c>
      <c r="BW202" s="44">
        <f t="shared" si="209"/>
        <v>0</v>
      </c>
      <c r="BX202" s="50"/>
      <c r="BY202" s="44">
        <v>0</v>
      </c>
      <c r="BZ202" s="44">
        <v>0</v>
      </c>
      <c r="CA202" s="44">
        <f t="shared" si="203"/>
        <v>0</v>
      </c>
      <c r="CB202" s="50"/>
      <c r="CC202" s="44">
        <f t="shared" si="204"/>
        <v>0</v>
      </c>
      <c r="CD202" s="63">
        <f>BY202*Inputs!$F$23*Inputs!$H$23</f>
        <v>0</v>
      </c>
      <c r="CE202" s="44">
        <f>Inputs!$F$23*Inputs!$I$23*BZ202</f>
        <v>0</v>
      </c>
      <c r="CF202" s="56"/>
    </row>
    <row r="203" spans="1:84" x14ac:dyDescent="0.25">
      <c r="A203" s="116">
        <v>3</v>
      </c>
      <c r="B203" s="114">
        <f>Inputs!$A$24</f>
        <v>0</v>
      </c>
      <c r="C203" s="45">
        <f>Inputs!$B$24</f>
        <v>0</v>
      </c>
      <c r="D203" s="45" t="s">
        <v>57</v>
      </c>
      <c r="E203" s="45">
        <v>0</v>
      </c>
      <c r="F203" s="50"/>
      <c r="G203" s="118">
        <v>3</v>
      </c>
      <c r="H203" s="114">
        <f>Inputs!$A$24</f>
        <v>0</v>
      </c>
      <c r="I203" s="45">
        <f>Inputs!$B$24</f>
        <v>0</v>
      </c>
      <c r="J203" s="45" t="s">
        <v>58</v>
      </c>
      <c r="K203" s="45">
        <v>0</v>
      </c>
      <c r="L203" s="50"/>
      <c r="M203" s="45">
        <v>0</v>
      </c>
      <c r="N203" s="45">
        <v>0</v>
      </c>
      <c r="O203" s="45">
        <f>U203-0-E203-K203</f>
        <v>0</v>
      </c>
      <c r="P203" s="50"/>
      <c r="Q203" s="45">
        <f>E203+K203+N203-U203+0-M203</f>
        <v>0</v>
      </c>
      <c r="R203" s="64">
        <f>M203*Inputs!$F$24*Inputs!$G$24</f>
        <v>0</v>
      </c>
      <c r="S203" s="45">
        <f>Inputs!$F$24*Inputs!$I$24*N203</f>
        <v>0</v>
      </c>
      <c r="T203" s="18"/>
      <c r="U203" s="54"/>
      <c r="W203" s="116">
        <v>3</v>
      </c>
      <c r="X203" s="114">
        <f>Inputs!$A$24</f>
        <v>0</v>
      </c>
      <c r="Y203" s="45">
        <f>Inputs!$B$24</f>
        <v>0</v>
      </c>
      <c r="Z203" s="45" t="s">
        <v>57</v>
      </c>
      <c r="AA203" s="45">
        <f t="shared" si="205"/>
        <v>0</v>
      </c>
      <c r="AB203" s="50"/>
      <c r="AC203" s="118">
        <v>3</v>
      </c>
      <c r="AD203" s="114">
        <f>Inputs!$A$24</f>
        <v>0</v>
      </c>
      <c r="AE203" s="45">
        <f>Inputs!$B$24</f>
        <v>0</v>
      </c>
      <c r="AF203" s="45" t="s">
        <v>58</v>
      </c>
      <c r="AG203" s="45">
        <f t="shared" si="206"/>
        <v>0</v>
      </c>
      <c r="AH203" s="50"/>
      <c r="AI203" s="45">
        <v>0</v>
      </c>
      <c r="AJ203" s="45">
        <v>0</v>
      </c>
      <c r="AK203" s="45">
        <f>AP203-0-AA203-AG203</f>
        <v>0</v>
      </c>
      <c r="AL203" s="50"/>
      <c r="AM203" s="45">
        <f>AA203+AG203+AJ203-AP203+0-AI203</f>
        <v>0</v>
      </c>
      <c r="AN203" s="64">
        <f>AI203*Inputs!$F$24*Inputs!$G$24</f>
        <v>0</v>
      </c>
      <c r="AO203" s="45">
        <f>Inputs!$F$24*Inputs!$I$24*AJ203</f>
        <v>0</v>
      </c>
      <c r="AP203" s="54"/>
      <c r="AR203" s="116">
        <v>3</v>
      </c>
      <c r="AS203" s="114">
        <f>Inputs!$A$24</f>
        <v>0</v>
      </c>
      <c r="AT203" s="45">
        <f>Inputs!$B$24</f>
        <v>0</v>
      </c>
      <c r="AU203" s="45" t="s">
        <v>57</v>
      </c>
      <c r="AV203" s="45">
        <f t="shared" si="210"/>
        <v>0</v>
      </c>
      <c r="AW203" s="50"/>
      <c r="AX203" s="118">
        <v>3</v>
      </c>
      <c r="AY203" s="114">
        <f>Inputs!$A$24</f>
        <v>0</v>
      </c>
      <c r="AZ203" s="45">
        <f>Inputs!$B$24</f>
        <v>0</v>
      </c>
      <c r="BA203" s="45" t="s">
        <v>58</v>
      </c>
      <c r="BB203" s="45">
        <f t="shared" si="207"/>
        <v>0</v>
      </c>
      <c r="BC203" s="50"/>
      <c r="BD203" s="45">
        <v>0</v>
      </c>
      <c r="BE203" s="45">
        <v>0</v>
      </c>
      <c r="BF203" s="45">
        <f>BK203-0-AV203-BB203</f>
        <v>0</v>
      </c>
      <c r="BG203" s="50"/>
      <c r="BH203" s="45">
        <f>AV203+BB203+BE203-BK203+0-BD203</f>
        <v>0</v>
      </c>
      <c r="BI203" s="64">
        <f>BD203*Inputs!$F$24*Inputs!$G$24</f>
        <v>0</v>
      </c>
      <c r="BJ203" s="45">
        <f>Inputs!$F$24*Inputs!$I$24*BE203</f>
        <v>0</v>
      </c>
      <c r="BK203" s="54"/>
      <c r="BM203" s="116">
        <v>3</v>
      </c>
      <c r="BN203" s="114">
        <f>Inputs!$A$24</f>
        <v>0</v>
      </c>
      <c r="BO203" s="45">
        <f>Inputs!$B$24</f>
        <v>0</v>
      </c>
      <c r="BP203" s="45" t="s">
        <v>57</v>
      </c>
      <c r="BQ203" s="45">
        <f t="shared" si="208"/>
        <v>0</v>
      </c>
      <c r="BR203" s="50"/>
      <c r="BS203" s="118">
        <v>3</v>
      </c>
      <c r="BT203" s="114">
        <f>Inputs!$A$24</f>
        <v>0</v>
      </c>
      <c r="BU203" s="45">
        <f>Inputs!$B$24</f>
        <v>0</v>
      </c>
      <c r="BV203" s="45" t="s">
        <v>58</v>
      </c>
      <c r="BW203" s="45">
        <f t="shared" si="209"/>
        <v>0</v>
      </c>
      <c r="BX203" s="50"/>
      <c r="BY203" s="45">
        <v>0</v>
      </c>
      <c r="BZ203" s="45">
        <v>0</v>
      </c>
      <c r="CA203" s="45">
        <f>CF203-0-BQ203-BW203</f>
        <v>0</v>
      </c>
      <c r="CB203" s="50"/>
      <c r="CC203" s="45">
        <f>BQ203+BW203+BZ203-CF203+0-BY203</f>
        <v>0</v>
      </c>
      <c r="CD203" s="64">
        <f>BY203*Inputs!$F$24*Inputs!$G$24</f>
        <v>0</v>
      </c>
      <c r="CE203" s="45">
        <f>Inputs!$F$24*Inputs!$I$24*BZ203</f>
        <v>0</v>
      </c>
      <c r="CF203" s="54"/>
    </row>
    <row r="204" spans="1:84" x14ac:dyDescent="0.25">
      <c r="A204" s="116">
        <v>4</v>
      </c>
      <c r="B204" s="114">
        <f>Inputs!$A$24</f>
        <v>0</v>
      </c>
      <c r="C204" s="45">
        <f>Inputs!$B$24</f>
        <v>0</v>
      </c>
      <c r="D204" s="45" t="s">
        <v>57</v>
      </c>
      <c r="E204" s="45">
        <v>0</v>
      </c>
      <c r="F204" s="50"/>
      <c r="G204" s="118">
        <v>4</v>
      </c>
      <c r="H204" s="114">
        <f>Inputs!$A$24</f>
        <v>0</v>
      </c>
      <c r="I204" s="45">
        <f>Inputs!$B$24</f>
        <v>0</v>
      </c>
      <c r="J204" s="45" t="s">
        <v>58</v>
      </c>
      <c r="K204" s="45">
        <v>0</v>
      </c>
      <c r="L204" s="50"/>
      <c r="M204" s="45">
        <v>0</v>
      </c>
      <c r="N204" s="45">
        <v>0</v>
      </c>
      <c r="O204" s="45">
        <f t="shared" ref="O204:O211" si="211">U204-M203-E204-K204</f>
        <v>0</v>
      </c>
      <c r="P204" s="50"/>
      <c r="Q204" s="45">
        <f t="shared" ref="Q204:Q211" si="212">E204+K204+N204-U204+M203-M204</f>
        <v>0</v>
      </c>
      <c r="R204" s="64">
        <f>M204*Inputs!$F$24*Inputs!$G$24</f>
        <v>0</v>
      </c>
      <c r="S204" s="45">
        <f>Inputs!$F$24*Inputs!$I$24*N204</f>
        <v>0</v>
      </c>
      <c r="T204" s="18"/>
      <c r="U204" s="55"/>
      <c r="W204" s="116">
        <v>4</v>
      </c>
      <c r="X204" s="114">
        <f>Inputs!$A$24</f>
        <v>0</v>
      </c>
      <c r="Y204" s="45">
        <f>Inputs!$B$24</f>
        <v>0</v>
      </c>
      <c r="Z204" s="45" t="s">
        <v>57</v>
      </c>
      <c r="AA204" s="45">
        <f t="shared" si="205"/>
        <v>0</v>
      </c>
      <c r="AB204" s="50"/>
      <c r="AC204" s="118">
        <v>4</v>
      </c>
      <c r="AD204" s="114">
        <f>Inputs!$A$24</f>
        <v>0</v>
      </c>
      <c r="AE204" s="45">
        <f>Inputs!$B$24</f>
        <v>0</v>
      </c>
      <c r="AF204" s="45" t="s">
        <v>58</v>
      </c>
      <c r="AG204" s="45">
        <f t="shared" si="206"/>
        <v>0</v>
      </c>
      <c r="AH204" s="50"/>
      <c r="AI204" s="45">
        <v>0</v>
      </c>
      <c r="AJ204" s="45">
        <v>0</v>
      </c>
      <c r="AK204" s="45">
        <f t="shared" ref="AK204:AK211" si="213">AP204-AI203-AA204-AG204</f>
        <v>0</v>
      </c>
      <c r="AL204" s="50"/>
      <c r="AM204" s="45">
        <f t="shared" ref="AM204:AM211" si="214">AA204+AG204+AJ204-AP204+AI203-AI204</f>
        <v>0</v>
      </c>
      <c r="AN204" s="64">
        <f>AI204*Inputs!$F$24*Inputs!$G$24</f>
        <v>0</v>
      </c>
      <c r="AO204" s="45">
        <f>Inputs!$F$24*Inputs!$I$24*AJ204</f>
        <v>0</v>
      </c>
      <c r="AP204" s="55"/>
      <c r="AR204" s="116">
        <v>4</v>
      </c>
      <c r="AS204" s="114">
        <f>Inputs!$A$24</f>
        <v>0</v>
      </c>
      <c r="AT204" s="45">
        <f>Inputs!$B$24</f>
        <v>0</v>
      </c>
      <c r="AU204" s="45" t="s">
        <v>57</v>
      </c>
      <c r="AV204" s="45">
        <f t="shared" si="210"/>
        <v>0</v>
      </c>
      <c r="AW204" s="50"/>
      <c r="AX204" s="118">
        <v>4</v>
      </c>
      <c r="AY204" s="114">
        <f>Inputs!$A$24</f>
        <v>0</v>
      </c>
      <c r="AZ204" s="45">
        <f>Inputs!$B$24</f>
        <v>0</v>
      </c>
      <c r="BA204" s="45" t="s">
        <v>58</v>
      </c>
      <c r="BB204" s="45">
        <f t="shared" si="207"/>
        <v>0</v>
      </c>
      <c r="BC204" s="50"/>
      <c r="BD204" s="45">
        <v>0</v>
      </c>
      <c r="BE204" s="45">
        <v>0</v>
      </c>
      <c r="BF204" s="45">
        <f t="shared" ref="BF204:BF211" si="215">BK204-BD203-AV204-BB204</f>
        <v>0</v>
      </c>
      <c r="BG204" s="50"/>
      <c r="BH204" s="45">
        <f t="shared" ref="BH204:BH211" si="216">AV204+BB204+BE204-BK204+BD203-BD204</f>
        <v>0</v>
      </c>
      <c r="BI204" s="64">
        <f>BD204*Inputs!$F$24*Inputs!$G$24</f>
        <v>0</v>
      </c>
      <c r="BJ204" s="45">
        <f>Inputs!$F$24*Inputs!$I$24*BE204</f>
        <v>0</v>
      </c>
      <c r="BK204" s="55"/>
      <c r="BM204" s="116">
        <v>4</v>
      </c>
      <c r="BN204" s="114">
        <f>Inputs!$A$24</f>
        <v>0</v>
      </c>
      <c r="BO204" s="45">
        <f>Inputs!$B$24</f>
        <v>0</v>
      </c>
      <c r="BP204" s="45" t="s">
        <v>57</v>
      </c>
      <c r="BQ204" s="45">
        <f t="shared" si="208"/>
        <v>0</v>
      </c>
      <c r="BR204" s="50"/>
      <c r="BS204" s="118">
        <v>4</v>
      </c>
      <c r="BT204" s="114">
        <f>Inputs!$A$24</f>
        <v>0</v>
      </c>
      <c r="BU204" s="45">
        <f>Inputs!$B$24</f>
        <v>0</v>
      </c>
      <c r="BV204" s="45" t="s">
        <v>58</v>
      </c>
      <c r="BW204" s="45">
        <f t="shared" si="209"/>
        <v>0</v>
      </c>
      <c r="BX204" s="50"/>
      <c r="BY204" s="45">
        <v>0</v>
      </c>
      <c r="BZ204" s="45">
        <v>0</v>
      </c>
      <c r="CA204" s="45">
        <f t="shared" ref="CA204:CA211" si="217">CF204-BY203-BQ204-BW204</f>
        <v>0</v>
      </c>
      <c r="CB204" s="50"/>
      <c r="CC204" s="45">
        <f t="shared" ref="CC204:CC211" si="218">BQ204+BW204+BZ204-CF204+BY203-BY204</f>
        <v>0</v>
      </c>
      <c r="CD204" s="64">
        <f>BY204*Inputs!$F$24*Inputs!$G$24</f>
        <v>0</v>
      </c>
      <c r="CE204" s="45">
        <f>Inputs!$F$24*Inputs!$I$24*BZ204</f>
        <v>0</v>
      </c>
      <c r="CF204" s="55"/>
    </row>
    <row r="205" spans="1:84" x14ac:dyDescent="0.25">
      <c r="A205" s="116">
        <v>5</v>
      </c>
      <c r="B205" s="114">
        <f>Inputs!$A$24</f>
        <v>0</v>
      </c>
      <c r="C205" s="45">
        <f>Inputs!$B$24</f>
        <v>0</v>
      </c>
      <c r="D205" s="45" t="s">
        <v>57</v>
      </c>
      <c r="E205" s="45">
        <v>0</v>
      </c>
      <c r="F205" s="50"/>
      <c r="G205" s="118">
        <v>5</v>
      </c>
      <c r="H205" s="114">
        <f>Inputs!$A$24</f>
        <v>0</v>
      </c>
      <c r="I205" s="45">
        <f>Inputs!$B$24</f>
        <v>0</v>
      </c>
      <c r="J205" s="45" t="s">
        <v>58</v>
      </c>
      <c r="K205" s="45">
        <v>0</v>
      </c>
      <c r="L205" s="50"/>
      <c r="M205" s="45">
        <v>0</v>
      </c>
      <c r="N205" s="45">
        <v>0</v>
      </c>
      <c r="O205" s="45">
        <f t="shared" si="211"/>
        <v>0</v>
      </c>
      <c r="P205" s="50"/>
      <c r="Q205" s="45">
        <f t="shared" si="212"/>
        <v>0</v>
      </c>
      <c r="R205" s="64">
        <f>M205*Inputs!$F$24*Inputs!$G$24</f>
        <v>0</v>
      </c>
      <c r="S205" s="45">
        <f>Inputs!$F$24*Inputs!$I$24*N205</f>
        <v>0</v>
      </c>
      <c r="T205" s="18"/>
      <c r="U205" s="55"/>
      <c r="W205" s="116">
        <v>5</v>
      </c>
      <c r="X205" s="114">
        <f>Inputs!$A$24</f>
        <v>0</v>
      </c>
      <c r="Y205" s="45">
        <f>Inputs!$B$24</f>
        <v>0</v>
      </c>
      <c r="Z205" s="45" t="s">
        <v>57</v>
      </c>
      <c r="AA205" s="45">
        <f t="shared" si="205"/>
        <v>0</v>
      </c>
      <c r="AB205" s="50"/>
      <c r="AC205" s="118">
        <v>5</v>
      </c>
      <c r="AD205" s="114">
        <f>Inputs!$A$24</f>
        <v>0</v>
      </c>
      <c r="AE205" s="45">
        <f>Inputs!$B$24</f>
        <v>0</v>
      </c>
      <c r="AF205" s="45" t="s">
        <v>58</v>
      </c>
      <c r="AG205" s="45">
        <f t="shared" si="206"/>
        <v>0</v>
      </c>
      <c r="AH205" s="50"/>
      <c r="AI205" s="45">
        <v>0</v>
      </c>
      <c r="AJ205" s="45">
        <v>0</v>
      </c>
      <c r="AK205" s="45">
        <f t="shared" si="213"/>
        <v>0</v>
      </c>
      <c r="AL205" s="50"/>
      <c r="AM205" s="45">
        <f t="shared" si="214"/>
        <v>0</v>
      </c>
      <c r="AN205" s="64">
        <f>AI205*Inputs!$F$24*Inputs!$G$24</f>
        <v>0</v>
      </c>
      <c r="AO205" s="45">
        <f>Inputs!$F$24*Inputs!$I$24*AJ205</f>
        <v>0</v>
      </c>
      <c r="AP205" s="55"/>
      <c r="AR205" s="116">
        <v>5</v>
      </c>
      <c r="AS205" s="114">
        <f>Inputs!$A$24</f>
        <v>0</v>
      </c>
      <c r="AT205" s="45">
        <f>Inputs!$B$24</f>
        <v>0</v>
      </c>
      <c r="AU205" s="45" t="s">
        <v>57</v>
      </c>
      <c r="AV205" s="45">
        <f t="shared" si="210"/>
        <v>0</v>
      </c>
      <c r="AW205" s="50"/>
      <c r="AX205" s="118">
        <v>5</v>
      </c>
      <c r="AY205" s="114">
        <f>Inputs!$A$24</f>
        <v>0</v>
      </c>
      <c r="AZ205" s="45">
        <f>Inputs!$B$24</f>
        <v>0</v>
      </c>
      <c r="BA205" s="45" t="s">
        <v>58</v>
      </c>
      <c r="BB205" s="45">
        <f t="shared" si="207"/>
        <v>0</v>
      </c>
      <c r="BC205" s="50"/>
      <c r="BD205" s="45">
        <v>0</v>
      </c>
      <c r="BE205" s="45">
        <v>0</v>
      </c>
      <c r="BF205" s="45">
        <f t="shared" si="215"/>
        <v>0</v>
      </c>
      <c r="BG205" s="50"/>
      <c r="BH205" s="45">
        <f t="shared" si="216"/>
        <v>0</v>
      </c>
      <c r="BI205" s="64">
        <f>BD205*Inputs!$F$24*Inputs!$G$24</f>
        <v>0</v>
      </c>
      <c r="BJ205" s="45">
        <f>Inputs!$F$24*Inputs!$I$24*BE205</f>
        <v>0</v>
      </c>
      <c r="BK205" s="55"/>
      <c r="BM205" s="116">
        <v>5</v>
      </c>
      <c r="BN205" s="114">
        <f>Inputs!$A$24</f>
        <v>0</v>
      </c>
      <c r="BO205" s="45">
        <f>Inputs!$B$24</f>
        <v>0</v>
      </c>
      <c r="BP205" s="45" t="s">
        <v>57</v>
      </c>
      <c r="BQ205" s="45">
        <f t="shared" si="208"/>
        <v>0</v>
      </c>
      <c r="BR205" s="50"/>
      <c r="BS205" s="118">
        <v>5</v>
      </c>
      <c r="BT205" s="114">
        <f>Inputs!$A$24</f>
        <v>0</v>
      </c>
      <c r="BU205" s="45">
        <f>Inputs!$B$24</f>
        <v>0</v>
      </c>
      <c r="BV205" s="45" t="s">
        <v>58</v>
      </c>
      <c r="BW205" s="45">
        <f t="shared" si="209"/>
        <v>0</v>
      </c>
      <c r="BX205" s="50"/>
      <c r="BY205" s="45">
        <v>0</v>
      </c>
      <c r="BZ205" s="45">
        <v>0</v>
      </c>
      <c r="CA205" s="45">
        <f t="shared" si="217"/>
        <v>0</v>
      </c>
      <c r="CB205" s="50"/>
      <c r="CC205" s="45">
        <f t="shared" si="218"/>
        <v>0</v>
      </c>
      <c r="CD205" s="64">
        <f>BY205*Inputs!$F$24*Inputs!$G$24</f>
        <v>0</v>
      </c>
      <c r="CE205" s="45">
        <f>Inputs!$F$24*Inputs!$I$24*BZ205</f>
        <v>0</v>
      </c>
      <c r="CF205" s="55"/>
    </row>
    <row r="206" spans="1:84" x14ac:dyDescent="0.25">
      <c r="A206" s="116">
        <v>6</v>
      </c>
      <c r="B206" s="114">
        <f>Inputs!$A$24</f>
        <v>0</v>
      </c>
      <c r="C206" s="45">
        <f>Inputs!$B$24</f>
        <v>0</v>
      </c>
      <c r="D206" s="45" t="s">
        <v>57</v>
      </c>
      <c r="E206" s="45">
        <v>0</v>
      </c>
      <c r="F206" s="50"/>
      <c r="G206" s="118">
        <v>6</v>
      </c>
      <c r="H206" s="114">
        <f>Inputs!$A$24</f>
        <v>0</v>
      </c>
      <c r="I206" s="45">
        <f>Inputs!$B$24</f>
        <v>0</v>
      </c>
      <c r="J206" s="45" t="s">
        <v>58</v>
      </c>
      <c r="K206" s="45">
        <v>0</v>
      </c>
      <c r="L206" s="50"/>
      <c r="M206" s="45">
        <v>0</v>
      </c>
      <c r="N206" s="45">
        <v>0</v>
      </c>
      <c r="O206" s="45">
        <f t="shared" si="211"/>
        <v>0</v>
      </c>
      <c r="P206" s="50"/>
      <c r="Q206" s="45">
        <f t="shared" si="212"/>
        <v>0</v>
      </c>
      <c r="R206" s="64">
        <f>M206*Inputs!$F$24*Inputs!$G$24</f>
        <v>0</v>
      </c>
      <c r="S206" s="45">
        <f>Inputs!$F$24*Inputs!$I$24*N206</f>
        <v>0</v>
      </c>
      <c r="T206" s="18"/>
      <c r="U206" s="55"/>
      <c r="W206" s="116">
        <v>6</v>
      </c>
      <c r="X206" s="114">
        <f>Inputs!$A$24</f>
        <v>0</v>
      </c>
      <c r="Y206" s="45">
        <f>Inputs!$B$24</f>
        <v>0</v>
      </c>
      <c r="Z206" s="45" t="s">
        <v>57</v>
      </c>
      <c r="AA206" s="45">
        <f t="shared" si="205"/>
        <v>0</v>
      </c>
      <c r="AB206" s="50"/>
      <c r="AC206" s="118">
        <v>6</v>
      </c>
      <c r="AD206" s="114">
        <f>Inputs!$A$24</f>
        <v>0</v>
      </c>
      <c r="AE206" s="45">
        <f>Inputs!$B$24</f>
        <v>0</v>
      </c>
      <c r="AF206" s="45" t="s">
        <v>58</v>
      </c>
      <c r="AG206" s="45">
        <f t="shared" si="206"/>
        <v>0</v>
      </c>
      <c r="AH206" s="50"/>
      <c r="AI206" s="45">
        <v>0</v>
      </c>
      <c r="AJ206" s="45">
        <v>0</v>
      </c>
      <c r="AK206" s="45">
        <f t="shared" si="213"/>
        <v>0</v>
      </c>
      <c r="AL206" s="50"/>
      <c r="AM206" s="45">
        <f t="shared" si="214"/>
        <v>0</v>
      </c>
      <c r="AN206" s="64">
        <f>AI206*Inputs!$F$24*Inputs!$G$24</f>
        <v>0</v>
      </c>
      <c r="AO206" s="45">
        <f>Inputs!$F$24*Inputs!$I$24*AJ206</f>
        <v>0</v>
      </c>
      <c r="AP206" s="55"/>
      <c r="AR206" s="116">
        <v>6</v>
      </c>
      <c r="AS206" s="114">
        <f>Inputs!$A$24</f>
        <v>0</v>
      </c>
      <c r="AT206" s="45">
        <f>Inputs!$B$24</f>
        <v>0</v>
      </c>
      <c r="AU206" s="45" t="s">
        <v>57</v>
      </c>
      <c r="AV206" s="45">
        <f t="shared" si="210"/>
        <v>0</v>
      </c>
      <c r="AW206" s="50"/>
      <c r="AX206" s="118">
        <v>6</v>
      </c>
      <c r="AY206" s="114">
        <f>Inputs!$A$24</f>
        <v>0</v>
      </c>
      <c r="AZ206" s="45">
        <f>Inputs!$B$24</f>
        <v>0</v>
      </c>
      <c r="BA206" s="45" t="s">
        <v>58</v>
      </c>
      <c r="BB206" s="45">
        <f t="shared" si="207"/>
        <v>0</v>
      </c>
      <c r="BC206" s="50"/>
      <c r="BD206" s="45">
        <v>0</v>
      </c>
      <c r="BE206" s="45">
        <v>0</v>
      </c>
      <c r="BF206" s="45">
        <f t="shared" si="215"/>
        <v>0</v>
      </c>
      <c r="BG206" s="50"/>
      <c r="BH206" s="45">
        <f t="shared" si="216"/>
        <v>0</v>
      </c>
      <c r="BI206" s="64">
        <f>BD206*Inputs!$F$24*Inputs!$G$24</f>
        <v>0</v>
      </c>
      <c r="BJ206" s="45">
        <f>Inputs!$F$24*Inputs!$I$24*BE206</f>
        <v>0</v>
      </c>
      <c r="BK206" s="55"/>
      <c r="BM206" s="116">
        <v>6</v>
      </c>
      <c r="BN206" s="114">
        <f>Inputs!$A$24</f>
        <v>0</v>
      </c>
      <c r="BO206" s="45">
        <f>Inputs!$B$24</f>
        <v>0</v>
      </c>
      <c r="BP206" s="45" t="s">
        <v>57</v>
      </c>
      <c r="BQ206" s="45">
        <f t="shared" si="208"/>
        <v>0</v>
      </c>
      <c r="BR206" s="50"/>
      <c r="BS206" s="118">
        <v>6</v>
      </c>
      <c r="BT206" s="114">
        <f>Inputs!$A$24</f>
        <v>0</v>
      </c>
      <c r="BU206" s="45">
        <f>Inputs!$B$24</f>
        <v>0</v>
      </c>
      <c r="BV206" s="45" t="s">
        <v>58</v>
      </c>
      <c r="BW206" s="45">
        <f t="shared" si="209"/>
        <v>0</v>
      </c>
      <c r="BX206" s="50"/>
      <c r="BY206" s="45">
        <v>0</v>
      </c>
      <c r="BZ206" s="45">
        <v>0</v>
      </c>
      <c r="CA206" s="45">
        <f t="shared" si="217"/>
        <v>0</v>
      </c>
      <c r="CB206" s="50"/>
      <c r="CC206" s="45">
        <f t="shared" si="218"/>
        <v>0</v>
      </c>
      <c r="CD206" s="64">
        <f>BY206*Inputs!$F$24*Inputs!$G$24</f>
        <v>0</v>
      </c>
      <c r="CE206" s="45">
        <f>Inputs!$F$24*Inputs!$I$24*BZ206</f>
        <v>0</v>
      </c>
      <c r="CF206" s="55"/>
    </row>
    <row r="207" spans="1:84" x14ac:dyDescent="0.25">
      <c r="A207" s="116">
        <v>7</v>
      </c>
      <c r="B207" s="114">
        <f>Inputs!$A$24</f>
        <v>0</v>
      </c>
      <c r="C207" s="45">
        <f>Inputs!$B$24</f>
        <v>0</v>
      </c>
      <c r="D207" s="45" t="s">
        <v>57</v>
      </c>
      <c r="E207" s="45">
        <v>0</v>
      </c>
      <c r="F207" s="50"/>
      <c r="G207" s="118">
        <v>7</v>
      </c>
      <c r="H207" s="114">
        <f>Inputs!$A$24</f>
        <v>0</v>
      </c>
      <c r="I207" s="45">
        <f>Inputs!$B$24</f>
        <v>0</v>
      </c>
      <c r="J207" s="45" t="s">
        <v>58</v>
      </c>
      <c r="K207" s="45">
        <v>0</v>
      </c>
      <c r="L207" s="50"/>
      <c r="M207" s="45">
        <v>0</v>
      </c>
      <c r="N207" s="45">
        <v>0</v>
      </c>
      <c r="O207" s="45">
        <f t="shared" si="211"/>
        <v>0</v>
      </c>
      <c r="P207" s="50"/>
      <c r="Q207" s="45">
        <f t="shared" si="212"/>
        <v>0</v>
      </c>
      <c r="R207" s="64">
        <f>M207*Inputs!$F$24*Inputs!$G$24</f>
        <v>0</v>
      </c>
      <c r="S207" s="45">
        <f>Inputs!$F$24*Inputs!$I$24*N207</f>
        <v>0</v>
      </c>
      <c r="T207" s="18"/>
      <c r="U207" s="55"/>
      <c r="W207" s="116">
        <v>7</v>
      </c>
      <c r="X207" s="114">
        <f>Inputs!$A$24</f>
        <v>0</v>
      </c>
      <c r="Y207" s="45">
        <f>Inputs!$B$24</f>
        <v>0</v>
      </c>
      <c r="Z207" s="45" t="s">
        <v>57</v>
      </c>
      <c r="AA207" s="45">
        <f t="shared" si="205"/>
        <v>0</v>
      </c>
      <c r="AB207" s="50"/>
      <c r="AC207" s="118">
        <v>7</v>
      </c>
      <c r="AD207" s="114">
        <f>Inputs!$A$24</f>
        <v>0</v>
      </c>
      <c r="AE207" s="45">
        <f>Inputs!$B$24</f>
        <v>0</v>
      </c>
      <c r="AF207" s="45" t="s">
        <v>58</v>
      </c>
      <c r="AG207" s="45">
        <f t="shared" si="206"/>
        <v>0</v>
      </c>
      <c r="AH207" s="50"/>
      <c r="AI207" s="45">
        <v>0</v>
      </c>
      <c r="AJ207" s="45">
        <v>0</v>
      </c>
      <c r="AK207" s="45">
        <f t="shared" si="213"/>
        <v>0</v>
      </c>
      <c r="AL207" s="50"/>
      <c r="AM207" s="45">
        <f t="shared" si="214"/>
        <v>0</v>
      </c>
      <c r="AN207" s="64">
        <f>AI207*Inputs!$F$24*Inputs!$G$24</f>
        <v>0</v>
      </c>
      <c r="AO207" s="45">
        <f>Inputs!$F$24*Inputs!$I$24*AJ207</f>
        <v>0</v>
      </c>
      <c r="AP207" s="55"/>
      <c r="AR207" s="116">
        <v>7</v>
      </c>
      <c r="AS207" s="114">
        <f>Inputs!$A$24</f>
        <v>0</v>
      </c>
      <c r="AT207" s="45">
        <f>Inputs!$B$24</f>
        <v>0</v>
      </c>
      <c r="AU207" s="45" t="s">
        <v>57</v>
      </c>
      <c r="AV207" s="45">
        <f t="shared" si="210"/>
        <v>0</v>
      </c>
      <c r="AW207" s="50"/>
      <c r="AX207" s="118">
        <v>7</v>
      </c>
      <c r="AY207" s="114">
        <f>Inputs!$A$24</f>
        <v>0</v>
      </c>
      <c r="AZ207" s="45">
        <f>Inputs!$B$24</f>
        <v>0</v>
      </c>
      <c r="BA207" s="45" t="s">
        <v>58</v>
      </c>
      <c r="BB207" s="45">
        <f t="shared" si="207"/>
        <v>0</v>
      </c>
      <c r="BC207" s="50"/>
      <c r="BD207" s="45">
        <v>0</v>
      </c>
      <c r="BE207" s="45">
        <v>0</v>
      </c>
      <c r="BF207" s="45">
        <f t="shared" si="215"/>
        <v>0</v>
      </c>
      <c r="BG207" s="50"/>
      <c r="BH207" s="45">
        <f t="shared" si="216"/>
        <v>0</v>
      </c>
      <c r="BI207" s="64">
        <f>BD207*Inputs!$F$24*Inputs!$G$24</f>
        <v>0</v>
      </c>
      <c r="BJ207" s="45">
        <f>Inputs!$F$24*Inputs!$I$24*BE207</f>
        <v>0</v>
      </c>
      <c r="BK207" s="55"/>
      <c r="BM207" s="116">
        <v>7</v>
      </c>
      <c r="BN207" s="114">
        <f>Inputs!$A$24</f>
        <v>0</v>
      </c>
      <c r="BO207" s="45">
        <f>Inputs!$B$24</f>
        <v>0</v>
      </c>
      <c r="BP207" s="45" t="s">
        <v>57</v>
      </c>
      <c r="BQ207" s="45">
        <f t="shared" si="208"/>
        <v>0</v>
      </c>
      <c r="BR207" s="50"/>
      <c r="BS207" s="118">
        <v>7</v>
      </c>
      <c r="BT207" s="114">
        <f>Inputs!$A$24</f>
        <v>0</v>
      </c>
      <c r="BU207" s="45">
        <f>Inputs!$B$24</f>
        <v>0</v>
      </c>
      <c r="BV207" s="45" t="s">
        <v>58</v>
      </c>
      <c r="BW207" s="45">
        <f t="shared" si="209"/>
        <v>0</v>
      </c>
      <c r="BX207" s="50"/>
      <c r="BY207" s="45">
        <v>0</v>
      </c>
      <c r="BZ207" s="45">
        <v>0</v>
      </c>
      <c r="CA207" s="45">
        <f t="shared" si="217"/>
        <v>0</v>
      </c>
      <c r="CB207" s="50"/>
      <c r="CC207" s="45">
        <f t="shared" si="218"/>
        <v>0</v>
      </c>
      <c r="CD207" s="64">
        <f>BY207*Inputs!$F$24*Inputs!$G$24</f>
        <v>0</v>
      </c>
      <c r="CE207" s="45">
        <f>Inputs!$F$24*Inputs!$I$24*BZ207</f>
        <v>0</v>
      </c>
      <c r="CF207" s="55"/>
    </row>
    <row r="208" spans="1:84" x14ac:dyDescent="0.25">
      <c r="A208" s="116">
        <v>8</v>
      </c>
      <c r="B208" s="114">
        <f>Inputs!$A$24</f>
        <v>0</v>
      </c>
      <c r="C208" s="45">
        <f>Inputs!$B$24</f>
        <v>0</v>
      </c>
      <c r="D208" s="45" t="s">
        <v>57</v>
      </c>
      <c r="E208" s="45">
        <v>0</v>
      </c>
      <c r="F208" s="50"/>
      <c r="G208" s="118">
        <v>8</v>
      </c>
      <c r="H208" s="114">
        <f>Inputs!$A$24</f>
        <v>0</v>
      </c>
      <c r="I208" s="45">
        <f>Inputs!$B$24</f>
        <v>0</v>
      </c>
      <c r="J208" s="45" t="s">
        <v>58</v>
      </c>
      <c r="K208" s="45">
        <v>0</v>
      </c>
      <c r="L208" s="50"/>
      <c r="M208" s="45">
        <v>0</v>
      </c>
      <c r="N208" s="45">
        <v>0</v>
      </c>
      <c r="O208" s="45">
        <f t="shared" si="211"/>
        <v>0</v>
      </c>
      <c r="P208" s="50"/>
      <c r="Q208" s="45">
        <f t="shared" si="212"/>
        <v>0</v>
      </c>
      <c r="R208" s="64">
        <f>M208*Inputs!$F$24*Inputs!$G$24</f>
        <v>0</v>
      </c>
      <c r="S208" s="45">
        <f>Inputs!$F$24*Inputs!$I$24*N208</f>
        <v>0</v>
      </c>
      <c r="T208" s="18"/>
      <c r="U208" s="55"/>
      <c r="W208" s="116">
        <v>8</v>
      </c>
      <c r="X208" s="114">
        <f>Inputs!$A$24</f>
        <v>0</v>
      </c>
      <c r="Y208" s="45">
        <f>Inputs!$B$24</f>
        <v>0</v>
      </c>
      <c r="Z208" s="45" t="s">
        <v>57</v>
      </c>
      <c r="AA208" s="45">
        <f t="shared" si="205"/>
        <v>0</v>
      </c>
      <c r="AB208" s="50"/>
      <c r="AC208" s="118">
        <v>8</v>
      </c>
      <c r="AD208" s="114">
        <f>Inputs!$A$24</f>
        <v>0</v>
      </c>
      <c r="AE208" s="45">
        <f>Inputs!$B$24</f>
        <v>0</v>
      </c>
      <c r="AF208" s="45" t="s">
        <v>58</v>
      </c>
      <c r="AG208" s="45">
        <f t="shared" si="206"/>
        <v>0</v>
      </c>
      <c r="AH208" s="50"/>
      <c r="AI208" s="45">
        <v>0</v>
      </c>
      <c r="AJ208" s="45">
        <v>0</v>
      </c>
      <c r="AK208" s="45">
        <f t="shared" si="213"/>
        <v>0</v>
      </c>
      <c r="AL208" s="50"/>
      <c r="AM208" s="45">
        <f t="shared" si="214"/>
        <v>0</v>
      </c>
      <c r="AN208" s="64">
        <f>AI208*Inputs!$F$24*Inputs!$G$24</f>
        <v>0</v>
      </c>
      <c r="AO208" s="45">
        <f>Inputs!$F$24*Inputs!$I$24*AJ208</f>
        <v>0</v>
      </c>
      <c r="AP208" s="55"/>
      <c r="AR208" s="116">
        <v>8</v>
      </c>
      <c r="AS208" s="114">
        <f>Inputs!$A$24</f>
        <v>0</v>
      </c>
      <c r="AT208" s="45">
        <f>Inputs!$B$24</f>
        <v>0</v>
      </c>
      <c r="AU208" s="45" t="s">
        <v>57</v>
      </c>
      <c r="AV208" s="45">
        <f t="shared" si="210"/>
        <v>0</v>
      </c>
      <c r="AW208" s="50"/>
      <c r="AX208" s="118">
        <v>8</v>
      </c>
      <c r="AY208" s="114">
        <f>Inputs!$A$24</f>
        <v>0</v>
      </c>
      <c r="AZ208" s="45">
        <f>Inputs!$B$24</f>
        <v>0</v>
      </c>
      <c r="BA208" s="45" t="s">
        <v>58</v>
      </c>
      <c r="BB208" s="45">
        <f t="shared" si="207"/>
        <v>0</v>
      </c>
      <c r="BC208" s="50"/>
      <c r="BD208" s="45">
        <v>0</v>
      </c>
      <c r="BE208" s="45">
        <v>0</v>
      </c>
      <c r="BF208" s="45">
        <f t="shared" si="215"/>
        <v>0</v>
      </c>
      <c r="BG208" s="50"/>
      <c r="BH208" s="45">
        <f t="shared" si="216"/>
        <v>0</v>
      </c>
      <c r="BI208" s="64">
        <f>BD208*Inputs!$F$24*Inputs!$G$24</f>
        <v>0</v>
      </c>
      <c r="BJ208" s="45">
        <f>Inputs!$F$24*Inputs!$I$24*BE208</f>
        <v>0</v>
      </c>
      <c r="BK208" s="55"/>
      <c r="BM208" s="116">
        <v>8</v>
      </c>
      <c r="BN208" s="114">
        <f>Inputs!$A$24</f>
        <v>0</v>
      </c>
      <c r="BO208" s="45">
        <f>Inputs!$B$24</f>
        <v>0</v>
      </c>
      <c r="BP208" s="45" t="s">
        <v>57</v>
      </c>
      <c r="BQ208" s="45">
        <f t="shared" si="208"/>
        <v>0</v>
      </c>
      <c r="BR208" s="50"/>
      <c r="BS208" s="118">
        <v>8</v>
      </c>
      <c r="BT208" s="114">
        <f>Inputs!$A$24</f>
        <v>0</v>
      </c>
      <c r="BU208" s="45">
        <f>Inputs!$B$24</f>
        <v>0</v>
      </c>
      <c r="BV208" s="45" t="s">
        <v>58</v>
      </c>
      <c r="BW208" s="45">
        <f t="shared" si="209"/>
        <v>0</v>
      </c>
      <c r="BX208" s="50"/>
      <c r="BY208" s="45">
        <v>0</v>
      </c>
      <c r="BZ208" s="45">
        <v>0</v>
      </c>
      <c r="CA208" s="45">
        <f t="shared" si="217"/>
        <v>0</v>
      </c>
      <c r="CB208" s="50"/>
      <c r="CC208" s="45">
        <f t="shared" si="218"/>
        <v>0</v>
      </c>
      <c r="CD208" s="64">
        <f>BY208*Inputs!$F$24*Inputs!$G$24</f>
        <v>0</v>
      </c>
      <c r="CE208" s="45">
        <f>Inputs!$F$24*Inputs!$I$24*BZ208</f>
        <v>0</v>
      </c>
      <c r="CF208" s="55"/>
    </row>
    <row r="209" spans="1:84" x14ac:dyDescent="0.25">
      <c r="A209" s="116">
        <v>9</v>
      </c>
      <c r="B209" s="114">
        <f>Inputs!$A$24</f>
        <v>0</v>
      </c>
      <c r="C209" s="45">
        <f>Inputs!$B$24</f>
        <v>0</v>
      </c>
      <c r="D209" s="45" t="s">
        <v>57</v>
      </c>
      <c r="E209" s="45">
        <v>0</v>
      </c>
      <c r="F209" s="50"/>
      <c r="G209" s="118">
        <v>9</v>
      </c>
      <c r="H209" s="114">
        <f>Inputs!$A$24</f>
        <v>0</v>
      </c>
      <c r="I209" s="45">
        <f>Inputs!$B$24</f>
        <v>0</v>
      </c>
      <c r="J209" s="45" t="s">
        <v>58</v>
      </c>
      <c r="K209" s="45">
        <v>0</v>
      </c>
      <c r="L209" s="50"/>
      <c r="M209" s="45">
        <v>0</v>
      </c>
      <c r="N209" s="45">
        <v>0</v>
      </c>
      <c r="O209" s="45">
        <f t="shared" si="211"/>
        <v>0</v>
      </c>
      <c r="P209" s="50"/>
      <c r="Q209" s="45">
        <f t="shared" si="212"/>
        <v>0</v>
      </c>
      <c r="R209" s="64">
        <f>M209*Inputs!$F$24*Inputs!$G$24</f>
        <v>0</v>
      </c>
      <c r="S209" s="45">
        <f>Inputs!$F$24*Inputs!$I$24*N209</f>
        <v>0</v>
      </c>
      <c r="T209" s="18"/>
      <c r="U209" s="55"/>
      <c r="W209" s="116">
        <v>9</v>
      </c>
      <c r="X209" s="114">
        <f>Inputs!$A$24</f>
        <v>0</v>
      </c>
      <c r="Y209" s="45">
        <f>Inputs!$B$24</f>
        <v>0</v>
      </c>
      <c r="Z209" s="45" t="s">
        <v>57</v>
      </c>
      <c r="AA209" s="45">
        <f t="shared" si="205"/>
        <v>0</v>
      </c>
      <c r="AB209" s="50"/>
      <c r="AC209" s="118">
        <v>9</v>
      </c>
      <c r="AD209" s="114">
        <f>Inputs!$A$24</f>
        <v>0</v>
      </c>
      <c r="AE209" s="45">
        <f>Inputs!$B$24</f>
        <v>0</v>
      </c>
      <c r="AF209" s="45" t="s">
        <v>58</v>
      </c>
      <c r="AG209" s="45">
        <f t="shared" si="206"/>
        <v>0</v>
      </c>
      <c r="AH209" s="50"/>
      <c r="AI209" s="45">
        <v>0</v>
      </c>
      <c r="AJ209" s="45">
        <v>0</v>
      </c>
      <c r="AK209" s="45">
        <f t="shared" si="213"/>
        <v>0</v>
      </c>
      <c r="AL209" s="50"/>
      <c r="AM209" s="45">
        <f t="shared" si="214"/>
        <v>0</v>
      </c>
      <c r="AN209" s="64">
        <f>AI209*Inputs!$F$24*Inputs!$G$24</f>
        <v>0</v>
      </c>
      <c r="AO209" s="45">
        <f>Inputs!$F$24*Inputs!$I$24*AJ209</f>
        <v>0</v>
      </c>
      <c r="AP209" s="55"/>
      <c r="AR209" s="116">
        <v>9</v>
      </c>
      <c r="AS209" s="114">
        <f>Inputs!$A$24</f>
        <v>0</v>
      </c>
      <c r="AT209" s="45">
        <f>Inputs!$B$24</f>
        <v>0</v>
      </c>
      <c r="AU209" s="45" t="s">
        <v>57</v>
      </c>
      <c r="AV209" s="45">
        <f t="shared" si="210"/>
        <v>0</v>
      </c>
      <c r="AW209" s="50"/>
      <c r="AX209" s="118">
        <v>9</v>
      </c>
      <c r="AY209" s="114">
        <f>Inputs!$A$24</f>
        <v>0</v>
      </c>
      <c r="AZ209" s="45">
        <f>Inputs!$B$24</f>
        <v>0</v>
      </c>
      <c r="BA209" s="45" t="s">
        <v>58</v>
      </c>
      <c r="BB209" s="45">
        <f t="shared" si="207"/>
        <v>0</v>
      </c>
      <c r="BC209" s="50"/>
      <c r="BD209" s="45">
        <v>0</v>
      </c>
      <c r="BE209" s="45">
        <v>0</v>
      </c>
      <c r="BF209" s="45">
        <f t="shared" si="215"/>
        <v>0</v>
      </c>
      <c r="BG209" s="50"/>
      <c r="BH209" s="45">
        <f t="shared" si="216"/>
        <v>0</v>
      </c>
      <c r="BI209" s="64">
        <f>BD209*Inputs!$F$24*Inputs!$G$24</f>
        <v>0</v>
      </c>
      <c r="BJ209" s="45">
        <f>Inputs!$F$24*Inputs!$I$24*BE209</f>
        <v>0</v>
      </c>
      <c r="BK209" s="55"/>
      <c r="BM209" s="116">
        <v>9</v>
      </c>
      <c r="BN209" s="114">
        <f>Inputs!$A$24</f>
        <v>0</v>
      </c>
      <c r="BO209" s="45">
        <f>Inputs!$B$24</f>
        <v>0</v>
      </c>
      <c r="BP209" s="45" t="s">
        <v>57</v>
      </c>
      <c r="BQ209" s="45">
        <f t="shared" si="208"/>
        <v>0</v>
      </c>
      <c r="BR209" s="50"/>
      <c r="BS209" s="118">
        <v>9</v>
      </c>
      <c r="BT209" s="114">
        <f>Inputs!$A$24</f>
        <v>0</v>
      </c>
      <c r="BU209" s="45">
        <f>Inputs!$B$24</f>
        <v>0</v>
      </c>
      <c r="BV209" s="45" t="s">
        <v>58</v>
      </c>
      <c r="BW209" s="45">
        <f t="shared" si="209"/>
        <v>0</v>
      </c>
      <c r="BX209" s="50"/>
      <c r="BY209" s="45">
        <v>0</v>
      </c>
      <c r="BZ209" s="45">
        <v>0</v>
      </c>
      <c r="CA209" s="45">
        <f t="shared" si="217"/>
        <v>0</v>
      </c>
      <c r="CB209" s="50"/>
      <c r="CC209" s="45">
        <f t="shared" si="218"/>
        <v>0</v>
      </c>
      <c r="CD209" s="64">
        <f>BY209*Inputs!$F$24*Inputs!$G$24</f>
        <v>0</v>
      </c>
      <c r="CE209" s="45">
        <f>Inputs!$F$24*Inputs!$I$24*BZ209</f>
        <v>0</v>
      </c>
      <c r="CF209" s="55"/>
    </row>
    <row r="210" spans="1:84" x14ac:dyDescent="0.25">
      <c r="A210" s="116">
        <v>10</v>
      </c>
      <c r="B210" s="114">
        <f>Inputs!$A$24</f>
        <v>0</v>
      </c>
      <c r="C210" s="45">
        <f>Inputs!$B$24</f>
        <v>0</v>
      </c>
      <c r="D210" s="45" t="s">
        <v>57</v>
      </c>
      <c r="E210" s="45">
        <v>0</v>
      </c>
      <c r="F210" s="50"/>
      <c r="G210" s="118">
        <v>10</v>
      </c>
      <c r="H210" s="114">
        <f>Inputs!$A$24</f>
        <v>0</v>
      </c>
      <c r="I210" s="45">
        <f>Inputs!$B$24</f>
        <v>0</v>
      </c>
      <c r="J210" s="45" t="s">
        <v>58</v>
      </c>
      <c r="K210" s="45">
        <v>0</v>
      </c>
      <c r="L210" s="50"/>
      <c r="M210" s="45">
        <v>0</v>
      </c>
      <c r="N210" s="45">
        <v>0</v>
      </c>
      <c r="O210" s="45">
        <f t="shared" si="211"/>
        <v>0</v>
      </c>
      <c r="P210" s="50"/>
      <c r="Q210" s="45">
        <f t="shared" si="212"/>
        <v>0</v>
      </c>
      <c r="R210" s="64">
        <f>M210*Inputs!$F$24*Inputs!$G$24</f>
        <v>0</v>
      </c>
      <c r="S210" s="45">
        <f>Inputs!$F$24*Inputs!$I$24*N210</f>
        <v>0</v>
      </c>
      <c r="T210" s="18"/>
      <c r="U210" s="91"/>
      <c r="W210" s="116">
        <v>10</v>
      </c>
      <c r="X210" s="114">
        <f>Inputs!$A$24</f>
        <v>0</v>
      </c>
      <c r="Y210" s="45">
        <f>Inputs!$B$24</f>
        <v>0</v>
      </c>
      <c r="Z210" s="45" t="s">
        <v>57</v>
      </c>
      <c r="AA210" s="45">
        <f t="shared" si="205"/>
        <v>0</v>
      </c>
      <c r="AB210" s="50"/>
      <c r="AC210" s="118">
        <v>10</v>
      </c>
      <c r="AD210" s="114">
        <f>Inputs!$A$24</f>
        <v>0</v>
      </c>
      <c r="AE210" s="45">
        <f>Inputs!$B$24</f>
        <v>0</v>
      </c>
      <c r="AF210" s="45" t="s">
        <v>58</v>
      </c>
      <c r="AG210" s="45">
        <f t="shared" si="206"/>
        <v>0</v>
      </c>
      <c r="AH210" s="50"/>
      <c r="AI210" s="45">
        <v>0</v>
      </c>
      <c r="AJ210" s="45">
        <v>0</v>
      </c>
      <c r="AK210" s="45">
        <f t="shared" si="213"/>
        <v>0</v>
      </c>
      <c r="AL210" s="50"/>
      <c r="AM210" s="45">
        <f t="shared" si="214"/>
        <v>0</v>
      </c>
      <c r="AN210" s="64">
        <f>AI210*Inputs!$F$24*Inputs!$G$24</f>
        <v>0</v>
      </c>
      <c r="AO210" s="45">
        <f>Inputs!$F$24*Inputs!$I$24*AJ210</f>
        <v>0</v>
      </c>
      <c r="AP210" s="91"/>
      <c r="AR210" s="116">
        <v>10</v>
      </c>
      <c r="AS210" s="114">
        <f>Inputs!$A$24</f>
        <v>0</v>
      </c>
      <c r="AT210" s="45">
        <f>Inputs!$B$24</f>
        <v>0</v>
      </c>
      <c r="AU210" s="45" t="s">
        <v>57</v>
      </c>
      <c r="AV210" s="45">
        <f t="shared" si="210"/>
        <v>0</v>
      </c>
      <c r="AW210" s="50"/>
      <c r="AX210" s="118">
        <v>10</v>
      </c>
      <c r="AY210" s="114">
        <f>Inputs!$A$24</f>
        <v>0</v>
      </c>
      <c r="AZ210" s="45">
        <f>Inputs!$B$24</f>
        <v>0</v>
      </c>
      <c r="BA210" s="45" t="s">
        <v>58</v>
      </c>
      <c r="BB210" s="45">
        <f t="shared" si="207"/>
        <v>0</v>
      </c>
      <c r="BC210" s="50"/>
      <c r="BD210" s="45">
        <v>0</v>
      </c>
      <c r="BE210" s="45">
        <v>0</v>
      </c>
      <c r="BF210" s="45">
        <f t="shared" si="215"/>
        <v>0</v>
      </c>
      <c r="BG210" s="50"/>
      <c r="BH210" s="45">
        <f t="shared" si="216"/>
        <v>0</v>
      </c>
      <c r="BI210" s="64">
        <f>BD210*Inputs!$F$24*Inputs!$G$24</f>
        <v>0</v>
      </c>
      <c r="BJ210" s="45">
        <f>Inputs!$F$24*Inputs!$I$24*BE210</f>
        <v>0</v>
      </c>
      <c r="BK210" s="91"/>
      <c r="BM210" s="116">
        <v>10</v>
      </c>
      <c r="BN210" s="114">
        <f>Inputs!$A$24</f>
        <v>0</v>
      </c>
      <c r="BO210" s="45">
        <f>Inputs!$B$24</f>
        <v>0</v>
      </c>
      <c r="BP210" s="45" t="s">
        <v>57</v>
      </c>
      <c r="BQ210" s="45">
        <f t="shared" si="208"/>
        <v>0</v>
      </c>
      <c r="BR210" s="50"/>
      <c r="BS210" s="118">
        <v>10</v>
      </c>
      <c r="BT210" s="114">
        <f>Inputs!$A$24</f>
        <v>0</v>
      </c>
      <c r="BU210" s="45">
        <f>Inputs!$B$24</f>
        <v>0</v>
      </c>
      <c r="BV210" s="45" t="s">
        <v>58</v>
      </c>
      <c r="BW210" s="45">
        <f t="shared" si="209"/>
        <v>0</v>
      </c>
      <c r="BX210" s="50"/>
      <c r="BY210" s="45">
        <v>0</v>
      </c>
      <c r="BZ210" s="45">
        <v>0</v>
      </c>
      <c r="CA210" s="45">
        <f t="shared" si="217"/>
        <v>0</v>
      </c>
      <c r="CB210" s="50"/>
      <c r="CC210" s="45">
        <f t="shared" si="218"/>
        <v>0</v>
      </c>
      <c r="CD210" s="64">
        <f>BY210*Inputs!$F$24*Inputs!$G$24</f>
        <v>0</v>
      </c>
      <c r="CE210" s="45">
        <f>Inputs!$F$24*Inputs!$I$24*BZ210</f>
        <v>0</v>
      </c>
      <c r="CF210" s="91"/>
    </row>
    <row r="211" spans="1:84" x14ac:dyDescent="0.25">
      <c r="A211" s="116">
        <v>11</v>
      </c>
      <c r="B211" s="114">
        <f>Inputs!$A$24</f>
        <v>0</v>
      </c>
      <c r="C211" s="45">
        <f>Inputs!$B$24</f>
        <v>0</v>
      </c>
      <c r="D211" s="45" t="s">
        <v>57</v>
      </c>
      <c r="E211" s="45">
        <v>0</v>
      </c>
      <c r="F211" s="50"/>
      <c r="G211" s="118">
        <v>11</v>
      </c>
      <c r="H211" s="114">
        <f>Inputs!$A$24</f>
        <v>0</v>
      </c>
      <c r="I211" s="45">
        <f>Inputs!$B$24</f>
        <v>0</v>
      </c>
      <c r="J211" s="45" t="s">
        <v>58</v>
      </c>
      <c r="K211" s="45">
        <v>0</v>
      </c>
      <c r="L211" s="50"/>
      <c r="M211" s="45">
        <v>0</v>
      </c>
      <c r="N211" s="45">
        <v>0</v>
      </c>
      <c r="O211" s="45">
        <f t="shared" si="211"/>
        <v>0</v>
      </c>
      <c r="P211" s="50"/>
      <c r="Q211" s="45">
        <f t="shared" si="212"/>
        <v>0</v>
      </c>
      <c r="R211" s="64">
        <f>M211*Inputs!$F$24*Inputs!$H$24</f>
        <v>0</v>
      </c>
      <c r="S211" s="45">
        <f>Inputs!$F$24*Inputs!$I$24*N211</f>
        <v>0</v>
      </c>
      <c r="T211" s="18"/>
      <c r="U211" s="56"/>
      <c r="W211" s="116">
        <v>11</v>
      </c>
      <c r="X211" s="114">
        <f>Inputs!$A$24</f>
        <v>0</v>
      </c>
      <c r="Y211" s="45">
        <f>Inputs!$B$24</f>
        <v>0</v>
      </c>
      <c r="Z211" s="45" t="s">
        <v>57</v>
      </c>
      <c r="AA211" s="45">
        <f t="shared" si="205"/>
        <v>0</v>
      </c>
      <c r="AB211" s="50"/>
      <c r="AC211" s="118">
        <v>11</v>
      </c>
      <c r="AD211" s="114">
        <f>Inputs!$A$24</f>
        <v>0</v>
      </c>
      <c r="AE211" s="45">
        <f>Inputs!$B$24</f>
        <v>0</v>
      </c>
      <c r="AF211" s="45" t="s">
        <v>58</v>
      </c>
      <c r="AG211" s="45">
        <f t="shared" si="206"/>
        <v>0</v>
      </c>
      <c r="AH211" s="50"/>
      <c r="AI211" s="45">
        <v>0</v>
      </c>
      <c r="AJ211" s="45">
        <v>0</v>
      </c>
      <c r="AK211" s="45">
        <f t="shared" si="213"/>
        <v>0</v>
      </c>
      <c r="AL211" s="50"/>
      <c r="AM211" s="45">
        <f t="shared" si="214"/>
        <v>0</v>
      </c>
      <c r="AN211" s="64">
        <f>AI211*Inputs!$F$24*Inputs!$H$24</f>
        <v>0</v>
      </c>
      <c r="AO211" s="45">
        <f>Inputs!$F$24*Inputs!$I$24*AJ211</f>
        <v>0</v>
      </c>
      <c r="AP211" s="56"/>
      <c r="AR211" s="116">
        <v>11</v>
      </c>
      <c r="AS211" s="114">
        <f>Inputs!$A$24</f>
        <v>0</v>
      </c>
      <c r="AT211" s="45">
        <f>Inputs!$B$24</f>
        <v>0</v>
      </c>
      <c r="AU211" s="45" t="s">
        <v>57</v>
      </c>
      <c r="AV211" s="45">
        <f t="shared" si="210"/>
        <v>0</v>
      </c>
      <c r="AW211" s="50"/>
      <c r="AX211" s="118">
        <v>11</v>
      </c>
      <c r="AY211" s="114">
        <f>Inputs!$A$24</f>
        <v>0</v>
      </c>
      <c r="AZ211" s="45">
        <f>Inputs!$B$24</f>
        <v>0</v>
      </c>
      <c r="BA211" s="45" t="s">
        <v>58</v>
      </c>
      <c r="BB211" s="45">
        <f t="shared" si="207"/>
        <v>0</v>
      </c>
      <c r="BC211" s="50"/>
      <c r="BD211" s="45">
        <v>0</v>
      </c>
      <c r="BE211" s="45">
        <v>0</v>
      </c>
      <c r="BF211" s="45">
        <f t="shared" si="215"/>
        <v>0</v>
      </c>
      <c r="BG211" s="50"/>
      <c r="BH211" s="45">
        <f t="shared" si="216"/>
        <v>0</v>
      </c>
      <c r="BI211" s="64">
        <f>BD211*Inputs!$F$24*Inputs!$H$24</f>
        <v>0</v>
      </c>
      <c r="BJ211" s="45">
        <f>Inputs!$F$24*Inputs!$I$24*BE211</f>
        <v>0</v>
      </c>
      <c r="BK211" s="56"/>
      <c r="BM211" s="116">
        <v>11</v>
      </c>
      <c r="BN211" s="114">
        <f>Inputs!$A$24</f>
        <v>0</v>
      </c>
      <c r="BO211" s="45">
        <f>Inputs!$B$24</f>
        <v>0</v>
      </c>
      <c r="BP211" s="45" t="s">
        <v>57</v>
      </c>
      <c r="BQ211" s="45">
        <f t="shared" si="208"/>
        <v>0</v>
      </c>
      <c r="BR211" s="50"/>
      <c r="BS211" s="118">
        <v>11</v>
      </c>
      <c r="BT211" s="114">
        <f>Inputs!$A$24</f>
        <v>0</v>
      </c>
      <c r="BU211" s="45">
        <f>Inputs!$B$24</f>
        <v>0</v>
      </c>
      <c r="BV211" s="45" t="s">
        <v>58</v>
      </c>
      <c r="BW211" s="45">
        <f t="shared" si="209"/>
        <v>0</v>
      </c>
      <c r="BX211" s="50"/>
      <c r="BY211" s="45">
        <v>0</v>
      </c>
      <c r="BZ211" s="45">
        <v>0</v>
      </c>
      <c r="CA211" s="45">
        <f t="shared" si="217"/>
        <v>0</v>
      </c>
      <c r="CB211" s="50"/>
      <c r="CC211" s="45">
        <f t="shared" si="218"/>
        <v>0</v>
      </c>
      <c r="CD211" s="64">
        <f>BY211*Inputs!$F$24*Inputs!$H$24</f>
        <v>0</v>
      </c>
      <c r="CE211" s="45">
        <f>Inputs!$F$24*Inputs!$I$24*BZ211</f>
        <v>0</v>
      </c>
      <c r="CF211" s="56"/>
    </row>
    <row r="212" spans="1:84" x14ac:dyDescent="0.25">
      <c r="A212" s="117">
        <v>3</v>
      </c>
      <c r="B212" s="115">
        <f>Inputs!$A$25</f>
        <v>0</v>
      </c>
      <c r="C212" s="44">
        <f>Inputs!$B$25</f>
        <v>0</v>
      </c>
      <c r="D212" s="44" t="s">
        <v>57</v>
      </c>
      <c r="E212" s="44">
        <v>0</v>
      </c>
      <c r="F212" s="50"/>
      <c r="G212" s="119">
        <v>3</v>
      </c>
      <c r="H212" s="115">
        <f>Inputs!$A$25</f>
        <v>0</v>
      </c>
      <c r="I212" s="44">
        <f>Inputs!$B$25</f>
        <v>0</v>
      </c>
      <c r="J212" s="44" t="s">
        <v>58</v>
      </c>
      <c r="K212" s="44">
        <v>0</v>
      </c>
      <c r="L212" s="50"/>
      <c r="M212" s="44">
        <v>0</v>
      </c>
      <c r="N212" s="44">
        <v>0</v>
      </c>
      <c r="O212" s="44">
        <f>U212-0-E212-K212</f>
        <v>0</v>
      </c>
      <c r="P212" s="50"/>
      <c r="Q212" s="44">
        <f>E212+K212+N212-U212+0-M212</f>
        <v>0</v>
      </c>
      <c r="R212" s="63">
        <f>M212*Inputs!$F$25*Inputs!$G$25</f>
        <v>0</v>
      </c>
      <c r="S212" s="44">
        <f>Inputs!$F$25*Inputs!$I$25*N212</f>
        <v>0</v>
      </c>
      <c r="T212" s="18"/>
      <c r="U212" s="54"/>
      <c r="W212" s="117">
        <v>3</v>
      </c>
      <c r="X212" s="115">
        <f>Inputs!$A$25</f>
        <v>0</v>
      </c>
      <c r="Y212" s="44">
        <f>Inputs!$B$25</f>
        <v>0</v>
      </c>
      <c r="Z212" s="44" t="s">
        <v>57</v>
      </c>
      <c r="AA212" s="44">
        <f t="shared" si="205"/>
        <v>0</v>
      </c>
      <c r="AB212" s="50"/>
      <c r="AC212" s="119">
        <v>3</v>
      </c>
      <c r="AD212" s="115">
        <f>Inputs!$A$25</f>
        <v>0</v>
      </c>
      <c r="AE212" s="44">
        <f>Inputs!$B$25</f>
        <v>0</v>
      </c>
      <c r="AF212" s="44" t="s">
        <v>58</v>
      </c>
      <c r="AG212" s="44">
        <f t="shared" si="206"/>
        <v>0</v>
      </c>
      <c r="AH212" s="50"/>
      <c r="AI212" s="44">
        <v>0</v>
      </c>
      <c r="AJ212" s="44">
        <v>0</v>
      </c>
      <c r="AK212" s="44">
        <f>AP212-0-AA212-AG212</f>
        <v>0</v>
      </c>
      <c r="AL212" s="50"/>
      <c r="AM212" s="44">
        <f>AA212+AG212+AJ212-AP212+0-AI212</f>
        <v>0</v>
      </c>
      <c r="AN212" s="63">
        <f>AI212*Inputs!$F$25*Inputs!$G$25</f>
        <v>0</v>
      </c>
      <c r="AO212" s="44">
        <f>Inputs!$F$25*Inputs!$I$25*AJ212</f>
        <v>0</v>
      </c>
      <c r="AP212" s="54"/>
      <c r="AR212" s="117">
        <v>3</v>
      </c>
      <c r="AS212" s="115">
        <f>Inputs!$A$25</f>
        <v>0</v>
      </c>
      <c r="AT212" s="44">
        <f>Inputs!$B$25</f>
        <v>0</v>
      </c>
      <c r="AU212" s="44" t="s">
        <v>57</v>
      </c>
      <c r="AV212" s="44">
        <f t="shared" si="210"/>
        <v>0</v>
      </c>
      <c r="AW212" s="50"/>
      <c r="AX212" s="119">
        <v>3</v>
      </c>
      <c r="AY212" s="115">
        <f>Inputs!$A$25</f>
        <v>0</v>
      </c>
      <c r="AZ212" s="44">
        <f>Inputs!$B$25</f>
        <v>0</v>
      </c>
      <c r="BA212" s="44" t="s">
        <v>58</v>
      </c>
      <c r="BB212" s="44">
        <f t="shared" si="207"/>
        <v>0</v>
      </c>
      <c r="BC212" s="50"/>
      <c r="BD212" s="44">
        <v>0</v>
      </c>
      <c r="BE212" s="44">
        <v>0</v>
      </c>
      <c r="BF212" s="44">
        <f>BK212-0-AV212-BB212</f>
        <v>0</v>
      </c>
      <c r="BG212" s="50"/>
      <c r="BH212" s="44">
        <f>AV212+BB212+BE212-BK212+0-BD212</f>
        <v>0</v>
      </c>
      <c r="BI212" s="63">
        <f>BD212*Inputs!$F$25*Inputs!$G$25</f>
        <v>0</v>
      </c>
      <c r="BJ212" s="44">
        <f>Inputs!$F$25*Inputs!$I$25*BE212</f>
        <v>0</v>
      </c>
      <c r="BK212" s="54"/>
      <c r="BM212" s="117">
        <v>3</v>
      </c>
      <c r="BN212" s="115">
        <f>Inputs!$A$25</f>
        <v>0</v>
      </c>
      <c r="BO212" s="44">
        <f>Inputs!$B$25</f>
        <v>0</v>
      </c>
      <c r="BP212" s="44" t="s">
        <v>57</v>
      </c>
      <c r="BQ212" s="44">
        <f t="shared" si="208"/>
        <v>0</v>
      </c>
      <c r="BR212" s="50"/>
      <c r="BS212" s="119">
        <v>3</v>
      </c>
      <c r="BT212" s="115">
        <f>Inputs!$A$25</f>
        <v>0</v>
      </c>
      <c r="BU212" s="44">
        <f>Inputs!$B$25</f>
        <v>0</v>
      </c>
      <c r="BV212" s="44" t="s">
        <v>58</v>
      </c>
      <c r="BW212" s="44">
        <f t="shared" si="209"/>
        <v>0</v>
      </c>
      <c r="BX212" s="50"/>
      <c r="BY212" s="44">
        <v>0</v>
      </c>
      <c r="BZ212" s="44">
        <v>0</v>
      </c>
      <c r="CA212" s="44">
        <f>CF212-0-BQ212-BW212</f>
        <v>0</v>
      </c>
      <c r="CB212" s="50"/>
      <c r="CC212" s="44">
        <f>BQ212+BW212+BZ212-CF212+0-BY212</f>
        <v>0</v>
      </c>
      <c r="CD212" s="63">
        <f>BY212*Inputs!$F$25*Inputs!$G$25</f>
        <v>0</v>
      </c>
      <c r="CE212" s="44">
        <f>Inputs!$F$25*Inputs!$I$25*BZ212</f>
        <v>0</v>
      </c>
      <c r="CF212" s="54"/>
    </row>
    <row r="213" spans="1:84" x14ac:dyDescent="0.25">
      <c r="A213" s="117">
        <v>4</v>
      </c>
      <c r="B213" s="115">
        <f>Inputs!$A$25</f>
        <v>0</v>
      </c>
      <c r="C213" s="44">
        <f>Inputs!$B$25</f>
        <v>0</v>
      </c>
      <c r="D213" s="44" t="s">
        <v>57</v>
      </c>
      <c r="E213" s="44">
        <v>0</v>
      </c>
      <c r="F213" s="50"/>
      <c r="G213" s="119">
        <v>4</v>
      </c>
      <c r="H213" s="115">
        <f>Inputs!$A$25</f>
        <v>0</v>
      </c>
      <c r="I213" s="44">
        <f>Inputs!$B$25</f>
        <v>0</v>
      </c>
      <c r="J213" s="44" t="s">
        <v>58</v>
      </c>
      <c r="K213" s="44">
        <v>0</v>
      </c>
      <c r="L213" s="50"/>
      <c r="M213" s="44">
        <v>0</v>
      </c>
      <c r="N213" s="44">
        <v>0</v>
      </c>
      <c r="O213" s="44">
        <f t="shared" ref="O213:O220" si="219">U213-M212-E213-K213</f>
        <v>0</v>
      </c>
      <c r="P213" s="50"/>
      <c r="Q213" s="44">
        <f t="shared" ref="Q213:Q220" si="220">E213+K213+N213-U213+M212-M213</f>
        <v>0</v>
      </c>
      <c r="R213" s="63">
        <f>M213*Inputs!$F$25*Inputs!$G$25</f>
        <v>0</v>
      </c>
      <c r="S213" s="44">
        <f>Inputs!$F$25*Inputs!$I$25*N213</f>
        <v>0</v>
      </c>
      <c r="T213" s="18"/>
      <c r="U213" s="55"/>
      <c r="W213" s="117">
        <v>4</v>
      </c>
      <c r="X213" s="115">
        <f>Inputs!$A$25</f>
        <v>0</v>
      </c>
      <c r="Y213" s="44">
        <f>Inputs!$B$25</f>
        <v>0</v>
      </c>
      <c r="Z213" s="44" t="s">
        <v>57</v>
      </c>
      <c r="AA213" s="44">
        <f t="shared" si="205"/>
        <v>0</v>
      </c>
      <c r="AB213" s="50"/>
      <c r="AC213" s="119">
        <v>4</v>
      </c>
      <c r="AD213" s="115">
        <f>Inputs!$A$25</f>
        <v>0</v>
      </c>
      <c r="AE213" s="44">
        <f>Inputs!$B$25</f>
        <v>0</v>
      </c>
      <c r="AF213" s="44" t="s">
        <v>58</v>
      </c>
      <c r="AG213" s="44">
        <f t="shared" si="206"/>
        <v>0</v>
      </c>
      <c r="AH213" s="50"/>
      <c r="AI213" s="44">
        <v>0</v>
      </c>
      <c r="AJ213" s="44">
        <v>0</v>
      </c>
      <c r="AK213" s="44">
        <f t="shared" ref="AK213:AK220" si="221">AP213-AI212-AA213-AG213</f>
        <v>0</v>
      </c>
      <c r="AL213" s="50"/>
      <c r="AM213" s="44">
        <f t="shared" ref="AM213:AM220" si="222">AA213+AG213+AJ213-AP213+AI212-AI213</f>
        <v>0</v>
      </c>
      <c r="AN213" s="63">
        <f>AI213*Inputs!$F$25*Inputs!$G$25</f>
        <v>0</v>
      </c>
      <c r="AO213" s="44">
        <f>Inputs!$F$25*Inputs!$I$25*AJ213</f>
        <v>0</v>
      </c>
      <c r="AP213" s="55"/>
      <c r="AR213" s="117">
        <v>4</v>
      </c>
      <c r="AS213" s="115">
        <f>Inputs!$A$25</f>
        <v>0</v>
      </c>
      <c r="AT213" s="44">
        <f>Inputs!$B$25</f>
        <v>0</v>
      </c>
      <c r="AU213" s="44" t="s">
        <v>57</v>
      </c>
      <c r="AV213" s="44">
        <f t="shared" si="210"/>
        <v>0</v>
      </c>
      <c r="AW213" s="50"/>
      <c r="AX213" s="119">
        <v>4</v>
      </c>
      <c r="AY213" s="115">
        <f>Inputs!$A$25</f>
        <v>0</v>
      </c>
      <c r="AZ213" s="44">
        <f>Inputs!$B$25</f>
        <v>0</v>
      </c>
      <c r="BA213" s="44" t="s">
        <v>58</v>
      </c>
      <c r="BB213" s="44">
        <f t="shared" si="207"/>
        <v>0</v>
      </c>
      <c r="BC213" s="50"/>
      <c r="BD213" s="44">
        <v>0</v>
      </c>
      <c r="BE213" s="44">
        <v>0</v>
      </c>
      <c r="BF213" s="44">
        <f t="shared" ref="BF213:BF220" si="223">BK213-BD212-AV213-BB213</f>
        <v>0</v>
      </c>
      <c r="BG213" s="50"/>
      <c r="BH213" s="44">
        <f t="shared" ref="BH213:BH220" si="224">AV213+BB213+BE213-BK213+BD212-BD213</f>
        <v>0</v>
      </c>
      <c r="BI213" s="63">
        <f>BD213*Inputs!$F$25*Inputs!$G$25</f>
        <v>0</v>
      </c>
      <c r="BJ213" s="44">
        <f>Inputs!$F$25*Inputs!$I$25*BE213</f>
        <v>0</v>
      </c>
      <c r="BK213" s="55"/>
      <c r="BM213" s="117">
        <v>4</v>
      </c>
      <c r="BN213" s="115">
        <f>Inputs!$A$25</f>
        <v>0</v>
      </c>
      <c r="BO213" s="44">
        <f>Inputs!$B$25</f>
        <v>0</v>
      </c>
      <c r="BP213" s="44" t="s">
        <v>57</v>
      </c>
      <c r="BQ213" s="44">
        <f t="shared" si="208"/>
        <v>0</v>
      </c>
      <c r="BR213" s="50"/>
      <c r="BS213" s="119">
        <v>4</v>
      </c>
      <c r="BT213" s="115">
        <f>Inputs!$A$25</f>
        <v>0</v>
      </c>
      <c r="BU213" s="44">
        <f>Inputs!$B$25</f>
        <v>0</v>
      </c>
      <c r="BV213" s="44" t="s">
        <v>58</v>
      </c>
      <c r="BW213" s="44">
        <f t="shared" si="209"/>
        <v>0</v>
      </c>
      <c r="BX213" s="50"/>
      <c r="BY213" s="44">
        <v>0</v>
      </c>
      <c r="BZ213" s="44">
        <v>0</v>
      </c>
      <c r="CA213" s="44">
        <f t="shared" ref="CA213:CA220" si="225">CF213-BY212-BQ213-BW213</f>
        <v>0</v>
      </c>
      <c r="CB213" s="50"/>
      <c r="CC213" s="44">
        <f t="shared" ref="CC213:CC220" si="226">BQ213+BW213+BZ213-CF213+BY212-BY213</f>
        <v>0</v>
      </c>
      <c r="CD213" s="63">
        <f>BY213*Inputs!$F$25*Inputs!$G$25</f>
        <v>0</v>
      </c>
      <c r="CE213" s="44">
        <f>Inputs!$F$25*Inputs!$I$25*BZ213</f>
        <v>0</v>
      </c>
      <c r="CF213" s="55"/>
    </row>
    <row r="214" spans="1:84" x14ac:dyDescent="0.25">
      <c r="A214" s="117">
        <v>5</v>
      </c>
      <c r="B214" s="115">
        <f>Inputs!$A$25</f>
        <v>0</v>
      </c>
      <c r="C214" s="44">
        <f>Inputs!$B$25</f>
        <v>0</v>
      </c>
      <c r="D214" s="44" t="s">
        <v>57</v>
      </c>
      <c r="E214" s="44">
        <v>0</v>
      </c>
      <c r="F214" s="50"/>
      <c r="G214" s="119">
        <v>5</v>
      </c>
      <c r="H214" s="115">
        <f>Inputs!$A$25</f>
        <v>0</v>
      </c>
      <c r="I214" s="44">
        <f>Inputs!$B$25</f>
        <v>0</v>
      </c>
      <c r="J214" s="44" t="s">
        <v>58</v>
      </c>
      <c r="K214" s="44">
        <v>0</v>
      </c>
      <c r="L214" s="50"/>
      <c r="M214" s="44">
        <v>0</v>
      </c>
      <c r="N214" s="44">
        <v>0</v>
      </c>
      <c r="O214" s="44">
        <f t="shared" si="219"/>
        <v>0</v>
      </c>
      <c r="P214" s="50"/>
      <c r="Q214" s="44">
        <f t="shared" si="220"/>
        <v>0</v>
      </c>
      <c r="R214" s="63">
        <f>M214*Inputs!$F$25*Inputs!$G$25</f>
        <v>0</v>
      </c>
      <c r="S214" s="44">
        <f>Inputs!$F$25*Inputs!$I$25*N214</f>
        <v>0</v>
      </c>
      <c r="T214" s="18"/>
      <c r="U214" s="55"/>
      <c r="W214" s="117">
        <v>5</v>
      </c>
      <c r="X214" s="115">
        <f>Inputs!$A$25</f>
        <v>0</v>
      </c>
      <c r="Y214" s="44">
        <f>Inputs!$B$25</f>
        <v>0</v>
      </c>
      <c r="Z214" s="44" t="s">
        <v>57</v>
      </c>
      <c r="AA214" s="44">
        <f t="shared" si="205"/>
        <v>0</v>
      </c>
      <c r="AB214" s="50"/>
      <c r="AC214" s="119">
        <v>5</v>
      </c>
      <c r="AD214" s="115">
        <f>Inputs!$A$25</f>
        <v>0</v>
      </c>
      <c r="AE214" s="44">
        <f>Inputs!$B$25</f>
        <v>0</v>
      </c>
      <c r="AF214" s="44" t="s">
        <v>58</v>
      </c>
      <c r="AG214" s="44">
        <f t="shared" si="206"/>
        <v>0</v>
      </c>
      <c r="AH214" s="50"/>
      <c r="AI214" s="44">
        <v>0</v>
      </c>
      <c r="AJ214" s="44">
        <v>0</v>
      </c>
      <c r="AK214" s="44">
        <f t="shared" si="221"/>
        <v>0</v>
      </c>
      <c r="AL214" s="50"/>
      <c r="AM214" s="44">
        <f t="shared" si="222"/>
        <v>0</v>
      </c>
      <c r="AN214" s="63">
        <f>AI214*Inputs!$F$25*Inputs!$G$25</f>
        <v>0</v>
      </c>
      <c r="AO214" s="44">
        <f>Inputs!$F$25*Inputs!$I$25*AJ214</f>
        <v>0</v>
      </c>
      <c r="AP214" s="55"/>
      <c r="AR214" s="117">
        <v>5</v>
      </c>
      <c r="AS214" s="115">
        <f>Inputs!$A$25</f>
        <v>0</v>
      </c>
      <c r="AT214" s="44">
        <f>Inputs!$B$25</f>
        <v>0</v>
      </c>
      <c r="AU214" s="44" t="s">
        <v>57</v>
      </c>
      <c r="AV214" s="44">
        <f t="shared" si="210"/>
        <v>0</v>
      </c>
      <c r="AW214" s="50"/>
      <c r="AX214" s="119">
        <v>5</v>
      </c>
      <c r="AY214" s="115">
        <f>Inputs!$A$25</f>
        <v>0</v>
      </c>
      <c r="AZ214" s="44">
        <f>Inputs!$B$25</f>
        <v>0</v>
      </c>
      <c r="BA214" s="44" t="s">
        <v>58</v>
      </c>
      <c r="BB214" s="44">
        <f t="shared" si="207"/>
        <v>0</v>
      </c>
      <c r="BC214" s="50"/>
      <c r="BD214" s="44">
        <v>0</v>
      </c>
      <c r="BE214" s="44">
        <v>0</v>
      </c>
      <c r="BF214" s="44">
        <f t="shared" si="223"/>
        <v>0</v>
      </c>
      <c r="BG214" s="50"/>
      <c r="BH214" s="44">
        <f t="shared" si="224"/>
        <v>0</v>
      </c>
      <c r="BI214" s="63">
        <f>BD214*Inputs!$F$25*Inputs!$G$25</f>
        <v>0</v>
      </c>
      <c r="BJ214" s="44">
        <f>Inputs!$F$25*Inputs!$I$25*BE214</f>
        <v>0</v>
      </c>
      <c r="BK214" s="55"/>
      <c r="BM214" s="117">
        <v>5</v>
      </c>
      <c r="BN214" s="115">
        <f>Inputs!$A$25</f>
        <v>0</v>
      </c>
      <c r="BO214" s="44">
        <f>Inputs!$B$25</f>
        <v>0</v>
      </c>
      <c r="BP214" s="44" t="s">
        <v>57</v>
      </c>
      <c r="BQ214" s="44">
        <f t="shared" si="208"/>
        <v>0</v>
      </c>
      <c r="BR214" s="50"/>
      <c r="BS214" s="119">
        <v>5</v>
      </c>
      <c r="BT214" s="115">
        <f>Inputs!$A$25</f>
        <v>0</v>
      </c>
      <c r="BU214" s="44">
        <f>Inputs!$B$25</f>
        <v>0</v>
      </c>
      <c r="BV214" s="44" t="s">
        <v>58</v>
      </c>
      <c r="BW214" s="44">
        <f t="shared" si="209"/>
        <v>0</v>
      </c>
      <c r="BX214" s="50"/>
      <c r="BY214" s="44">
        <v>0</v>
      </c>
      <c r="BZ214" s="44">
        <v>0</v>
      </c>
      <c r="CA214" s="44">
        <f t="shared" si="225"/>
        <v>0</v>
      </c>
      <c r="CB214" s="50"/>
      <c r="CC214" s="44">
        <f t="shared" si="226"/>
        <v>0</v>
      </c>
      <c r="CD214" s="63">
        <f>BY214*Inputs!$F$25*Inputs!$G$25</f>
        <v>0</v>
      </c>
      <c r="CE214" s="44">
        <f>Inputs!$F$25*Inputs!$I$25*BZ214</f>
        <v>0</v>
      </c>
      <c r="CF214" s="55"/>
    </row>
    <row r="215" spans="1:84" x14ac:dyDescent="0.25">
      <c r="A215" s="117">
        <v>6</v>
      </c>
      <c r="B215" s="115">
        <f>Inputs!$A$25</f>
        <v>0</v>
      </c>
      <c r="C215" s="44">
        <f>Inputs!$B$25</f>
        <v>0</v>
      </c>
      <c r="D215" s="44" t="s">
        <v>57</v>
      </c>
      <c r="E215" s="44">
        <v>0</v>
      </c>
      <c r="F215" s="50"/>
      <c r="G215" s="119">
        <v>6</v>
      </c>
      <c r="H215" s="115">
        <f>Inputs!$A$25</f>
        <v>0</v>
      </c>
      <c r="I215" s="44">
        <f>Inputs!$B$25</f>
        <v>0</v>
      </c>
      <c r="J215" s="44" t="s">
        <v>58</v>
      </c>
      <c r="K215" s="44">
        <v>0</v>
      </c>
      <c r="L215" s="50"/>
      <c r="M215" s="44">
        <v>0</v>
      </c>
      <c r="N215" s="44">
        <v>0</v>
      </c>
      <c r="O215" s="44">
        <f t="shared" si="219"/>
        <v>0</v>
      </c>
      <c r="P215" s="50"/>
      <c r="Q215" s="44">
        <f t="shared" si="220"/>
        <v>0</v>
      </c>
      <c r="R215" s="63">
        <f>M215*Inputs!$F$25*Inputs!$G$25</f>
        <v>0</v>
      </c>
      <c r="S215" s="44">
        <f>Inputs!$F$25*Inputs!$I$25*N215</f>
        <v>0</v>
      </c>
      <c r="T215" s="18"/>
      <c r="U215" s="55"/>
      <c r="W215" s="117">
        <v>6</v>
      </c>
      <c r="X215" s="115">
        <f>Inputs!$A$25</f>
        <v>0</v>
      </c>
      <c r="Y215" s="44">
        <f>Inputs!$B$25</f>
        <v>0</v>
      </c>
      <c r="Z215" s="44" t="s">
        <v>57</v>
      </c>
      <c r="AA215" s="44">
        <f t="shared" si="205"/>
        <v>0</v>
      </c>
      <c r="AB215" s="50"/>
      <c r="AC215" s="119">
        <v>6</v>
      </c>
      <c r="AD215" s="115">
        <f>Inputs!$A$25</f>
        <v>0</v>
      </c>
      <c r="AE215" s="44">
        <f>Inputs!$B$25</f>
        <v>0</v>
      </c>
      <c r="AF215" s="44" t="s">
        <v>58</v>
      </c>
      <c r="AG215" s="44">
        <f t="shared" si="206"/>
        <v>0</v>
      </c>
      <c r="AH215" s="50"/>
      <c r="AI215" s="44">
        <v>0</v>
      </c>
      <c r="AJ215" s="44">
        <v>0</v>
      </c>
      <c r="AK215" s="44">
        <f t="shared" si="221"/>
        <v>0</v>
      </c>
      <c r="AL215" s="50"/>
      <c r="AM215" s="44">
        <f t="shared" si="222"/>
        <v>0</v>
      </c>
      <c r="AN215" s="63">
        <f>AI215*Inputs!$F$25*Inputs!$G$25</f>
        <v>0</v>
      </c>
      <c r="AO215" s="44">
        <f>Inputs!$F$25*Inputs!$I$25*AJ215</f>
        <v>0</v>
      </c>
      <c r="AP215" s="55"/>
      <c r="AR215" s="117">
        <v>6</v>
      </c>
      <c r="AS215" s="115">
        <f>Inputs!$A$25</f>
        <v>0</v>
      </c>
      <c r="AT215" s="44">
        <f>Inputs!$B$25</f>
        <v>0</v>
      </c>
      <c r="AU215" s="44" t="s">
        <v>57</v>
      </c>
      <c r="AV215" s="44">
        <f t="shared" si="210"/>
        <v>0</v>
      </c>
      <c r="AW215" s="50"/>
      <c r="AX215" s="119">
        <v>6</v>
      </c>
      <c r="AY215" s="115">
        <f>Inputs!$A$25</f>
        <v>0</v>
      </c>
      <c r="AZ215" s="44">
        <f>Inputs!$B$25</f>
        <v>0</v>
      </c>
      <c r="BA215" s="44" t="s">
        <v>58</v>
      </c>
      <c r="BB215" s="44">
        <f t="shared" si="207"/>
        <v>0</v>
      </c>
      <c r="BC215" s="50"/>
      <c r="BD215" s="44">
        <v>0</v>
      </c>
      <c r="BE215" s="44">
        <v>0</v>
      </c>
      <c r="BF215" s="44">
        <f t="shared" si="223"/>
        <v>0</v>
      </c>
      <c r="BG215" s="50"/>
      <c r="BH215" s="44">
        <f t="shared" si="224"/>
        <v>0</v>
      </c>
      <c r="BI215" s="63">
        <f>BD215*Inputs!$F$25*Inputs!$G$25</f>
        <v>0</v>
      </c>
      <c r="BJ215" s="44">
        <f>Inputs!$F$25*Inputs!$I$25*BE215</f>
        <v>0</v>
      </c>
      <c r="BK215" s="55"/>
      <c r="BM215" s="117">
        <v>6</v>
      </c>
      <c r="BN215" s="115">
        <f>Inputs!$A$25</f>
        <v>0</v>
      </c>
      <c r="BO215" s="44">
        <f>Inputs!$B$25</f>
        <v>0</v>
      </c>
      <c r="BP215" s="44" t="s">
        <v>57</v>
      </c>
      <c r="BQ215" s="44">
        <f t="shared" si="208"/>
        <v>0</v>
      </c>
      <c r="BR215" s="50"/>
      <c r="BS215" s="119">
        <v>6</v>
      </c>
      <c r="BT215" s="115">
        <f>Inputs!$A$25</f>
        <v>0</v>
      </c>
      <c r="BU215" s="44">
        <f>Inputs!$B$25</f>
        <v>0</v>
      </c>
      <c r="BV215" s="44" t="s">
        <v>58</v>
      </c>
      <c r="BW215" s="44">
        <f t="shared" si="209"/>
        <v>0</v>
      </c>
      <c r="BX215" s="50"/>
      <c r="BY215" s="44">
        <v>0</v>
      </c>
      <c r="BZ215" s="44">
        <v>0</v>
      </c>
      <c r="CA215" s="44">
        <f t="shared" si="225"/>
        <v>0</v>
      </c>
      <c r="CB215" s="50"/>
      <c r="CC215" s="44">
        <f t="shared" si="226"/>
        <v>0</v>
      </c>
      <c r="CD215" s="63">
        <f>BY215*Inputs!$F$25*Inputs!$G$25</f>
        <v>0</v>
      </c>
      <c r="CE215" s="44">
        <f>Inputs!$F$25*Inputs!$I$25*BZ215</f>
        <v>0</v>
      </c>
      <c r="CF215" s="55"/>
    </row>
    <row r="216" spans="1:84" x14ac:dyDescent="0.25">
      <c r="A216" s="117">
        <v>7</v>
      </c>
      <c r="B216" s="115">
        <f>Inputs!$A$25</f>
        <v>0</v>
      </c>
      <c r="C216" s="44">
        <f>Inputs!$B$25</f>
        <v>0</v>
      </c>
      <c r="D216" s="44" t="s">
        <v>57</v>
      </c>
      <c r="E216" s="44">
        <v>0</v>
      </c>
      <c r="F216" s="50"/>
      <c r="G216" s="119">
        <v>7</v>
      </c>
      <c r="H216" s="115">
        <f>Inputs!$A$25</f>
        <v>0</v>
      </c>
      <c r="I216" s="44">
        <f>Inputs!$B$25</f>
        <v>0</v>
      </c>
      <c r="J216" s="44" t="s">
        <v>58</v>
      </c>
      <c r="K216" s="44">
        <v>0</v>
      </c>
      <c r="L216" s="50"/>
      <c r="M216" s="44">
        <v>0</v>
      </c>
      <c r="N216" s="44">
        <v>0</v>
      </c>
      <c r="O216" s="44">
        <f t="shared" si="219"/>
        <v>0</v>
      </c>
      <c r="P216" s="50"/>
      <c r="Q216" s="44">
        <f t="shared" si="220"/>
        <v>0</v>
      </c>
      <c r="R216" s="63">
        <f>M216*Inputs!$F$25*Inputs!$G$25</f>
        <v>0</v>
      </c>
      <c r="S216" s="44">
        <f>Inputs!$F$25*Inputs!$I$25*N216</f>
        <v>0</v>
      </c>
      <c r="T216" s="18"/>
      <c r="U216" s="55"/>
      <c r="W216" s="117">
        <v>7</v>
      </c>
      <c r="X216" s="115">
        <f>Inputs!$A$25</f>
        <v>0</v>
      </c>
      <c r="Y216" s="44">
        <f>Inputs!$B$25</f>
        <v>0</v>
      </c>
      <c r="Z216" s="44" t="s">
        <v>57</v>
      </c>
      <c r="AA216" s="44">
        <f t="shared" si="205"/>
        <v>0</v>
      </c>
      <c r="AB216" s="50"/>
      <c r="AC216" s="119">
        <v>7</v>
      </c>
      <c r="AD216" s="115">
        <f>Inputs!$A$25</f>
        <v>0</v>
      </c>
      <c r="AE216" s="44">
        <f>Inputs!$B$25</f>
        <v>0</v>
      </c>
      <c r="AF216" s="44" t="s">
        <v>58</v>
      </c>
      <c r="AG216" s="44">
        <f t="shared" si="206"/>
        <v>0</v>
      </c>
      <c r="AH216" s="50"/>
      <c r="AI216" s="44">
        <v>0</v>
      </c>
      <c r="AJ216" s="44">
        <v>0</v>
      </c>
      <c r="AK216" s="44">
        <f t="shared" si="221"/>
        <v>0</v>
      </c>
      <c r="AL216" s="50"/>
      <c r="AM216" s="44">
        <f t="shared" si="222"/>
        <v>0</v>
      </c>
      <c r="AN216" s="63">
        <f>AI216*Inputs!$F$25*Inputs!$G$25</f>
        <v>0</v>
      </c>
      <c r="AO216" s="44">
        <f>Inputs!$F$25*Inputs!$I$25*AJ216</f>
        <v>0</v>
      </c>
      <c r="AP216" s="55"/>
      <c r="AR216" s="117">
        <v>7</v>
      </c>
      <c r="AS216" s="115">
        <f>Inputs!$A$25</f>
        <v>0</v>
      </c>
      <c r="AT216" s="44">
        <f>Inputs!$B$25</f>
        <v>0</v>
      </c>
      <c r="AU216" s="44" t="s">
        <v>57</v>
      </c>
      <c r="AV216" s="44">
        <f t="shared" si="210"/>
        <v>0</v>
      </c>
      <c r="AW216" s="50"/>
      <c r="AX216" s="119">
        <v>7</v>
      </c>
      <c r="AY216" s="115">
        <f>Inputs!$A$25</f>
        <v>0</v>
      </c>
      <c r="AZ216" s="44">
        <f>Inputs!$B$25</f>
        <v>0</v>
      </c>
      <c r="BA216" s="44" t="s">
        <v>58</v>
      </c>
      <c r="BB216" s="44">
        <f t="shared" si="207"/>
        <v>0</v>
      </c>
      <c r="BC216" s="50"/>
      <c r="BD216" s="44">
        <v>0</v>
      </c>
      <c r="BE216" s="44">
        <v>0</v>
      </c>
      <c r="BF216" s="44">
        <f t="shared" si="223"/>
        <v>0</v>
      </c>
      <c r="BG216" s="50"/>
      <c r="BH216" s="44">
        <f t="shared" si="224"/>
        <v>0</v>
      </c>
      <c r="BI216" s="63">
        <f>BD216*Inputs!$F$25*Inputs!$G$25</f>
        <v>0</v>
      </c>
      <c r="BJ216" s="44">
        <f>Inputs!$F$25*Inputs!$I$25*BE216</f>
        <v>0</v>
      </c>
      <c r="BK216" s="55"/>
      <c r="BM216" s="117">
        <v>7</v>
      </c>
      <c r="BN216" s="115">
        <f>Inputs!$A$25</f>
        <v>0</v>
      </c>
      <c r="BO216" s="44">
        <f>Inputs!$B$25</f>
        <v>0</v>
      </c>
      <c r="BP216" s="44" t="s">
        <v>57</v>
      </c>
      <c r="BQ216" s="44">
        <f t="shared" si="208"/>
        <v>0</v>
      </c>
      <c r="BR216" s="50"/>
      <c r="BS216" s="119">
        <v>7</v>
      </c>
      <c r="BT216" s="115">
        <f>Inputs!$A$25</f>
        <v>0</v>
      </c>
      <c r="BU216" s="44">
        <f>Inputs!$B$25</f>
        <v>0</v>
      </c>
      <c r="BV216" s="44" t="s">
        <v>58</v>
      </c>
      <c r="BW216" s="44">
        <f t="shared" si="209"/>
        <v>0</v>
      </c>
      <c r="BX216" s="50"/>
      <c r="BY216" s="44">
        <v>0</v>
      </c>
      <c r="BZ216" s="44">
        <v>0</v>
      </c>
      <c r="CA216" s="44">
        <f t="shared" si="225"/>
        <v>0</v>
      </c>
      <c r="CB216" s="50"/>
      <c r="CC216" s="44">
        <f t="shared" si="226"/>
        <v>0</v>
      </c>
      <c r="CD216" s="63">
        <f>BY216*Inputs!$F$25*Inputs!$G$25</f>
        <v>0</v>
      </c>
      <c r="CE216" s="44">
        <f>Inputs!$F$25*Inputs!$I$25*BZ216</f>
        <v>0</v>
      </c>
      <c r="CF216" s="55"/>
    </row>
    <row r="217" spans="1:84" x14ac:dyDescent="0.25">
      <c r="A217" s="117">
        <v>8</v>
      </c>
      <c r="B217" s="115">
        <f>Inputs!$A$25</f>
        <v>0</v>
      </c>
      <c r="C217" s="44">
        <f>Inputs!$B$25</f>
        <v>0</v>
      </c>
      <c r="D217" s="44" t="s">
        <v>57</v>
      </c>
      <c r="E217" s="44">
        <v>0</v>
      </c>
      <c r="F217" s="50"/>
      <c r="G217" s="119">
        <v>8</v>
      </c>
      <c r="H217" s="115">
        <f>Inputs!$A$25</f>
        <v>0</v>
      </c>
      <c r="I217" s="44">
        <f>Inputs!$B$25</f>
        <v>0</v>
      </c>
      <c r="J217" s="44" t="s">
        <v>58</v>
      </c>
      <c r="K217" s="44">
        <v>0</v>
      </c>
      <c r="L217" s="50"/>
      <c r="M217" s="44">
        <v>0</v>
      </c>
      <c r="N217" s="44">
        <v>0</v>
      </c>
      <c r="O217" s="44">
        <f t="shared" si="219"/>
        <v>0</v>
      </c>
      <c r="P217" s="50"/>
      <c r="Q217" s="44">
        <f t="shared" si="220"/>
        <v>0</v>
      </c>
      <c r="R217" s="63">
        <f>M217*Inputs!$F$25*Inputs!$G$25</f>
        <v>0</v>
      </c>
      <c r="S217" s="44">
        <f>Inputs!$F$25*Inputs!$I$25*N217</f>
        <v>0</v>
      </c>
      <c r="T217" s="18"/>
      <c r="U217" s="55"/>
      <c r="W217" s="117">
        <v>8</v>
      </c>
      <c r="X217" s="115">
        <f>Inputs!$A$25</f>
        <v>0</v>
      </c>
      <c r="Y217" s="44">
        <f>Inputs!$B$25</f>
        <v>0</v>
      </c>
      <c r="Z217" s="44" t="s">
        <v>57</v>
      </c>
      <c r="AA217" s="44">
        <f t="shared" si="205"/>
        <v>0</v>
      </c>
      <c r="AB217" s="50"/>
      <c r="AC217" s="119">
        <v>8</v>
      </c>
      <c r="AD217" s="115">
        <f>Inputs!$A$25</f>
        <v>0</v>
      </c>
      <c r="AE217" s="44">
        <f>Inputs!$B$25</f>
        <v>0</v>
      </c>
      <c r="AF217" s="44" t="s">
        <v>58</v>
      </c>
      <c r="AG217" s="44">
        <f t="shared" si="206"/>
        <v>0</v>
      </c>
      <c r="AH217" s="50"/>
      <c r="AI217" s="44">
        <v>0</v>
      </c>
      <c r="AJ217" s="44">
        <v>0</v>
      </c>
      <c r="AK217" s="44">
        <f t="shared" si="221"/>
        <v>0</v>
      </c>
      <c r="AL217" s="50"/>
      <c r="AM217" s="44">
        <f t="shared" si="222"/>
        <v>0</v>
      </c>
      <c r="AN217" s="63">
        <f>AI217*Inputs!$F$25*Inputs!$G$25</f>
        <v>0</v>
      </c>
      <c r="AO217" s="44">
        <f>Inputs!$F$25*Inputs!$I$25*AJ217</f>
        <v>0</v>
      </c>
      <c r="AP217" s="55"/>
      <c r="AR217" s="117">
        <v>8</v>
      </c>
      <c r="AS217" s="115">
        <f>Inputs!$A$25</f>
        <v>0</v>
      </c>
      <c r="AT217" s="44">
        <f>Inputs!$B$25</f>
        <v>0</v>
      </c>
      <c r="AU217" s="44" t="s">
        <v>57</v>
      </c>
      <c r="AV217" s="44">
        <f t="shared" si="210"/>
        <v>0</v>
      </c>
      <c r="AW217" s="50"/>
      <c r="AX217" s="119">
        <v>8</v>
      </c>
      <c r="AY217" s="115">
        <f>Inputs!$A$25</f>
        <v>0</v>
      </c>
      <c r="AZ217" s="44">
        <f>Inputs!$B$25</f>
        <v>0</v>
      </c>
      <c r="BA217" s="44" t="s">
        <v>58</v>
      </c>
      <c r="BB217" s="44">
        <f t="shared" si="207"/>
        <v>0</v>
      </c>
      <c r="BC217" s="50"/>
      <c r="BD217" s="44">
        <v>0</v>
      </c>
      <c r="BE217" s="44">
        <v>0</v>
      </c>
      <c r="BF217" s="44">
        <f t="shared" si="223"/>
        <v>0</v>
      </c>
      <c r="BG217" s="50"/>
      <c r="BH217" s="44">
        <f t="shared" si="224"/>
        <v>0</v>
      </c>
      <c r="BI217" s="63">
        <f>BD217*Inputs!$F$25*Inputs!$G$25</f>
        <v>0</v>
      </c>
      <c r="BJ217" s="44">
        <f>Inputs!$F$25*Inputs!$I$25*BE217</f>
        <v>0</v>
      </c>
      <c r="BK217" s="55"/>
      <c r="BM217" s="117">
        <v>8</v>
      </c>
      <c r="BN217" s="115">
        <f>Inputs!$A$25</f>
        <v>0</v>
      </c>
      <c r="BO217" s="44">
        <f>Inputs!$B$25</f>
        <v>0</v>
      </c>
      <c r="BP217" s="44" t="s">
        <v>57</v>
      </c>
      <c r="BQ217" s="44">
        <f t="shared" si="208"/>
        <v>0</v>
      </c>
      <c r="BR217" s="50"/>
      <c r="BS217" s="119">
        <v>8</v>
      </c>
      <c r="BT217" s="115">
        <f>Inputs!$A$25</f>
        <v>0</v>
      </c>
      <c r="BU217" s="44">
        <f>Inputs!$B$25</f>
        <v>0</v>
      </c>
      <c r="BV217" s="44" t="s">
        <v>58</v>
      </c>
      <c r="BW217" s="44">
        <f t="shared" si="209"/>
        <v>0</v>
      </c>
      <c r="BX217" s="50"/>
      <c r="BY217" s="44">
        <v>0</v>
      </c>
      <c r="BZ217" s="44">
        <v>0</v>
      </c>
      <c r="CA217" s="44">
        <f t="shared" si="225"/>
        <v>0</v>
      </c>
      <c r="CB217" s="50"/>
      <c r="CC217" s="44">
        <f t="shared" si="226"/>
        <v>0</v>
      </c>
      <c r="CD217" s="63">
        <f>BY217*Inputs!$F$25*Inputs!$G$25</f>
        <v>0</v>
      </c>
      <c r="CE217" s="44">
        <f>Inputs!$F$25*Inputs!$I$25*BZ217</f>
        <v>0</v>
      </c>
      <c r="CF217" s="55"/>
    </row>
    <row r="218" spans="1:84" x14ac:dyDescent="0.25">
      <c r="A218" s="117">
        <v>9</v>
      </c>
      <c r="B218" s="115">
        <f>Inputs!$A$25</f>
        <v>0</v>
      </c>
      <c r="C218" s="44">
        <f>Inputs!$B$25</f>
        <v>0</v>
      </c>
      <c r="D218" s="44" t="s">
        <v>57</v>
      </c>
      <c r="E218" s="44">
        <v>0</v>
      </c>
      <c r="F218" s="50"/>
      <c r="G218" s="119">
        <v>9</v>
      </c>
      <c r="H218" s="115">
        <f>Inputs!$A$25</f>
        <v>0</v>
      </c>
      <c r="I218" s="44">
        <f>Inputs!$B$25</f>
        <v>0</v>
      </c>
      <c r="J218" s="44" t="s">
        <v>58</v>
      </c>
      <c r="K218" s="44">
        <v>0</v>
      </c>
      <c r="L218" s="50"/>
      <c r="M218" s="44">
        <v>0</v>
      </c>
      <c r="N218" s="44">
        <v>0</v>
      </c>
      <c r="O218" s="44">
        <f t="shared" si="219"/>
        <v>0</v>
      </c>
      <c r="P218" s="50"/>
      <c r="Q218" s="44">
        <f t="shared" si="220"/>
        <v>0</v>
      </c>
      <c r="R218" s="63">
        <f>M218*Inputs!$F$25*Inputs!$G$25</f>
        <v>0</v>
      </c>
      <c r="S218" s="44">
        <f>Inputs!$F$25*Inputs!$I$25*N218</f>
        <v>0</v>
      </c>
      <c r="T218" s="18"/>
      <c r="U218" s="55"/>
      <c r="W218" s="117">
        <v>9</v>
      </c>
      <c r="X218" s="115">
        <f>Inputs!$A$25</f>
        <v>0</v>
      </c>
      <c r="Y218" s="44">
        <f>Inputs!$B$25</f>
        <v>0</v>
      </c>
      <c r="Z218" s="44" t="s">
        <v>57</v>
      </c>
      <c r="AA218" s="44">
        <f t="shared" si="205"/>
        <v>0</v>
      </c>
      <c r="AB218" s="50"/>
      <c r="AC218" s="119">
        <v>9</v>
      </c>
      <c r="AD218" s="115">
        <f>Inputs!$A$25</f>
        <v>0</v>
      </c>
      <c r="AE218" s="44">
        <f>Inputs!$B$25</f>
        <v>0</v>
      </c>
      <c r="AF218" s="44" t="s">
        <v>58</v>
      </c>
      <c r="AG218" s="44">
        <f t="shared" si="206"/>
        <v>0</v>
      </c>
      <c r="AH218" s="50"/>
      <c r="AI218" s="44">
        <v>0</v>
      </c>
      <c r="AJ218" s="44">
        <v>0</v>
      </c>
      <c r="AK218" s="44">
        <f t="shared" si="221"/>
        <v>0</v>
      </c>
      <c r="AL218" s="50"/>
      <c r="AM218" s="44">
        <f t="shared" si="222"/>
        <v>0</v>
      </c>
      <c r="AN218" s="63">
        <f>AI218*Inputs!$F$25*Inputs!$G$25</f>
        <v>0</v>
      </c>
      <c r="AO218" s="44">
        <f>Inputs!$F$25*Inputs!$I$25*AJ218</f>
        <v>0</v>
      </c>
      <c r="AP218" s="55"/>
      <c r="AR218" s="117">
        <v>9</v>
      </c>
      <c r="AS218" s="115">
        <f>Inputs!$A$25</f>
        <v>0</v>
      </c>
      <c r="AT218" s="44">
        <f>Inputs!$B$25</f>
        <v>0</v>
      </c>
      <c r="AU218" s="44" t="s">
        <v>57</v>
      </c>
      <c r="AV218" s="44">
        <f t="shared" si="210"/>
        <v>0</v>
      </c>
      <c r="AW218" s="50"/>
      <c r="AX218" s="119">
        <v>9</v>
      </c>
      <c r="AY218" s="115">
        <f>Inputs!$A$25</f>
        <v>0</v>
      </c>
      <c r="AZ218" s="44">
        <f>Inputs!$B$25</f>
        <v>0</v>
      </c>
      <c r="BA218" s="44" t="s">
        <v>58</v>
      </c>
      <c r="BB218" s="44">
        <f t="shared" si="207"/>
        <v>0</v>
      </c>
      <c r="BC218" s="50"/>
      <c r="BD218" s="44">
        <v>0</v>
      </c>
      <c r="BE218" s="44">
        <v>0</v>
      </c>
      <c r="BF218" s="44">
        <f t="shared" si="223"/>
        <v>0</v>
      </c>
      <c r="BG218" s="50"/>
      <c r="BH218" s="44">
        <f t="shared" si="224"/>
        <v>0</v>
      </c>
      <c r="BI218" s="63">
        <f>BD218*Inputs!$F$25*Inputs!$G$25</f>
        <v>0</v>
      </c>
      <c r="BJ218" s="44">
        <f>Inputs!$F$25*Inputs!$I$25*BE218</f>
        <v>0</v>
      </c>
      <c r="BK218" s="55"/>
      <c r="BM218" s="117">
        <v>9</v>
      </c>
      <c r="BN218" s="115">
        <f>Inputs!$A$25</f>
        <v>0</v>
      </c>
      <c r="BO218" s="44">
        <f>Inputs!$B$25</f>
        <v>0</v>
      </c>
      <c r="BP218" s="44" t="s">
        <v>57</v>
      </c>
      <c r="BQ218" s="44">
        <f t="shared" si="208"/>
        <v>0</v>
      </c>
      <c r="BR218" s="50"/>
      <c r="BS218" s="119">
        <v>9</v>
      </c>
      <c r="BT218" s="115">
        <f>Inputs!$A$25</f>
        <v>0</v>
      </c>
      <c r="BU218" s="44">
        <f>Inputs!$B$25</f>
        <v>0</v>
      </c>
      <c r="BV218" s="44" t="s">
        <v>58</v>
      </c>
      <c r="BW218" s="44">
        <f t="shared" si="209"/>
        <v>0</v>
      </c>
      <c r="BX218" s="50"/>
      <c r="BY218" s="44">
        <v>0</v>
      </c>
      <c r="BZ218" s="44">
        <v>0</v>
      </c>
      <c r="CA218" s="44">
        <f t="shared" si="225"/>
        <v>0</v>
      </c>
      <c r="CB218" s="50"/>
      <c r="CC218" s="44">
        <f t="shared" si="226"/>
        <v>0</v>
      </c>
      <c r="CD218" s="63">
        <f>BY218*Inputs!$F$25*Inputs!$G$25</f>
        <v>0</v>
      </c>
      <c r="CE218" s="44">
        <f>Inputs!$F$25*Inputs!$I$25*BZ218</f>
        <v>0</v>
      </c>
      <c r="CF218" s="55"/>
    </row>
    <row r="219" spans="1:84" x14ac:dyDescent="0.25">
      <c r="A219" s="117">
        <v>10</v>
      </c>
      <c r="B219" s="115">
        <f>Inputs!$A$25</f>
        <v>0</v>
      </c>
      <c r="C219" s="44">
        <f>Inputs!$B$25</f>
        <v>0</v>
      </c>
      <c r="D219" s="44" t="s">
        <v>57</v>
      </c>
      <c r="E219" s="44">
        <v>0</v>
      </c>
      <c r="F219" s="50"/>
      <c r="G219" s="119">
        <v>10</v>
      </c>
      <c r="H219" s="115">
        <f>Inputs!$A$25</f>
        <v>0</v>
      </c>
      <c r="I219" s="44">
        <f>Inputs!$B$25</f>
        <v>0</v>
      </c>
      <c r="J219" s="44" t="s">
        <v>58</v>
      </c>
      <c r="K219" s="44">
        <v>0</v>
      </c>
      <c r="L219" s="50"/>
      <c r="M219" s="44">
        <v>0</v>
      </c>
      <c r="N219" s="44">
        <v>0</v>
      </c>
      <c r="O219" s="44">
        <f t="shared" si="219"/>
        <v>0</v>
      </c>
      <c r="P219" s="50"/>
      <c r="Q219" s="44">
        <f t="shared" si="220"/>
        <v>0</v>
      </c>
      <c r="R219" s="63">
        <f>M219*Inputs!$F$25*Inputs!$G$25</f>
        <v>0</v>
      </c>
      <c r="S219" s="44">
        <f>Inputs!$F$25*Inputs!$I$25*N219</f>
        <v>0</v>
      </c>
      <c r="T219" s="18"/>
      <c r="U219" s="91"/>
      <c r="W219" s="117">
        <v>10</v>
      </c>
      <c r="X219" s="115">
        <f>Inputs!$A$25</f>
        <v>0</v>
      </c>
      <c r="Y219" s="44">
        <f>Inputs!$B$25</f>
        <v>0</v>
      </c>
      <c r="Z219" s="44" t="s">
        <v>57</v>
      </c>
      <c r="AA219" s="44">
        <f t="shared" si="205"/>
        <v>0</v>
      </c>
      <c r="AB219" s="50"/>
      <c r="AC219" s="119">
        <v>10</v>
      </c>
      <c r="AD219" s="115">
        <f>Inputs!$A$25</f>
        <v>0</v>
      </c>
      <c r="AE219" s="44">
        <f>Inputs!$B$25</f>
        <v>0</v>
      </c>
      <c r="AF219" s="44" t="s">
        <v>58</v>
      </c>
      <c r="AG219" s="44">
        <f t="shared" si="206"/>
        <v>0</v>
      </c>
      <c r="AH219" s="50"/>
      <c r="AI219" s="44">
        <v>0</v>
      </c>
      <c r="AJ219" s="44">
        <v>0</v>
      </c>
      <c r="AK219" s="44">
        <f t="shared" si="221"/>
        <v>0</v>
      </c>
      <c r="AL219" s="50"/>
      <c r="AM219" s="44">
        <f t="shared" si="222"/>
        <v>0</v>
      </c>
      <c r="AN219" s="63">
        <f>AI219*Inputs!$F$25*Inputs!$G$25</f>
        <v>0</v>
      </c>
      <c r="AO219" s="44">
        <f>Inputs!$F$25*Inputs!$I$25*AJ219</f>
        <v>0</v>
      </c>
      <c r="AP219" s="91"/>
      <c r="AR219" s="117">
        <v>10</v>
      </c>
      <c r="AS219" s="115">
        <f>Inputs!$A$25</f>
        <v>0</v>
      </c>
      <c r="AT219" s="44">
        <f>Inputs!$B$25</f>
        <v>0</v>
      </c>
      <c r="AU219" s="44" t="s">
        <v>57</v>
      </c>
      <c r="AV219" s="44">
        <f t="shared" si="210"/>
        <v>0</v>
      </c>
      <c r="AW219" s="50"/>
      <c r="AX219" s="119">
        <v>10</v>
      </c>
      <c r="AY219" s="115">
        <f>Inputs!$A$25</f>
        <v>0</v>
      </c>
      <c r="AZ219" s="44">
        <f>Inputs!$B$25</f>
        <v>0</v>
      </c>
      <c r="BA219" s="44" t="s">
        <v>58</v>
      </c>
      <c r="BB219" s="44">
        <f t="shared" si="207"/>
        <v>0</v>
      </c>
      <c r="BC219" s="50"/>
      <c r="BD219" s="44">
        <v>0</v>
      </c>
      <c r="BE219" s="44">
        <v>0</v>
      </c>
      <c r="BF219" s="44">
        <f t="shared" si="223"/>
        <v>0</v>
      </c>
      <c r="BG219" s="50"/>
      <c r="BH219" s="44">
        <f t="shared" si="224"/>
        <v>0</v>
      </c>
      <c r="BI219" s="63">
        <f>BD219*Inputs!$F$25*Inputs!$G$25</f>
        <v>0</v>
      </c>
      <c r="BJ219" s="44">
        <f>Inputs!$F$25*Inputs!$I$25*BE219</f>
        <v>0</v>
      </c>
      <c r="BK219" s="91"/>
      <c r="BM219" s="117">
        <v>10</v>
      </c>
      <c r="BN219" s="115">
        <f>Inputs!$A$25</f>
        <v>0</v>
      </c>
      <c r="BO219" s="44">
        <f>Inputs!$B$25</f>
        <v>0</v>
      </c>
      <c r="BP219" s="44" t="s">
        <v>57</v>
      </c>
      <c r="BQ219" s="44">
        <f t="shared" si="208"/>
        <v>0</v>
      </c>
      <c r="BR219" s="50"/>
      <c r="BS219" s="119">
        <v>10</v>
      </c>
      <c r="BT219" s="115">
        <f>Inputs!$A$25</f>
        <v>0</v>
      </c>
      <c r="BU219" s="44">
        <f>Inputs!$B$25</f>
        <v>0</v>
      </c>
      <c r="BV219" s="44" t="s">
        <v>58</v>
      </c>
      <c r="BW219" s="44">
        <f t="shared" si="209"/>
        <v>0</v>
      </c>
      <c r="BX219" s="50"/>
      <c r="BY219" s="44">
        <v>0</v>
      </c>
      <c r="BZ219" s="44">
        <v>0</v>
      </c>
      <c r="CA219" s="44">
        <f t="shared" si="225"/>
        <v>0</v>
      </c>
      <c r="CB219" s="50"/>
      <c r="CC219" s="44">
        <f t="shared" si="226"/>
        <v>0</v>
      </c>
      <c r="CD219" s="63">
        <f>BY219*Inputs!$F$25*Inputs!$G$25</f>
        <v>0</v>
      </c>
      <c r="CE219" s="44">
        <f>Inputs!$F$25*Inputs!$I$25*BZ219</f>
        <v>0</v>
      </c>
      <c r="CF219" s="91"/>
    </row>
    <row r="220" spans="1:84" x14ac:dyDescent="0.25">
      <c r="A220" s="117">
        <v>11</v>
      </c>
      <c r="B220" s="115">
        <f>Inputs!$A$25</f>
        <v>0</v>
      </c>
      <c r="C220" s="44">
        <f>Inputs!$B$25</f>
        <v>0</v>
      </c>
      <c r="D220" s="44" t="s">
        <v>57</v>
      </c>
      <c r="E220" s="44">
        <v>0</v>
      </c>
      <c r="F220" s="50"/>
      <c r="G220" s="119">
        <v>11</v>
      </c>
      <c r="H220" s="115">
        <f>Inputs!$A$25</f>
        <v>0</v>
      </c>
      <c r="I220" s="44">
        <f>Inputs!$B$25</f>
        <v>0</v>
      </c>
      <c r="J220" s="44" t="s">
        <v>58</v>
      </c>
      <c r="K220" s="44">
        <v>0</v>
      </c>
      <c r="L220" s="50"/>
      <c r="M220" s="44">
        <v>0</v>
      </c>
      <c r="N220" s="44">
        <v>0</v>
      </c>
      <c r="O220" s="44">
        <f t="shared" si="219"/>
        <v>0</v>
      </c>
      <c r="P220" s="50"/>
      <c r="Q220" s="44">
        <f t="shared" si="220"/>
        <v>0</v>
      </c>
      <c r="R220" s="63">
        <f>M220*Inputs!$F$25*Inputs!$H$25</f>
        <v>0</v>
      </c>
      <c r="S220" s="44">
        <f>Inputs!$F$25*Inputs!$I$25*N220</f>
        <v>0</v>
      </c>
      <c r="T220" s="18"/>
      <c r="U220" s="56"/>
      <c r="W220" s="117">
        <v>11</v>
      </c>
      <c r="X220" s="115">
        <f>Inputs!$A$25</f>
        <v>0</v>
      </c>
      <c r="Y220" s="44">
        <f>Inputs!$B$25</f>
        <v>0</v>
      </c>
      <c r="Z220" s="44" t="s">
        <v>57</v>
      </c>
      <c r="AA220" s="44">
        <f t="shared" si="205"/>
        <v>0</v>
      </c>
      <c r="AB220" s="50"/>
      <c r="AC220" s="119">
        <v>11</v>
      </c>
      <c r="AD220" s="115">
        <f>Inputs!$A$25</f>
        <v>0</v>
      </c>
      <c r="AE220" s="44">
        <f>Inputs!$B$25</f>
        <v>0</v>
      </c>
      <c r="AF220" s="44" t="s">
        <v>58</v>
      </c>
      <c r="AG220" s="44">
        <f t="shared" si="206"/>
        <v>0</v>
      </c>
      <c r="AH220" s="50"/>
      <c r="AI220" s="44">
        <v>0</v>
      </c>
      <c r="AJ220" s="44">
        <v>0</v>
      </c>
      <c r="AK220" s="44">
        <f t="shared" si="221"/>
        <v>0</v>
      </c>
      <c r="AL220" s="50"/>
      <c r="AM220" s="44">
        <f t="shared" si="222"/>
        <v>0</v>
      </c>
      <c r="AN220" s="63">
        <f>AI220*Inputs!$F$25*Inputs!$H$25</f>
        <v>0</v>
      </c>
      <c r="AO220" s="44">
        <f>Inputs!$F$25*Inputs!$I$25*AJ220</f>
        <v>0</v>
      </c>
      <c r="AP220" s="56"/>
      <c r="AR220" s="117">
        <v>11</v>
      </c>
      <c r="AS220" s="115">
        <f>Inputs!$A$25</f>
        <v>0</v>
      </c>
      <c r="AT220" s="44">
        <f>Inputs!$B$25</f>
        <v>0</v>
      </c>
      <c r="AU220" s="44" t="s">
        <v>57</v>
      </c>
      <c r="AV220" s="44">
        <f t="shared" si="210"/>
        <v>0</v>
      </c>
      <c r="AW220" s="50"/>
      <c r="AX220" s="119">
        <v>11</v>
      </c>
      <c r="AY220" s="115">
        <f>Inputs!$A$25</f>
        <v>0</v>
      </c>
      <c r="AZ220" s="44">
        <f>Inputs!$B$25</f>
        <v>0</v>
      </c>
      <c r="BA220" s="44" t="s">
        <v>58</v>
      </c>
      <c r="BB220" s="44">
        <f t="shared" si="207"/>
        <v>0</v>
      </c>
      <c r="BC220" s="50"/>
      <c r="BD220" s="44">
        <v>0</v>
      </c>
      <c r="BE220" s="44">
        <v>0</v>
      </c>
      <c r="BF220" s="44">
        <f t="shared" si="223"/>
        <v>0</v>
      </c>
      <c r="BG220" s="50"/>
      <c r="BH220" s="44">
        <f t="shared" si="224"/>
        <v>0</v>
      </c>
      <c r="BI220" s="63">
        <f>BD220*Inputs!$F$25*Inputs!$H$25</f>
        <v>0</v>
      </c>
      <c r="BJ220" s="44">
        <f>Inputs!$F$25*Inputs!$I$25*BE220</f>
        <v>0</v>
      </c>
      <c r="BK220" s="56"/>
      <c r="BM220" s="117">
        <v>11</v>
      </c>
      <c r="BN220" s="115">
        <f>Inputs!$A$25</f>
        <v>0</v>
      </c>
      <c r="BO220" s="44">
        <f>Inputs!$B$25</f>
        <v>0</v>
      </c>
      <c r="BP220" s="44" t="s">
        <v>57</v>
      </c>
      <c r="BQ220" s="44">
        <f t="shared" si="208"/>
        <v>0</v>
      </c>
      <c r="BR220" s="50"/>
      <c r="BS220" s="119">
        <v>11</v>
      </c>
      <c r="BT220" s="115">
        <f>Inputs!$A$25</f>
        <v>0</v>
      </c>
      <c r="BU220" s="44">
        <f>Inputs!$B$25</f>
        <v>0</v>
      </c>
      <c r="BV220" s="44" t="s">
        <v>58</v>
      </c>
      <c r="BW220" s="44">
        <f t="shared" si="209"/>
        <v>0</v>
      </c>
      <c r="BX220" s="50"/>
      <c r="BY220" s="44">
        <v>0</v>
      </c>
      <c r="BZ220" s="44">
        <v>0</v>
      </c>
      <c r="CA220" s="44">
        <f t="shared" si="225"/>
        <v>0</v>
      </c>
      <c r="CB220" s="50"/>
      <c r="CC220" s="44">
        <f t="shared" si="226"/>
        <v>0</v>
      </c>
      <c r="CD220" s="63">
        <f>BY220*Inputs!$F$25*Inputs!$H$25</f>
        <v>0</v>
      </c>
      <c r="CE220" s="44">
        <f>Inputs!$F$25*Inputs!$I$25*BZ220</f>
        <v>0</v>
      </c>
      <c r="CF220" s="56"/>
    </row>
    <row r="221" spans="1:84" x14ac:dyDescent="0.25">
      <c r="A221" s="116">
        <v>3</v>
      </c>
      <c r="B221" s="114">
        <f>Inputs!$A$26</f>
        <v>0</v>
      </c>
      <c r="C221" s="45">
        <f>Inputs!$B$26</f>
        <v>0</v>
      </c>
      <c r="D221" s="45" t="s">
        <v>57</v>
      </c>
      <c r="E221" s="45">
        <v>0</v>
      </c>
      <c r="F221" s="50"/>
      <c r="G221" s="118">
        <v>3</v>
      </c>
      <c r="H221" s="114">
        <f>Inputs!$A$26</f>
        <v>0</v>
      </c>
      <c r="I221" s="45">
        <f>Inputs!$B$26</f>
        <v>0</v>
      </c>
      <c r="J221" s="45" t="s">
        <v>58</v>
      </c>
      <c r="K221" s="45">
        <v>0</v>
      </c>
      <c r="L221" s="50"/>
      <c r="M221" s="45">
        <v>0</v>
      </c>
      <c r="N221" s="45">
        <v>0</v>
      </c>
      <c r="O221" s="45">
        <f>U221-0-E221-K221</f>
        <v>0</v>
      </c>
      <c r="P221" s="50"/>
      <c r="Q221" s="45">
        <f>E221+K221+N221-U221+0-M221</f>
        <v>0</v>
      </c>
      <c r="R221" s="64">
        <f>M221*Inputs!$F$26*Inputs!$G$26</f>
        <v>0</v>
      </c>
      <c r="S221" s="45">
        <f>Inputs!$F$26*Inputs!$I$26*N221</f>
        <v>0</v>
      </c>
      <c r="T221" s="18"/>
      <c r="U221" s="54"/>
      <c r="W221" s="116">
        <v>3</v>
      </c>
      <c r="X221" s="114">
        <f>Inputs!$A$26</f>
        <v>0</v>
      </c>
      <c r="Y221" s="45">
        <f>Inputs!$B$26</f>
        <v>0</v>
      </c>
      <c r="Z221" s="45" t="s">
        <v>57</v>
      </c>
      <c r="AA221" s="45">
        <f t="shared" si="205"/>
        <v>0</v>
      </c>
      <c r="AB221" s="50"/>
      <c r="AC221" s="118">
        <v>3</v>
      </c>
      <c r="AD221" s="114">
        <f>Inputs!$A$26</f>
        <v>0</v>
      </c>
      <c r="AE221" s="45">
        <f>Inputs!$B$26</f>
        <v>0</v>
      </c>
      <c r="AF221" s="45" t="s">
        <v>58</v>
      </c>
      <c r="AG221" s="45">
        <f t="shared" si="206"/>
        <v>0</v>
      </c>
      <c r="AH221" s="50"/>
      <c r="AI221" s="45">
        <v>0</v>
      </c>
      <c r="AJ221" s="45">
        <v>0</v>
      </c>
      <c r="AK221" s="45">
        <f>AP221-0-AA221-AG221</f>
        <v>0</v>
      </c>
      <c r="AL221" s="50"/>
      <c r="AM221" s="45">
        <f>AA221+AG221+AJ221-AP221+0-AI221</f>
        <v>0</v>
      </c>
      <c r="AN221" s="64">
        <f>AI221*Inputs!$F$26*Inputs!$G$26</f>
        <v>0</v>
      </c>
      <c r="AO221" s="45">
        <f>Inputs!$F$26*Inputs!$I$26*AJ221</f>
        <v>0</v>
      </c>
      <c r="AP221" s="54"/>
      <c r="AR221" s="116">
        <v>3</v>
      </c>
      <c r="AS221" s="114">
        <f>Inputs!$A$26</f>
        <v>0</v>
      </c>
      <c r="AT221" s="45">
        <f>Inputs!$B$26</f>
        <v>0</v>
      </c>
      <c r="AU221" s="45" t="s">
        <v>57</v>
      </c>
      <c r="AV221" s="45">
        <f t="shared" si="210"/>
        <v>0</v>
      </c>
      <c r="AW221" s="50"/>
      <c r="AX221" s="118">
        <v>3</v>
      </c>
      <c r="AY221" s="114">
        <f>Inputs!$A$26</f>
        <v>0</v>
      </c>
      <c r="AZ221" s="45">
        <f>Inputs!$B$26</f>
        <v>0</v>
      </c>
      <c r="BA221" s="45" t="s">
        <v>58</v>
      </c>
      <c r="BB221" s="45">
        <f t="shared" si="207"/>
        <v>0</v>
      </c>
      <c r="BC221" s="50"/>
      <c r="BD221" s="45">
        <v>0</v>
      </c>
      <c r="BE221" s="45">
        <v>0</v>
      </c>
      <c r="BF221" s="45">
        <f>BK221-0-AV221-BB221</f>
        <v>0</v>
      </c>
      <c r="BG221" s="50"/>
      <c r="BH221" s="45">
        <f>AV221+BB221+BE221-BK221+0-BD221</f>
        <v>0</v>
      </c>
      <c r="BI221" s="64">
        <f>BD221*Inputs!$F$26*Inputs!$G$26</f>
        <v>0</v>
      </c>
      <c r="BJ221" s="45">
        <f>Inputs!$F$26*Inputs!$I$26*BE221</f>
        <v>0</v>
      </c>
      <c r="BK221" s="54"/>
      <c r="BM221" s="116">
        <v>3</v>
      </c>
      <c r="BN221" s="114">
        <f>Inputs!$A$26</f>
        <v>0</v>
      </c>
      <c r="BO221" s="45">
        <f>Inputs!$B$26</f>
        <v>0</v>
      </c>
      <c r="BP221" s="45" t="s">
        <v>57</v>
      </c>
      <c r="BQ221" s="45">
        <f t="shared" si="208"/>
        <v>0</v>
      </c>
      <c r="BR221" s="50"/>
      <c r="BS221" s="118">
        <v>3</v>
      </c>
      <c r="BT221" s="114">
        <f>Inputs!$A$26</f>
        <v>0</v>
      </c>
      <c r="BU221" s="45">
        <f>Inputs!$B$26</f>
        <v>0</v>
      </c>
      <c r="BV221" s="45" t="s">
        <v>58</v>
      </c>
      <c r="BW221" s="45">
        <f t="shared" si="209"/>
        <v>0</v>
      </c>
      <c r="BX221" s="50"/>
      <c r="BY221" s="45">
        <v>0</v>
      </c>
      <c r="BZ221" s="45">
        <v>0</v>
      </c>
      <c r="CA221" s="45">
        <f>CF221-0-BQ221-BW221</f>
        <v>0</v>
      </c>
      <c r="CB221" s="50"/>
      <c r="CC221" s="45">
        <f>BQ221+BW221+BZ221-CF221+0-BY221</f>
        <v>0</v>
      </c>
      <c r="CD221" s="64">
        <f>BY221*Inputs!$F$26*Inputs!$G$26</f>
        <v>0</v>
      </c>
      <c r="CE221" s="45">
        <f>Inputs!$F$26*Inputs!$I$26*BZ221</f>
        <v>0</v>
      </c>
      <c r="CF221" s="54"/>
    </row>
    <row r="222" spans="1:84" x14ac:dyDescent="0.25">
      <c r="A222" s="116">
        <v>4</v>
      </c>
      <c r="B222" s="114">
        <f>Inputs!$A$26</f>
        <v>0</v>
      </c>
      <c r="C222" s="45">
        <f>Inputs!$B$26</f>
        <v>0</v>
      </c>
      <c r="D222" s="45" t="s">
        <v>57</v>
      </c>
      <c r="E222" s="45">
        <v>0</v>
      </c>
      <c r="F222" s="50"/>
      <c r="G222" s="118">
        <v>4</v>
      </c>
      <c r="H222" s="114">
        <f>Inputs!$A$26</f>
        <v>0</v>
      </c>
      <c r="I222" s="45">
        <f>Inputs!$B$26</f>
        <v>0</v>
      </c>
      <c r="J222" s="45" t="s">
        <v>58</v>
      </c>
      <c r="K222" s="45">
        <v>0</v>
      </c>
      <c r="L222" s="50"/>
      <c r="M222" s="45">
        <v>0</v>
      </c>
      <c r="N222" s="45">
        <v>0</v>
      </c>
      <c r="O222" s="45">
        <f t="shared" ref="O222:O229" si="227">U222-M221-E222-K222</f>
        <v>0</v>
      </c>
      <c r="P222" s="50"/>
      <c r="Q222" s="45">
        <f t="shared" ref="Q222:Q229" si="228">E222+K222+N222-U222+M221-M222</f>
        <v>0</v>
      </c>
      <c r="R222" s="64">
        <f>M222*Inputs!$F$26*Inputs!$G$26</f>
        <v>0</v>
      </c>
      <c r="S222" s="45">
        <f>Inputs!$F$26*Inputs!$I$26*N222</f>
        <v>0</v>
      </c>
      <c r="T222" s="18"/>
      <c r="U222" s="55"/>
      <c r="W222" s="116">
        <v>4</v>
      </c>
      <c r="X222" s="114">
        <f>Inputs!$A$26</f>
        <v>0</v>
      </c>
      <c r="Y222" s="45">
        <f>Inputs!$B$26</f>
        <v>0</v>
      </c>
      <c r="Z222" s="45" t="s">
        <v>57</v>
      </c>
      <c r="AA222" s="45">
        <f t="shared" si="205"/>
        <v>0</v>
      </c>
      <c r="AB222" s="50"/>
      <c r="AC222" s="118">
        <v>4</v>
      </c>
      <c r="AD222" s="114">
        <f>Inputs!$A$26</f>
        <v>0</v>
      </c>
      <c r="AE222" s="45">
        <f>Inputs!$B$26</f>
        <v>0</v>
      </c>
      <c r="AF222" s="45" t="s">
        <v>58</v>
      </c>
      <c r="AG222" s="45">
        <f t="shared" si="206"/>
        <v>0</v>
      </c>
      <c r="AH222" s="50"/>
      <c r="AI222" s="45">
        <v>0</v>
      </c>
      <c r="AJ222" s="45">
        <v>0</v>
      </c>
      <c r="AK222" s="45">
        <f t="shared" ref="AK222:AK229" si="229">AP222-AI221-AA222-AG222</f>
        <v>0</v>
      </c>
      <c r="AL222" s="50"/>
      <c r="AM222" s="45">
        <f t="shared" ref="AM222:AM229" si="230">AA222+AG222+AJ222-AP222+AI221-AI222</f>
        <v>0</v>
      </c>
      <c r="AN222" s="64">
        <f>AI222*Inputs!$F$26*Inputs!$G$26</f>
        <v>0</v>
      </c>
      <c r="AO222" s="45">
        <f>Inputs!$F$26*Inputs!$I$26*AJ222</f>
        <v>0</v>
      </c>
      <c r="AP222" s="55"/>
      <c r="AR222" s="116">
        <v>4</v>
      </c>
      <c r="AS222" s="114">
        <f>Inputs!$A$26</f>
        <v>0</v>
      </c>
      <c r="AT222" s="45">
        <f>Inputs!$B$26</f>
        <v>0</v>
      </c>
      <c r="AU222" s="45" t="s">
        <v>57</v>
      </c>
      <c r="AV222" s="45">
        <f t="shared" si="210"/>
        <v>0</v>
      </c>
      <c r="AW222" s="50"/>
      <c r="AX222" s="118">
        <v>4</v>
      </c>
      <c r="AY222" s="114">
        <f>Inputs!$A$26</f>
        <v>0</v>
      </c>
      <c r="AZ222" s="45">
        <f>Inputs!$B$26</f>
        <v>0</v>
      </c>
      <c r="BA222" s="45" t="s">
        <v>58</v>
      </c>
      <c r="BB222" s="45">
        <f t="shared" si="207"/>
        <v>0</v>
      </c>
      <c r="BC222" s="50"/>
      <c r="BD222" s="45">
        <v>0</v>
      </c>
      <c r="BE222" s="45">
        <v>0</v>
      </c>
      <c r="BF222" s="45">
        <f t="shared" ref="BF222:BF229" si="231">BK222-BD221-AV222-BB222</f>
        <v>0</v>
      </c>
      <c r="BG222" s="50"/>
      <c r="BH222" s="45">
        <f t="shared" ref="BH222:BH229" si="232">AV222+BB222+BE222-BK222+BD221-BD222</f>
        <v>0</v>
      </c>
      <c r="BI222" s="64">
        <f>BD222*Inputs!$F$26*Inputs!$G$26</f>
        <v>0</v>
      </c>
      <c r="BJ222" s="45">
        <f>Inputs!$F$26*Inputs!$I$26*BE222</f>
        <v>0</v>
      </c>
      <c r="BK222" s="55"/>
      <c r="BM222" s="116">
        <v>4</v>
      </c>
      <c r="BN222" s="114">
        <f>Inputs!$A$26</f>
        <v>0</v>
      </c>
      <c r="BO222" s="45">
        <f>Inputs!$B$26</f>
        <v>0</v>
      </c>
      <c r="BP222" s="45" t="s">
        <v>57</v>
      </c>
      <c r="BQ222" s="45">
        <f t="shared" si="208"/>
        <v>0</v>
      </c>
      <c r="BR222" s="50"/>
      <c r="BS222" s="118">
        <v>4</v>
      </c>
      <c r="BT222" s="114">
        <f>Inputs!$A$26</f>
        <v>0</v>
      </c>
      <c r="BU222" s="45">
        <f>Inputs!$B$26</f>
        <v>0</v>
      </c>
      <c r="BV222" s="45" t="s">
        <v>58</v>
      </c>
      <c r="BW222" s="45">
        <f t="shared" si="209"/>
        <v>0</v>
      </c>
      <c r="BX222" s="50"/>
      <c r="BY222" s="45">
        <v>0</v>
      </c>
      <c r="BZ222" s="45">
        <v>0</v>
      </c>
      <c r="CA222" s="45">
        <f t="shared" ref="CA222:CA229" si="233">CF222-BY221-BQ222-BW222</f>
        <v>0</v>
      </c>
      <c r="CB222" s="50"/>
      <c r="CC222" s="45">
        <f t="shared" ref="CC222:CC229" si="234">BQ222+BW222+BZ222-CF222+BY221-BY222</f>
        <v>0</v>
      </c>
      <c r="CD222" s="64">
        <f>BY222*Inputs!$F$26*Inputs!$G$26</f>
        <v>0</v>
      </c>
      <c r="CE222" s="45">
        <f>Inputs!$F$26*Inputs!$I$26*BZ222</f>
        <v>0</v>
      </c>
      <c r="CF222" s="55"/>
    </row>
    <row r="223" spans="1:84" x14ac:dyDescent="0.25">
      <c r="A223" s="116">
        <v>5</v>
      </c>
      <c r="B223" s="114">
        <f>Inputs!$A$26</f>
        <v>0</v>
      </c>
      <c r="C223" s="45">
        <f>Inputs!$B$26</f>
        <v>0</v>
      </c>
      <c r="D223" s="45" t="s">
        <v>57</v>
      </c>
      <c r="E223" s="45">
        <v>0</v>
      </c>
      <c r="F223" s="50"/>
      <c r="G223" s="118">
        <v>5</v>
      </c>
      <c r="H223" s="114">
        <f>Inputs!$A$26</f>
        <v>0</v>
      </c>
      <c r="I223" s="45">
        <f>Inputs!$B$26</f>
        <v>0</v>
      </c>
      <c r="J223" s="45" t="s">
        <v>58</v>
      </c>
      <c r="K223" s="45">
        <v>0</v>
      </c>
      <c r="L223" s="50"/>
      <c r="M223" s="45">
        <v>0</v>
      </c>
      <c r="N223" s="45">
        <v>0</v>
      </c>
      <c r="O223" s="45">
        <f t="shared" si="227"/>
        <v>0</v>
      </c>
      <c r="P223" s="50"/>
      <c r="Q223" s="45">
        <f t="shared" si="228"/>
        <v>0</v>
      </c>
      <c r="R223" s="64">
        <f>M223*Inputs!$F$26*Inputs!$G$26</f>
        <v>0</v>
      </c>
      <c r="S223" s="45">
        <f>Inputs!$F$26*Inputs!$I$26*N223</f>
        <v>0</v>
      </c>
      <c r="T223" s="18"/>
      <c r="U223" s="55"/>
      <c r="W223" s="116">
        <v>5</v>
      </c>
      <c r="X223" s="114">
        <f>Inputs!$A$26</f>
        <v>0</v>
      </c>
      <c r="Y223" s="45">
        <f>Inputs!$B$26</f>
        <v>0</v>
      </c>
      <c r="Z223" s="45" t="s">
        <v>57</v>
      </c>
      <c r="AA223" s="45">
        <f t="shared" si="205"/>
        <v>0</v>
      </c>
      <c r="AB223" s="50"/>
      <c r="AC223" s="118">
        <v>5</v>
      </c>
      <c r="AD223" s="114">
        <f>Inputs!$A$26</f>
        <v>0</v>
      </c>
      <c r="AE223" s="45">
        <f>Inputs!$B$26</f>
        <v>0</v>
      </c>
      <c r="AF223" s="45" t="s">
        <v>58</v>
      </c>
      <c r="AG223" s="45">
        <f t="shared" si="206"/>
        <v>0</v>
      </c>
      <c r="AH223" s="50"/>
      <c r="AI223" s="45">
        <v>0</v>
      </c>
      <c r="AJ223" s="45">
        <v>0</v>
      </c>
      <c r="AK223" s="45">
        <f t="shared" si="229"/>
        <v>0</v>
      </c>
      <c r="AL223" s="50"/>
      <c r="AM223" s="45">
        <f t="shared" si="230"/>
        <v>0</v>
      </c>
      <c r="AN223" s="64">
        <f>AI223*Inputs!$F$26*Inputs!$G$26</f>
        <v>0</v>
      </c>
      <c r="AO223" s="45">
        <f>Inputs!$F$26*Inputs!$I$26*AJ223</f>
        <v>0</v>
      </c>
      <c r="AP223" s="55"/>
      <c r="AR223" s="116">
        <v>5</v>
      </c>
      <c r="AS223" s="114">
        <f>Inputs!$A$26</f>
        <v>0</v>
      </c>
      <c r="AT223" s="45">
        <f>Inputs!$B$26</f>
        <v>0</v>
      </c>
      <c r="AU223" s="45" t="s">
        <v>57</v>
      </c>
      <c r="AV223" s="45">
        <f t="shared" si="210"/>
        <v>0</v>
      </c>
      <c r="AW223" s="50"/>
      <c r="AX223" s="118">
        <v>5</v>
      </c>
      <c r="AY223" s="114">
        <f>Inputs!$A$26</f>
        <v>0</v>
      </c>
      <c r="AZ223" s="45">
        <f>Inputs!$B$26</f>
        <v>0</v>
      </c>
      <c r="BA223" s="45" t="s">
        <v>58</v>
      </c>
      <c r="BB223" s="45">
        <f t="shared" si="207"/>
        <v>0</v>
      </c>
      <c r="BC223" s="50"/>
      <c r="BD223" s="45">
        <v>0</v>
      </c>
      <c r="BE223" s="45">
        <v>0</v>
      </c>
      <c r="BF223" s="45">
        <f t="shared" si="231"/>
        <v>0</v>
      </c>
      <c r="BG223" s="50"/>
      <c r="BH223" s="45">
        <f t="shared" si="232"/>
        <v>0</v>
      </c>
      <c r="BI223" s="64">
        <f>BD223*Inputs!$F$26*Inputs!$G$26</f>
        <v>0</v>
      </c>
      <c r="BJ223" s="45">
        <f>Inputs!$F$26*Inputs!$I$26*BE223</f>
        <v>0</v>
      </c>
      <c r="BK223" s="55"/>
      <c r="BM223" s="116">
        <v>5</v>
      </c>
      <c r="BN223" s="114">
        <f>Inputs!$A$26</f>
        <v>0</v>
      </c>
      <c r="BO223" s="45">
        <f>Inputs!$B$26</f>
        <v>0</v>
      </c>
      <c r="BP223" s="45" t="s">
        <v>57</v>
      </c>
      <c r="BQ223" s="45">
        <f t="shared" si="208"/>
        <v>0</v>
      </c>
      <c r="BR223" s="50"/>
      <c r="BS223" s="118">
        <v>5</v>
      </c>
      <c r="BT223" s="114">
        <f>Inputs!$A$26</f>
        <v>0</v>
      </c>
      <c r="BU223" s="45">
        <f>Inputs!$B$26</f>
        <v>0</v>
      </c>
      <c r="BV223" s="45" t="s">
        <v>58</v>
      </c>
      <c r="BW223" s="45">
        <f t="shared" si="209"/>
        <v>0</v>
      </c>
      <c r="BX223" s="50"/>
      <c r="BY223" s="45">
        <v>0</v>
      </c>
      <c r="BZ223" s="45">
        <v>0</v>
      </c>
      <c r="CA223" s="45">
        <f t="shared" si="233"/>
        <v>0</v>
      </c>
      <c r="CB223" s="50"/>
      <c r="CC223" s="45">
        <f t="shared" si="234"/>
        <v>0</v>
      </c>
      <c r="CD223" s="64">
        <f>BY223*Inputs!$F$26*Inputs!$G$26</f>
        <v>0</v>
      </c>
      <c r="CE223" s="45">
        <f>Inputs!$F$26*Inputs!$I$26*BZ223</f>
        <v>0</v>
      </c>
      <c r="CF223" s="55"/>
    </row>
    <row r="224" spans="1:84" x14ac:dyDescent="0.25">
      <c r="A224" s="116">
        <v>6</v>
      </c>
      <c r="B224" s="114">
        <f>Inputs!$A$26</f>
        <v>0</v>
      </c>
      <c r="C224" s="45">
        <f>Inputs!$B$26</f>
        <v>0</v>
      </c>
      <c r="D224" s="45" t="s">
        <v>57</v>
      </c>
      <c r="E224" s="45">
        <v>0</v>
      </c>
      <c r="F224" s="50"/>
      <c r="G224" s="118">
        <v>6</v>
      </c>
      <c r="H224" s="114">
        <f>Inputs!$A$26</f>
        <v>0</v>
      </c>
      <c r="I224" s="45">
        <f>Inputs!$B$26</f>
        <v>0</v>
      </c>
      <c r="J224" s="45" t="s">
        <v>58</v>
      </c>
      <c r="K224" s="45">
        <v>0</v>
      </c>
      <c r="L224" s="50"/>
      <c r="M224" s="45">
        <v>0</v>
      </c>
      <c r="N224" s="45">
        <v>0</v>
      </c>
      <c r="O224" s="45">
        <f t="shared" si="227"/>
        <v>0</v>
      </c>
      <c r="P224" s="50"/>
      <c r="Q224" s="45">
        <f t="shared" si="228"/>
        <v>0</v>
      </c>
      <c r="R224" s="64">
        <f>M224*Inputs!$F$26*Inputs!$G$26</f>
        <v>0</v>
      </c>
      <c r="S224" s="45">
        <f>Inputs!$F$26*Inputs!$I$26*N224</f>
        <v>0</v>
      </c>
      <c r="T224" s="18"/>
      <c r="U224" s="55"/>
      <c r="W224" s="116">
        <v>6</v>
      </c>
      <c r="X224" s="114">
        <f>Inputs!$A$26</f>
        <v>0</v>
      </c>
      <c r="Y224" s="45">
        <f>Inputs!$B$26</f>
        <v>0</v>
      </c>
      <c r="Z224" s="45" t="s">
        <v>57</v>
      </c>
      <c r="AA224" s="45">
        <f t="shared" si="205"/>
        <v>0</v>
      </c>
      <c r="AB224" s="50"/>
      <c r="AC224" s="118">
        <v>6</v>
      </c>
      <c r="AD224" s="114">
        <f>Inputs!$A$26</f>
        <v>0</v>
      </c>
      <c r="AE224" s="45">
        <f>Inputs!$B$26</f>
        <v>0</v>
      </c>
      <c r="AF224" s="45" t="s">
        <v>58</v>
      </c>
      <c r="AG224" s="45">
        <f t="shared" si="206"/>
        <v>0</v>
      </c>
      <c r="AH224" s="50"/>
      <c r="AI224" s="45">
        <v>0</v>
      </c>
      <c r="AJ224" s="45">
        <v>0</v>
      </c>
      <c r="AK224" s="45">
        <f t="shared" si="229"/>
        <v>0</v>
      </c>
      <c r="AL224" s="50"/>
      <c r="AM224" s="45">
        <f t="shared" si="230"/>
        <v>0</v>
      </c>
      <c r="AN224" s="64">
        <f>AI224*Inputs!$F$26*Inputs!$G$26</f>
        <v>0</v>
      </c>
      <c r="AO224" s="45">
        <f>Inputs!$F$26*Inputs!$I$26*AJ224</f>
        <v>0</v>
      </c>
      <c r="AP224" s="55"/>
      <c r="AR224" s="116">
        <v>6</v>
      </c>
      <c r="AS224" s="114">
        <f>Inputs!$A$26</f>
        <v>0</v>
      </c>
      <c r="AT224" s="45">
        <f>Inputs!$B$26</f>
        <v>0</v>
      </c>
      <c r="AU224" s="45" t="s">
        <v>57</v>
      </c>
      <c r="AV224" s="45">
        <f t="shared" si="210"/>
        <v>0</v>
      </c>
      <c r="AW224" s="50"/>
      <c r="AX224" s="118">
        <v>6</v>
      </c>
      <c r="AY224" s="114">
        <f>Inputs!$A$26</f>
        <v>0</v>
      </c>
      <c r="AZ224" s="45">
        <f>Inputs!$B$26</f>
        <v>0</v>
      </c>
      <c r="BA224" s="45" t="s">
        <v>58</v>
      </c>
      <c r="BB224" s="45">
        <f t="shared" si="207"/>
        <v>0</v>
      </c>
      <c r="BC224" s="50"/>
      <c r="BD224" s="45">
        <v>0</v>
      </c>
      <c r="BE224" s="45">
        <v>0</v>
      </c>
      <c r="BF224" s="45">
        <f t="shared" si="231"/>
        <v>0</v>
      </c>
      <c r="BG224" s="50"/>
      <c r="BH224" s="45">
        <f t="shared" si="232"/>
        <v>0</v>
      </c>
      <c r="BI224" s="64">
        <f>BD224*Inputs!$F$26*Inputs!$G$26</f>
        <v>0</v>
      </c>
      <c r="BJ224" s="45">
        <f>Inputs!$F$26*Inputs!$I$26*BE224</f>
        <v>0</v>
      </c>
      <c r="BK224" s="55"/>
      <c r="BM224" s="116">
        <v>6</v>
      </c>
      <c r="BN224" s="114">
        <f>Inputs!$A$26</f>
        <v>0</v>
      </c>
      <c r="BO224" s="45">
        <f>Inputs!$B$26</f>
        <v>0</v>
      </c>
      <c r="BP224" s="45" t="s">
        <v>57</v>
      </c>
      <c r="BQ224" s="45">
        <f t="shared" si="208"/>
        <v>0</v>
      </c>
      <c r="BR224" s="50"/>
      <c r="BS224" s="118">
        <v>6</v>
      </c>
      <c r="BT224" s="114">
        <f>Inputs!$A$26</f>
        <v>0</v>
      </c>
      <c r="BU224" s="45">
        <f>Inputs!$B$26</f>
        <v>0</v>
      </c>
      <c r="BV224" s="45" t="s">
        <v>58</v>
      </c>
      <c r="BW224" s="45">
        <f t="shared" si="209"/>
        <v>0</v>
      </c>
      <c r="BX224" s="50"/>
      <c r="BY224" s="45">
        <v>0</v>
      </c>
      <c r="BZ224" s="45">
        <v>0</v>
      </c>
      <c r="CA224" s="45">
        <f t="shared" si="233"/>
        <v>0</v>
      </c>
      <c r="CB224" s="50"/>
      <c r="CC224" s="45">
        <f t="shared" si="234"/>
        <v>0</v>
      </c>
      <c r="CD224" s="64">
        <f>BY224*Inputs!$F$26*Inputs!$G$26</f>
        <v>0</v>
      </c>
      <c r="CE224" s="45">
        <f>Inputs!$F$26*Inputs!$I$26*BZ224</f>
        <v>0</v>
      </c>
      <c r="CF224" s="55"/>
    </row>
    <row r="225" spans="1:84" x14ac:dyDescent="0.25">
      <c r="A225" s="116">
        <v>7</v>
      </c>
      <c r="B225" s="114">
        <f>Inputs!$A$26</f>
        <v>0</v>
      </c>
      <c r="C225" s="45">
        <f>Inputs!$B$26</f>
        <v>0</v>
      </c>
      <c r="D225" s="45" t="s">
        <v>57</v>
      </c>
      <c r="E225" s="45">
        <v>0</v>
      </c>
      <c r="F225" s="50"/>
      <c r="G225" s="118">
        <v>7</v>
      </c>
      <c r="H225" s="114">
        <f>Inputs!$A$26</f>
        <v>0</v>
      </c>
      <c r="I225" s="45">
        <f>Inputs!$B$26</f>
        <v>0</v>
      </c>
      <c r="J225" s="45" t="s">
        <v>58</v>
      </c>
      <c r="K225" s="45">
        <v>0</v>
      </c>
      <c r="L225" s="50"/>
      <c r="M225" s="45">
        <v>0</v>
      </c>
      <c r="N225" s="45">
        <v>0</v>
      </c>
      <c r="O225" s="45">
        <f t="shared" si="227"/>
        <v>0</v>
      </c>
      <c r="P225" s="50"/>
      <c r="Q225" s="45">
        <f t="shared" si="228"/>
        <v>0</v>
      </c>
      <c r="R225" s="64">
        <f>M225*Inputs!$F$26*Inputs!$G$26</f>
        <v>0</v>
      </c>
      <c r="S225" s="45">
        <f>Inputs!$F$26*Inputs!$I$26*N225</f>
        <v>0</v>
      </c>
      <c r="T225" s="18"/>
      <c r="U225" s="55"/>
      <c r="W225" s="116">
        <v>7</v>
      </c>
      <c r="X225" s="114">
        <f>Inputs!$A$26</f>
        <v>0</v>
      </c>
      <c r="Y225" s="45">
        <f>Inputs!$B$26</f>
        <v>0</v>
      </c>
      <c r="Z225" s="45" t="s">
        <v>57</v>
      </c>
      <c r="AA225" s="45">
        <f t="shared" si="205"/>
        <v>0</v>
      </c>
      <c r="AB225" s="50"/>
      <c r="AC225" s="118">
        <v>7</v>
      </c>
      <c r="AD225" s="114">
        <f>Inputs!$A$26</f>
        <v>0</v>
      </c>
      <c r="AE225" s="45">
        <f>Inputs!$B$26</f>
        <v>0</v>
      </c>
      <c r="AF225" s="45" t="s">
        <v>58</v>
      </c>
      <c r="AG225" s="45">
        <f t="shared" si="206"/>
        <v>0</v>
      </c>
      <c r="AH225" s="50"/>
      <c r="AI225" s="45">
        <v>0</v>
      </c>
      <c r="AJ225" s="45">
        <v>0</v>
      </c>
      <c r="AK225" s="45">
        <f t="shared" si="229"/>
        <v>0</v>
      </c>
      <c r="AL225" s="50"/>
      <c r="AM225" s="45">
        <f t="shared" si="230"/>
        <v>0</v>
      </c>
      <c r="AN225" s="64">
        <f>AI225*Inputs!$F$26*Inputs!$G$26</f>
        <v>0</v>
      </c>
      <c r="AO225" s="45">
        <f>Inputs!$F$26*Inputs!$I$26*AJ225</f>
        <v>0</v>
      </c>
      <c r="AP225" s="55"/>
      <c r="AR225" s="116">
        <v>7</v>
      </c>
      <c r="AS225" s="114">
        <f>Inputs!$A$26</f>
        <v>0</v>
      </c>
      <c r="AT225" s="45">
        <f>Inputs!$B$26</f>
        <v>0</v>
      </c>
      <c r="AU225" s="45" t="s">
        <v>57</v>
      </c>
      <c r="AV225" s="45">
        <f t="shared" si="210"/>
        <v>0</v>
      </c>
      <c r="AW225" s="50"/>
      <c r="AX225" s="118">
        <v>7</v>
      </c>
      <c r="AY225" s="114">
        <f>Inputs!$A$26</f>
        <v>0</v>
      </c>
      <c r="AZ225" s="45">
        <f>Inputs!$B$26</f>
        <v>0</v>
      </c>
      <c r="BA225" s="45" t="s">
        <v>58</v>
      </c>
      <c r="BB225" s="45">
        <f t="shared" si="207"/>
        <v>0</v>
      </c>
      <c r="BC225" s="50"/>
      <c r="BD225" s="45">
        <v>0</v>
      </c>
      <c r="BE225" s="45">
        <v>0</v>
      </c>
      <c r="BF225" s="45">
        <f t="shared" si="231"/>
        <v>0</v>
      </c>
      <c r="BG225" s="50"/>
      <c r="BH225" s="45">
        <f t="shared" si="232"/>
        <v>0</v>
      </c>
      <c r="BI225" s="64">
        <f>BD225*Inputs!$F$26*Inputs!$G$26</f>
        <v>0</v>
      </c>
      <c r="BJ225" s="45">
        <f>Inputs!$F$26*Inputs!$I$26*BE225</f>
        <v>0</v>
      </c>
      <c r="BK225" s="55"/>
      <c r="BM225" s="116">
        <v>7</v>
      </c>
      <c r="BN225" s="114">
        <f>Inputs!$A$26</f>
        <v>0</v>
      </c>
      <c r="BO225" s="45">
        <f>Inputs!$B$26</f>
        <v>0</v>
      </c>
      <c r="BP225" s="45" t="s">
        <v>57</v>
      </c>
      <c r="BQ225" s="45">
        <f t="shared" si="208"/>
        <v>0</v>
      </c>
      <c r="BR225" s="50"/>
      <c r="BS225" s="118">
        <v>7</v>
      </c>
      <c r="BT225" s="114">
        <f>Inputs!$A$26</f>
        <v>0</v>
      </c>
      <c r="BU225" s="45">
        <f>Inputs!$B$26</f>
        <v>0</v>
      </c>
      <c r="BV225" s="45" t="s">
        <v>58</v>
      </c>
      <c r="BW225" s="45">
        <f t="shared" si="209"/>
        <v>0</v>
      </c>
      <c r="BX225" s="50"/>
      <c r="BY225" s="45">
        <v>0</v>
      </c>
      <c r="BZ225" s="45">
        <v>0</v>
      </c>
      <c r="CA225" s="45">
        <f t="shared" si="233"/>
        <v>0</v>
      </c>
      <c r="CB225" s="50"/>
      <c r="CC225" s="45">
        <f t="shared" si="234"/>
        <v>0</v>
      </c>
      <c r="CD225" s="64">
        <f>BY225*Inputs!$F$26*Inputs!$G$26</f>
        <v>0</v>
      </c>
      <c r="CE225" s="45">
        <f>Inputs!$F$26*Inputs!$I$26*BZ225</f>
        <v>0</v>
      </c>
      <c r="CF225" s="55"/>
    </row>
    <row r="226" spans="1:84" x14ac:dyDescent="0.25">
      <c r="A226" s="116">
        <v>8</v>
      </c>
      <c r="B226" s="114">
        <f>Inputs!$A$26</f>
        <v>0</v>
      </c>
      <c r="C226" s="45">
        <f>Inputs!$B$26</f>
        <v>0</v>
      </c>
      <c r="D226" s="45" t="s">
        <v>57</v>
      </c>
      <c r="E226" s="45">
        <v>0</v>
      </c>
      <c r="F226" s="50"/>
      <c r="G226" s="118">
        <v>8</v>
      </c>
      <c r="H226" s="114">
        <f>Inputs!$A$26</f>
        <v>0</v>
      </c>
      <c r="I226" s="45">
        <f>Inputs!$B$26</f>
        <v>0</v>
      </c>
      <c r="J226" s="45" t="s">
        <v>58</v>
      </c>
      <c r="K226" s="45">
        <v>0</v>
      </c>
      <c r="L226" s="50"/>
      <c r="M226" s="45">
        <v>0</v>
      </c>
      <c r="N226" s="45">
        <v>0</v>
      </c>
      <c r="O226" s="45">
        <f t="shared" si="227"/>
        <v>0</v>
      </c>
      <c r="P226" s="50"/>
      <c r="Q226" s="45">
        <f t="shared" si="228"/>
        <v>0</v>
      </c>
      <c r="R226" s="64">
        <f>M226*Inputs!$F$26*Inputs!$G$26</f>
        <v>0</v>
      </c>
      <c r="S226" s="45">
        <f>Inputs!$F$26*Inputs!$I$26*N226</f>
        <v>0</v>
      </c>
      <c r="T226" s="18"/>
      <c r="U226" s="55"/>
      <c r="W226" s="116">
        <v>8</v>
      </c>
      <c r="X226" s="114">
        <f>Inputs!$A$26</f>
        <v>0</v>
      </c>
      <c r="Y226" s="45">
        <f>Inputs!$B$26</f>
        <v>0</v>
      </c>
      <c r="Z226" s="45" t="s">
        <v>57</v>
      </c>
      <c r="AA226" s="45">
        <f t="shared" si="205"/>
        <v>0</v>
      </c>
      <c r="AB226" s="50"/>
      <c r="AC226" s="118">
        <v>8</v>
      </c>
      <c r="AD226" s="114">
        <f>Inputs!$A$26</f>
        <v>0</v>
      </c>
      <c r="AE226" s="45">
        <f>Inputs!$B$26</f>
        <v>0</v>
      </c>
      <c r="AF226" s="45" t="s">
        <v>58</v>
      </c>
      <c r="AG226" s="45">
        <f t="shared" si="206"/>
        <v>0</v>
      </c>
      <c r="AH226" s="50"/>
      <c r="AI226" s="45">
        <v>0</v>
      </c>
      <c r="AJ226" s="45">
        <v>0</v>
      </c>
      <c r="AK226" s="45">
        <f t="shared" si="229"/>
        <v>0</v>
      </c>
      <c r="AL226" s="50"/>
      <c r="AM226" s="45">
        <f t="shared" si="230"/>
        <v>0</v>
      </c>
      <c r="AN226" s="64">
        <f>AI226*Inputs!$F$26*Inputs!$G$26</f>
        <v>0</v>
      </c>
      <c r="AO226" s="45">
        <f>Inputs!$F$26*Inputs!$I$26*AJ226</f>
        <v>0</v>
      </c>
      <c r="AP226" s="55"/>
      <c r="AR226" s="116">
        <v>8</v>
      </c>
      <c r="AS226" s="114">
        <f>Inputs!$A$26</f>
        <v>0</v>
      </c>
      <c r="AT226" s="45">
        <f>Inputs!$B$26</f>
        <v>0</v>
      </c>
      <c r="AU226" s="45" t="s">
        <v>57</v>
      </c>
      <c r="AV226" s="45">
        <f t="shared" si="210"/>
        <v>0</v>
      </c>
      <c r="AW226" s="50"/>
      <c r="AX226" s="118">
        <v>8</v>
      </c>
      <c r="AY226" s="114">
        <f>Inputs!$A$26</f>
        <v>0</v>
      </c>
      <c r="AZ226" s="45">
        <f>Inputs!$B$26</f>
        <v>0</v>
      </c>
      <c r="BA226" s="45" t="s">
        <v>58</v>
      </c>
      <c r="BB226" s="45">
        <f t="shared" si="207"/>
        <v>0</v>
      </c>
      <c r="BC226" s="50"/>
      <c r="BD226" s="45">
        <v>0</v>
      </c>
      <c r="BE226" s="45">
        <v>0</v>
      </c>
      <c r="BF226" s="45">
        <f t="shared" si="231"/>
        <v>0</v>
      </c>
      <c r="BG226" s="50"/>
      <c r="BH226" s="45">
        <f t="shared" si="232"/>
        <v>0</v>
      </c>
      <c r="BI226" s="64">
        <f>BD226*Inputs!$F$26*Inputs!$G$26</f>
        <v>0</v>
      </c>
      <c r="BJ226" s="45">
        <f>Inputs!$F$26*Inputs!$I$26*BE226</f>
        <v>0</v>
      </c>
      <c r="BK226" s="55"/>
      <c r="BM226" s="116">
        <v>8</v>
      </c>
      <c r="BN226" s="114">
        <f>Inputs!$A$26</f>
        <v>0</v>
      </c>
      <c r="BO226" s="45">
        <f>Inputs!$B$26</f>
        <v>0</v>
      </c>
      <c r="BP226" s="45" t="s">
        <v>57</v>
      </c>
      <c r="BQ226" s="45">
        <f t="shared" si="208"/>
        <v>0</v>
      </c>
      <c r="BR226" s="50"/>
      <c r="BS226" s="118">
        <v>8</v>
      </c>
      <c r="BT226" s="114">
        <f>Inputs!$A$26</f>
        <v>0</v>
      </c>
      <c r="BU226" s="45">
        <f>Inputs!$B$26</f>
        <v>0</v>
      </c>
      <c r="BV226" s="45" t="s">
        <v>58</v>
      </c>
      <c r="BW226" s="45">
        <f t="shared" si="209"/>
        <v>0</v>
      </c>
      <c r="BX226" s="50"/>
      <c r="BY226" s="45">
        <v>0</v>
      </c>
      <c r="BZ226" s="45">
        <v>0</v>
      </c>
      <c r="CA226" s="45">
        <f t="shared" si="233"/>
        <v>0</v>
      </c>
      <c r="CB226" s="50"/>
      <c r="CC226" s="45">
        <f t="shared" si="234"/>
        <v>0</v>
      </c>
      <c r="CD226" s="64">
        <f>BY226*Inputs!$F$26*Inputs!$G$26</f>
        <v>0</v>
      </c>
      <c r="CE226" s="45">
        <f>Inputs!$F$26*Inputs!$I$26*BZ226</f>
        <v>0</v>
      </c>
      <c r="CF226" s="55"/>
    </row>
    <row r="227" spans="1:84" x14ac:dyDescent="0.25">
      <c r="A227" s="116">
        <v>9</v>
      </c>
      <c r="B227" s="114">
        <f>Inputs!$A$26</f>
        <v>0</v>
      </c>
      <c r="C227" s="45">
        <f>Inputs!$B$26</f>
        <v>0</v>
      </c>
      <c r="D227" s="45" t="s">
        <v>57</v>
      </c>
      <c r="E227" s="45">
        <v>0</v>
      </c>
      <c r="F227" s="50"/>
      <c r="G227" s="118">
        <v>9</v>
      </c>
      <c r="H227" s="114">
        <f>Inputs!$A$26</f>
        <v>0</v>
      </c>
      <c r="I227" s="45">
        <f>Inputs!$B$26</f>
        <v>0</v>
      </c>
      <c r="J227" s="45" t="s">
        <v>58</v>
      </c>
      <c r="K227" s="45">
        <v>0</v>
      </c>
      <c r="L227" s="50"/>
      <c r="M227" s="45">
        <v>0</v>
      </c>
      <c r="N227" s="45">
        <v>0</v>
      </c>
      <c r="O227" s="45">
        <f t="shared" si="227"/>
        <v>0</v>
      </c>
      <c r="P227" s="50"/>
      <c r="Q227" s="45">
        <f t="shared" si="228"/>
        <v>0</v>
      </c>
      <c r="R227" s="64">
        <f>M227*Inputs!$F$26*Inputs!$G$26</f>
        <v>0</v>
      </c>
      <c r="S227" s="45">
        <f>Inputs!$F$26*Inputs!$I$26*N227</f>
        <v>0</v>
      </c>
      <c r="T227" s="18"/>
      <c r="U227" s="55"/>
      <c r="W227" s="116">
        <v>9</v>
      </c>
      <c r="X227" s="114">
        <f>Inputs!$A$26</f>
        <v>0</v>
      </c>
      <c r="Y227" s="45">
        <f>Inputs!$B$26</f>
        <v>0</v>
      </c>
      <c r="Z227" s="45" t="s">
        <v>57</v>
      </c>
      <c r="AA227" s="45">
        <f t="shared" si="205"/>
        <v>0</v>
      </c>
      <c r="AB227" s="50"/>
      <c r="AC227" s="118">
        <v>9</v>
      </c>
      <c r="AD227" s="114">
        <f>Inputs!$A$26</f>
        <v>0</v>
      </c>
      <c r="AE227" s="45">
        <f>Inputs!$B$26</f>
        <v>0</v>
      </c>
      <c r="AF227" s="45" t="s">
        <v>58</v>
      </c>
      <c r="AG227" s="45">
        <f t="shared" si="206"/>
        <v>0</v>
      </c>
      <c r="AH227" s="50"/>
      <c r="AI227" s="45">
        <v>0</v>
      </c>
      <c r="AJ227" s="45">
        <v>0</v>
      </c>
      <c r="AK227" s="45">
        <f t="shared" si="229"/>
        <v>0</v>
      </c>
      <c r="AL227" s="50"/>
      <c r="AM227" s="45">
        <f t="shared" si="230"/>
        <v>0</v>
      </c>
      <c r="AN227" s="64">
        <f>AI227*Inputs!$F$26*Inputs!$G$26</f>
        <v>0</v>
      </c>
      <c r="AO227" s="45">
        <f>Inputs!$F$26*Inputs!$I$26*AJ227</f>
        <v>0</v>
      </c>
      <c r="AP227" s="55"/>
      <c r="AR227" s="116">
        <v>9</v>
      </c>
      <c r="AS227" s="114">
        <f>Inputs!$A$26</f>
        <v>0</v>
      </c>
      <c r="AT227" s="45">
        <f>Inputs!$B$26</f>
        <v>0</v>
      </c>
      <c r="AU227" s="45" t="s">
        <v>57</v>
      </c>
      <c r="AV227" s="45">
        <f t="shared" si="210"/>
        <v>0</v>
      </c>
      <c r="AW227" s="50"/>
      <c r="AX227" s="118">
        <v>9</v>
      </c>
      <c r="AY227" s="114">
        <f>Inputs!$A$26</f>
        <v>0</v>
      </c>
      <c r="AZ227" s="45">
        <f>Inputs!$B$26</f>
        <v>0</v>
      </c>
      <c r="BA227" s="45" t="s">
        <v>58</v>
      </c>
      <c r="BB227" s="45">
        <f t="shared" si="207"/>
        <v>0</v>
      </c>
      <c r="BC227" s="50"/>
      <c r="BD227" s="45">
        <v>0</v>
      </c>
      <c r="BE227" s="45">
        <v>0</v>
      </c>
      <c r="BF227" s="45">
        <f t="shared" si="231"/>
        <v>0</v>
      </c>
      <c r="BG227" s="50"/>
      <c r="BH227" s="45">
        <f t="shared" si="232"/>
        <v>0</v>
      </c>
      <c r="BI227" s="64">
        <f>BD227*Inputs!$F$26*Inputs!$G$26</f>
        <v>0</v>
      </c>
      <c r="BJ227" s="45">
        <f>Inputs!$F$26*Inputs!$I$26*BE227</f>
        <v>0</v>
      </c>
      <c r="BK227" s="55"/>
      <c r="BM227" s="116">
        <v>9</v>
      </c>
      <c r="BN227" s="114">
        <f>Inputs!$A$26</f>
        <v>0</v>
      </c>
      <c r="BO227" s="45">
        <f>Inputs!$B$26</f>
        <v>0</v>
      </c>
      <c r="BP227" s="45" t="s">
        <v>57</v>
      </c>
      <c r="BQ227" s="45">
        <f t="shared" si="208"/>
        <v>0</v>
      </c>
      <c r="BR227" s="50"/>
      <c r="BS227" s="118">
        <v>9</v>
      </c>
      <c r="BT227" s="114">
        <f>Inputs!$A$26</f>
        <v>0</v>
      </c>
      <c r="BU227" s="45">
        <f>Inputs!$B$26</f>
        <v>0</v>
      </c>
      <c r="BV227" s="45" t="s">
        <v>58</v>
      </c>
      <c r="BW227" s="45">
        <f t="shared" si="209"/>
        <v>0</v>
      </c>
      <c r="BX227" s="50"/>
      <c r="BY227" s="45">
        <v>0</v>
      </c>
      <c r="BZ227" s="45">
        <v>0</v>
      </c>
      <c r="CA227" s="45">
        <f t="shared" si="233"/>
        <v>0</v>
      </c>
      <c r="CB227" s="50"/>
      <c r="CC227" s="45">
        <f t="shared" si="234"/>
        <v>0</v>
      </c>
      <c r="CD227" s="64">
        <f>BY227*Inputs!$F$26*Inputs!$G$26</f>
        <v>0</v>
      </c>
      <c r="CE227" s="45">
        <f>Inputs!$F$26*Inputs!$I$26*BZ227</f>
        <v>0</v>
      </c>
      <c r="CF227" s="55"/>
    </row>
    <row r="228" spans="1:84" x14ac:dyDescent="0.25">
      <c r="A228" s="116">
        <v>10</v>
      </c>
      <c r="B228" s="114">
        <f>Inputs!$A$26</f>
        <v>0</v>
      </c>
      <c r="C228" s="45">
        <f>Inputs!$B$26</f>
        <v>0</v>
      </c>
      <c r="D228" s="45" t="s">
        <v>57</v>
      </c>
      <c r="E228" s="45">
        <v>0</v>
      </c>
      <c r="F228" s="50"/>
      <c r="G228" s="118">
        <v>10</v>
      </c>
      <c r="H228" s="114">
        <f>Inputs!$A$26</f>
        <v>0</v>
      </c>
      <c r="I228" s="45">
        <f>Inputs!$B$26</f>
        <v>0</v>
      </c>
      <c r="J228" s="45" t="s">
        <v>58</v>
      </c>
      <c r="K228" s="45">
        <v>0</v>
      </c>
      <c r="L228" s="50"/>
      <c r="M228" s="45">
        <v>0</v>
      </c>
      <c r="N228" s="45">
        <v>0</v>
      </c>
      <c r="O228" s="45">
        <f t="shared" si="227"/>
        <v>0</v>
      </c>
      <c r="P228" s="50"/>
      <c r="Q228" s="45">
        <f t="shared" si="228"/>
        <v>0</v>
      </c>
      <c r="R228" s="64">
        <f>M228*Inputs!$F$26*Inputs!$G$26</f>
        <v>0</v>
      </c>
      <c r="S228" s="45">
        <f>Inputs!$F$26*Inputs!$I$26*N228</f>
        <v>0</v>
      </c>
      <c r="T228" s="18"/>
      <c r="U228" s="91"/>
      <c r="W228" s="116">
        <v>10</v>
      </c>
      <c r="X228" s="114">
        <f>Inputs!$A$26</f>
        <v>0</v>
      </c>
      <c r="Y228" s="45">
        <f>Inputs!$B$26</f>
        <v>0</v>
      </c>
      <c r="Z228" s="45" t="s">
        <v>57</v>
      </c>
      <c r="AA228" s="45">
        <f t="shared" si="205"/>
        <v>0</v>
      </c>
      <c r="AB228" s="50"/>
      <c r="AC228" s="118">
        <v>10</v>
      </c>
      <c r="AD228" s="114">
        <f>Inputs!$A$26</f>
        <v>0</v>
      </c>
      <c r="AE228" s="45">
        <f>Inputs!$B$26</f>
        <v>0</v>
      </c>
      <c r="AF228" s="45" t="s">
        <v>58</v>
      </c>
      <c r="AG228" s="45">
        <f t="shared" si="206"/>
        <v>0</v>
      </c>
      <c r="AH228" s="50"/>
      <c r="AI228" s="45">
        <v>0</v>
      </c>
      <c r="AJ228" s="45">
        <v>0</v>
      </c>
      <c r="AK228" s="45">
        <f t="shared" si="229"/>
        <v>0</v>
      </c>
      <c r="AL228" s="50"/>
      <c r="AM228" s="45">
        <f t="shared" si="230"/>
        <v>0</v>
      </c>
      <c r="AN228" s="64">
        <f>AI228*Inputs!$F$26*Inputs!$G$26</f>
        <v>0</v>
      </c>
      <c r="AO228" s="45">
        <f>Inputs!$F$26*Inputs!$I$26*AJ228</f>
        <v>0</v>
      </c>
      <c r="AP228" s="91"/>
      <c r="AR228" s="116">
        <v>10</v>
      </c>
      <c r="AS228" s="114">
        <f>Inputs!$A$26</f>
        <v>0</v>
      </c>
      <c r="AT228" s="45">
        <f>Inputs!$B$26</f>
        <v>0</v>
      </c>
      <c r="AU228" s="45" t="s">
        <v>57</v>
      </c>
      <c r="AV228" s="45">
        <f t="shared" si="210"/>
        <v>0</v>
      </c>
      <c r="AW228" s="50"/>
      <c r="AX228" s="118">
        <v>10</v>
      </c>
      <c r="AY228" s="114">
        <f>Inputs!$A$26</f>
        <v>0</v>
      </c>
      <c r="AZ228" s="45">
        <f>Inputs!$B$26</f>
        <v>0</v>
      </c>
      <c r="BA228" s="45" t="s">
        <v>58</v>
      </c>
      <c r="BB228" s="45">
        <f t="shared" si="207"/>
        <v>0</v>
      </c>
      <c r="BC228" s="50"/>
      <c r="BD228" s="45">
        <v>0</v>
      </c>
      <c r="BE228" s="45">
        <v>0</v>
      </c>
      <c r="BF228" s="45">
        <f t="shared" si="231"/>
        <v>0</v>
      </c>
      <c r="BG228" s="50"/>
      <c r="BH228" s="45">
        <f t="shared" si="232"/>
        <v>0</v>
      </c>
      <c r="BI228" s="64">
        <f>BD228*Inputs!$F$26*Inputs!$G$26</f>
        <v>0</v>
      </c>
      <c r="BJ228" s="45">
        <f>Inputs!$F$26*Inputs!$I$26*BE228</f>
        <v>0</v>
      </c>
      <c r="BK228" s="91"/>
      <c r="BM228" s="116">
        <v>10</v>
      </c>
      <c r="BN228" s="114">
        <f>Inputs!$A$26</f>
        <v>0</v>
      </c>
      <c r="BO228" s="45">
        <f>Inputs!$B$26</f>
        <v>0</v>
      </c>
      <c r="BP228" s="45" t="s">
        <v>57</v>
      </c>
      <c r="BQ228" s="45">
        <f t="shared" si="208"/>
        <v>0</v>
      </c>
      <c r="BR228" s="50"/>
      <c r="BS228" s="118">
        <v>10</v>
      </c>
      <c r="BT228" s="114">
        <f>Inputs!$A$26</f>
        <v>0</v>
      </c>
      <c r="BU228" s="45">
        <f>Inputs!$B$26</f>
        <v>0</v>
      </c>
      <c r="BV228" s="45" t="s">
        <v>58</v>
      </c>
      <c r="BW228" s="45">
        <f t="shared" si="209"/>
        <v>0</v>
      </c>
      <c r="BX228" s="50"/>
      <c r="BY228" s="45">
        <v>0</v>
      </c>
      <c r="BZ228" s="45">
        <v>0</v>
      </c>
      <c r="CA228" s="45">
        <f t="shared" si="233"/>
        <v>0</v>
      </c>
      <c r="CB228" s="50"/>
      <c r="CC228" s="45">
        <f t="shared" si="234"/>
        <v>0</v>
      </c>
      <c r="CD228" s="64">
        <f>BY228*Inputs!$F$26*Inputs!$G$26</f>
        <v>0</v>
      </c>
      <c r="CE228" s="45">
        <f>Inputs!$F$26*Inputs!$I$26*BZ228</f>
        <v>0</v>
      </c>
      <c r="CF228" s="91"/>
    </row>
    <row r="229" spans="1:84" x14ac:dyDescent="0.25">
      <c r="A229" s="116">
        <v>11</v>
      </c>
      <c r="B229" s="114">
        <f>Inputs!$A$26</f>
        <v>0</v>
      </c>
      <c r="C229" s="45">
        <f>Inputs!$B$26</f>
        <v>0</v>
      </c>
      <c r="D229" s="45" t="s">
        <v>57</v>
      </c>
      <c r="E229" s="45">
        <v>0</v>
      </c>
      <c r="F229" s="50"/>
      <c r="G229" s="118">
        <v>11</v>
      </c>
      <c r="H229" s="114">
        <f>Inputs!$A$26</f>
        <v>0</v>
      </c>
      <c r="I229" s="45">
        <f>Inputs!$B$26</f>
        <v>0</v>
      </c>
      <c r="J229" s="45" t="s">
        <v>58</v>
      </c>
      <c r="K229" s="45">
        <v>0</v>
      </c>
      <c r="L229" s="50"/>
      <c r="M229" s="45">
        <v>0</v>
      </c>
      <c r="N229" s="45">
        <v>0</v>
      </c>
      <c r="O229" s="45">
        <f t="shared" si="227"/>
        <v>0</v>
      </c>
      <c r="P229" s="50"/>
      <c r="Q229" s="45">
        <f t="shared" si="228"/>
        <v>0</v>
      </c>
      <c r="R229" s="64">
        <f>M229*Inputs!$F$26*Inputs!$H$26</f>
        <v>0</v>
      </c>
      <c r="S229" s="45">
        <f>Inputs!$F$26*Inputs!$I$26*N229</f>
        <v>0</v>
      </c>
      <c r="T229" s="18"/>
      <c r="U229" s="56"/>
      <c r="W229" s="116">
        <v>11</v>
      </c>
      <c r="X229" s="114">
        <f>Inputs!$A$26</f>
        <v>0</v>
      </c>
      <c r="Y229" s="45">
        <f>Inputs!$B$26</f>
        <v>0</v>
      </c>
      <c r="Z229" s="45" t="s">
        <v>57</v>
      </c>
      <c r="AA229" s="45">
        <f t="shared" si="205"/>
        <v>0</v>
      </c>
      <c r="AB229" s="50"/>
      <c r="AC229" s="118">
        <v>11</v>
      </c>
      <c r="AD229" s="114">
        <f>Inputs!$A$26</f>
        <v>0</v>
      </c>
      <c r="AE229" s="45">
        <f>Inputs!$B$26</f>
        <v>0</v>
      </c>
      <c r="AF229" s="45" t="s">
        <v>58</v>
      </c>
      <c r="AG229" s="45">
        <f t="shared" si="206"/>
        <v>0</v>
      </c>
      <c r="AH229" s="50"/>
      <c r="AI229" s="45">
        <v>0</v>
      </c>
      <c r="AJ229" s="45">
        <v>0</v>
      </c>
      <c r="AK229" s="45">
        <f t="shared" si="229"/>
        <v>0</v>
      </c>
      <c r="AL229" s="50"/>
      <c r="AM229" s="45">
        <f t="shared" si="230"/>
        <v>0</v>
      </c>
      <c r="AN229" s="64">
        <f>AI229*Inputs!$F$26*Inputs!$H$26</f>
        <v>0</v>
      </c>
      <c r="AO229" s="45">
        <f>Inputs!$F$26*Inputs!$I$26*AJ229</f>
        <v>0</v>
      </c>
      <c r="AP229" s="56"/>
      <c r="AR229" s="116">
        <v>11</v>
      </c>
      <c r="AS229" s="114">
        <f>Inputs!$A$26</f>
        <v>0</v>
      </c>
      <c r="AT229" s="45">
        <f>Inputs!$B$26</f>
        <v>0</v>
      </c>
      <c r="AU229" s="45" t="s">
        <v>57</v>
      </c>
      <c r="AV229" s="45">
        <f t="shared" si="210"/>
        <v>0</v>
      </c>
      <c r="AW229" s="50"/>
      <c r="AX229" s="118">
        <v>11</v>
      </c>
      <c r="AY229" s="114">
        <f>Inputs!$A$26</f>
        <v>0</v>
      </c>
      <c r="AZ229" s="45">
        <f>Inputs!$B$26</f>
        <v>0</v>
      </c>
      <c r="BA229" s="45" t="s">
        <v>58</v>
      </c>
      <c r="BB229" s="45">
        <f t="shared" si="207"/>
        <v>0</v>
      </c>
      <c r="BC229" s="50"/>
      <c r="BD229" s="45">
        <v>0</v>
      </c>
      <c r="BE229" s="45">
        <v>0</v>
      </c>
      <c r="BF229" s="45">
        <f t="shared" si="231"/>
        <v>0</v>
      </c>
      <c r="BG229" s="50"/>
      <c r="BH229" s="45">
        <f t="shared" si="232"/>
        <v>0</v>
      </c>
      <c r="BI229" s="64">
        <f>BD229*Inputs!$F$26*Inputs!$H$26</f>
        <v>0</v>
      </c>
      <c r="BJ229" s="45">
        <f>Inputs!$F$26*Inputs!$I$26*BE229</f>
        <v>0</v>
      </c>
      <c r="BK229" s="56"/>
      <c r="BM229" s="116">
        <v>11</v>
      </c>
      <c r="BN229" s="114">
        <f>Inputs!$A$26</f>
        <v>0</v>
      </c>
      <c r="BO229" s="45">
        <f>Inputs!$B$26</f>
        <v>0</v>
      </c>
      <c r="BP229" s="45" t="s">
        <v>57</v>
      </c>
      <c r="BQ229" s="45">
        <f t="shared" si="208"/>
        <v>0</v>
      </c>
      <c r="BR229" s="50"/>
      <c r="BS229" s="118">
        <v>11</v>
      </c>
      <c r="BT229" s="114">
        <f>Inputs!$A$26</f>
        <v>0</v>
      </c>
      <c r="BU229" s="45">
        <f>Inputs!$B$26</f>
        <v>0</v>
      </c>
      <c r="BV229" s="45" t="s">
        <v>58</v>
      </c>
      <c r="BW229" s="45">
        <f t="shared" si="209"/>
        <v>0</v>
      </c>
      <c r="BX229" s="50"/>
      <c r="BY229" s="45">
        <v>0</v>
      </c>
      <c r="BZ229" s="45">
        <v>0</v>
      </c>
      <c r="CA229" s="45">
        <f t="shared" si="233"/>
        <v>0</v>
      </c>
      <c r="CB229" s="50"/>
      <c r="CC229" s="45">
        <f t="shared" si="234"/>
        <v>0</v>
      </c>
      <c r="CD229" s="64">
        <f>BY229*Inputs!$F$26*Inputs!$H$26</f>
        <v>0</v>
      </c>
      <c r="CE229" s="45">
        <f>Inputs!$F$26*Inputs!$I$26*BZ229</f>
        <v>0</v>
      </c>
      <c r="CF229" s="56"/>
    </row>
    <row r="230" spans="1:84" x14ac:dyDescent="0.25">
      <c r="A230" s="117">
        <v>3</v>
      </c>
      <c r="B230" s="115">
        <f>Inputs!$A$27</f>
        <v>0</v>
      </c>
      <c r="C230" s="44">
        <f>Inputs!$B$27</f>
        <v>0</v>
      </c>
      <c r="D230" s="44" t="s">
        <v>57</v>
      </c>
      <c r="E230" s="44">
        <v>0</v>
      </c>
      <c r="F230" s="50"/>
      <c r="G230" s="119">
        <v>3</v>
      </c>
      <c r="H230" s="115">
        <f>Inputs!$A$27</f>
        <v>0</v>
      </c>
      <c r="I230" s="44">
        <f>Inputs!$B$27</f>
        <v>0</v>
      </c>
      <c r="J230" s="44" t="s">
        <v>58</v>
      </c>
      <c r="K230" s="44">
        <v>0</v>
      </c>
      <c r="L230" s="50"/>
      <c r="M230" s="44">
        <v>0</v>
      </c>
      <c r="N230" s="44">
        <v>0</v>
      </c>
      <c r="O230" s="44">
        <f>U230-0-E230-K230</f>
        <v>0</v>
      </c>
      <c r="P230" s="50"/>
      <c r="Q230" s="44">
        <f>E230+K230+N230-U230+0-M230</f>
        <v>0</v>
      </c>
      <c r="R230" s="63">
        <f>M230*Inputs!$F$27*Inputs!$G$27</f>
        <v>0</v>
      </c>
      <c r="S230" s="44">
        <f>Inputs!$F$27*Inputs!$I$27*N230</f>
        <v>0</v>
      </c>
      <c r="T230" s="18"/>
      <c r="U230" s="54"/>
      <c r="W230" s="117">
        <v>3</v>
      </c>
      <c r="X230" s="115">
        <f>Inputs!$A$27</f>
        <v>0</v>
      </c>
      <c r="Y230" s="44">
        <f>Inputs!$B$27</f>
        <v>0</v>
      </c>
      <c r="Z230" s="44" t="s">
        <v>57</v>
      </c>
      <c r="AA230" s="44">
        <f t="shared" si="205"/>
        <v>0</v>
      </c>
      <c r="AB230" s="50"/>
      <c r="AC230" s="119">
        <v>3</v>
      </c>
      <c r="AD230" s="115">
        <f>Inputs!$A$27</f>
        <v>0</v>
      </c>
      <c r="AE230" s="44">
        <f>Inputs!$B$27</f>
        <v>0</v>
      </c>
      <c r="AF230" s="44" t="s">
        <v>58</v>
      </c>
      <c r="AG230" s="44">
        <f t="shared" si="206"/>
        <v>0</v>
      </c>
      <c r="AH230" s="50"/>
      <c r="AI230" s="44">
        <v>0</v>
      </c>
      <c r="AJ230" s="44">
        <v>0</v>
      </c>
      <c r="AK230" s="44">
        <f>AP230-0-AA230-AG230</f>
        <v>0</v>
      </c>
      <c r="AL230" s="50"/>
      <c r="AM230" s="44">
        <f>AA230+AG230+AJ230-AP230+0-AI230</f>
        <v>0</v>
      </c>
      <c r="AN230" s="63">
        <f>AI230*Inputs!$F$27*Inputs!$G$27</f>
        <v>0</v>
      </c>
      <c r="AO230" s="44">
        <f>Inputs!$F$27*Inputs!$I$27*AJ230</f>
        <v>0</v>
      </c>
      <c r="AP230" s="54"/>
      <c r="AR230" s="117">
        <v>3</v>
      </c>
      <c r="AS230" s="115">
        <f>Inputs!$A$27</f>
        <v>0</v>
      </c>
      <c r="AT230" s="44">
        <f>Inputs!$B$27</f>
        <v>0</v>
      </c>
      <c r="AU230" s="44" t="s">
        <v>57</v>
      </c>
      <c r="AV230" s="44">
        <f t="shared" si="210"/>
        <v>0</v>
      </c>
      <c r="AW230" s="50"/>
      <c r="AX230" s="119">
        <v>3</v>
      </c>
      <c r="AY230" s="115">
        <f>Inputs!$A$27</f>
        <v>0</v>
      </c>
      <c r="AZ230" s="44">
        <f>Inputs!$B$27</f>
        <v>0</v>
      </c>
      <c r="BA230" s="44" t="s">
        <v>58</v>
      </c>
      <c r="BB230" s="44">
        <f t="shared" si="207"/>
        <v>0</v>
      </c>
      <c r="BC230" s="50"/>
      <c r="BD230" s="44">
        <v>0</v>
      </c>
      <c r="BE230" s="44">
        <v>0</v>
      </c>
      <c r="BF230" s="44">
        <f>BK230-0-AV230-BB230</f>
        <v>0</v>
      </c>
      <c r="BG230" s="50"/>
      <c r="BH230" s="44">
        <f>AV230+BB230+BE230-BK230+0-BD230</f>
        <v>0</v>
      </c>
      <c r="BI230" s="63">
        <f>BD230*Inputs!$F$27*Inputs!$G$27</f>
        <v>0</v>
      </c>
      <c r="BJ230" s="44">
        <f>Inputs!$F$27*Inputs!$I$27*BE230</f>
        <v>0</v>
      </c>
      <c r="BK230" s="54"/>
      <c r="BM230" s="117">
        <v>3</v>
      </c>
      <c r="BN230" s="115">
        <f>Inputs!$A$27</f>
        <v>0</v>
      </c>
      <c r="BO230" s="44">
        <f>Inputs!$B$27</f>
        <v>0</v>
      </c>
      <c r="BP230" s="44" t="s">
        <v>57</v>
      </c>
      <c r="BQ230" s="44">
        <f t="shared" si="208"/>
        <v>0</v>
      </c>
      <c r="BR230" s="50"/>
      <c r="BS230" s="119">
        <v>3</v>
      </c>
      <c r="BT230" s="115">
        <f>Inputs!$A$27</f>
        <v>0</v>
      </c>
      <c r="BU230" s="44">
        <f>Inputs!$B$27</f>
        <v>0</v>
      </c>
      <c r="BV230" s="44" t="s">
        <v>58</v>
      </c>
      <c r="BW230" s="44">
        <f t="shared" si="209"/>
        <v>0</v>
      </c>
      <c r="BX230" s="50"/>
      <c r="BY230" s="44">
        <v>0</v>
      </c>
      <c r="BZ230" s="44">
        <v>0</v>
      </c>
      <c r="CA230" s="44">
        <f>CF230-0-BQ230-BW230</f>
        <v>0</v>
      </c>
      <c r="CB230" s="50"/>
      <c r="CC230" s="44">
        <f>BQ230+BW230+BZ230-CF230+0-BY230</f>
        <v>0</v>
      </c>
      <c r="CD230" s="63">
        <f>BY230*Inputs!$F$27*Inputs!$G$27</f>
        <v>0</v>
      </c>
      <c r="CE230" s="44">
        <f>Inputs!$F$27*Inputs!$I$27*BZ230</f>
        <v>0</v>
      </c>
      <c r="CF230" s="54"/>
    </row>
    <row r="231" spans="1:84" x14ac:dyDescent="0.25">
      <c r="A231" s="117">
        <v>4</v>
      </c>
      <c r="B231" s="115">
        <f>Inputs!$A$27</f>
        <v>0</v>
      </c>
      <c r="C231" s="44">
        <f>Inputs!$B$27</f>
        <v>0</v>
      </c>
      <c r="D231" s="44" t="s">
        <v>57</v>
      </c>
      <c r="E231" s="44">
        <v>0</v>
      </c>
      <c r="F231" s="50"/>
      <c r="G231" s="119">
        <v>4</v>
      </c>
      <c r="H231" s="115">
        <f>Inputs!$A$27</f>
        <v>0</v>
      </c>
      <c r="I231" s="44">
        <f>Inputs!$B$27</f>
        <v>0</v>
      </c>
      <c r="J231" s="44" t="s">
        <v>58</v>
      </c>
      <c r="K231" s="44">
        <v>0</v>
      </c>
      <c r="L231" s="50"/>
      <c r="M231" s="44">
        <v>0</v>
      </c>
      <c r="N231" s="44">
        <v>0</v>
      </c>
      <c r="O231" s="44">
        <f t="shared" ref="O231:O238" si="235">U231-M230-E231-K231</f>
        <v>0</v>
      </c>
      <c r="P231" s="50"/>
      <c r="Q231" s="44">
        <f t="shared" ref="Q231:Q238" si="236">E231+K231+N231-U231+M230-M231</f>
        <v>0</v>
      </c>
      <c r="R231" s="63">
        <f>M231*Inputs!$F$27*Inputs!$G$27</f>
        <v>0</v>
      </c>
      <c r="S231" s="44">
        <f>Inputs!$F$27*Inputs!$I$27*N231</f>
        <v>0</v>
      </c>
      <c r="T231" s="18"/>
      <c r="U231" s="55"/>
      <c r="W231" s="117">
        <v>4</v>
      </c>
      <c r="X231" s="115">
        <f>Inputs!$A$27</f>
        <v>0</v>
      </c>
      <c r="Y231" s="44">
        <f>Inputs!$B$27</f>
        <v>0</v>
      </c>
      <c r="Z231" s="44" t="s">
        <v>57</v>
      </c>
      <c r="AA231" s="44">
        <f t="shared" si="205"/>
        <v>0</v>
      </c>
      <c r="AB231" s="50"/>
      <c r="AC231" s="119">
        <v>4</v>
      </c>
      <c r="AD231" s="115">
        <f>Inputs!$A$27</f>
        <v>0</v>
      </c>
      <c r="AE231" s="44">
        <f>Inputs!$B$27</f>
        <v>0</v>
      </c>
      <c r="AF231" s="44" t="s">
        <v>58</v>
      </c>
      <c r="AG231" s="44">
        <f t="shared" si="206"/>
        <v>0</v>
      </c>
      <c r="AH231" s="50"/>
      <c r="AI231" s="44">
        <v>0</v>
      </c>
      <c r="AJ231" s="44">
        <v>0</v>
      </c>
      <c r="AK231" s="44">
        <f t="shared" ref="AK231:AK238" si="237">AP231-AI230-AA231-AG231</f>
        <v>0</v>
      </c>
      <c r="AL231" s="50"/>
      <c r="AM231" s="44">
        <f t="shared" ref="AM231:AM238" si="238">AA231+AG231+AJ231-AP231+AI230-AI231</f>
        <v>0</v>
      </c>
      <c r="AN231" s="63">
        <f>AI231*Inputs!$F$27*Inputs!$G$27</f>
        <v>0</v>
      </c>
      <c r="AO231" s="44">
        <f>Inputs!$F$27*Inputs!$I$27*AJ231</f>
        <v>0</v>
      </c>
      <c r="AP231" s="55"/>
      <c r="AR231" s="117">
        <v>4</v>
      </c>
      <c r="AS231" s="115">
        <f>Inputs!$A$27</f>
        <v>0</v>
      </c>
      <c r="AT231" s="44">
        <f>Inputs!$B$27</f>
        <v>0</v>
      </c>
      <c r="AU231" s="44" t="s">
        <v>57</v>
      </c>
      <c r="AV231" s="44">
        <f t="shared" si="210"/>
        <v>0</v>
      </c>
      <c r="AW231" s="50"/>
      <c r="AX231" s="119">
        <v>4</v>
      </c>
      <c r="AY231" s="115">
        <f>Inputs!$A$27</f>
        <v>0</v>
      </c>
      <c r="AZ231" s="44">
        <f>Inputs!$B$27</f>
        <v>0</v>
      </c>
      <c r="BA231" s="44" t="s">
        <v>58</v>
      </c>
      <c r="BB231" s="44">
        <f t="shared" si="207"/>
        <v>0</v>
      </c>
      <c r="BC231" s="50"/>
      <c r="BD231" s="44">
        <v>0</v>
      </c>
      <c r="BE231" s="44">
        <v>0</v>
      </c>
      <c r="BF231" s="44">
        <f t="shared" ref="BF231:BF238" si="239">BK231-BD230-AV231-BB231</f>
        <v>0</v>
      </c>
      <c r="BG231" s="50"/>
      <c r="BH231" s="44">
        <f t="shared" ref="BH231:BH238" si="240">AV231+BB231+BE231-BK231+BD230-BD231</f>
        <v>0</v>
      </c>
      <c r="BI231" s="63">
        <f>BD231*Inputs!$F$27*Inputs!$G$27</f>
        <v>0</v>
      </c>
      <c r="BJ231" s="44">
        <f>Inputs!$F$27*Inputs!$I$27*BE231</f>
        <v>0</v>
      </c>
      <c r="BK231" s="55"/>
      <c r="BM231" s="117">
        <v>4</v>
      </c>
      <c r="BN231" s="115">
        <f>Inputs!$A$27</f>
        <v>0</v>
      </c>
      <c r="BO231" s="44">
        <f>Inputs!$B$27</f>
        <v>0</v>
      </c>
      <c r="BP231" s="44" t="s">
        <v>57</v>
      </c>
      <c r="BQ231" s="44">
        <f t="shared" si="208"/>
        <v>0</v>
      </c>
      <c r="BR231" s="50"/>
      <c r="BS231" s="119">
        <v>4</v>
      </c>
      <c r="BT231" s="115">
        <f>Inputs!$A$27</f>
        <v>0</v>
      </c>
      <c r="BU231" s="44">
        <f>Inputs!$B$27</f>
        <v>0</v>
      </c>
      <c r="BV231" s="44" t="s">
        <v>58</v>
      </c>
      <c r="BW231" s="44">
        <f t="shared" si="209"/>
        <v>0</v>
      </c>
      <c r="BX231" s="50"/>
      <c r="BY231" s="44">
        <v>0</v>
      </c>
      <c r="BZ231" s="44">
        <v>0</v>
      </c>
      <c r="CA231" s="44">
        <f t="shared" ref="CA231:CA238" si="241">CF231-BY230-BQ231-BW231</f>
        <v>0</v>
      </c>
      <c r="CB231" s="50"/>
      <c r="CC231" s="44">
        <f t="shared" ref="CC231:CC238" si="242">BQ231+BW231+BZ231-CF231+BY230-BY231</f>
        <v>0</v>
      </c>
      <c r="CD231" s="63">
        <f>BY231*Inputs!$F$27*Inputs!$G$27</f>
        <v>0</v>
      </c>
      <c r="CE231" s="44">
        <f>Inputs!$F$27*Inputs!$I$27*BZ231</f>
        <v>0</v>
      </c>
      <c r="CF231" s="55"/>
    </row>
    <row r="232" spans="1:84" x14ac:dyDescent="0.25">
      <c r="A232" s="117">
        <v>5</v>
      </c>
      <c r="B232" s="115">
        <f>Inputs!$A$27</f>
        <v>0</v>
      </c>
      <c r="C232" s="44">
        <f>Inputs!$B$27</f>
        <v>0</v>
      </c>
      <c r="D232" s="44" t="s">
        <v>57</v>
      </c>
      <c r="E232" s="44">
        <v>0</v>
      </c>
      <c r="F232" s="50"/>
      <c r="G232" s="119">
        <v>5</v>
      </c>
      <c r="H232" s="115">
        <f>Inputs!$A$27</f>
        <v>0</v>
      </c>
      <c r="I232" s="44">
        <f>Inputs!$B$27</f>
        <v>0</v>
      </c>
      <c r="J232" s="44" t="s">
        <v>58</v>
      </c>
      <c r="K232" s="44">
        <v>0</v>
      </c>
      <c r="L232" s="50"/>
      <c r="M232" s="44">
        <v>0</v>
      </c>
      <c r="N232" s="44">
        <v>0</v>
      </c>
      <c r="O232" s="44">
        <f t="shared" si="235"/>
        <v>0</v>
      </c>
      <c r="P232" s="50"/>
      <c r="Q232" s="44">
        <f t="shared" si="236"/>
        <v>0</v>
      </c>
      <c r="R232" s="63">
        <f>M232*Inputs!$F$27*Inputs!$G$27</f>
        <v>0</v>
      </c>
      <c r="S232" s="44">
        <f>Inputs!$F$27*Inputs!$I$27*N232</f>
        <v>0</v>
      </c>
      <c r="T232" s="18"/>
      <c r="U232" s="55"/>
      <c r="W232" s="117">
        <v>5</v>
      </c>
      <c r="X232" s="115">
        <f>Inputs!$A$27</f>
        <v>0</v>
      </c>
      <c r="Y232" s="44">
        <f>Inputs!$B$27</f>
        <v>0</v>
      </c>
      <c r="Z232" s="44" t="s">
        <v>57</v>
      </c>
      <c r="AA232" s="44">
        <f t="shared" si="205"/>
        <v>0</v>
      </c>
      <c r="AB232" s="50"/>
      <c r="AC232" s="119">
        <v>5</v>
      </c>
      <c r="AD232" s="115">
        <f>Inputs!$A$27</f>
        <v>0</v>
      </c>
      <c r="AE232" s="44">
        <f>Inputs!$B$27</f>
        <v>0</v>
      </c>
      <c r="AF232" s="44" t="s">
        <v>58</v>
      </c>
      <c r="AG232" s="44">
        <f t="shared" si="206"/>
        <v>0</v>
      </c>
      <c r="AH232" s="50"/>
      <c r="AI232" s="44">
        <v>0</v>
      </c>
      <c r="AJ232" s="44">
        <v>0</v>
      </c>
      <c r="AK232" s="44">
        <f t="shared" si="237"/>
        <v>0</v>
      </c>
      <c r="AL232" s="50"/>
      <c r="AM232" s="44">
        <f t="shared" si="238"/>
        <v>0</v>
      </c>
      <c r="AN232" s="63">
        <f>AI232*Inputs!$F$27*Inputs!$G$27</f>
        <v>0</v>
      </c>
      <c r="AO232" s="44">
        <f>Inputs!$F$27*Inputs!$I$27*AJ232</f>
        <v>0</v>
      </c>
      <c r="AP232" s="55"/>
      <c r="AR232" s="117">
        <v>5</v>
      </c>
      <c r="AS232" s="115">
        <f>Inputs!$A$27</f>
        <v>0</v>
      </c>
      <c r="AT232" s="44">
        <f>Inputs!$B$27</f>
        <v>0</v>
      </c>
      <c r="AU232" s="44" t="s">
        <v>57</v>
      </c>
      <c r="AV232" s="44">
        <f t="shared" si="210"/>
        <v>0</v>
      </c>
      <c r="AW232" s="50"/>
      <c r="AX232" s="119">
        <v>5</v>
      </c>
      <c r="AY232" s="115">
        <f>Inputs!$A$27</f>
        <v>0</v>
      </c>
      <c r="AZ232" s="44">
        <f>Inputs!$B$27</f>
        <v>0</v>
      </c>
      <c r="BA232" s="44" t="s">
        <v>58</v>
      </c>
      <c r="BB232" s="44">
        <f t="shared" si="207"/>
        <v>0</v>
      </c>
      <c r="BC232" s="50"/>
      <c r="BD232" s="44">
        <v>0</v>
      </c>
      <c r="BE232" s="44">
        <v>0</v>
      </c>
      <c r="BF232" s="44">
        <f t="shared" si="239"/>
        <v>0</v>
      </c>
      <c r="BG232" s="50"/>
      <c r="BH232" s="44">
        <f t="shared" si="240"/>
        <v>0</v>
      </c>
      <c r="BI232" s="63">
        <f>BD232*Inputs!$F$27*Inputs!$G$27</f>
        <v>0</v>
      </c>
      <c r="BJ232" s="44">
        <f>Inputs!$F$27*Inputs!$I$27*BE232</f>
        <v>0</v>
      </c>
      <c r="BK232" s="55"/>
      <c r="BM232" s="117">
        <v>5</v>
      </c>
      <c r="BN232" s="115">
        <f>Inputs!$A$27</f>
        <v>0</v>
      </c>
      <c r="BO232" s="44">
        <f>Inputs!$B$27</f>
        <v>0</v>
      </c>
      <c r="BP232" s="44" t="s">
        <v>57</v>
      </c>
      <c r="BQ232" s="44">
        <f t="shared" si="208"/>
        <v>0</v>
      </c>
      <c r="BR232" s="50"/>
      <c r="BS232" s="119">
        <v>5</v>
      </c>
      <c r="BT232" s="115">
        <f>Inputs!$A$27</f>
        <v>0</v>
      </c>
      <c r="BU232" s="44">
        <f>Inputs!$B$27</f>
        <v>0</v>
      </c>
      <c r="BV232" s="44" t="s">
        <v>58</v>
      </c>
      <c r="BW232" s="44">
        <f t="shared" si="209"/>
        <v>0</v>
      </c>
      <c r="BX232" s="50"/>
      <c r="BY232" s="44">
        <v>0</v>
      </c>
      <c r="BZ232" s="44">
        <v>0</v>
      </c>
      <c r="CA232" s="44">
        <f t="shared" si="241"/>
        <v>0</v>
      </c>
      <c r="CB232" s="50"/>
      <c r="CC232" s="44">
        <f t="shared" si="242"/>
        <v>0</v>
      </c>
      <c r="CD232" s="63">
        <f>BY232*Inputs!$F$27*Inputs!$G$27</f>
        <v>0</v>
      </c>
      <c r="CE232" s="44">
        <f>Inputs!$F$27*Inputs!$I$27*BZ232</f>
        <v>0</v>
      </c>
      <c r="CF232" s="55"/>
    </row>
    <row r="233" spans="1:84" x14ac:dyDescent="0.25">
      <c r="A233" s="117">
        <v>6</v>
      </c>
      <c r="B233" s="115">
        <f>Inputs!$A$27</f>
        <v>0</v>
      </c>
      <c r="C233" s="44">
        <f>Inputs!$B$27</f>
        <v>0</v>
      </c>
      <c r="D233" s="44" t="s">
        <v>57</v>
      </c>
      <c r="E233" s="44">
        <v>0</v>
      </c>
      <c r="F233" s="50"/>
      <c r="G233" s="119">
        <v>6</v>
      </c>
      <c r="H233" s="115">
        <f>Inputs!$A$27</f>
        <v>0</v>
      </c>
      <c r="I233" s="44">
        <f>Inputs!$B$27</f>
        <v>0</v>
      </c>
      <c r="J233" s="44" t="s">
        <v>58</v>
      </c>
      <c r="K233" s="44">
        <v>0</v>
      </c>
      <c r="L233" s="50"/>
      <c r="M233" s="44">
        <v>0</v>
      </c>
      <c r="N233" s="44">
        <v>0</v>
      </c>
      <c r="O233" s="44">
        <f t="shared" si="235"/>
        <v>0</v>
      </c>
      <c r="P233" s="50"/>
      <c r="Q233" s="44">
        <f t="shared" si="236"/>
        <v>0</v>
      </c>
      <c r="R233" s="63">
        <f>M233*Inputs!$F$27*Inputs!$G$27</f>
        <v>0</v>
      </c>
      <c r="S233" s="44">
        <f>Inputs!$F$27*Inputs!$I$27*N233</f>
        <v>0</v>
      </c>
      <c r="T233" s="18"/>
      <c r="U233" s="55"/>
      <c r="W233" s="117">
        <v>6</v>
      </c>
      <c r="X233" s="115">
        <f>Inputs!$A$27</f>
        <v>0</v>
      </c>
      <c r="Y233" s="44">
        <f>Inputs!$B$27</f>
        <v>0</v>
      </c>
      <c r="Z233" s="44" t="s">
        <v>57</v>
      </c>
      <c r="AA233" s="44">
        <f t="shared" si="205"/>
        <v>0</v>
      </c>
      <c r="AB233" s="50"/>
      <c r="AC233" s="119">
        <v>6</v>
      </c>
      <c r="AD233" s="115">
        <f>Inputs!$A$27</f>
        <v>0</v>
      </c>
      <c r="AE233" s="44">
        <f>Inputs!$B$27</f>
        <v>0</v>
      </c>
      <c r="AF233" s="44" t="s">
        <v>58</v>
      </c>
      <c r="AG233" s="44">
        <f t="shared" si="206"/>
        <v>0</v>
      </c>
      <c r="AH233" s="50"/>
      <c r="AI233" s="44">
        <v>0</v>
      </c>
      <c r="AJ233" s="44">
        <v>0</v>
      </c>
      <c r="AK233" s="44">
        <f t="shared" si="237"/>
        <v>0</v>
      </c>
      <c r="AL233" s="50"/>
      <c r="AM233" s="44">
        <f t="shared" si="238"/>
        <v>0</v>
      </c>
      <c r="AN233" s="63">
        <f>AI233*Inputs!$F$27*Inputs!$G$27</f>
        <v>0</v>
      </c>
      <c r="AO233" s="44">
        <f>Inputs!$F$27*Inputs!$I$27*AJ233</f>
        <v>0</v>
      </c>
      <c r="AP233" s="55"/>
      <c r="AR233" s="117">
        <v>6</v>
      </c>
      <c r="AS233" s="115">
        <f>Inputs!$A$27</f>
        <v>0</v>
      </c>
      <c r="AT233" s="44">
        <f>Inputs!$B$27</f>
        <v>0</v>
      </c>
      <c r="AU233" s="44" t="s">
        <v>57</v>
      </c>
      <c r="AV233" s="44">
        <f t="shared" si="210"/>
        <v>0</v>
      </c>
      <c r="AW233" s="50"/>
      <c r="AX233" s="119">
        <v>6</v>
      </c>
      <c r="AY233" s="115">
        <f>Inputs!$A$27</f>
        <v>0</v>
      </c>
      <c r="AZ233" s="44">
        <f>Inputs!$B$27</f>
        <v>0</v>
      </c>
      <c r="BA233" s="44" t="s">
        <v>58</v>
      </c>
      <c r="BB233" s="44">
        <f t="shared" si="207"/>
        <v>0</v>
      </c>
      <c r="BC233" s="50"/>
      <c r="BD233" s="44">
        <v>0</v>
      </c>
      <c r="BE233" s="44">
        <v>0</v>
      </c>
      <c r="BF233" s="44">
        <f t="shared" si="239"/>
        <v>0</v>
      </c>
      <c r="BG233" s="50"/>
      <c r="BH233" s="44">
        <f t="shared" si="240"/>
        <v>0</v>
      </c>
      <c r="BI233" s="63">
        <f>BD233*Inputs!$F$27*Inputs!$G$27</f>
        <v>0</v>
      </c>
      <c r="BJ233" s="44">
        <f>Inputs!$F$27*Inputs!$I$27*BE233</f>
        <v>0</v>
      </c>
      <c r="BK233" s="55"/>
      <c r="BM233" s="117">
        <v>6</v>
      </c>
      <c r="BN233" s="115">
        <f>Inputs!$A$27</f>
        <v>0</v>
      </c>
      <c r="BO233" s="44">
        <f>Inputs!$B$27</f>
        <v>0</v>
      </c>
      <c r="BP233" s="44" t="s">
        <v>57</v>
      </c>
      <c r="BQ233" s="44">
        <f t="shared" si="208"/>
        <v>0</v>
      </c>
      <c r="BR233" s="50"/>
      <c r="BS233" s="119">
        <v>6</v>
      </c>
      <c r="BT233" s="115">
        <f>Inputs!$A$27</f>
        <v>0</v>
      </c>
      <c r="BU233" s="44">
        <f>Inputs!$B$27</f>
        <v>0</v>
      </c>
      <c r="BV233" s="44" t="s">
        <v>58</v>
      </c>
      <c r="BW233" s="44">
        <f t="shared" si="209"/>
        <v>0</v>
      </c>
      <c r="BX233" s="50"/>
      <c r="BY233" s="44">
        <v>0</v>
      </c>
      <c r="BZ233" s="44">
        <v>0</v>
      </c>
      <c r="CA233" s="44">
        <f t="shared" si="241"/>
        <v>0</v>
      </c>
      <c r="CB233" s="50"/>
      <c r="CC233" s="44">
        <f t="shared" si="242"/>
        <v>0</v>
      </c>
      <c r="CD233" s="63">
        <f>BY233*Inputs!$F$27*Inputs!$G$27</f>
        <v>0</v>
      </c>
      <c r="CE233" s="44">
        <f>Inputs!$F$27*Inputs!$I$27*BZ233</f>
        <v>0</v>
      </c>
      <c r="CF233" s="55"/>
    </row>
    <row r="234" spans="1:84" x14ac:dyDescent="0.25">
      <c r="A234" s="117">
        <v>7</v>
      </c>
      <c r="B234" s="115">
        <f>Inputs!$A$27</f>
        <v>0</v>
      </c>
      <c r="C234" s="44">
        <f>Inputs!$B$27</f>
        <v>0</v>
      </c>
      <c r="D234" s="44" t="s">
        <v>57</v>
      </c>
      <c r="E234" s="44">
        <v>0</v>
      </c>
      <c r="F234" s="50"/>
      <c r="G234" s="119">
        <v>7</v>
      </c>
      <c r="H234" s="115">
        <f>Inputs!$A$27</f>
        <v>0</v>
      </c>
      <c r="I234" s="44">
        <f>Inputs!$B$27</f>
        <v>0</v>
      </c>
      <c r="J234" s="44" t="s">
        <v>58</v>
      </c>
      <c r="K234" s="44">
        <v>0</v>
      </c>
      <c r="L234" s="50"/>
      <c r="M234" s="44">
        <v>0</v>
      </c>
      <c r="N234" s="44">
        <v>0</v>
      </c>
      <c r="O234" s="44">
        <f t="shared" si="235"/>
        <v>0</v>
      </c>
      <c r="P234" s="50"/>
      <c r="Q234" s="44">
        <f t="shared" si="236"/>
        <v>0</v>
      </c>
      <c r="R234" s="63">
        <f>M234*Inputs!$F$27*Inputs!$G$27</f>
        <v>0</v>
      </c>
      <c r="S234" s="44">
        <f>Inputs!$F$27*Inputs!$I$27*N234</f>
        <v>0</v>
      </c>
      <c r="T234" s="18"/>
      <c r="U234" s="55"/>
      <c r="W234" s="117">
        <v>7</v>
      </c>
      <c r="X234" s="115">
        <f>Inputs!$A$27</f>
        <v>0</v>
      </c>
      <c r="Y234" s="44">
        <f>Inputs!$B$27</f>
        <v>0</v>
      </c>
      <c r="Z234" s="44" t="s">
        <v>57</v>
      </c>
      <c r="AA234" s="44">
        <f t="shared" si="205"/>
        <v>0</v>
      </c>
      <c r="AB234" s="50"/>
      <c r="AC234" s="119">
        <v>7</v>
      </c>
      <c r="AD234" s="115">
        <f>Inputs!$A$27</f>
        <v>0</v>
      </c>
      <c r="AE234" s="44">
        <f>Inputs!$B$27</f>
        <v>0</v>
      </c>
      <c r="AF234" s="44" t="s">
        <v>58</v>
      </c>
      <c r="AG234" s="44">
        <f t="shared" si="206"/>
        <v>0</v>
      </c>
      <c r="AH234" s="50"/>
      <c r="AI234" s="44">
        <v>0</v>
      </c>
      <c r="AJ234" s="44">
        <v>0</v>
      </c>
      <c r="AK234" s="44">
        <f t="shared" si="237"/>
        <v>0</v>
      </c>
      <c r="AL234" s="50"/>
      <c r="AM234" s="44">
        <f t="shared" si="238"/>
        <v>0</v>
      </c>
      <c r="AN234" s="63">
        <f>AI234*Inputs!$F$27*Inputs!$G$27</f>
        <v>0</v>
      </c>
      <c r="AO234" s="44">
        <f>Inputs!$F$27*Inputs!$I$27*AJ234</f>
        <v>0</v>
      </c>
      <c r="AP234" s="55"/>
      <c r="AR234" s="117">
        <v>7</v>
      </c>
      <c r="AS234" s="115">
        <f>Inputs!$A$27</f>
        <v>0</v>
      </c>
      <c r="AT234" s="44">
        <f>Inputs!$B$27</f>
        <v>0</v>
      </c>
      <c r="AU234" s="44" t="s">
        <v>57</v>
      </c>
      <c r="AV234" s="44">
        <f t="shared" si="210"/>
        <v>0</v>
      </c>
      <c r="AW234" s="50"/>
      <c r="AX234" s="119">
        <v>7</v>
      </c>
      <c r="AY234" s="115">
        <f>Inputs!$A$27</f>
        <v>0</v>
      </c>
      <c r="AZ234" s="44">
        <f>Inputs!$B$27</f>
        <v>0</v>
      </c>
      <c r="BA234" s="44" t="s">
        <v>58</v>
      </c>
      <c r="BB234" s="44">
        <f t="shared" si="207"/>
        <v>0</v>
      </c>
      <c r="BC234" s="50"/>
      <c r="BD234" s="44">
        <v>0</v>
      </c>
      <c r="BE234" s="44">
        <v>0</v>
      </c>
      <c r="BF234" s="44">
        <f t="shared" si="239"/>
        <v>0</v>
      </c>
      <c r="BG234" s="50"/>
      <c r="BH234" s="44">
        <f t="shared" si="240"/>
        <v>0</v>
      </c>
      <c r="BI234" s="63">
        <f>BD234*Inputs!$F$27*Inputs!$G$27</f>
        <v>0</v>
      </c>
      <c r="BJ234" s="44">
        <f>Inputs!$F$27*Inputs!$I$27*BE234</f>
        <v>0</v>
      </c>
      <c r="BK234" s="55"/>
      <c r="BM234" s="117">
        <v>7</v>
      </c>
      <c r="BN234" s="115">
        <f>Inputs!$A$27</f>
        <v>0</v>
      </c>
      <c r="BO234" s="44">
        <f>Inputs!$B$27</f>
        <v>0</v>
      </c>
      <c r="BP234" s="44" t="s">
        <v>57</v>
      </c>
      <c r="BQ234" s="44">
        <f t="shared" si="208"/>
        <v>0</v>
      </c>
      <c r="BR234" s="50"/>
      <c r="BS234" s="119">
        <v>7</v>
      </c>
      <c r="BT234" s="115">
        <f>Inputs!$A$27</f>
        <v>0</v>
      </c>
      <c r="BU234" s="44">
        <f>Inputs!$B$27</f>
        <v>0</v>
      </c>
      <c r="BV234" s="44" t="s">
        <v>58</v>
      </c>
      <c r="BW234" s="44">
        <f t="shared" si="209"/>
        <v>0</v>
      </c>
      <c r="BX234" s="50"/>
      <c r="BY234" s="44">
        <v>0</v>
      </c>
      <c r="BZ234" s="44">
        <v>0</v>
      </c>
      <c r="CA234" s="44">
        <f t="shared" si="241"/>
        <v>0</v>
      </c>
      <c r="CB234" s="50"/>
      <c r="CC234" s="44">
        <f t="shared" si="242"/>
        <v>0</v>
      </c>
      <c r="CD234" s="63">
        <f>BY234*Inputs!$F$27*Inputs!$G$27</f>
        <v>0</v>
      </c>
      <c r="CE234" s="44">
        <f>Inputs!$F$27*Inputs!$I$27*BZ234</f>
        <v>0</v>
      </c>
      <c r="CF234" s="55"/>
    </row>
    <row r="235" spans="1:84" x14ac:dyDescent="0.25">
      <c r="A235" s="117">
        <v>8</v>
      </c>
      <c r="B235" s="115">
        <f>Inputs!$A$27</f>
        <v>0</v>
      </c>
      <c r="C235" s="44">
        <f>Inputs!$B$27</f>
        <v>0</v>
      </c>
      <c r="D235" s="44" t="s">
        <v>57</v>
      </c>
      <c r="E235" s="44">
        <v>0</v>
      </c>
      <c r="F235" s="50"/>
      <c r="G235" s="119">
        <v>8</v>
      </c>
      <c r="H235" s="115">
        <f>Inputs!$A$27</f>
        <v>0</v>
      </c>
      <c r="I235" s="44">
        <f>Inputs!$B$27</f>
        <v>0</v>
      </c>
      <c r="J235" s="44" t="s">
        <v>58</v>
      </c>
      <c r="K235" s="44">
        <v>0</v>
      </c>
      <c r="L235" s="50"/>
      <c r="M235" s="44">
        <v>0</v>
      </c>
      <c r="N235" s="44">
        <v>0</v>
      </c>
      <c r="O235" s="44">
        <f t="shared" si="235"/>
        <v>0</v>
      </c>
      <c r="P235" s="50"/>
      <c r="Q235" s="44">
        <f t="shared" si="236"/>
        <v>0</v>
      </c>
      <c r="R235" s="63">
        <f>M235*Inputs!$F$27*Inputs!$G$27</f>
        <v>0</v>
      </c>
      <c r="S235" s="44">
        <f>Inputs!$F$27*Inputs!$I$27*N235</f>
        <v>0</v>
      </c>
      <c r="T235" s="18"/>
      <c r="U235" s="55"/>
      <c r="W235" s="117">
        <v>8</v>
      </c>
      <c r="X235" s="115">
        <f>Inputs!$A$27</f>
        <v>0</v>
      </c>
      <c r="Y235" s="44">
        <f>Inputs!$B$27</f>
        <v>0</v>
      </c>
      <c r="Z235" s="44" t="s">
        <v>57</v>
      </c>
      <c r="AA235" s="44">
        <f t="shared" si="205"/>
        <v>0</v>
      </c>
      <c r="AB235" s="50"/>
      <c r="AC235" s="119">
        <v>8</v>
      </c>
      <c r="AD235" s="115">
        <f>Inputs!$A$27</f>
        <v>0</v>
      </c>
      <c r="AE235" s="44">
        <f>Inputs!$B$27</f>
        <v>0</v>
      </c>
      <c r="AF235" s="44" t="s">
        <v>58</v>
      </c>
      <c r="AG235" s="44">
        <f t="shared" si="206"/>
        <v>0</v>
      </c>
      <c r="AH235" s="50"/>
      <c r="AI235" s="44">
        <v>0</v>
      </c>
      <c r="AJ235" s="44">
        <v>0</v>
      </c>
      <c r="AK235" s="44">
        <f t="shared" si="237"/>
        <v>0</v>
      </c>
      <c r="AL235" s="50"/>
      <c r="AM235" s="44">
        <f t="shared" si="238"/>
        <v>0</v>
      </c>
      <c r="AN235" s="63">
        <f>AI235*Inputs!$F$27*Inputs!$G$27</f>
        <v>0</v>
      </c>
      <c r="AO235" s="44">
        <f>Inputs!$F$27*Inputs!$I$27*AJ235</f>
        <v>0</v>
      </c>
      <c r="AP235" s="55"/>
      <c r="AR235" s="117">
        <v>8</v>
      </c>
      <c r="AS235" s="115">
        <f>Inputs!$A$27</f>
        <v>0</v>
      </c>
      <c r="AT235" s="44">
        <f>Inputs!$B$27</f>
        <v>0</v>
      </c>
      <c r="AU235" s="44" t="s">
        <v>57</v>
      </c>
      <c r="AV235" s="44">
        <f t="shared" si="210"/>
        <v>0</v>
      </c>
      <c r="AW235" s="50"/>
      <c r="AX235" s="119">
        <v>8</v>
      </c>
      <c r="AY235" s="115">
        <f>Inputs!$A$27</f>
        <v>0</v>
      </c>
      <c r="AZ235" s="44">
        <f>Inputs!$B$27</f>
        <v>0</v>
      </c>
      <c r="BA235" s="44" t="s">
        <v>58</v>
      </c>
      <c r="BB235" s="44">
        <f t="shared" si="207"/>
        <v>0</v>
      </c>
      <c r="BC235" s="50"/>
      <c r="BD235" s="44">
        <v>0</v>
      </c>
      <c r="BE235" s="44">
        <v>0</v>
      </c>
      <c r="BF235" s="44">
        <f t="shared" si="239"/>
        <v>0</v>
      </c>
      <c r="BG235" s="50"/>
      <c r="BH235" s="44">
        <f t="shared" si="240"/>
        <v>0</v>
      </c>
      <c r="BI235" s="63">
        <f>BD235*Inputs!$F$27*Inputs!$G$27</f>
        <v>0</v>
      </c>
      <c r="BJ235" s="44">
        <f>Inputs!$F$27*Inputs!$I$27*BE235</f>
        <v>0</v>
      </c>
      <c r="BK235" s="55"/>
      <c r="BM235" s="117">
        <v>8</v>
      </c>
      <c r="BN235" s="115">
        <f>Inputs!$A$27</f>
        <v>0</v>
      </c>
      <c r="BO235" s="44">
        <f>Inputs!$B$27</f>
        <v>0</v>
      </c>
      <c r="BP235" s="44" t="s">
        <v>57</v>
      </c>
      <c r="BQ235" s="44">
        <f t="shared" si="208"/>
        <v>0</v>
      </c>
      <c r="BR235" s="50"/>
      <c r="BS235" s="119">
        <v>8</v>
      </c>
      <c r="BT235" s="115">
        <f>Inputs!$A$27</f>
        <v>0</v>
      </c>
      <c r="BU235" s="44">
        <f>Inputs!$B$27</f>
        <v>0</v>
      </c>
      <c r="BV235" s="44" t="s">
        <v>58</v>
      </c>
      <c r="BW235" s="44">
        <f t="shared" si="209"/>
        <v>0</v>
      </c>
      <c r="BX235" s="50"/>
      <c r="BY235" s="44">
        <v>0</v>
      </c>
      <c r="BZ235" s="44">
        <v>0</v>
      </c>
      <c r="CA235" s="44">
        <f t="shared" si="241"/>
        <v>0</v>
      </c>
      <c r="CB235" s="50"/>
      <c r="CC235" s="44">
        <f t="shared" si="242"/>
        <v>0</v>
      </c>
      <c r="CD235" s="63">
        <f>BY235*Inputs!$F$27*Inputs!$G$27</f>
        <v>0</v>
      </c>
      <c r="CE235" s="44">
        <f>Inputs!$F$27*Inputs!$I$27*BZ235</f>
        <v>0</v>
      </c>
      <c r="CF235" s="55"/>
    </row>
    <row r="236" spans="1:84" x14ac:dyDescent="0.25">
      <c r="A236" s="117">
        <v>9</v>
      </c>
      <c r="B236" s="115">
        <f>Inputs!$A$27</f>
        <v>0</v>
      </c>
      <c r="C236" s="44">
        <f>Inputs!$B$27</f>
        <v>0</v>
      </c>
      <c r="D236" s="44" t="s">
        <v>57</v>
      </c>
      <c r="E236" s="44">
        <v>0</v>
      </c>
      <c r="F236" s="50"/>
      <c r="G236" s="119">
        <v>9</v>
      </c>
      <c r="H236" s="115">
        <f>Inputs!$A$27</f>
        <v>0</v>
      </c>
      <c r="I236" s="44">
        <f>Inputs!$B$27</f>
        <v>0</v>
      </c>
      <c r="J236" s="44" t="s">
        <v>58</v>
      </c>
      <c r="K236" s="44">
        <v>0</v>
      </c>
      <c r="L236" s="50"/>
      <c r="M236" s="44">
        <v>0</v>
      </c>
      <c r="N236" s="44">
        <v>0</v>
      </c>
      <c r="O236" s="44">
        <f t="shared" si="235"/>
        <v>0</v>
      </c>
      <c r="P236" s="50"/>
      <c r="Q236" s="44">
        <f t="shared" si="236"/>
        <v>0</v>
      </c>
      <c r="R236" s="63">
        <f>M236*Inputs!$F$27*Inputs!$G$27</f>
        <v>0</v>
      </c>
      <c r="S236" s="44">
        <f>Inputs!$F$27*Inputs!$I$27*N236</f>
        <v>0</v>
      </c>
      <c r="T236" s="18"/>
      <c r="U236" s="55"/>
      <c r="W236" s="117">
        <v>9</v>
      </c>
      <c r="X236" s="115">
        <f>Inputs!$A$27</f>
        <v>0</v>
      </c>
      <c r="Y236" s="44">
        <f>Inputs!$B$27</f>
        <v>0</v>
      </c>
      <c r="Z236" s="44" t="s">
        <v>57</v>
      </c>
      <c r="AA236" s="44">
        <f t="shared" si="205"/>
        <v>0</v>
      </c>
      <c r="AB236" s="50"/>
      <c r="AC236" s="119">
        <v>9</v>
      </c>
      <c r="AD236" s="115">
        <f>Inputs!$A$27</f>
        <v>0</v>
      </c>
      <c r="AE236" s="44">
        <f>Inputs!$B$27</f>
        <v>0</v>
      </c>
      <c r="AF236" s="44" t="s">
        <v>58</v>
      </c>
      <c r="AG236" s="44">
        <f t="shared" si="206"/>
        <v>0</v>
      </c>
      <c r="AH236" s="50"/>
      <c r="AI236" s="44">
        <v>0</v>
      </c>
      <c r="AJ236" s="44">
        <v>0</v>
      </c>
      <c r="AK236" s="44">
        <f t="shared" si="237"/>
        <v>0</v>
      </c>
      <c r="AL236" s="50"/>
      <c r="AM236" s="44">
        <f t="shared" si="238"/>
        <v>0</v>
      </c>
      <c r="AN236" s="63">
        <f>AI236*Inputs!$F$27*Inputs!$G$27</f>
        <v>0</v>
      </c>
      <c r="AO236" s="44">
        <f>Inputs!$F$27*Inputs!$I$27*AJ236</f>
        <v>0</v>
      </c>
      <c r="AP236" s="55"/>
      <c r="AR236" s="117">
        <v>9</v>
      </c>
      <c r="AS236" s="115">
        <f>Inputs!$A$27</f>
        <v>0</v>
      </c>
      <c r="AT236" s="44">
        <f>Inputs!$B$27</f>
        <v>0</v>
      </c>
      <c r="AU236" s="44" t="s">
        <v>57</v>
      </c>
      <c r="AV236" s="44">
        <f t="shared" si="210"/>
        <v>0</v>
      </c>
      <c r="AW236" s="50"/>
      <c r="AX236" s="119">
        <v>9</v>
      </c>
      <c r="AY236" s="115">
        <f>Inputs!$A$27</f>
        <v>0</v>
      </c>
      <c r="AZ236" s="44">
        <f>Inputs!$B$27</f>
        <v>0</v>
      </c>
      <c r="BA236" s="44" t="s">
        <v>58</v>
      </c>
      <c r="BB236" s="44">
        <f t="shared" si="207"/>
        <v>0</v>
      </c>
      <c r="BC236" s="50"/>
      <c r="BD236" s="44">
        <v>0</v>
      </c>
      <c r="BE236" s="44">
        <v>0</v>
      </c>
      <c r="BF236" s="44">
        <f t="shared" si="239"/>
        <v>0</v>
      </c>
      <c r="BG236" s="50"/>
      <c r="BH236" s="44">
        <f t="shared" si="240"/>
        <v>0</v>
      </c>
      <c r="BI236" s="63">
        <f>BD236*Inputs!$F$27*Inputs!$G$27</f>
        <v>0</v>
      </c>
      <c r="BJ236" s="44">
        <f>Inputs!$F$27*Inputs!$I$27*BE236</f>
        <v>0</v>
      </c>
      <c r="BK236" s="55"/>
      <c r="BM236" s="117">
        <v>9</v>
      </c>
      <c r="BN236" s="115">
        <f>Inputs!$A$27</f>
        <v>0</v>
      </c>
      <c r="BO236" s="44">
        <f>Inputs!$B$27</f>
        <v>0</v>
      </c>
      <c r="BP236" s="44" t="s">
        <v>57</v>
      </c>
      <c r="BQ236" s="44">
        <f t="shared" si="208"/>
        <v>0</v>
      </c>
      <c r="BR236" s="50"/>
      <c r="BS236" s="119">
        <v>9</v>
      </c>
      <c r="BT236" s="115">
        <f>Inputs!$A$27</f>
        <v>0</v>
      </c>
      <c r="BU236" s="44">
        <f>Inputs!$B$27</f>
        <v>0</v>
      </c>
      <c r="BV236" s="44" t="s">
        <v>58</v>
      </c>
      <c r="BW236" s="44">
        <f t="shared" si="209"/>
        <v>0</v>
      </c>
      <c r="BX236" s="50"/>
      <c r="BY236" s="44">
        <v>0</v>
      </c>
      <c r="BZ236" s="44">
        <v>0</v>
      </c>
      <c r="CA236" s="44">
        <f t="shared" si="241"/>
        <v>0</v>
      </c>
      <c r="CB236" s="50"/>
      <c r="CC236" s="44">
        <f t="shared" si="242"/>
        <v>0</v>
      </c>
      <c r="CD236" s="63">
        <f>BY236*Inputs!$F$27*Inputs!$G$27</f>
        <v>0</v>
      </c>
      <c r="CE236" s="44">
        <f>Inputs!$F$27*Inputs!$I$27*BZ236</f>
        <v>0</v>
      </c>
      <c r="CF236" s="55"/>
    </row>
    <row r="237" spans="1:84" x14ac:dyDescent="0.25">
      <c r="A237" s="117">
        <v>10</v>
      </c>
      <c r="B237" s="115">
        <f>Inputs!$A$27</f>
        <v>0</v>
      </c>
      <c r="C237" s="44">
        <f>Inputs!$B$27</f>
        <v>0</v>
      </c>
      <c r="D237" s="44" t="s">
        <v>57</v>
      </c>
      <c r="E237" s="44">
        <v>0</v>
      </c>
      <c r="F237" s="50"/>
      <c r="G237" s="119">
        <v>10</v>
      </c>
      <c r="H237" s="115">
        <f>Inputs!$A$27</f>
        <v>0</v>
      </c>
      <c r="I237" s="44">
        <f>Inputs!$B$27</f>
        <v>0</v>
      </c>
      <c r="J237" s="44" t="s">
        <v>58</v>
      </c>
      <c r="K237" s="44">
        <v>0</v>
      </c>
      <c r="L237" s="50"/>
      <c r="M237" s="44">
        <v>0</v>
      </c>
      <c r="N237" s="44">
        <v>0</v>
      </c>
      <c r="O237" s="44">
        <f t="shared" si="235"/>
        <v>0</v>
      </c>
      <c r="P237" s="50"/>
      <c r="Q237" s="44">
        <f t="shared" si="236"/>
        <v>0</v>
      </c>
      <c r="R237" s="63">
        <f>M237*Inputs!$F$27*Inputs!$G$27</f>
        <v>0</v>
      </c>
      <c r="S237" s="44">
        <f>Inputs!$F$27*Inputs!$I$27*N237</f>
        <v>0</v>
      </c>
      <c r="T237" s="18"/>
      <c r="U237" s="91"/>
      <c r="W237" s="117">
        <v>10</v>
      </c>
      <c r="X237" s="115">
        <f>Inputs!$A$27</f>
        <v>0</v>
      </c>
      <c r="Y237" s="44">
        <f>Inputs!$B$27</f>
        <v>0</v>
      </c>
      <c r="Z237" s="44" t="s">
        <v>57</v>
      </c>
      <c r="AA237" s="44">
        <f t="shared" si="205"/>
        <v>0</v>
      </c>
      <c r="AB237" s="50"/>
      <c r="AC237" s="119">
        <v>10</v>
      </c>
      <c r="AD237" s="115">
        <f>Inputs!$A$27</f>
        <v>0</v>
      </c>
      <c r="AE237" s="44">
        <f>Inputs!$B$27</f>
        <v>0</v>
      </c>
      <c r="AF237" s="44" t="s">
        <v>58</v>
      </c>
      <c r="AG237" s="44">
        <f t="shared" si="206"/>
        <v>0</v>
      </c>
      <c r="AH237" s="50"/>
      <c r="AI237" s="44">
        <v>0</v>
      </c>
      <c r="AJ237" s="44">
        <v>0</v>
      </c>
      <c r="AK237" s="44">
        <f t="shared" si="237"/>
        <v>0</v>
      </c>
      <c r="AL237" s="50"/>
      <c r="AM237" s="44">
        <f t="shared" si="238"/>
        <v>0</v>
      </c>
      <c r="AN237" s="63">
        <f>AI237*Inputs!$F$27*Inputs!$G$27</f>
        <v>0</v>
      </c>
      <c r="AO237" s="44">
        <f>Inputs!$F$27*Inputs!$I$27*AJ237</f>
        <v>0</v>
      </c>
      <c r="AP237" s="91"/>
      <c r="AR237" s="117">
        <v>10</v>
      </c>
      <c r="AS237" s="115">
        <f>Inputs!$A$27</f>
        <v>0</v>
      </c>
      <c r="AT237" s="44">
        <f>Inputs!$B$27</f>
        <v>0</v>
      </c>
      <c r="AU237" s="44" t="s">
        <v>57</v>
      </c>
      <c r="AV237" s="44">
        <f t="shared" si="210"/>
        <v>0</v>
      </c>
      <c r="AW237" s="50"/>
      <c r="AX237" s="119">
        <v>10</v>
      </c>
      <c r="AY237" s="115">
        <f>Inputs!$A$27</f>
        <v>0</v>
      </c>
      <c r="AZ237" s="44">
        <f>Inputs!$B$27</f>
        <v>0</v>
      </c>
      <c r="BA237" s="44" t="s">
        <v>58</v>
      </c>
      <c r="BB237" s="44">
        <f t="shared" si="207"/>
        <v>0</v>
      </c>
      <c r="BC237" s="50"/>
      <c r="BD237" s="44">
        <v>0</v>
      </c>
      <c r="BE237" s="44">
        <v>0</v>
      </c>
      <c r="BF237" s="44">
        <f t="shared" si="239"/>
        <v>0</v>
      </c>
      <c r="BG237" s="50"/>
      <c r="BH237" s="44">
        <f t="shared" si="240"/>
        <v>0</v>
      </c>
      <c r="BI237" s="63">
        <f>BD237*Inputs!$F$27*Inputs!$G$27</f>
        <v>0</v>
      </c>
      <c r="BJ237" s="44">
        <f>Inputs!$F$27*Inputs!$I$27*BE237</f>
        <v>0</v>
      </c>
      <c r="BK237" s="91"/>
      <c r="BM237" s="117">
        <v>10</v>
      </c>
      <c r="BN237" s="115">
        <f>Inputs!$A$27</f>
        <v>0</v>
      </c>
      <c r="BO237" s="44">
        <f>Inputs!$B$27</f>
        <v>0</v>
      </c>
      <c r="BP237" s="44" t="s">
        <v>57</v>
      </c>
      <c r="BQ237" s="44">
        <f t="shared" si="208"/>
        <v>0</v>
      </c>
      <c r="BR237" s="50"/>
      <c r="BS237" s="119">
        <v>10</v>
      </c>
      <c r="BT237" s="115">
        <f>Inputs!$A$27</f>
        <v>0</v>
      </c>
      <c r="BU237" s="44">
        <f>Inputs!$B$27</f>
        <v>0</v>
      </c>
      <c r="BV237" s="44" t="s">
        <v>58</v>
      </c>
      <c r="BW237" s="44">
        <f t="shared" si="209"/>
        <v>0</v>
      </c>
      <c r="BX237" s="50"/>
      <c r="BY237" s="44">
        <v>0</v>
      </c>
      <c r="BZ237" s="44">
        <v>0</v>
      </c>
      <c r="CA237" s="44">
        <f t="shared" si="241"/>
        <v>0</v>
      </c>
      <c r="CB237" s="50"/>
      <c r="CC237" s="44">
        <f t="shared" si="242"/>
        <v>0</v>
      </c>
      <c r="CD237" s="63">
        <f>BY237*Inputs!$F$27*Inputs!$G$27</f>
        <v>0</v>
      </c>
      <c r="CE237" s="44">
        <f>Inputs!$F$27*Inputs!$I$27*BZ237</f>
        <v>0</v>
      </c>
      <c r="CF237" s="91"/>
    </row>
    <row r="238" spans="1:84" x14ac:dyDescent="0.25">
      <c r="A238" s="117">
        <v>11</v>
      </c>
      <c r="B238" s="115">
        <f>Inputs!$A$27</f>
        <v>0</v>
      </c>
      <c r="C238" s="44">
        <f>Inputs!$B$27</f>
        <v>0</v>
      </c>
      <c r="D238" s="44" t="s">
        <v>57</v>
      </c>
      <c r="E238" s="44">
        <v>0</v>
      </c>
      <c r="F238" s="50"/>
      <c r="G238" s="119">
        <v>11</v>
      </c>
      <c r="H238" s="115">
        <f>Inputs!$A$27</f>
        <v>0</v>
      </c>
      <c r="I238" s="44">
        <f>Inputs!$B$27</f>
        <v>0</v>
      </c>
      <c r="J238" s="44" t="s">
        <v>58</v>
      </c>
      <c r="K238" s="44">
        <v>0</v>
      </c>
      <c r="L238" s="50"/>
      <c r="M238" s="44">
        <v>0</v>
      </c>
      <c r="N238" s="44">
        <v>0</v>
      </c>
      <c r="O238" s="44">
        <f t="shared" si="235"/>
        <v>0</v>
      </c>
      <c r="P238" s="50"/>
      <c r="Q238" s="44">
        <f t="shared" si="236"/>
        <v>0</v>
      </c>
      <c r="R238" s="63">
        <f>M238*Inputs!$F$27*Inputs!$H$27</f>
        <v>0</v>
      </c>
      <c r="S238" s="44">
        <f>Inputs!$F$27*Inputs!$I$27*N238</f>
        <v>0</v>
      </c>
      <c r="T238" s="18"/>
      <c r="U238" s="56"/>
      <c r="W238" s="117">
        <v>11</v>
      </c>
      <c r="X238" s="115">
        <f>Inputs!$A$27</f>
        <v>0</v>
      </c>
      <c r="Y238" s="44">
        <f>Inputs!$B$27</f>
        <v>0</v>
      </c>
      <c r="Z238" s="44" t="s">
        <v>57</v>
      </c>
      <c r="AA238" s="44">
        <f t="shared" si="205"/>
        <v>0</v>
      </c>
      <c r="AB238" s="50"/>
      <c r="AC238" s="119">
        <v>11</v>
      </c>
      <c r="AD238" s="115">
        <f>Inputs!$A$27</f>
        <v>0</v>
      </c>
      <c r="AE238" s="44">
        <f>Inputs!$B$27</f>
        <v>0</v>
      </c>
      <c r="AF238" s="44" t="s">
        <v>58</v>
      </c>
      <c r="AG238" s="44">
        <f t="shared" si="206"/>
        <v>0</v>
      </c>
      <c r="AH238" s="50"/>
      <c r="AI238" s="44">
        <v>0</v>
      </c>
      <c r="AJ238" s="44">
        <v>0</v>
      </c>
      <c r="AK238" s="44">
        <f t="shared" si="237"/>
        <v>0</v>
      </c>
      <c r="AL238" s="50"/>
      <c r="AM238" s="44">
        <f t="shared" si="238"/>
        <v>0</v>
      </c>
      <c r="AN238" s="63">
        <f>AI238*Inputs!$F$27*Inputs!$H$27</f>
        <v>0</v>
      </c>
      <c r="AO238" s="44">
        <f>Inputs!$F$27*Inputs!$I$27*AJ238</f>
        <v>0</v>
      </c>
      <c r="AP238" s="56"/>
      <c r="AR238" s="117">
        <v>11</v>
      </c>
      <c r="AS238" s="115">
        <f>Inputs!$A$27</f>
        <v>0</v>
      </c>
      <c r="AT238" s="44">
        <f>Inputs!$B$27</f>
        <v>0</v>
      </c>
      <c r="AU238" s="44" t="s">
        <v>57</v>
      </c>
      <c r="AV238" s="44">
        <f t="shared" si="210"/>
        <v>0</v>
      </c>
      <c r="AW238" s="50"/>
      <c r="AX238" s="119">
        <v>11</v>
      </c>
      <c r="AY238" s="115">
        <f>Inputs!$A$27</f>
        <v>0</v>
      </c>
      <c r="AZ238" s="44">
        <f>Inputs!$B$27</f>
        <v>0</v>
      </c>
      <c r="BA238" s="44" t="s">
        <v>58</v>
      </c>
      <c r="BB238" s="44">
        <f t="shared" si="207"/>
        <v>0</v>
      </c>
      <c r="BC238" s="50"/>
      <c r="BD238" s="44">
        <v>0</v>
      </c>
      <c r="BE238" s="44">
        <v>0</v>
      </c>
      <c r="BF238" s="44">
        <f t="shared" si="239"/>
        <v>0</v>
      </c>
      <c r="BG238" s="50"/>
      <c r="BH238" s="44">
        <f t="shared" si="240"/>
        <v>0</v>
      </c>
      <c r="BI238" s="63">
        <f>BD238*Inputs!$F$27*Inputs!$H$27</f>
        <v>0</v>
      </c>
      <c r="BJ238" s="44">
        <f>Inputs!$F$27*Inputs!$I$27*BE238</f>
        <v>0</v>
      </c>
      <c r="BK238" s="56"/>
      <c r="BM238" s="117">
        <v>11</v>
      </c>
      <c r="BN238" s="115">
        <f>Inputs!$A$27</f>
        <v>0</v>
      </c>
      <c r="BO238" s="44">
        <f>Inputs!$B$27</f>
        <v>0</v>
      </c>
      <c r="BP238" s="44" t="s">
        <v>57</v>
      </c>
      <c r="BQ238" s="44">
        <f t="shared" si="208"/>
        <v>0</v>
      </c>
      <c r="BR238" s="50"/>
      <c r="BS238" s="119">
        <v>11</v>
      </c>
      <c r="BT238" s="115">
        <f>Inputs!$A$27</f>
        <v>0</v>
      </c>
      <c r="BU238" s="44">
        <f>Inputs!$B$27</f>
        <v>0</v>
      </c>
      <c r="BV238" s="44" t="s">
        <v>58</v>
      </c>
      <c r="BW238" s="44">
        <f t="shared" si="209"/>
        <v>0</v>
      </c>
      <c r="BX238" s="50"/>
      <c r="BY238" s="44">
        <v>0</v>
      </c>
      <c r="BZ238" s="44">
        <v>0</v>
      </c>
      <c r="CA238" s="44">
        <f t="shared" si="241"/>
        <v>0</v>
      </c>
      <c r="CB238" s="50"/>
      <c r="CC238" s="44">
        <f t="shared" si="242"/>
        <v>0</v>
      </c>
      <c r="CD238" s="63">
        <f>BY238*Inputs!$F$27*Inputs!$H$27</f>
        <v>0</v>
      </c>
      <c r="CE238" s="44">
        <f>Inputs!$F$27*Inputs!$I$27*BZ238</f>
        <v>0</v>
      </c>
      <c r="CF238" s="56"/>
    </row>
    <row r="239" spans="1:84" x14ac:dyDescent="0.25">
      <c r="A239" s="116">
        <v>3</v>
      </c>
      <c r="B239" s="114">
        <f>Inputs!$A$28</f>
        <v>0</v>
      </c>
      <c r="C239" s="45">
        <f>Inputs!$B$28</f>
        <v>0</v>
      </c>
      <c r="D239" s="45" t="s">
        <v>57</v>
      </c>
      <c r="E239" s="45">
        <v>0</v>
      </c>
      <c r="F239" s="50"/>
      <c r="G239" s="118">
        <v>3</v>
      </c>
      <c r="H239" s="114">
        <f>Inputs!$A$28</f>
        <v>0</v>
      </c>
      <c r="I239" s="45">
        <f>Inputs!$B$28</f>
        <v>0</v>
      </c>
      <c r="J239" s="45" t="s">
        <v>58</v>
      </c>
      <c r="K239" s="45">
        <v>0</v>
      </c>
      <c r="L239" s="50"/>
      <c r="M239" s="45">
        <v>0</v>
      </c>
      <c r="N239" s="45">
        <v>0</v>
      </c>
      <c r="O239" s="45">
        <f>U239-0-E239-K239</f>
        <v>0</v>
      </c>
      <c r="P239" s="50"/>
      <c r="Q239" s="45">
        <f>E239+K239+N239-U239+0-M239</f>
        <v>0</v>
      </c>
      <c r="R239" s="64">
        <f>M239*Inputs!$F$28*Inputs!$G$28</f>
        <v>0</v>
      </c>
      <c r="S239" s="45">
        <f>Inputs!$F$28*Inputs!$I$28*N239</f>
        <v>0</v>
      </c>
      <c r="T239" s="18"/>
      <c r="U239" s="54"/>
      <c r="W239" s="116">
        <v>3</v>
      </c>
      <c r="X239" s="114">
        <f>Inputs!$A$28</f>
        <v>0</v>
      </c>
      <c r="Y239" s="45">
        <f>Inputs!$B$28</f>
        <v>0</v>
      </c>
      <c r="Z239" s="45" t="s">
        <v>57</v>
      </c>
      <c r="AA239" s="45">
        <f t="shared" si="205"/>
        <v>0</v>
      </c>
      <c r="AB239" s="50"/>
      <c r="AC239" s="118">
        <v>3</v>
      </c>
      <c r="AD239" s="114">
        <f>Inputs!$A$28</f>
        <v>0</v>
      </c>
      <c r="AE239" s="45">
        <f>Inputs!$B$28</f>
        <v>0</v>
      </c>
      <c r="AF239" s="45" t="s">
        <v>58</v>
      </c>
      <c r="AG239" s="45">
        <f t="shared" si="206"/>
        <v>0</v>
      </c>
      <c r="AH239" s="50"/>
      <c r="AI239" s="45">
        <v>0</v>
      </c>
      <c r="AJ239" s="45">
        <v>0</v>
      </c>
      <c r="AK239" s="45">
        <f>AP239-0-AA239-AG239</f>
        <v>0</v>
      </c>
      <c r="AL239" s="50"/>
      <c r="AM239" s="45">
        <f>AA239+AG239+AJ239-AP239+0-AI239</f>
        <v>0</v>
      </c>
      <c r="AN239" s="64">
        <f>AI239*Inputs!$F$28*Inputs!$G$28</f>
        <v>0</v>
      </c>
      <c r="AO239" s="45">
        <f>Inputs!$F$28*Inputs!$I$28*AJ239</f>
        <v>0</v>
      </c>
      <c r="AP239" s="54"/>
      <c r="AR239" s="116">
        <v>3</v>
      </c>
      <c r="AS239" s="114">
        <f>Inputs!$A$28</f>
        <v>0</v>
      </c>
      <c r="AT239" s="45">
        <f>Inputs!$B$28</f>
        <v>0</v>
      </c>
      <c r="AU239" s="45" t="s">
        <v>57</v>
      </c>
      <c r="AV239" s="45">
        <f t="shared" si="210"/>
        <v>0</v>
      </c>
      <c r="AW239" s="50"/>
      <c r="AX239" s="118">
        <v>3</v>
      </c>
      <c r="AY239" s="114">
        <f>Inputs!$A$28</f>
        <v>0</v>
      </c>
      <c r="AZ239" s="45">
        <f>Inputs!$B$28</f>
        <v>0</v>
      </c>
      <c r="BA239" s="45" t="s">
        <v>58</v>
      </c>
      <c r="BB239" s="45">
        <f t="shared" si="207"/>
        <v>0</v>
      </c>
      <c r="BC239" s="50"/>
      <c r="BD239" s="45">
        <v>0</v>
      </c>
      <c r="BE239" s="45">
        <v>0</v>
      </c>
      <c r="BF239" s="45">
        <f>BK239-0-AV239-BB239</f>
        <v>0</v>
      </c>
      <c r="BG239" s="50"/>
      <c r="BH239" s="45">
        <f>AV239+BB239+BE239-BK239+0-BD239</f>
        <v>0</v>
      </c>
      <c r="BI239" s="64">
        <f>BD239*Inputs!$F$28*Inputs!$G$28</f>
        <v>0</v>
      </c>
      <c r="BJ239" s="45">
        <f>Inputs!$F$28*Inputs!$I$28*BE239</f>
        <v>0</v>
      </c>
      <c r="BK239" s="54"/>
      <c r="BM239" s="116">
        <v>3</v>
      </c>
      <c r="BN239" s="114">
        <f>Inputs!$A$28</f>
        <v>0</v>
      </c>
      <c r="BO239" s="45">
        <f>Inputs!$B$28</f>
        <v>0</v>
      </c>
      <c r="BP239" s="45" t="s">
        <v>57</v>
      </c>
      <c r="BQ239" s="45">
        <f t="shared" si="208"/>
        <v>0</v>
      </c>
      <c r="BR239" s="50"/>
      <c r="BS239" s="118">
        <v>3</v>
      </c>
      <c r="BT239" s="114">
        <f>Inputs!$A$28</f>
        <v>0</v>
      </c>
      <c r="BU239" s="45">
        <f>Inputs!$B$28</f>
        <v>0</v>
      </c>
      <c r="BV239" s="45" t="s">
        <v>58</v>
      </c>
      <c r="BW239" s="45">
        <f t="shared" si="209"/>
        <v>0</v>
      </c>
      <c r="BX239" s="50"/>
      <c r="BY239" s="45">
        <v>0</v>
      </c>
      <c r="BZ239" s="45">
        <v>0</v>
      </c>
      <c r="CA239" s="45">
        <f>CF239-0-BQ239-BW239</f>
        <v>0</v>
      </c>
      <c r="CB239" s="50"/>
      <c r="CC239" s="45">
        <f>BQ239+BW239+BZ239-CF239+0-BY239</f>
        <v>0</v>
      </c>
      <c r="CD239" s="64">
        <f>BY239*Inputs!$F$28*Inputs!$G$28</f>
        <v>0</v>
      </c>
      <c r="CE239" s="45">
        <f>Inputs!$F$28*Inputs!$I$28*BZ239</f>
        <v>0</v>
      </c>
      <c r="CF239" s="54"/>
    </row>
    <row r="240" spans="1:84" x14ac:dyDescent="0.25">
      <c r="A240" s="116">
        <v>4</v>
      </c>
      <c r="B240" s="114">
        <f>Inputs!$A$28</f>
        <v>0</v>
      </c>
      <c r="C240" s="45">
        <f>Inputs!$B$28</f>
        <v>0</v>
      </c>
      <c r="D240" s="45" t="s">
        <v>57</v>
      </c>
      <c r="E240" s="45">
        <v>0</v>
      </c>
      <c r="F240" s="50"/>
      <c r="G240" s="118">
        <v>4</v>
      </c>
      <c r="H240" s="114">
        <f>Inputs!$A$28</f>
        <v>0</v>
      </c>
      <c r="I240" s="45">
        <f>Inputs!$B$28</f>
        <v>0</v>
      </c>
      <c r="J240" s="45" t="s">
        <v>58</v>
      </c>
      <c r="K240" s="45">
        <v>0</v>
      </c>
      <c r="L240" s="50"/>
      <c r="M240" s="45">
        <v>0</v>
      </c>
      <c r="N240" s="45">
        <v>0</v>
      </c>
      <c r="O240" s="45">
        <f t="shared" ref="O240:O247" si="243">U240-M239-E240-K240</f>
        <v>0</v>
      </c>
      <c r="P240" s="50"/>
      <c r="Q240" s="45">
        <f t="shared" ref="Q240:Q247" si="244">E240+K240+N240-U240+M239-M240</f>
        <v>0</v>
      </c>
      <c r="R240" s="64">
        <f>M240*Inputs!$F$28*Inputs!$G$28</f>
        <v>0</v>
      </c>
      <c r="S240" s="45">
        <f>Inputs!$F$28*Inputs!$I$28*N240</f>
        <v>0</v>
      </c>
      <c r="T240" s="18"/>
      <c r="U240" s="55"/>
      <c r="W240" s="116">
        <v>4</v>
      </c>
      <c r="X240" s="114">
        <f>Inputs!$A$28</f>
        <v>0</v>
      </c>
      <c r="Y240" s="45">
        <f>Inputs!$B$28</f>
        <v>0</v>
      </c>
      <c r="Z240" s="45" t="s">
        <v>57</v>
      </c>
      <c r="AA240" s="45">
        <f t="shared" si="205"/>
        <v>0</v>
      </c>
      <c r="AB240" s="50"/>
      <c r="AC240" s="118">
        <v>4</v>
      </c>
      <c r="AD240" s="114">
        <f>Inputs!$A$28</f>
        <v>0</v>
      </c>
      <c r="AE240" s="45">
        <f>Inputs!$B$28</f>
        <v>0</v>
      </c>
      <c r="AF240" s="45" t="s">
        <v>58</v>
      </c>
      <c r="AG240" s="45">
        <f t="shared" si="206"/>
        <v>0</v>
      </c>
      <c r="AH240" s="50"/>
      <c r="AI240" s="45">
        <v>0</v>
      </c>
      <c r="AJ240" s="45">
        <v>0</v>
      </c>
      <c r="AK240" s="45">
        <f t="shared" ref="AK240:AK247" si="245">AP240-AI239-AA240-AG240</f>
        <v>0</v>
      </c>
      <c r="AL240" s="50"/>
      <c r="AM240" s="45">
        <f t="shared" ref="AM240:AM247" si="246">AA240+AG240+AJ240-AP240+AI239-AI240</f>
        <v>0</v>
      </c>
      <c r="AN240" s="64">
        <f>AI240*Inputs!$F$28*Inputs!$G$28</f>
        <v>0</v>
      </c>
      <c r="AO240" s="45">
        <f>Inputs!$F$28*Inputs!$I$28*AJ240</f>
        <v>0</v>
      </c>
      <c r="AP240" s="55"/>
      <c r="AR240" s="116">
        <v>4</v>
      </c>
      <c r="AS240" s="114">
        <f>Inputs!$A$28</f>
        <v>0</v>
      </c>
      <c r="AT240" s="45">
        <f>Inputs!$B$28</f>
        <v>0</v>
      </c>
      <c r="AU240" s="45" t="s">
        <v>57</v>
      </c>
      <c r="AV240" s="45">
        <f t="shared" si="210"/>
        <v>0</v>
      </c>
      <c r="AW240" s="50"/>
      <c r="AX240" s="118">
        <v>4</v>
      </c>
      <c r="AY240" s="114">
        <f>Inputs!$A$28</f>
        <v>0</v>
      </c>
      <c r="AZ240" s="45">
        <f>Inputs!$B$28</f>
        <v>0</v>
      </c>
      <c r="BA240" s="45" t="s">
        <v>58</v>
      </c>
      <c r="BB240" s="45">
        <f t="shared" si="207"/>
        <v>0</v>
      </c>
      <c r="BC240" s="50"/>
      <c r="BD240" s="45">
        <v>0</v>
      </c>
      <c r="BE240" s="45">
        <v>0</v>
      </c>
      <c r="BF240" s="45">
        <f t="shared" ref="BF240:BF247" si="247">BK240-BD239-AV240-BB240</f>
        <v>0</v>
      </c>
      <c r="BG240" s="50"/>
      <c r="BH240" s="45">
        <f t="shared" ref="BH240:BH247" si="248">AV240+BB240+BE240-BK240+BD239-BD240</f>
        <v>0</v>
      </c>
      <c r="BI240" s="64">
        <f>BD240*Inputs!$F$28*Inputs!$G$28</f>
        <v>0</v>
      </c>
      <c r="BJ240" s="45">
        <f>Inputs!$F$28*Inputs!$I$28*BE240</f>
        <v>0</v>
      </c>
      <c r="BK240" s="55"/>
      <c r="BM240" s="116">
        <v>4</v>
      </c>
      <c r="BN240" s="114">
        <f>Inputs!$A$28</f>
        <v>0</v>
      </c>
      <c r="BO240" s="45">
        <f>Inputs!$B$28</f>
        <v>0</v>
      </c>
      <c r="BP240" s="45" t="s">
        <v>57</v>
      </c>
      <c r="BQ240" s="45">
        <f t="shared" si="208"/>
        <v>0</v>
      </c>
      <c r="BR240" s="50"/>
      <c r="BS240" s="118">
        <v>4</v>
      </c>
      <c r="BT240" s="114">
        <f>Inputs!$A$28</f>
        <v>0</v>
      </c>
      <c r="BU240" s="45">
        <f>Inputs!$B$28</f>
        <v>0</v>
      </c>
      <c r="BV240" s="45" t="s">
        <v>58</v>
      </c>
      <c r="BW240" s="45">
        <f t="shared" si="209"/>
        <v>0</v>
      </c>
      <c r="BX240" s="50"/>
      <c r="BY240" s="45">
        <v>0</v>
      </c>
      <c r="BZ240" s="45">
        <v>0</v>
      </c>
      <c r="CA240" s="45">
        <f t="shared" ref="CA240:CA247" si="249">CF240-BY239-BQ240-BW240</f>
        <v>0</v>
      </c>
      <c r="CB240" s="50"/>
      <c r="CC240" s="45">
        <f t="shared" ref="CC240:CC247" si="250">BQ240+BW240+BZ240-CF240+BY239-BY240</f>
        <v>0</v>
      </c>
      <c r="CD240" s="64">
        <f>BY240*Inputs!$F$28*Inputs!$G$28</f>
        <v>0</v>
      </c>
      <c r="CE240" s="45">
        <f>Inputs!$F$28*Inputs!$I$28*BZ240</f>
        <v>0</v>
      </c>
      <c r="CF240" s="55"/>
    </row>
    <row r="241" spans="1:84" x14ac:dyDescent="0.25">
      <c r="A241" s="116">
        <v>5</v>
      </c>
      <c r="B241" s="114">
        <f>Inputs!$A$28</f>
        <v>0</v>
      </c>
      <c r="C241" s="45">
        <f>Inputs!$B$28</f>
        <v>0</v>
      </c>
      <c r="D241" s="45" t="s">
        <v>57</v>
      </c>
      <c r="E241" s="45">
        <v>0</v>
      </c>
      <c r="F241" s="50"/>
      <c r="G241" s="118">
        <v>5</v>
      </c>
      <c r="H241" s="114">
        <f>Inputs!$A$28</f>
        <v>0</v>
      </c>
      <c r="I241" s="45">
        <f>Inputs!$B$28</f>
        <v>0</v>
      </c>
      <c r="J241" s="45" t="s">
        <v>58</v>
      </c>
      <c r="K241" s="45">
        <v>0</v>
      </c>
      <c r="L241" s="50"/>
      <c r="M241" s="45">
        <v>0</v>
      </c>
      <c r="N241" s="45">
        <v>0</v>
      </c>
      <c r="O241" s="45">
        <f t="shared" si="243"/>
        <v>0</v>
      </c>
      <c r="P241" s="50"/>
      <c r="Q241" s="45">
        <f t="shared" si="244"/>
        <v>0</v>
      </c>
      <c r="R241" s="64">
        <f>M241*Inputs!$F$28*Inputs!$G$28</f>
        <v>0</v>
      </c>
      <c r="S241" s="45">
        <f>Inputs!$F$28*Inputs!$I$28*N241</f>
        <v>0</v>
      </c>
      <c r="T241" s="18"/>
      <c r="U241" s="55"/>
      <c r="W241" s="116">
        <v>5</v>
      </c>
      <c r="X241" s="114">
        <f>Inputs!$A$28</f>
        <v>0</v>
      </c>
      <c r="Y241" s="45">
        <f>Inputs!$B$28</f>
        <v>0</v>
      </c>
      <c r="Z241" s="45" t="s">
        <v>57</v>
      </c>
      <c r="AA241" s="45">
        <f t="shared" si="205"/>
        <v>0</v>
      </c>
      <c r="AB241" s="50"/>
      <c r="AC241" s="118">
        <v>5</v>
      </c>
      <c r="AD241" s="114">
        <f>Inputs!$A$28</f>
        <v>0</v>
      </c>
      <c r="AE241" s="45">
        <f>Inputs!$B$28</f>
        <v>0</v>
      </c>
      <c r="AF241" s="45" t="s">
        <v>58</v>
      </c>
      <c r="AG241" s="45">
        <f t="shared" si="206"/>
        <v>0</v>
      </c>
      <c r="AH241" s="50"/>
      <c r="AI241" s="45">
        <v>0</v>
      </c>
      <c r="AJ241" s="45">
        <v>0</v>
      </c>
      <c r="AK241" s="45">
        <f t="shared" si="245"/>
        <v>0</v>
      </c>
      <c r="AL241" s="50"/>
      <c r="AM241" s="45">
        <f t="shared" si="246"/>
        <v>0</v>
      </c>
      <c r="AN241" s="64">
        <f>AI241*Inputs!$F$28*Inputs!$G$28</f>
        <v>0</v>
      </c>
      <c r="AO241" s="45">
        <f>Inputs!$F$28*Inputs!$I$28*AJ241</f>
        <v>0</v>
      </c>
      <c r="AP241" s="55"/>
      <c r="AR241" s="116">
        <v>5</v>
      </c>
      <c r="AS241" s="114">
        <f>Inputs!$A$28</f>
        <v>0</v>
      </c>
      <c r="AT241" s="45">
        <f>Inputs!$B$28</f>
        <v>0</v>
      </c>
      <c r="AU241" s="45" t="s">
        <v>57</v>
      </c>
      <c r="AV241" s="45">
        <f t="shared" si="210"/>
        <v>0</v>
      </c>
      <c r="AW241" s="50"/>
      <c r="AX241" s="118">
        <v>5</v>
      </c>
      <c r="AY241" s="114">
        <f>Inputs!$A$28</f>
        <v>0</v>
      </c>
      <c r="AZ241" s="45">
        <f>Inputs!$B$28</f>
        <v>0</v>
      </c>
      <c r="BA241" s="45" t="s">
        <v>58</v>
      </c>
      <c r="BB241" s="45">
        <f t="shared" si="207"/>
        <v>0</v>
      </c>
      <c r="BC241" s="50"/>
      <c r="BD241" s="45">
        <v>0</v>
      </c>
      <c r="BE241" s="45">
        <v>0</v>
      </c>
      <c r="BF241" s="45">
        <f t="shared" si="247"/>
        <v>0</v>
      </c>
      <c r="BG241" s="50"/>
      <c r="BH241" s="45">
        <f t="shared" si="248"/>
        <v>0</v>
      </c>
      <c r="BI241" s="64">
        <f>BD241*Inputs!$F$28*Inputs!$G$28</f>
        <v>0</v>
      </c>
      <c r="BJ241" s="45">
        <f>Inputs!$F$28*Inputs!$I$28*BE241</f>
        <v>0</v>
      </c>
      <c r="BK241" s="55"/>
      <c r="BM241" s="116">
        <v>5</v>
      </c>
      <c r="BN241" s="114">
        <f>Inputs!$A$28</f>
        <v>0</v>
      </c>
      <c r="BO241" s="45">
        <f>Inputs!$B$28</f>
        <v>0</v>
      </c>
      <c r="BP241" s="45" t="s">
        <v>57</v>
      </c>
      <c r="BQ241" s="45">
        <f t="shared" si="208"/>
        <v>0</v>
      </c>
      <c r="BR241" s="50"/>
      <c r="BS241" s="118">
        <v>5</v>
      </c>
      <c r="BT241" s="114">
        <f>Inputs!$A$28</f>
        <v>0</v>
      </c>
      <c r="BU241" s="45">
        <f>Inputs!$B$28</f>
        <v>0</v>
      </c>
      <c r="BV241" s="45" t="s">
        <v>58</v>
      </c>
      <c r="BW241" s="45">
        <f t="shared" si="209"/>
        <v>0</v>
      </c>
      <c r="BX241" s="50"/>
      <c r="BY241" s="45">
        <v>0</v>
      </c>
      <c r="BZ241" s="45">
        <v>0</v>
      </c>
      <c r="CA241" s="45">
        <f t="shared" si="249"/>
        <v>0</v>
      </c>
      <c r="CB241" s="50"/>
      <c r="CC241" s="45">
        <f t="shared" si="250"/>
        <v>0</v>
      </c>
      <c r="CD241" s="64">
        <f>BY241*Inputs!$F$28*Inputs!$G$28</f>
        <v>0</v>
      </c>
      <c r="CE241" s="45">
        <f>Inputs!$F$28*Inputs!$I$28*BZ241</f>
        <v>0</v>
      </c>
      <c r="CF241" s="55"/>
    </row>
    <row r="242" spans="1:84" x14ac:dyDescent="0.25">
      <c r="A242" s="116">
        <v>6</v>
      </c>
      <c r="B242" s="114">
        <f>Inputs!$A$28</f>
        <v>0</v>
      </c>
      <c r="C242" s="45">
        <f>Inputs!$B$28</f>
        <v>0</v>
      </c>
      <c r="D242" s="45" t="s">
        <v>57</v>
      </c>
      <c r="E242" s="45">
        <v>0</v>
      </c>
      <c r="F242" s="50"/>
      <c r="G242" s="118">
        <v>6</v>
      </c>
      <c r="H242" s="114">
        <f>Inputs!$A$28</f>
        <v>0</v>
      </c>
      <c r="I242" s="45">
        <f>Inputs!$B$28</f>
        <v>0</v>
      </c>
      <c r="J242" s="45" t="s">
        <v>58</v>
      </c>
      <c r="K242" s="45">
        <v>0</v>
      </c>
      <c r="L242" s="50"/>
      <c r="M242" s="45">
        <v>0</v>
      </c>
      <c r="N242" s="45">
        <v>0</v>
      </c>
      <c r="O242" s="45">
        <f t="shared" si="243"/>
        <v>0</v>
      </c>
      <c r="P242" s="50"/>
      <c r="Q242" s="45">
        <f t="shared" si="244"/>
        <v>0</v>
      </c>
      <c r="R242" s="64">
        <f>M242*Inputs!$F$28*Inputs!$G$28</f>
        <v>0</v>
      </c>
      <c r="S242" s="45">
        <f>Inputs!$F$28*Inputs!$I$28*N242</f>
        <v>0</v>
      </c>
      <c r="T242" s="18"/>
      <c r="U242" s="55"/>
      <c r="W242" s="116">
        <v>6</v>
      </c>
      <c r="X242" s="114">
        <f>Inputs!$A$28</f>
        <v>0</v>
      </c>
      <c r="Y242" s="45">
        <f>Inputs!$B$28</f>
        <v>0</v>
      </c>
      <c r="Z242" s="45" t="s">
        <v>57</v>
      </c>
      <c r="AA242" s="45">
        <f t="shared" si="205"/>
        <v>0</v>
      </c>
      <c r="AB242" s="50"/>
      <c r="AC242" s="118">
        <v>6</v>
      </c>
      <c r="AD242" s="114">
        <f>Inputs!$A$28</f>
        <v>0</v>
      </c>
      <c r="AE242" s="45">
        <f>Inputs!$B$28</f>
        <v>0</v>
      </c>
      <c r="AF242" s="45" t="s">
        <v>58</v>
      </c>
      <c r="AG242" s="45">
        <f t="shared" si="206"/>
        <v>0</v>
      </c>
      <c r="AH242" s="50"/>
      <c r="AI242" s="45">
        <v>0</v>
      </c>
      <c r="AJ242" s="45">
        <v>0</v>
      </c>
      <c r="AK242" s="45">
        <f t="shared" si="245"/>
        <v>0</v>
      </c>
      <c r="AL242" s="50"/>
      <c r="AM242" s="45">
        <f t="shared" si="246"/>
        <v>0</v>
      </c>
      <c r="AN242" s="64">
        <f>AI242*Inputs!$F$28*Inputs!$G$28</f>
        <v>0</v>
      </c>
      <c r="AO242" s="45">
        <f>Inputs!$F$28*Inputs!$I$28*AJ242</f>
        <v>0</v>
      </c>
      <c r="AP242" s="55"/>
      <c r="AR242" s="116">
        <v>6</v>
      </c>
      <c r="AS242" s="114">
        <f>Inputs!$A$28</f>
        <v>0</v>
      </c>
      <c r="AT242" s="45">
        <f>Inputs!$B$28</f>
        <v>0</v>
      </c>
      <c r="AU242" s="45" t="s">
        <v>57</v>
      </c>
      <c r="AV242" s="45">
        <f t="shared" si="210"/>
        <v>0</v>
      </c>
      <c r="AW242" s="50"/>
      <c r="AX242" s="118">
        <v>6</v>
      </c>
      <c r="AY242" s="114">
        <f>Inputs!$A$28</f>
        <v>0</v>
      </c>
      <c r="AZ242" s="45">
        <f>Inputs!$B$28</f>
        <v>0</v>
      </c>
      <c r="BA242" s="45" t="s">
        <v>58</v>
      </c>
      <c r="BB242" s="45">
        <f t="shared" si="207"/>
        <v>0</v>
      </c>
      <c r="BC242" s="50"/>
      <c r="BD242" s="45">
        <v>0</v>
      </c>
      <c r="BE242" s="45">
        <v>0</v>
      </c>
      <c r="BF242" s="45">
        <f t="shared" si="247"/>
        <v>0</v>
      </c>
      <c r="BG242" s="50"/>
      <c r="BH242" s="45">
        <f t="shared" si="248"/>
        <v>0</v>
      </c>
      <c r="BI242" s="64">
        <f>BD242*Inputs!$F$28*Inputs!$G$28</f>
        <v>0</v>
      </c>
      <c r="BJ242" s="45">
        <f>Inputs!$F$28*Inputs!$I$28*BE242</f>
        <v>0</v>
      </c>
      <c r="BK242" s="55"/>
      <c r="BM242" s="116">
        <v>6</v>
      </c>
      <c r="BN242" s="114">
        <f>Inputs!$A$28</f>
        <v>0</v>
      </c>
      <c r="BO242" s="45">
        <f>Inputs!$B$28</f>
        <v>0</v>
      </c>
      <c r="BP242" s="45" t="s">
        <v>57</v>
      </c>
      <c r="BQ242" s="45">
        <f t="shared" si="208"/>
        <v>0</v>
      </c>
      <c r="BR242" s="50"/>
      <c r="BS242" s="118">
        <v>6</v>
      </c>
      <c r="BT242" s="114">
        <f>Inputs!$A$28</f>
        <v>0</v>
      </c>
      <c r="BU242" s="45">
        <f>Inputs!$B$28</f>
        <v>0</v>
      </c>
      <c r="BV242" s="45" t="s">
        <v>58</v>
      </c>
      <c r="BW242" s="45">
        <f t="shared" si="209"/>
        <v>0</v>
      </c>
      <c r="BX242" s="50"/>
      <c r="BY242" s="45">
        <v>0</v>
      </c>
      <c r="BZ242" s="45">
        <v>0</v>
      </c>
      <c r="CA242" s="45">
        <f t="shared" si="249"/>
        <v>0</v>
      </c>
      <c r="CB242" s="50"/>
      <c r="CC242" s="45">
        <f t="shared" si="250"/>
        <v>0</v>
      </c>
      <c r="CD242" s="64">
        <f>BY242*Inputs!$F$28*Inputs!$G$28</f>
        <v>0</v>
      </c>
      <c r="CE242" s="45">
        <f>Inputs!$F$28*Inputs!$I$28*BZ242</f>
        <v>0</v>
      </c>
      <c r="CF242" s="55"/>
    </row>
    <row r="243" spans="1:84" x14ac:dyDescent="0.25">
      <c r="A243" s="116">
        <v>7</v>
      </c>
      <c r="B243" s="114">
        <f>Inputs!$A$28</f>
        <v>0</v>
      </c>
      <c r="C243" s="45">
        <f>Inputs!$B$28</f>
        <v>0</v>
      </c>
      <c r="D243" s="45" t="s">
        <v>57</v>
      </c>
      <c r="E243" s="45">
        <v>0</v>
      </c>
      <c r="F243" s="50"/>
      <c r="G243" s="118">
        <v>7</v>
      </c>
      <c r="H243" s="114">
        <f>Inputs!$A$28</f>
        <v>0</v>
      </c>
      <c r="I243" s="45">
        <f>Inputs!$B$28</f>
        <v>0</v>
      </c>
      <c r="J243" s="45" t="s">
        <v>58</v>
      </c>
      <c r="K243" s="45">
        <v>0</v>
      </c>
      <c r="L243" s="50"/>
      <c r="M243" s="45">
        <v>0</v>
      </c>
      <c r="N243" s="45">
        <v>0</v>
      </c>
      <c r="O243" s="45">
        <f t="shared" si="243"/>
        <v>0</v>
      </c>
      <c r="P243" s="50"/>
      <c r="Q243" s="45">
        <f t="shared" si="244"/>
        <v>0</v>
      </c>
      <c r="R243" s="64">
        <f>M243*Inputs!$F$28*Inputs!$G$28</f>
        <v>0</v>
      </c>
      <c r="S243" s="45">
        <f>Inputs!$F$28*Inputs!$I$28*N243</f>
        <v>0</v>
      </c>
      <c r="T243" s="18"/>
      <c r="U243" s="55"/>
      <c r="W243" s="116">
        <v>7</v>
      </c>
      <c r="X243" s="114">
        <f>Inputs!$A$28</f>
        <v>0</v>
      </c>
      <c r="Y243" s="45">
        <f>Inputs!$B$28</f>
        <v>0</v>
      </c>
      <c r="Z243" s="45" t="s">
        <v>57</v>
      </c>
      <c r="AA243" s="45">
        <f t="shared" si="205"/>
        <v>0</v>
      </c>
      <c r="AB243" s="50"/>
      <c r="AC243" s="118">
        <v>7</v>
      </c>
      <c r="AD243" s="114">
        <f>Inputs!$A$28</f>
        <v>0</v>
      </c>
      <c r="AE243" s="45">
        <f>Inputs!$B$28</f>
        <v>0</v>
      </c>
      <c r="AF243" s="45" t="s">
        <v>58</v>
      </c>
      <c r="AG243" s="45">
        <f t="shared" si="206"/>
        <v>0</v>
      </c>
      <c r="AH243" s="50"/>
      <c r="AI243" s="45">
        <v>0</v>
      </c>
      <c r="AJ243" s="45">
        <v>0</v>
      </c>
      <c r="AK243" s="45">
        <f t="shared" si="245"/>
        <v>0</v>
      </c>
      <c r="AL243" s="50"/>
      <c r="AM243" s="45">
        <f t="shared" si="246"/>
        <v>0</v>
      </c>
      <c r="AN243" s="64">
        <f>AI243*Inputs!$F$28*Inputs!$G$28</f>
        <v>0</v>
      </c>
      <c r="AO243" s="45">
        <f>Inputs!$F$28*Inputs!$I$28*AJ243</f>
        <v>0</v>
      </c>
      <c r="AP243" s="55"/>
      <c r="AR243" s="116">
        <v>7</v>
      </c>
      <c r="AS243" s="114">
        <f>Inputs!$A$28</f>
        <v>0</v>
      </c>
      <c r="AT243" s="45">
        <f>Inputs!$B$28</f>
        <v>0</v>
      </c>
      <c r="AU243" s="45" t="s">
        <v>57</v>
      </c>
      <c r="AV243" s="45">
        <f t="shared" si="210"/>
        <v>0</v>
      </c>
      <c r="AW243" s="50"/>
      <c r="AX243" s="118">
        <v>7</v>
      </c>
      <c r="AY243" s="114">
        <f>Inputs!$A$28</f>
        <v>0</v>
      </c>
      <c r="AZ243" s="45">
        <f>Inputs!$B$28</f>
        <v>0</v>
      </c>
      <c r="BA243" s="45" t="s">
        <v>58</v>
      </c>
      <c r="BB243" s="45">
        <f t="shared" si="207"/>
        <v>0</v>
      </c>
      <c r="BC243" s="50"/>
      <c r="BD243" s="45">
        <v>0</v>
      </c>
      <c r="BE243" s="45">
        <v>0</v>
      </c>
      <c r="BF243" s="45">
        <f t="shared" si="247"/>
        <v>0</v>
      </c>
      <c r="BG243" s="50"/>
      <c r="BH243" s="45">
        <f t="shared" si="248"/>
        <v>0</v>
      </c>
      <c r="BI243" s="64">
        <f>BD243*Inputs!$F$28*Inputs!$G$28</f>
        <v>0</v>
      </c>
      <c r="BJ243" s="45">
        <f>Inputs!$F$28*Inputs!$I$28*BE243</f>
        <v>0</v>
      </c>
      <c r="BK243" s="55"/>
      <c r="BM243" s="116">
        <v>7</v>
      </c>
      <c r="BN243" s="114">
        <f>Inputs!$A$28</f>
        <v>0</v>
      </c>
      <c r="BO243" s="45">
        <f>Inputs!$B$28</f>
        <v>0</v>
      </c>
      <c r="BP243" s="45" t="s">
        <v>57</v>
      </c>
      <c r="BQ243" s="45">
        <f t="shared" si="208"/>
        <v>0</v>
      </c>
      <c r="BR243" s="50"/>
      <c r="BS243" s="118">
        <v>7</v>
      </c>
      <c r="BT243" s="114">
        <f>Inputs!$A$28</f>
        <v>0</v>
      </c>
      <c r="BU243" s="45">
        <f>Inputs!$B$28</f>
        <v>0</v>
      </c>
      <c r="BV243" s="45" t="s">
        <v>58</v>
      </c>
      <c r="BW243" s="45">
        <f t="shared" si="209"/>
        <v>0</v>
      </c>
      <c r="BX243" s="50"/>
      <c r="BY243" s="45">
        <v>0</v>
      </c>
      <c r="BZ243" s="45">
        <v>0</v>
      </c>
      <c r="CA243" s="45">
        <f t="shared" si="249"/>
        <v>0</v>
      </c>
      <c r="CB243" s="50"/>
      <c r="CC243" s="45">
        <f t="shared" si="250"/>
        <v>0</v>
      </c>
      <c r="CD243" s="64">
        <f>BY243*Inputs!$F$28*Inputs!$G$28</f>
        <v>0</v>
      </c>
      <c r="CE243" s="45">
        <f>Inputs!$F$28*Inputs!$I$28*BZ243</f>
        <v>0</v>
      </c>
      <c r="CF243" s="55"/>
    </row>
    <row r="244" spans="1:84" x14ac:dyDescent="0.25">
      <c r="A244" s="116">
        <v>8</v>
      </c>
      <c r="B244" s="114">
        <f>Inputs!$A$28</f>
        <v>0</v>
      </c>
      <c r="C244" s="45">
        <f>Inputs!$B$28</f>
        <v>0</v>
      </c>
      <c r="D244" s="45" t="s">
        <v>57</v>
      </c>
      <c r="E244" s="45">
        <v>0</v>
      </c>
      <c r="F244" s="50"/>
      <c r="G244" s="118">
        <v>8</v>
      </c>
      <c r="H244" s="114">
        <f>Inputs!$A$28</f>
        <v>0</v>
      </c>
      <c r="I244" s="45">
        <f>Inputs!$B$28</f>
        <v>0</v>
      </c>
      <c r="J244" s="45" t="s">
        <v>58</v>
      </c>
      <c r="K244" s="45">
        <v>0</v>
      </c>
      <c r="L244" s="50"/>
      <c r="M244" s="45">
        <v>0</v>
      </c>
      <c r="N244" s="45">
        <v>0</v>
      </c>
      <c r="O244" s="45">
        <f t="shared" si="243"/>
        <v>0</v>
      </c>
      <c r="P244" s="50"/>
      <c r="Q244" s="45">
        <f t="shared" si="244"/>
        <v>0</v>
      </c>
      <c r="R244" s="64">
        <f>M244*Inputs!$F$28*Inputs!$G$28</f>
        <v>0</v>
      </c>
      <c r="S244" s="45">
        <f>Inputs!$F$28*Inputs!$I$28*N244</f>
        <v>0</v>
      </c>
      <c r="T244" s="18"/>
      <c r="U244" s="55"/>
      <c r="W244" s="116">
        <v>8</v>
      </c>
      <c r="X244" s="114">
        <f>Inputs!$A$28</f>
        <v>0</v>
      </c>
      <c r="Y244" s="45">
        <f>Inputs!$B$28</f>
        <v>0</v>
      </c>
      <c r="Z244" s="45" t="s">
        <v>57</v>
      </c>
      <c r="AA244" s="45">
        <f t="shared" si="205"/>
        <v>0</v>
      </c>
      <c r="AB244" s="50"/>
      <c r="AC244" s="118">
        <v>8</v>
      </c>
      <c r="AD244" s="114">
        <f>Inputs!$A$28</f>
        <v>0</v>
      </c>
      <c r="AE244" s="45">
        <f>Inputs!$B$28</f>
        <v>0</v>
      </c>
      <c r="AF244" s="45" t="s">
        <v>58</v>
      </c>
      <c r="AG244" s="45">
        <f t="shared" si="206"/>
        <v>0</v>
      </c>
      <c r="AH244" s="50"/>
      <c r="AI244" s="45">
        <v>0</v>
      </c>
      <c r="AJ244" s="45">
        <v>0</v>
      </c>
      <c r="AK244" s="45">
        <f t="shared" si="245"/>
        <v>0</v>
      </c>
      <c r="AL244" s="50"/>
      <c r="AM244" s="45">
        <f t="shared" si="246"/>
        <v>0</v>
      </c>
      <c r="AN244" s="64">
        <f>AI244*Inputs!$F$28*Inputs!$G$28</f>
        <v>0</v>
      </c>
      <c r="AO244" s="45">
        <f>Inputs!$F$28*Inputs!$I$28*AJ244</f>
        <v>0</v>
      </c>
      <c r="AP244" s="55"/>
      <c r="AR244" s="116">
        <v>8</v>
      </c>
      <c r="AS244" s="114">
        <f>Inputs!$A$28</f>
        <v>0</v>
      </c>
      <c r="AT244" s="45">
        <f>Inputs!$B$28</f>
        <v>0</v>
      </c>
      <c r="AU244" s="45" t="s">
        <v>57</v>
      </c>
      <c r="AV244" s="45">
        <f t="shared" si="210"/>
        <v>0</v>
      </c>
      <c r="AW244" s="50"/>
      <c r="AX244" s="118">
        <v>8</v>
      </c>
      <c r="AY244" s="114">
        <f>Inputs!$A$28</f>
        <v>0</v>
      </c>
      <c r="AZ244" s="45">
        <f>Inputs!$B$28</f>
        <v>0</v>
      </c>
      <c r="BA244" s="45" t="s">
        <v>58</v>
      </c>
      <c r="BB244" s="45">
        <f t="shared" si="207"/>
        <v>0</v>
      </c>
      <c r="BC244" s="50"/>
      <c r="BD244" s="45">
        <v>0</v>
      </c>
      <c r="BE244" s="45">
        <v>0</v>
      </c>
      <c r="BF244" s="45">
        <f t="shared" si="247"/>
        <v>0</v>
      </c>
      <c r="BG244" s="50"/>
      <c r="BH244" s="45">
        <f t="shared" si="248"/>
        <v>0</v>
      </c>
      <c r="BI244" s="64">
        <f>BD244*Inputs!$F$28*Inputs!$G$28</f>
        <v>0</v>
      </c>
      <c r="BJ244" s="45">
        <f>Inputs!$F$28*Inputs!$I$28*BE244</f>
        <v>0</v>
      </c>
      <c r="BK244" s="55"/>
      <c r="BM244" s="116">
        <v>8</v>
      </c>
      <c r="BN244" s="114">
        <f>Inputs!$A$28</f>
        <v>0</v>
      </c>
      <c r="BO244" s="45">
        <f>Inputs!$B$28</f>
        <v>0</v>
      </c>
      <c r="BP244" s="45" t="s">
        <v>57</v>
      </c>
      <c r="BQ244" s="45">
        <f t="shared" si="208"/>
        <v>0</v>
      </c>
      <c r="BR244" s="50"/>
      <c r="BS244" s="118">
        <v>8</v>
      </c>
      <c r="BT244" s="114">
        <f>Inputs!$A$28</f>
        <v>0</v>
      </c>
      <c r="BU244" s="45">
        <f>Inputs!$B$28</f>
        <v>0</v>
      </c>
      <c r="BV244" s="45" t="s">
        <v>58</v>
      </c>
      <c r="BW244" s="45">
        <f t="shared" si="209"/>
        <v>0</v>
      </c>
      <c r="BX244" s="50"/>
      <c r="BY244" s="45">
        <v>0</v>
      </c>
      <c r="BZ244" s="45">
        <v>0</v>
      </c>
      <c r="CA244" s="45">
        <f t="shared" si="249"/>
        <v>0</v>
      </c>
      <c r="CB244" s="50"/>
      <c r="CC244" s="45">
        <f t="shared" si="250"/>
        <v>0</v>
      </c>
      <c r="CD244" s="64">
        <f>BY244*Inputs!$F$28*Inputs!$G$28</f>
        <v>0</v>
      </c>
      <c r="CE244" s="45">
        <f>Inputs!$F$28*Inputs!$I$28*BZ244</f>
        <v>0</v>
      </c>
      <c r="CF244" s="55"/>
    </row>
    <row r="245" spans="1:84" x14ac:dyDescent="0.25">
      <c r="A245" s="116">
        <v>9</v>
      </c>
      <c r="B245" s="114">
        <f>Inputs!$A$28</f>
        <v>0</v>
      </c>
      <c r="C245" s="45">
        <f>Inputs!$B$28</f>
        <v>0</v>
      </c>
      <c r="D245" s="45" t="s">
        <v>57</v>
      </c>
      <c r="E245" s="45">
        <v>0</v>
      </c>
      <c r="F245" s="50"/>
      <c r="G245" s="118">
        <v>9</v>
      </c>
      <c r="H245" s="114">
        <f>Inputs!$A$28</f>
        <v>0</v>
      </c>
      <c r="I245" s="45">
        <f>Inputs!$B$28</f>
        <v>0</v>
      </c>
      <c r="J245" s="45" t="s">
        <v>58</v>
      </c>
      <c r="K245" s="45">
        <v>0</v>
      </c>
      <c r="L245" s="50"/>
      <c r="M245" s="45">
        <v>0</v>
      </c>
      <c r="N245" s="45">
        <v>0</v>
      </c>
      <c r="O245" s="45">
        <f t="shared" si="243"/>
        <v>0</v>
      </c>
      <c r="P245" s="50"/>
      <c r="Q245" s="45">
        <f t="shared" si="244"/>
        <v>0</v>
      </c>
      <c r="R245" s="64">
        <f>M245*Inputs!$F$28*Inputs!$G$28</f>
        <v>0</v>
      </c>
      <c r="S245" s="45">
        <f>Inputs!$F$28*Inputs!$I$28*N245</f>
        <v>0</v>
      </c>
      <c r="T245" s="18"/>
      <c r="U245" s="55"/>
      <c r="W245" s="116">
        <v>9</v>
      </c>
      <c r="X245" s="114">
        <f>Inputs!$A$28</f>
        <v>0</v>
      </c>
      <c r="Y245" s="45">
        <f>Inputs!$B$28</f>
        <v>0</v>
      </c>
      <c r="Z245" s="45" t="s">
        <v>57</v>
      </c>
      <c r="AA245" s="45">
        <f t="shared" si="205"/>
        <v>0</v>
      </c>
      <c r="AB245" s="50"/>
      <c r="AC245" s="118">
        <v>9</v>
      </c>
      <c r="AD245" s="114">
        <f>Inputs!$A$28</f>
        <v>0</v>
      </c>
      <c r="AE245" s="45">
        <f>Inputs!$B$28</f>
        <v>0</v>
      </c>
      <c r="AF245" s="45" t="s">
        <v>58</v>
      </c>
      <c r="AG245" s="45">
        <f t="shared" si="206"/>
        <v>0</v>
      </c>
      <c r="AH245" s="50"/>
      <c r="AI245" s="45">
        <v>0</v>
      </c>
      <c r="AJ245" s="45">
        <v>0</v>
      </c>
      <c r="AK245" s="45">
        <f t="shared" si="245"/>
        <v>0</v>
      </c>
      <c r="AL245" s="50"/>
      <c r="AM245" s="45">
        <f t="shared" si="246"/>
        <v>0</v>
      </c>
      <c r="AN245" s="64">
        <f>AI245*Inputs!$F$28*Inputs!$G$28</f>
        <v>0</v>
      </c>
      <c r="AO245" s="45">
        <f>Inputs!$F$28*Inputs!$I$28*AJ245</f>
        <v>0</v>
      </c>
      <c r="AP245" s="55"/>
      <c r="AR245" s="116">
        <v>9</v>
      </c>
      <c r="AS245" s="114">
        <f>Inputs!$A$28</f>
        <v>0</v>
      </c>
      <c r="AT245" s="45">
        <f>Inputs!$B$28</f>
        <v>0</v>
      </c>
      <c r="AU245" s="45" t="s">
        <v>57</v>
      </c>
      <c r="AV245" s="45">
        <f t="shared" si="210"/>
        <v>0</v>
      </c>
      <c r="AW245" s="50"/>
      <c r="AX245" s="118">
        <v>9</v>
      </c>
      <c r="AY245" s="114">
        <f>Inputs!$A$28</f>
        <v>0</v>
      </c>
      <c r="AZ245" s="45">
        <f>Inputs!$B$28</f>
        <v>0</v>
      </c>
      <c r="BA245" s="45" t="s">
        <v>58</v>
      </c>
      <c r="BB245" s="45">
        <f t="shared" si="207"/>
        <v>0</v>
      </c>
      <c r="BC245" s="50"/>
      <c r="BD245" s="45">
        <v>0</v>
      </c>
      <c r="BE245" s="45">
        <v>0</v>
      </c>
      <c r="BF245" s="45">
        <f t="shared" si="247"/>
        <v>0</v>
      </c>
      <c r="BG245" s="50"/>
      <c r="BH245" s="45">
        <f t="shared" si="248"/>
        <v>0</v>
      </c>
      <c r="BI245" s="64">
        <f>BD245*Inputs!$F$28*Inputs!$G$28</f>
        <v>0</v>
      </c>
      <c r="BJ245" s="45">
        <f>Inputs!$F$28*Inputs!$I$28*BE245</f>
        <v>0</v>
      </c>
      <c r="BK245" s="55"/>
      <c r="BM245" s="116">
        <v>9</v>
      </c>
      <c r="BN245" s="114">
        <f>Inputs!$A$28</f>
        <v>0</v>
      </c>
      <c r="BO245" s="45">
        <f>Inputs!$B$28</f>
        <v>0</v>
      </c>
      <c r="BP245" s="45" t="s">
        <v>57</v>
      </c>
      <c r="BQ245" s="45">
        <f t="shared" si="208"/>
        <v>0</v>
      </c>
      <c r="BR245" s="50"/>
      <c r="BS245" s="118">
        <v>9</v>
      </c>
      <c r="BT245" s="114">
        <f>Inputs!$A$28</f>
        <v>0</v>
      </c>
      <c r="BU245" s="45">
        <f>Inputs!$B$28</f>
        <v>0</v>
      </c>
      <c r="BV245" s="45" t="s">
        <v>58</v>
      </c>
      <c r="BW245" s="45">
        <f t="shared" si="209"/>
        <v>0</v>
      </c>
      <c r="BX245" s="50"/>
      <c r="BY245" s="45">
        <v>0</v>
      </c>
      <c r="BZ245" s="45">
        <v>0</v>
      </c>
      <c r="CA245" s="45">
        <f t="shared" si="249"/>
        <v>0</v>
      </c>
      <c r="CB245" s="50"/>
      <c r="CC245" s="45">
        <f t="shared" si="250"/>
        <v>0</v>
      </c>
      <c r="CD245" s="64">
        <f>BY245*Inputs!$F$28*Inputs!$G$28</f>
        <v>0</v>
      </c>
      <c r="CE245" s="45">
        <f>Inputs!$F$28*Inputs!$I$28*BZ245</f>
        <v>0</v>
      </c>
      <c r="CF245" s="55"/>
    </row>
    <row r="246" spans="1:84" x14ac:dyDescent="0.25">
      <c r="A246" s="116">
        <v>10</v>
      </c>
      <c r="B246" s="114">
        <f>Inputs!$A$28</f>
        <v>0</v>
      </c>
      <c r="C246" s="45">
        <f>Inputs!$B$28</f>
        <v>0</v>
      </c>
      <c r="D246" s="45" t="s">
        <v>57</v>
      </c>
      <c r="E246" s="45">
        <v>0</v>
      </c>
      <c r="F246" s="50"/>
      <c r="G246" s="118">
        <v>10</v>
      </c>
      <c r="H246" s="114">
        <f>Inputs!$A$28</f>
        <v>0</v>
      </c>
      <c r="I246" s="45">
        <f>Inputs!$B$28</f>
        <v>0</v>
      </c>
      <c r="J246" s="45" t="s">
        <v>58</v>
      </c>
      <c r="K246" s="45">
        <v>0</v>
      </c>
      <c r="L246" s="50"/>
      <c r="M246" s="45">
        <v>0</v>
      </c>
      <c r="N246" s="45">
        <v>0</v>
      </c>
      <c r="O246" s="45">
        <f t="shared" si="243"/>
        <v>0</v>
      </c>
      <c r="P246" s="50"/>
      <c r="Q246" s="45">
        <f t="shared" si="244"/>
        <v>0</v>
      </c>
      <c r="R246" s="64">
        <f>M246*Inputs!$F$28*Inputs!$G$28</f>
        <v>0</v>
      </c>
      <c r="S246" s="45">
        <f>Inputs!$F$28*Inputs!$I$28*N246</f>
        <v>0</v>
      </c>
      <c r="T246" s="18"/>
      <c r="U246" s="91"/>
      <c r="W246" s="116">
        <v>10</v>
      </c>
      <c r="X246" s="114">
        <f>Inputs!$A$28</f>
        <v>0</v>
      </c>
      <c r="Y246" s="45">
        <f>Inputs!$B$28</f>
        <v>0</v>
      </c>
      <c r="Z246" s="45" t="s">
        <v>57</v>
      </c>
      <c r="AA246" s="45">
        <f t="shared" si="205"/>
        <v>0</v>
      </c>
      <c r="AB246" s="50"/>
      <c r="AC246" s="118">
        <v>10</v>
      </c>
      <c r="AD246" s="114">
        <f>Inputs!$A$28</f>
        <v>0</v>
      </c>
      <c r="AE246" s="45">
        <f>Inputs!$B$28</f>
        <v>0</v>
      </c>
      <c r="AF246" s="45" t="s">
        <v>58</v>
      </c>
      <c r="AG246" s="45">
        <f t="shared" si="206"/>
        <v>0</v>
      </c>
      <c r="AH246" s="50"/>
      <c r="AI246" s="45">
        <v>0</v>
      </c>
      <c r="AJ246" s="45">
        <v>0</v>
      </c>
      <c r="AK246" s="45">
        <f t="shared" si="245"/>
        <v>0</v>
      </c>
      <c r="AL246" s="50"/>
      <c r="AM246" s="45">
        <f t="shared" si="246"/>
        <v>0</v>
      </c>
      <c r="AN246" s="64">
        <f>AI246*Inputs!$F$28*Inputs!$G$28</f>
        <v>0</v>
      </c>
      <c r="AO246" s="45">
        <f>Inputs!$F$28*Inputs!$I$28*AJ246</f>
        <v>0</v>
      </c>
      <c r="AP246" s="91"/>
      <c r="AR246" s="116">
        <v>10</v>
      </c>
      <c r="AS246" s="114">
        <f>Inputs!$A$28</f>
        <v>0</v>
      </c>
      <c r="AT246" s="45">
        <f>Inputs!$B$28</f>
        <v>0</v>
      </c>
      <c r="AU246" s="45" t="s">
        <v>57</v>
      </c>
      <c r="AV246" s="45">
        <f t="shared" si="210"/>
        <v>0</v>
      </c>
      <c r="AW246" s="50"/>
      <c r="AX246" s="118">
        <v>10</v>
      </c>
      <c r="AY246" s="114">
        <f>Inputs!$A$28</f>
        <v>0</v>
      </c>
      <c r="AZ246" s="45">
        <f>Inputs!$B$28</f>
        <v>0</v>
      </c>
      <c r="BA246" s="45" t="s">
        <v>58</v>
      </c>
      <c r="BB246" s="45">
        <f t="shared" si="207"/>
        <v>0</v>
      </c>
      <c r="BC246" s="50"/>
      <c r="BD246" s="45">
        <v>0</v>
      </c>
      <c r="BE246" s="45">
        <v>0</v>
      </c>
      <c r="BF246" s="45">
        <f t="shared" si="247"/>
        <v>0</v>
      </c>
      <c r="BG246" s="50"/>
      <c r="BH246" s="45">
        <f t="shared" si="248"/>
        <v>0</v>
      </c>
      <c r="BI246" s="64">
        <f>BD246*Inputs!$F$28*Inputs!$G$28</f>
        <v>0</v>
      </c>
      <c r="BJ246" s="45">
        <f>Inputs!$F$28*Inputs!$I$28*BE246</f>
        <v>0</v>
      </c>
      <c r="BK246" s="91"/>
      <c r="BM246" s="116">
        <v>10</v>
      </c>
      <c r="BN246" s="114">
        <f>Inputs!$A$28</f>
        <v>0</v>
      </c>
      <c r="BO246" s="45">
        <f>Inputs!$B$28</f>
        <v>0</v>
      </c>
      <c r="BP246" s="45" t="s">
        <v>57</v>
      </c>
      <c r="BQ246" s="45">
        <f t="shared" si="208"/>
        <v>0</v>
      </c>
      <c r="BR246" s="50"/>
      <c r="BS246" s="118">
        <v>10</v>
      </c>
      <c r="BT246" s="114">
        <f>Inputs!$A$28</f>
        <v>0</v>
      </c>
      <c r="BU246" s="45">
        <f>Inputs!$B$28</f>
        <v>0</v>
      </c>
      <c r="BV246" s="45" t="s">
        <v>58</v>
      </c>
      <c r="BW246" s="45">
        <f t="shared" si="209"/>
        <v>0</v>
      </c>
      <c r="BX246" s="50"/>
      <c r="BY246" s="45">
        <v>0</v>
      </c>
      <c r="BZ246" s="45">
        <v>0</v>
      </c>
      <c r="CA246" s="45">
        <f t="shared" si="249"/>
        <v>0</v>
      </c>
      <c r="CB246" s="50"/>
      <c r="CC246" s="45">
        <f t="shared" si="250"/>
        <v>0</v>
      </c>
      <c r="CD246" s="64">
        <f>BY246*Inputs!$F$28*Inputs!$G$28</f>
        <v>0</v>
      </c>
      <c r="CE246" s="45">
        <f>Inputs!$F$28*Inputs!$I$28*BZ246</f>
        <v>0</v>
      </c>
      <c r="CF246" s="91"/>
    </row>
    <row r="247" spans="1:84" x14ac:dyDescent="0.25">
      <c r="A247" s="116">
        <v>11</v>
      </c>
      <c r="B247" s="114">
        <f>Inputs!$A$28</f>
        <v>0</v>
      </c>
      <c r="C247" s="45">
        <f>Inputs!$B$28</f>
        <v>0</v>
      </c>
      <c r="D247" s="45" t="s">
        <v>57</v>
      </c>
      <c r="E247" s="45">
        <v>0</v>
      </c>
      <c r="F247" s="50"/>
      <c r="G247" s="118">
        <v>11</v>
      </c>
      <c r="H247" s="114">
        <f>Inputs!$A$28</f>
        <v>0</v>
      </c>
      <c r="I247" s="45">
        <f>Inputs!$B$28</f>
        <v>0</v>
      </c>
      <c r="J247" s="45" t="s">
        <v>58</v>
      </c>
      <c r="K247" s="45">
        <v>0</v>
      </c>
      <c r="L247" s="50"/>
      <c r="M247" s="45">
        <v>0</v>
      </c>
      <c r="N247" s="45">
        <v>0</v>
      </c>
      <c r="O247" s="45">
        <f t="shared" si="243"/>
        <v>0</v>
      </c>
      <c r="P247" s="50"/>
      <c r="Q247" s="45">
        <f t="shared" si="244"/>
        <v>0</v>
      </c>
      <c r="R247" s="64">
        <f>M247*Inputs!$F$28*Inputs!$H$28</f>
        <v>0</v>
      </c>
      <c r="S247" s="45">
        <f>Inputs!$F$28*Inputs!$I$28*N247</f>
        <v>0</v>
      </c>
      <c r="T247" s="18"/>
      <c r="U247" s="56"/>
      <c r="W247" s="116">
        <v>11</v>
      </c>
      <c r="X247" s="114">
        <f>Inputs!$A$28</f>
        <v>0</v>
      </c>
      <c r="Y247" s="45">
        <f>Inputs!$B$28</f>
        <v>0</v>
      </c>
      <c r="Z247" s="45" t="s">
        <v>57</v>
      </c>
      <c r="AA247" s="45">
        <f t="shared" si="205"/>
        <v>0</v>
      </c>
      <c r="AB247" s="50"/>
      <c r="AC247" s="118">
        <v>11</v>
      </c>
      <c r="AD247" s="114">
        <f>Inputs!$A$28</f>
        <v>0</v>
      </c>
      <c r="AE247" s="45">
        <f>Inputs!$B$28</f>
        <v>0</v>
      </c>
      <c r="AF247" s="45" t="s">
        <v>58</v>
      </c>
      <c r="AG247" s="45">
        <f t="shared" si="206"/>
        <v>0</v>
      </c>
      <c r="AH247" s="50"/>
      <c r="AI247" s="45">
        <v>0</v>
      </c>
      <c r="AJ247" s="45">
        <v>0</v>
      </c>
      <c r="AK247" s="45">
        <f t="shared" si="245"/>
        <v>0</v>
      </c>
      <c r="AL247" s="50"/>
      <c r="AM247" s="45">
        <f t="shared" si="246"/>
        <v>0</v>
      </c>
      <c r="AN247" s="64">
        <f>AI247*Inputs!$F$28*Inputs!$H$28</f>
        <v>0</v>
      </c>
      <c r="AO247" s="45">
        <f>Inputs!$F$28*Inputs!$I$28*AJ247</f>
        <v>0</v>
      </c>
      <c r="AP247" s="56"/>
      <c r="AR247" s="116">
        <v>11</v>
      </c>
      <c r="AS247" s="114">
        <f>Inputs!$A$28</f>
        <v>0</v>
      </c>
      <c r="AT247" s="45">
        <f>Inputs!$B$28</f>
        <v>0</v>
      </c>
      <c r="AU247" s="45" t="s">
        <v>57</v>
      </c>
      <c r="AV247" s="45">
        <f t="shared" si="210"/>
        <v>0</v>
      </c>
      <c r="AW247" s="50"/>
      <c r="AX247" s="118">
        <v>11</v>
      </c>
      <c r="AY247" s="114">
        <f>Inputs!$A$28</f>
        <v>0</v>
      </c>
      <c r="AZ247" s="45">
        <f>Inputs!$B$28</f>
        <v>0</v>
      </c>
      <c r="BA247" s="45" t="s">
        <v>58</v>
      </c>
      <c r="BB247" s="45">
        <f t="shared" si="207"/>
        <v>0</v>
      </c>
      <c r="BC247" s="50"/>
      <c r="BD247" s="45">
        <v>0</v>
      </c>
      <c r="BE247" s="45">
        <v>0</v>
      </c>
      <c r="BF247" s="45">
        <f t="shared" si="247"/>
        <v>0</v>
      </c>
      <c r="BG247" s="50"/>
      <c r="BH247" s="45">
        <f t="shared" si="248"/>
        <v>0</v>
      </c>
      <c r="BI247" s="64">
        <f>BD247*Inputs!$F$28*Inputs!$H$28</f>
        <v>0</v>
      </c>
      <c r="BJ247" s="45">
        <f>Inputs!$F$28*Inputs!$I$28*BE247</f>
        <v>0</v>
      </c>
      <c r="BK247" s="56"/>
      <c r="BM247" s="116">
        <v>11</v>
      </c>
      <c r="BN247" s="114">
        <f>Inputs!$A$28</f>
        <v>0</v>
      </c>
      <c r="BO247" s="45">
        <f>Inputs!$B$28</f>
        <v>0</v>
      </c>
      <c r="BP247" s="45" t="s">
        <v>57</v>
      </c>
      <c r="BQ247" s="45">
        <f t="shared" si="208"/>
        <v>0</v>
      </c>
      <c r="BR247" s="50"/>
      <c r="BS247" s="118">
        <v>11</v>
      </c>
      <c r="BT247" s="114">
        <f>Inputs!$A$28</f>
        <v>0</v>
      </c>
      <c r="BU247" s="45">
        <f>Inputs!$B$28</f>
        <v>0</v>
      </c>
      <c r="BV247" s="45" t="s">
        <v>58</v>
      </c>
      <c r="BW247" s="45">
        <f t="shared" si="209"/>
        <v>0</v>
      </c>
      <c r="BX247" s="50"/>
      <c r="BY247" s="45">
        <v>0</v>
      </c>
      <c r="BZ247" s="45">
        <v>0</v>
      </c>
      <c r="CA247" s="45">
        <f t="shared" si="249"/>
        <v>0</v>
      </c>
      <c r="CB247" s="50"/>
      <c r="CC247" s="45">
        <f t="shared" si="250"/>
        <v>0</v>
      </c>
      <c r="CD247" s="64">
        <f>BY247*Inputs!$F$28*Inputs!$H$28</f>
        <v>0</v>
      </c>
      <c r="CE247" s="45">
        <f>Inputs!$F$28*Inputs!$I$28*BZ247</f>
        <v>0</v>
      </c>
      <c r="CF247" s="56"/>
    </row>
    <row r="248" spans="1:84" x14ac:dyDescent="0.25">
      <c r="A248" s="117">
        <v>3</v>
      </c>
      <c r="B248" s="115">
        <f>Inputs!$A$29</f>
        <v>0</v>
      </c>
      <c r="C248" s="44">
        <f>Inputs!$B$29</f>
        <v>0</v>
      </c>
      <c r="D248" s="44" t="s">
        <v>57</v>
      </c>
      <c r="E248" s="44">
        <v>0</v>
      </c>
      <c r="F248" s="50"/>
      <c r="G248" s="119">
        <v>3</v>
      </c>
      <c r="H248" s="115">
        <f>Inputs!$A$29</f>
        <v>0</v>
      </c>
      <c r="I248" s="44">
        <f>Inputs!$B$29</f>
        <v>0</v>
      </c>
      <c r="J248" s="44" t="s">
        <v>58</v>
      </c>
      <c r="K248" s="44">
        <v>0</v>
      </c>
      <c r="L248" s="50"/>
      <c r="M248" s="44">
        <v>0</v>
      </c>
      <c r="N248" s="44">
        <v>0</v>
      </c>
      <c r="O248" s="44">
        <f>U248-0-E248-K248</f>
        <v>0</v>
      </c>
      <c r="P248" s="50"/>
      <c r="Q248" s="44">
        <f>E248+K248+N248-U248+0-M248</f>
        <v>0</v>
      </c>
      <c r="R248" s="63">
        <f>M248*Inputs!$F$29*Inputs!$G$29</f>
        <v>0</v>
      </c>
      <c r="S248" s="44">
        <f>Inputs!$F$29*Inputs!$I$29*N248</f>
        <v>0</v>
      </c>
      <c r="T248" s="18"/>
      <c r="U248" s="54"/>
      <c r="W248" s="117">
        <v>3</v>
      </c>
      <c r="X248" s="115">
        <f>Inputs!$A$29</f>
        <v>0</v>
      </c>
      <c r="Y248" s="44">
        <f>Inputs!$B$29</f>
        <v>0</v>
      </c>
      <c r="Z248" s="44" t="s">
        <v>57</v>
      </c>
      <c r="AA248" s="44">
        <f t="shared" si="205"/>
        <v>0</v>
      </c>
      <c r="AB248" s="50"/>
      <c r="AC248" s="119">
        <v>3</v>
      </c>
      <c r="AD248" s="115">
        <f>Inputs!$A$29</f>
        <v>0</v>
      </c>
      <c r="AE248" s="44">
        <f>Inputs!$B$29</f>
        <v>0</v>
      </c>
      <c r="AF248" s="44" t="s">
        <v>58</v>
      </c>
      <c r="AG248" s="44">
        <f t="shared" si="206"/>
        <v>0</v>
      </c>
      <c r="AH248" s="50"/>
      <c r="AI248" s="44">
        <v>0</v>
      </c>
      <c r="AJ248" s="44">
        <v>0</v>
      </c>
      <c r="AK248" s="44">
        <f>AP248-0-AA248-AG248</f>
        <v>0</v>
      </c>
      <c r="AL248" s="50"/>
      <c r="AM248" s="44">
        <f>AA248+AG248+AJ248-AP248+0-AI248</f>
        <v>0</v>
      </c>
      <c r="AN248" s="63">
        <f>AI248*Inputs!$F$29*Inputs!$G$29</f>
        <v>0</v>
      </c>
      <c r="AO248" s="44">
        <f>Inputs!$F$29*Inputs!$I$29*AJ248</f>
        <v>0</v>
      </c>
      <c r="AP248" s="54"/>
      <c r="AR248" s="117">
        <v>3</v>
      </c>
      <c r="AS248" s="115">
        <f>Inputs!$A$29</f>
        <v>0</v>
      </c>
      <c r="AT248" s="44">
        <f>Inputs!$B$29</f>
        <v>0</v>
      </c>
      <c r="AU248" s="44" t="s">
        <v>57</v>
      </c>
      <c r="AV248" s="44">
        <f t="shared" si="210"/>
        <v>0</v>
      </c>
      <c r="AW248" s="50"/>
      <c r="AX248" s="119">
        <v>3</v>
      </c>
      <c r="AY248" s="115">
        <f>Inputs!$A$29</f>
        <v>0</v>
      </c>
      <c r="AZ248" s="44">
        <f>Inputs!$B$29</f>
        <v>0</v>
      </c>
      <c r="BA248" s="44" t="s">
        <v>58</v>
      </c>
      <c r="BB248" s="44">
        <f t="shared" si="207"/>
        <v>0</v>
      </c>
      <c r="BC248" s="50"/>
      <c r="BD248" s="44">
        <v>0</v>
      </c>
      <c r="BE248" s="44">
        <v>0</v>
      </c>
      <c r="BF248" s="44">
        <f>BK248-0-AV248-BB248</f>
        <v>0</v>
      </c>
      <c r="BG248" s="50"/>
      <c r="BH248" s="44">
        <f>AV248+BB248+BE248-BK248+0-BD248</f>
        <v>0</v>
      </c>
      <c r="BI248" s="63">
        <f>BD248*Inputs!$F$29*Inputs!$G$29</f>
        <v>0</v>
      </c>
      <c r="BJ248" s="44">
        <f>Inputs!$F$29*Inputs!$I$29*BE248</f>
        <v>0</v>
      </c>
      <c r="BK248" s="54"/>
      <c r="BM248" s="117">
        <v>3</v>
      </c>
      <c r="BN248" s="115">
        <f>Inputs!$A$29</f>
        <v>0</v>
      </c>
      <c r="BO248" s="44">
        <f>Inputs!$B$29</f>
        <v>0</v>
      </c>
      <c r="BP248" s="44" t="s">
        <v>57</v>
      </c>
      <c r="BQ248" s="44">
        <f t="shared" si="208"/>
        <v>0</v>
      </c>
      <c r="BR248" s="50"/>
      <c r="BS248" s="119">
        <v>3</v>
      </c>
      <c r="BT248" s="115">
        <f>Inputs!$A$29</f>
        <v>0</v>
      </c>
      <c r="BU248" s="44">
        <f>Inputs!$B$29</f>
        <v>0</v>
      </c>
      <c r="BV248" s="44" t="s">
        <v>58</v>
      </c>
      <c r="BW248" s="44">
        <f t="shared" si="209"/>
        <v>0</v>
      </c>
      <c r="BX248" s="50"/>
      <c r="BY248" s="44">
        <v>0</v>
      </c>
      <c r="BZ248" s="44">
        <v>0</v>
      </c>
      <c r="CA248" s="44">
        <f>CF248-0-BQ248-BW248</f>
        <v>0</v>
      </c>
      <c r="CB248" s="50"/>
      <c r="CC248" s="44">
        <f>BQ248+BW248+BZ248-CF248+0-BY248</f>
        <v>0</v>
      </c>
      <c r="CD248" s="63">
        <f>BY248*Inputs!$F$29*Inputs!$G$29</f>
        <v>0</v>
      </c>
      <c r="CE248" s="44">
        <f>Inputs!$F$29*Inputs!$I$29*BZ248</f>
        <v>0</v>
      </c>
      <c r="CF248" s="54"/>
    </row>
    <row r="249" spans="1:84" x14ac:dyDescent="0.25">
      <c r="A249" s="117">
        <v>4</v>
      </c>
      <c r="B249" s="115">
        <f>Inputs!$A$29</f>
        <v>0</v>
      </c>
      <c r="C249" s="44">
        <f>Inputs!$B$29</f>
        <v>0</v>
      </c>
      <c r="D249" s="44" t="s">
        <v>57</v>
      </c>
      <c r="E249" s="44">
        <v>0</v>
      </c>
      <c r="F249" s="50"/>
      <c r="G249" s="119">
        <v>4</v>
      </c>
      <c r="H249" s="115">
        <f>Inputs!$A$29</f>
        <v>0</v>
      </c>
      <c r="I249" s="44">
        <f>Inputs!$B$29</f>
        <v>0</v>
      </c>
      <c r="J249" s="44" t="s">
        <v>58</v>
      </c>
      <c r="K249" s="44">
        <v>0</v>
      </c>
      <c r="L249" s="50"/>
      <c r="M249" s="44">
        <v>0</v>
      </c>
      <c r="N249" s="44">
        <v>0</v>
      </c>
      <c r="O249" s="44">
        <f t="shared" ref="O249:O256" si="251">U249-M248-E249-K249</f>
        <v>0</v>
      </c>
      <c r="P249" s="50"/>
      <c r="Q249" s="44">
        <f t="shared" ref="Q249:Q256" si="252">E249+K249+N249-U249+M248-M249</f>
        <v>0</v>
      </c>
      <c r="R249" s="63">
        <f>M249*Inputs!$F$29*Inputs!$G$29</f>
        <v>0</v>
      </c>
      <c r="S249" s="44">
        <f>Inputs!$F$29*Inputs!$I$29*N249</f>
        <v>0</v>
      </c>
      <c r="T249" s="18"/>
      <c r="U249" s="55"/>
      <c r="W249" s="117">
        <v>4</v>
      </c>
      <c r="X249" s="115">
        <f>Inputs!$A$29</f>
        <v>0</v>
      </c>
      <c r="Y249" s="44">
        <f>Inputs!$B$29</f>
        <v>0</v>
      </c>
      <c r="Z249" s="44" t="s">
        <v>57</v>
      </c>
      <c r="AA249" s="44">
        <f t="shared" si="205"/>
        <v>0</v>
      </c>
      <c r="AB249" s="50"/>
      <c r="AC249" s="119">
        <v>4</v>
      </c>
      <c r="AD249" s="115">
        <f>Inputs!$A$29</f>
        <v>0</v>
      </c>
      <c r="AE249" s="44">
        <f>Inputs!$B$29</f>
        <v>0</v>
      </c>
      <c r="AF249" s="44" t="s">
        <v>58</v>
      </c>
      <c r="AG249" s="44">
        <f t="shared" si="206"/>
        <v>0</v>
      </c>
      <c r="AH249" s="50"/>
      <c r="AI249" s="44">
        <v>0</v>
      </c>
      <c r="AJ249" s="44">
        <v>0</v>
      </c>
      <c r="AK249" s="44">
        <f t="shared" ref="AK249:AK256" si="253">AP249-AI248-AA249-AG249</f>
        <v>0</v>
      </c>
      <c r="AL249" s="50"/>
      <c r="AM249" s="44">
        <f t="shared" ref="AM249:AM256" si="254">AA249+AG249+AJ249-AP249+AI248-AI249</f>
        <v>0</v>
      </c>
      <c r="AN249" s="63">
        <f>AI249*Inputs!$F$29*Inputs!$G$29</f>
        <v>0</v>
      </c>
      <c r="AO249" s="44">
        <f>Inputs!$F$29*Inputs!$I$29*AJ249</f>
        <v>0</v>
      </c>
      <c r="AP249" s="55"/>
      <c r="AR249" s="117">
        <v>4</v>
      </c>
      <c r="AS249" s="115">
        <f>Inputs!$A$29</f>
        <v>0</v>
      </c>
      <c r="AT249" s="44">
        <f>Inputs!$B$29</f>
        <v>0</v>
      </c>
      <c r="AU249" s="44" t="s">
        <v>57</v>
      </c>
      <c r="AV249" s="44">
        <f t="shared" si="210"/>
        <v>0</v>
      </c>
      <c r="AW249" s="50"/>
      <c r="AX249" s="119">
        <v>4</v>
      </c>
      <c r="AY249" s="115">
        <f>Inputs!$A$29</f>
        <v>0</v>
      </c>
      <c r="AZ249" s="44">
        <f>Inputs!$B$29</f>
        <v>0</v>
      </c>
      <c r="BA249" s="44" t="s">
        <v>58</v>
      </c>
      <c r="BB249" s="44">
        <f t="shared" si="207"/>
        <v>0</v>
      </c>
      <c r="BC249" s="50"/>
      <c r="BD249" s="44">
        <v>0</v>
      </c>
      <c r="BE249" s="44">
        <v>0</v>
      </c>
      <c r="BF249" s="44">
        <f t="shared" ref="BF249:BF256" si="255">BK249-BD248-AV249-BB249</f>
        <v>0</v>
      </c>
      <c r="BG249" s="50"/>
      <c r="BH249" s="44">
        <f t="shared" ref="BH249:BH256" si="256">AV249+BB249+BE249-BK249+BD248-BD249</f>
        <v>0</v>
      </c>
      <c r="BI249" s="63">
        <f>BD249*Inputs!$F$29*Inputs!$G$29</f>
        <v>0</v>
      </c>
      <c r="BJ249" s="44">
        <f>Inputs!$F$29*Inputs!$I$29*BE249</f>
        <v>0</v>
      </c>
      <c r="BK249" s="55"/>
      <c r="BM249" s="117">
        <v>4</v>
      </c>
      <c r="BN249" s="115">
        <f>Inputs!$A$29</f>
        <v>0</v>
      </c>
      <c r="BO249" s="44">
        <f>Inputs!$B$29</f>
        <v>0</v>
      </c>
      <c r="BP249" s="44" t="s">
        <v>57</v>
      </c>
      <c r="BQ249" s="44">
        <f t="shared" si="208"/>
        <v>0</v>
      </c>
      <c r="BR249" s="50"/>
      <c r="BS249" s="119">
        <v>4</v>
      </c>
      <c r="BT249" s="115">
        <f>Inputs!$A$29</f>
        <v>0</v>
      </c>
      <c r="BU249" s="44">
        <f>Inputs!$B$29</f>
        <v>0</v>
      </c>
      <c r="BV249" s="44" t="s">
        <v>58</v>
      </c>
      <c r="BW249" s="44">
        <f t="shared" si="209"/>
        <v>0</v>
      </c>
      <c r="BX249" s="50"/>
      <c r="BY249" s="44">
        <v>0</v>
      </c>
      <c r="BZ249" s="44">
        <v>0</v>
      </c>
      <c r="CA249" s="44">
        <f t="shared" ref="CA249:CA256" si="257">CF249-BY248-BQ249-BW249</f>
        <v>0</v>
      </c>
      <c r="CB249" s="50"/>
      <c r="CC249" s="44">
        <f t="shared" ref="CC249:CC256" si="258">BQ249+BW249+BZ249-CF249+BY248-BY249</f>
        <v>0</v>
      </c>
      <c r="CD249" s="63">
        <f>BY249*Inputs!$F$29*Inputs!$G$29</f>
        <v>0</v>
      </c>
      <c r="CE249" s="44">
        <f>Inputs!$F$29*Inputs!$I$29*BZ249</f>
        <v>0</v>
      </c>
      <c r="CF249" s="55"/>
    </row>
    <row r="250" spans="1:84" x14ac:dyDescent="0.25">
      <c r="A250" s="117">
        <v>5</v>
      </c>
      <c r="B250" s="115">
        <f>Inputs!$A$29</f>
        <v>0</v>
      </c>
      <c r="C250" s="44">
        <f>Inputs!$B$29</f>
        <v>0</v>
      </c>
      <c r="D250" s="44" t="s">
        <v>57</v>
      </c>
      <c r="E250" s="44">
        <v>0</v>
      </c>
      <c r="F250" s="50"/>
      <c r="G250" s="119">
        <v>5</v>
      </c>
      <c r="H250" s="115">
        <f>Inputs!$A$29</f>
        <v>0</v>
      </c>
      <c r="I250" s="44">
        <f>Inputs!$B$29</f>
        <v>0</v>
      </c>
      <c r="J250" s="44" t="s">
        <v>58</v>
      </c>
      <c r="K250" s="44">
        <v>0</v>
      </c>
      <c r="L250" s="50"/>
      <c r="M250" s="44">
        <v>0</v>
      </c>
      <c r="N250" s="44">
        <v>0</v>
      </c>
      <c r="O250" s="44">
        <f t="shared" si="251"/>
        <v>0</v>
      </c>
      <c r="P250" s="50"/>
      <c r="Q250" s="44">
        <f t="shared" si="252"/>
        <v>0</v>
      </c>
      <c r="R250" s="63">
        <f>M250*Inputs!$F$29*Inputs!$G$29</f>
        <v>0</v>
      </c>
      <c r="S250" s="44">
        <f>Inputs!$F$29*Inputs!$I$29*N250</f>
        <v>0</v>
      </c>
      <c r="T250" s="18"/>
      <c r="U250" s="55"/>
      <c r="W250" s="117">
        <v>5</v>
      </c>
      <c r="X250" s="115">
        <f>Inputs!$A$29</f>
        <v>0</v>
      </c>
      <c r="Y250" s="44">
        <f>Inputs!$B$29</f>
        <v>0</v>
      </c>
      <c r="Z250" s="44" t="s">
        <v>57</v>
      </c>
      <c r="AA250" s="44">
        <f t="shared" si="205"/>
        <v>0</v>
      </c>
      <c r="AB250" s="50"/>
      <c r="AC250" s="119">
        <v>5</v>
      </c>
      <c r="AD250" s="115">
        <f>Inputs!$A$29</f>
        <v>0</v>
      </c>
      <c r="AE250" s="44">
        <f>Inputs!$B$29</f>
        <v>0</v>
      </c>
      <c r="AF250" s="44" t="s">
        <v>58</v>
      </c>
      <c r="AG250" s="44">
        <f t="shared" si="206"/>
        <v>0</v>
      </c>
      <c r="AH250" s="50"/>
      <c r="AI250" s="44">
        <v>0</v>
      </c>
      <c r="AJ250" s="44">
        <v>0</v>
      </c>
      <c r="AK250" s="44">
        <f t="shared" si="253"/>
        <v>0</v>
      </c>
      <c r="AL250" s="50"/>
      <c r="AM250" s="44">
        <f t="shared" si="254"/>
        <v>0</v>
      </c>
      <c r="AN250" s="63">
        <f>AI250*Inputs!$F$29*Inputs!$G$29</f>
        <v>0</v>
      </c>
      <c r="AO250" s="44">
        <f>Inputs!$F$29*Inputs!$I$29*AJ250</f>
        <v>0</v>
      </c>
      <c r="AP250" s="55"/>
      <c r="AR250" s="117">
        <v>5</v>
      </c>
      <c r="AS250" s="115">
        <f>Inputs!$A$29</f>
        <v>0</v>
      </c>
      <c r="AT250" s="44">
        <f>Inputs!$B$29</f>
        <v>0</v>
      </c>
      <c r="AU250" s="44" t="s">
        <v>57</v>
      </c>
      <c r="AV250" s="44">
        <f t="shared" si="210"/>
        <v>0</v>
      </c>
      <c r="AW250" s="50"/>
      <c r="AX250" s="119">
        <v>5</v>
      </c>
      <c r="AY250" s="115">
        <f>Inputs!$A$29</f>
        <v>0</v>
      </c>
      <c r="AZ250" s="44">
        <f>Inputs!$B$29</f>
        <v>0</v>
      </c>
      <c r="BA250" s="44" t="s">
        <v>58</v>
      </c>
      <c r="BB250" s="44">
        <f t="shared" si="207"/>
        <v>0</v>
      </c>
      <c r="BC250" s="50"/>
      <c r="BD250" s="44">
        <v>0</v>
      </c>
      <c r="BE250" s="44">
        <v>0</v>
      </c>
      <c r="BF250" s="44">
        <f t="shared" si="255"/>
        <v>0</v>
      </c>
      <c r="BG250" s="50"/>
      <c r="BH250" s="44">
        <f t="shared" si="256"/>
        <v>0</v>
      </c>
      <c r="BI250" s="63">
        <f>BD250*Inputs!$F$29*Inputs!$G$29</f>
        <v>0</v>
      </c>
      <c r="BJ250" s="44">
        <f>Inputs!$F$29*Inputs!$I$29*BE250</f>
        <v>0</v>
      </c>
      <c r="BK250" s="55"/>
      <c r="BM250" s="117">
        <v>5</v>
      </c>
      <c r="BN250" s="115">
        <f>Inputs!$A$29</f>
        <v>0</v>
      </c>
      <c r="BO250" s="44">
        <f>Inputs!$B$29</f>
        <v>0</v>
      </c>
      <c r="BP250" s="44" t="s">
        <v>57</v>
      </c>
      <c r="BQ250" s="44">
        <f t="shared" si="208"/>
        <v>0</v>
      </c>
      <c r="BR250" s="50"/>
      <c r="BS250" s="119">
        <v>5</v>
      </c>
      <c r="BT250" s="115">
        <f>Inputs!$A$29</f>
        <v>0</v>
      </c>
      <c r="BU250" s="44">
        <f>Inputs!$B$29</f>
        <v>0</v>
      </c>
      <c r="BV250" s="44" t="s">
        <v>58</v>
      </c>
      <c r="BW250" s="44">
        <f t="shared" si="209"/>
        <v>0</v>
      </c>
      <c r="BX250" s="50"/>
      <c r="BY250" s="44">
        <v>0</v>
      </c>
      <c r="BZ250" s="44">
        <v>0</v>
      </c>
      <c r="CA250" s="44">
        <f t="shared" si="257"/>
        <v>0</v>
      </c>
      <c r="CB250" s="50"/>
      <c r="CC250" s="44">
        <f t="shared" si="258"/>
        <v>0</v>
      </c>
      <c r="CD250" s="63">
        <f>BY250*Inputs!$F$29*Inputs!$G$29</f>
        <v>0</v>
      </c>
      <c r="CE250" s="44">
        <f>Inputs!$F$29*Inputs!$I$29*BZ250</f>
        <v>0</v>
      </c>
      <c r="CF250" s="55"/>
    </row>
    <row r="251" spans="1:84" x14ac:dyDescent="0.25">
      <c r="A251" s="117">
        <v>6</v>
      </c>
      <c r="B251" s="115">
        <f>Inputs!$A$29</f>
        <v>0</v>
      </c>
      <c r="C251" s="44">
        <f>Inputs!$B$29</f>
        <v>0</v>
      </c>
      <c r="D251" s="44" t="s">
        <v>57</v>
      </c>
      <c r="E251" s="44">
        <v>0</v>
      </c>
      <c r="F251" s="50"/>
      <c r="G251" s="119">
        <v>6</v>
      </c>
      <c r="H251" s="115">
        <f>Inputs!$A$29</f>
        <v>0</v>
      </c>
      <c r="I251" s="44">
        <f>Inputs!$B$29</f>
        <v>0</v>
      </c>
      <c r="J251" s="44" t="s">
        <v>58</v>
      </c>
      <c r="K251" s="44">
        <v>0</v>
      </c>
      <c r="L251" s="50"/>
      <c r="M251" s="44">
        <v>0</v>
      </c>
      <c r="N251" s="44">
        <v>0</v>
      </c>
      <c r="O251" s="44">
        <f t="shared" si="251"/>
        <v>0</v>
      </c>
      <c r="P251" s="50"/>
      <c r="Q251" s="44">
        <f t="shared" si="252"/>
        <v>0</v>
      </c>
      <c r="R251" s="63">
        <f>M251*Inputs!$F$29*Inputs!$G$29</f>
        <v>0</v>
      </c>
      <c r="S251" s="44">
        <f>Inputs!$F$29*Inputs!$I$29*N251</f>
        <v>0</v>
      </c>
      <c r="T251" s="18"/>
      <c r="U251" s="55"/>
      <c r="W251" s="117">
        <v>6</v>
      </c>
      <c r="X251" s="115">
        <f>Inputs!$A$29</f>
        <v>0</v>
      </c>
      <c r="Y251" s="44">
        <f>Inputs!$B$29</f>
        <v>0</v>
      </c>
      <c r="Z251" s="44" t="s">
        <v>57</v>
      </c>
      <c r="AA251" s="44">
        <f t="shared" si="205"/>
        <v>0</v>
      </c>
      <c r="AB251" s="50"/>
      <c r="AC251" s="119">
        <v>6</v>
      </c>
      <c r="AD251" s="115">
        <f>Inputs!$A$29</f>
        <v>0</v>
      </c>
      <c r="AE251" s="44">
        <f>Inputs!$B$29</f>
        <v>0</v>
      </c>
      <c r="AF251" s="44" t="s">
        <v>58</v>
      </c>
      <c r="AG251" s="44">
        <f t="shared" si="206"/>
        <v>0</v>
      </c>
      <c r="AH251" s="50"/>
      <c r="AI251" s="44">
        <v>0</v>
      </c>
      <c r="AJ251" s="44">
        <v>0</v>
      </c>
      <c r="AK251" s="44">
        <f t="shared" si="253"/>
        <v>0</v>
      </c>
      <c r="AL251" s="50"/>
      <c r="AM251" s="44">
        <f t="shared" si="254"/>
        <v>0</v>
      </c>
      <c r="AN251" s="63">
        <f>AI251*Inputs!$F$29*Inputs!$G$29</f>
        <v>0</v>
      </c>
      <c r="AO251" s="44">
        <f>Inputs!$F$29*Inputs!$I$29*AJ251</f>
        <v>0</v>
      </c>
      <c r="AP251" s="55"/>
      <c r="AR251" s="117">
        <v>6</v>
      </c>
      <c r="AS251" s="115">
        <f>Inputs!$A$29</f>
        <v>0</v>
      </c>
      <c r="AT251" s="44">
        <f>Inputs!$B$29</f>
        <v>0</v>
      </c>
      <c r="AU251" s="44" t="s">
        <v>57</v>
      </c>
      <c r="AV251" s="44">
        <f t="shared" si="210"/>
        <v>0</v>
      </c>
      <c r="AW251" s="50"/>
      <c r="AX251" s="119">
        <v>6</v>
      </c>
      <c r="AY251" s="115">
        <f>Inputs!$A$29</f>
        <v>0</v>
      </c>
      <c r="AZ251" s="44">
        <f>Inputs!$B$29</f>
        <v>0</v>
      </c>
      <c r="BA251" s="44" t="s">
        <v>58</v>
      </c>
      <c r="BB251" s="44">
        <f t="shared" si="207"/>
        <v>0</v>
      </c>
      <c r="BC251" s="50"/>
      <c r="BD251" s="44">
        <v>0</v>
      </c>
      <c r="BE251" s="44">
        <v>0</v>
      </c>
      <c r="BF251" s="44">
        <f t="shared" si="255"/>
        <v>0</v>
      </c>
      <c r="BG251" s="50"/>
      <c r="BH251" s="44">
        <f t="shared" si="256"/>
        <v>0</v>
      </c>
      <c r="BI251" s="63">
        <f>BD251*Inputs!$F$29*Inputs!$G$29</f>
        <v>0</v>
      </c>
      <c r="BJ251" s="44">
        <f>Inputs!$F$29*Inputs!$I$29*BE251</f>
        <v>0</v>
      </c>
      <c r="BK251" s="55"/>
      <c r="BM251" s="117">
        <v>6</v>
      </c>
      <c r="BN251" s="115">
        <f>Inputs!$A$29</f>
        <v>0</v>
      </c>
      <c r="BO251" s="44">
        <f>Inputs!$B$29</f>
        <v>0</v>
      </c>
      <c r="BP251" s="44" t="s">
        <v>57</v>
      </c>
      <c r="BQ251" s="44">
        <f t="shared" si="208"/>
        <v>0</v>
      </c>
      <c r="BR251" s="50"/>
      <c r="BS251" s="119">
        <v>6</v>
      </c>
      <c r="BT251" s="115">
        <f>Inputs!$A$29</f>
        <v>0</v>
      </c>
      <c r="BU251" s="44">
        <f>Inputs!$B$29</f>
        <v>0</v>
      </c>
      <c r="BV251" s="44" t="s">
        <v>58</v>
      </c>
      <c r="BW251" s="44">
        <f t="shared" si="209"/>
        <v>0</v>
      </c>
      <c r="BX251" s="50"/>
      <c r="BY251" s="44">
        <v>0</v>
      </c>
      <c r="BZ251" s="44">
        <v>0</v>
      </c>
      <c r="CA251" s="44">
        <f t="shared" si="257"/>
        <v>0</v>
      </c>
      <c r="CB251" s="50"/>
      <c r="CC251" s="44">
        <f t="shared" si="258"/>
        <v>0</v>
      </c>
      <c r="CD251" s="63">
        <f>BY251*Inputs!$F$29*Inputs!$G$29</f>
        <v>0</v>
      </c>
      <c r="CE251" s="44">
        <f>Inputs!$F$29*Inputs!$I$29*BZ251</f>
        <v>0</v>
      </c>
      <c r="CF251" s="55"/>
    </row>
    <row r="252" spans="1:84" x14ac:dyDescent="0.25">
      <c r="A252" s="117">
        <v>7</v>
      </c>
      <c r="B252" s="115">
        <f>Inputs!$A$29</f>
        <v>0</v>
      </c>
      <c r="C252" s="44">
        <f>Inputs!$B$29</f>
        <v>0</v>
      </c>
      <c r="D252" s="44" t="s">
        <v>57</v>
      </c>
      <c r="E252" s="44">
        <v>0</v>
      </c>
      <c r="F252" s="50"/>
      <c r="G252" s="119">
        <v>7</v>
      </c>
      <c r="H252" s="115">
        <f>Inputs!$A$29</f>
        <v>0</v>
      </c>
      <c r="I252" s="44">
        <f>Inputs!$B$29</f>
        <v>0</v>
      </c>
      <c r="J252" s="44" t="s">
        <v>58</v>
      </c>
      <c r="K252" s="44">
        <v>0</v>
      </c>
      <c r="L252" s="50"/>
      <c r="M252" s="44">
        <v>0</v>
      </c>
      <c r="N252" s="44">
        <v>0</v>
      </c>
      <c r="O252" s="44">
        <f t="shared" si="251"/>
        <v>0</v>
      </c>
      <c r="P252" s="50"/>
      <c r="Q252" s="44">
        <f t="shared" si="252"/>
        <v>0</v>
      </c>
      <c r="R252" s="63">
        <f>M252*Inputs!$F$29*Inputs!$G$29</f>
        <v>0</v>
      </c>
      <c r="S252" s="44">
        <f>Inputs!$F$29*Inputs!$I$29*N252</f>
        <v>0</v>
      </c>
      <c r="T252" s="18"/>
      <c r="U252" s="55"/>
      <c r="W252" s="117">
        <v>7</v>
      </c>
      <c r="X252" s="115">
        <f>Inputs!$A$29</f>
        <v>0</v>
      </c>
      <c r="Y252" s="44">
        <f>Inputs!$B$29</f>
        <v>0</v>
      </c>
      <c r="Z252" s="44" t="s">
        <v>57</v>
      </c>
      <c r="AA252" s="44">
        <f t="shared" si="205"/>
        <v>0</v>
      </c>
      <c r="AB252" s="50"/>
      <c r="AC252" s="119">
        <v>7</v>
      </c>
      <c r="AD252" s="115">
        <f>Inputs!$A$29</f>
        <v>0</v>
      </c>
      <c r="AE252" s="44">
        <f>Inputs!$B$29</f>
        <v>0</v>
      </c>
      <c r="AF252" s="44" t="s">
        <v>58</v>
      </c>
      <c r="AG252" s="44">
        <f t="shared" si="206"/>
        <v>0</v>
      </c>
      <c r="AH252" s="50"/>
      <c r="AI252" s="44">
        <v>0</v>
      </c>
      <c r="AJ252" s="44">
        <v>0</v>
      </c>
      <c r="AK252" s="44">
        <f t="shared" si="253"/>
        <v>0</v>
      </c>
      <c r="AL252" s="50"/>
      <c r="AM252" s="44">
        <f t="shared" si="254"/>
        <v>0</v>
      </c>
      <c r="AN252" s="63">
        <f>AI252*Inputs!$F$29*Inputs!$G$29</f>
        <v>0</v>
      </c>
      <c r="AO252" s="44">
        <f>Inputs!$F$29*Inputs!$I$29*AJ252</f>
        <v>0</v>
      </c>
      <c r="AP252" s="55"/>
      <c r="AR252" s="117">
        <v>7</v>
      </c>
      <c r="AS252" s="115">
        <f>Inputs!$A$29</f>
        <v>0</v>
      </c>
      <c r="AT252" s="44">
        <f>Inputs!$B$29</f>
        <v>0</v>
      </c>
      <c r="AU252" s="44" t="s">
        <v>57</v>
      </c>
      <c r="AV252" s="44">
        <f t="shared" si="210"/>
        <v>0</v>
      </c>
      <c r="AW252" s="50"/>
      <c r="AX252" s="119">
        <v>7</v>
      </c>
      <c r="AY252" s="115">
        <f>Inputs!$A$29</f>
        <v>0</v>
      </c>
      <c r="AZ252" s="44">
        <f>Inputs!$B$29</f>
        <v>0</v>
      </c>
      <c r="BA252" s="44" t="s">
        <v>58</v>
      </c>
      <c r="BB252" s="44">
        <f t="shared" si="207"/>
        <v>0</v>
      </c>
      <c r="BC252" s="50"/>
      <c r="BD252" s="44">
        <v>0</v>
      </c>
      <c r="BE252" s="44">
        <v>0</v>
      </c>
      <c r="BF252" s="44">
        <f t="shared" si="255"/>
        <v>0</v>
      </c>
      <c r="BG252" s="50"/>
      <c r="BH252" s="44">
        <f t="shared" si="256"/>
        <v>0</v>
      </c>
      <c r="BI252" s="63">
        <f>BD252*Inputs!$F$29*Inputs!$G$29</f>
        <v>0</v>
      </c>
      <c r="BJ252" s="44">
        <f>Inputs!$F$29*Inputs!$I$29*BE252</f>
        <v>0</v>
      </c>
      <c r="BK252" s="55"/>
      <c r="BM252" s="117">
        <v>7</v>
      </c>
      <c r="BN252" s="115">
        <f>Inputs!$A$29</f>
        <v>0</v>
      </c>
      <c r="BO252" s="44">
        <f>Inputs!$B$29</f>
        <v>0</v>
      </c>
      <c r="BP252" s="44" t="s">
        <v>57</v>
      </c>
      <c r="BQ252" s="44">
        <f t="shared" si="208"/>
        <v>0</v>
      </c>
      <c r="BR252" s="50"/>
      <c r="BS252" s="119">
        <v>7</v>
      </c>
      <c r="BT252" s="115">
        <f>Inputs!$A$29</f>
        <v>0</v>
      </c>
      <c r="BU252" s="44">
        <f>Inputs!$B$29</f>
        <v>0</v>
      </c>
      <c r="BV252" s="44" t="s">
        <v>58</v>
      </c>
      <c r="BW252" s="44">
        <f t="shared" si="209"/>
        <v>0</v>
      </c>
      <c r="BX252" s="50"/>
      <c r="BY252" s="44">
        <v>0</v>
      </c>
      <c r="BZ252" s="44">
        <v>0</v>
      </c>
      <c r="CA252" s="44">
        <f t="shared" si="257"/>
        <v>0</v>
      </c>
      <c r="CB252" s="50"/>
      <c r="CC252" s="44">
        <f t="shared" si="258"/>
        <v>0</v>
      </c>
      <c r="CD252" s="63">
        <f>BY252*Inputs!$F$29*Inputs!$G$29</f>
        <v>0</v>
      </c>
      <c r="CE252" s="44">
        <f>Inputs!$F$29*Inputs!$I$29*BZ252</f>
        <v>0</v>
      </c>
      <c r="CF252" s="55"/>
    </row>
    <row r="253" spans="1:84" x14ac:dyDescent="0.25">
      <c r="A253" s="117">
        <v>8</v>
      </c>
      <c r="B253" s="115">
        <f>Inputs!$A$29</f>
        <v>0</v>
      </c>
      <c r="C253" s="44">
        <f>Inputs!$B$29</f>
        <v>0</v>
      </c>
      <c r="D253" s="44" t="s">
        <v>57</v>
      </c>
      <c r="E253" s="44">
        <v>0</v>
      </c>
      <c r="F253" s="50"/>
      <c r="G253" s="119">
        <v>8</v>
      </c>
      <c r="H253" s="115">
        <f>Inputs!$A$29</f>
        <v>0</v>
      </c>
      <c r="I253" s="44">
        <f>Inputs!$B$29</f>
        <v>0</v>
      </c>
      <c r="J253" s="44" t="s">
        <v>58</v>
      </c>
      <c r="K253" s="44">
        <v>0</v>
      </c>
      <c r="L253" s="50"/>
      <c r="M253" s="44">
        <v>0</v>
      </c>
      <c r="N253" s="44">
        <v>0</v>
      </c>
      <c r="O253" s="44">
        <f t="shared" si="251"/>
        <v>0</v>
      </c>
      <c r="P253" s="50"/>
      <c r="Q253" s="44">
        <f t="shared" si="252"/>
        <v>0</v>
      </c>
      <c r="R253" s="63">
        <f>M253*Inputs!$F$29*Inputs!$G$29</f>
        <v>0</v>
      </c>
      <c r="S253" s="44">
        <f>Inputs!$F$29*Inputs!$I$29*N253</f>
        <v>0</v>
      </c>
      <c r="T253" s="18"/>
      <c r="U253" s="55"/>
      <c r="W253" s="117">
        <v>8</v>
      </c>
      <c r="X253" s="115">
        <f>Inputs!$A$29</f>
        <v>0</v>
      </c>
      <c r="Y253" s="44">
        <f>Inputs!$B$29</f>
        <v>0</v>
      </c>
      <c r="Z253" s="44" t="s">
        <v>57</v>
      </c>
      <c r="AA253" s="44">
        <f t="shared" si="205"/>
        <v>0</v>
      </c>
      <c r="AB253" s="50"/>
      <c r="AC253" s="119">
        <v>8</v>
      </c>
      <c r="AD253" s="115">
        <f>Inputs!$A$29</f>
        <v>0</v>
      </c>
      <c r="AE253" s="44">
        <f>Inputs!$B$29</f>
        <v>0</v>
      </c>
      <c r="AF253" s="44" t="s">
        <v>58</v>
      </c>
      <c r="AG253" s="44">
        <f t="shared" si="206"/>
        <v>0</v>
      </c>
      <c r="AH253" s="50"/>
      <c r="AI253" s="44">
        <v>0</v>
      </c>
      <c r="AJ253" s="44">
        <v>0</v>
      </c>
      <c r="AK253" s="44">
        <f t="shared" si="253"/>
        <v>0</v>
      </c>
      <c r="AL253" s="50"/>
      <c r="AM253" s="44">
        <f t="shared" si="254"/>
        <v>0</v>
      </c>
      <c r="AN253" s="63">
        <f>AI253*Inputs!$F$29*Inputs!$G$29</f>
        <v>0</v>
      </c>
      <c r="AO253" s="44">
        <f>Inputs!$F$29*Inputs!$I$29*AJ253</f>
        <v>0</v>
      </c>
      <c r="AP253" s="55"/>
      <c r="AR253" s="117">
        <v>8</v>
      </c>
      <c r="AS253" s="115">
        <f>Inputs!$A$29</f>
        <v>0</v>
      </c>
      <c r="AT253" s="44">
        <f>Inputs!$B$29</f>
        <v>0</v>
      </c>
      <c r="AU253" s="44" t="s">
        <v>57</v>
      </c>
      <c r="AV253" s="44">
        <f t="shared" si="210"/>
        <v>0</v>
      </c>
      <c r="AW253" s="50"/>
      <c r="AX253" s="119">
        <v>8</v>
      </c>
      <c r="AY253" s="115">
        <f>Inputs!$A$29</f>
        <v>0</v>
      </c>
      <c r="AZ253" s="44">
        <f>Inputs!$B$29</f>
        <v>0</v>
      </c>
      <c r="BA253" s="44" t="s">
        <v>58</v>
      </c>
      <c r="BB253" s="44">
        <f t="shared" si="207"/>
        <v>0</v>
      </c>
      <c r="BC253" s="50"/>
      <c r="BD253" s="44">
        <v>0</v>
      </c>
      <c r="BE253" s="44">
        <v>0</v>
      </c>
      <c r="BF253" s="44">
        <f t="shared" si="255"/>
        <v>0</v>
      </c>
      <c r="BG253" s="50"/>
      <c r="BH253" s="44">
        <f t="shared" si="256"/>
        <v>0</v>
      </c>
      <c r="BI253" s="63">
        <f>BD253*Inputs!$F$29*Inputs!$G$29</f>
        <v>0</v>
      </c>
      <c r="BJ253" s="44">
        <f>Inputs!$F$29*Inputs!$I$29*BE253</f>
        <v>0</v>
      </c>
      <c r="BK253" s="55"/>
      <c r="BM253" s="117">
        <v>8</v>
      </c>
      <c r="BN253" s="115">
        <f>Inputs!$A$29</f>
        <v>0</v>
      </c>
      <c r="BO253" s="44">
        <f>Inputs!$B$29</f>
        <v>0</v>
      </c>
      <c r="BP253" s="44" t="s">
        <v>57</v>
      </c>
      <c r="BQ253" s="44">
        <f t="shared" si="208"/>
        <v>0</v>
      </c>
      <c r="BR253" s="50"/>
      <c r="BS253" s="119">
        <v>8</v>
      </c>
      <c r="BT253" s="115">
        <f>Inputs!$A$29</f>
        <v>0</v>
      </c>
      <c r="BU253" s="44">
        <f>Inputs!$B$29</f>
        <v>0</v>
      </c>
      <c r="BV253" s="44" t="s">
        <v>58</v>
      </c>
      <c r="BW253" s="44">
        <f t="shared" si="209"/>
        <v>0</v>
      </c>
      <c r="BX253" s="50"/>
      <c r="BY253" s="44">
        <v>0</v>
      </c>
      <c r="BZ253" s="44">
        <v>0</v>
      </c>
      <c r="CA253" s="44">
        <f t="shared" si="257"/>
        <v>0</v>
      </c>
      <c r="CB253" s="50"/>
      <c r="CC253" s="44">
        <f t="shared" si="258"/>
        <v>0</v>
      </c>
      <c r="CD253" s="63">
        <f>BY253*Inputs!$F$29*Inputs!$G$29</f>
        <v>0</v>
      </c>
      <c r="CE253" s="44">
        <f>Inputs!$F$29*Inputs!$I$29*BZ253</f>
        <v>0</v>
      </c>
      <c r="CF253" s="55"/>
    </row>
    <row r="254" spans="1:84" x14ac:dyDescent="0.25">
      <c r="A254" s="117">
        <v>9</v>
      </c>
      <c r="B254" s="115">
        <f>Inputs!$A$29</f>
        <v>0</v>
      </c>
      <c r="C254" s="44">
        <f>Inputs!$B$29</f>
        <v>0</v>
      </c>
      <c r="D254" s="44" t="s">
        <v>57</v>
      </c>
      <c r="E254" s="44">
        <v>0</v>
      </c>
      <c r="F254" s="50"/>
      <c r="G254" s="119">
        <v>9</v>
      </c>
      <c r="H254" s="115">
        <f>Inputs!$A$29</f>
        <v>0</v>
      </c>
      <c r="I254" s="44">
        <f>Inputs!$B$29</f>
        <v>0</v>
      </c>
      <c r="J254" s="44" t="s">
        <v>58</v>
      </c>
      <c r="K254" s="44">
        <v>0</v>
      </c>
      <c r="L254" s="50"/>
      <c r="M254" s="44">
        <v>0</v>
      </c>
      <c r="N254" s="44">
        <v>0</v>
      </c>
      <c r="O254" s="44">
        <f t="shared" si="251"/>
        <v>0</v>
      </c>
      <c r="P254" s="50"/>
      <c r="Q254" s="44">
        <f t="shared" si="252"/>
        <v>0</v>
      </c>
      <c r="R254" s="63">
        <f>M254*Inputs!$F$29*Inputs!$G$29</f>
        <v>0</v>
      </c>
      <c r="S254" s="44">
        <f>Inputs!$F$29*Inputs!$I$29*N254</f>
        <v>0</v>
      </c>
      <c r="T254" s="18"/>
      <c r="U254" s="55"/>
      <c r="W254" s="117">
        <v>9</v>
      </c>
      <c r="X254" s="115">
        <f>Inputs!$A$29</f>
        <v>0</v>
      </c>
      <c r="Y254" s="44">
        <f>Inputs!$B$29</f>
        <v>0</v>
      </c>
      <c r="Z254" s="44" t="s">
        <v>57</v>
      </c>
      <c r="AA254" s="44">
        <f t="shared" si="205"/>
        <v>0</v>
      </c>
      <c r="AB254" s="50"/>
      <c r="AC254" s="119">
        <v>9</v>
      </c>
      <c r="AD254" s="115">
        <f>Inputs!$A$29</f>
        <v>0</v>
      </c>
      <c r="AE254" s="44">
        <f>Inputs!$B$29</f>
        <v>0</v>
      </c>
      <c r="AF254" s="44" t="s">
        <v>58</v>
      </c>
      <c r="AG254" s="44">
        <f t="shared" si="206"/>
        <v>0</v>
      </c>
      <c r="AH254" s="50"/>
      <c r="AI254" s="44">
        <v>0</v>
      </c>
      <c r="AJ254" s="44">
        <v>0</v>
      </c>
      <c r="AK254" s="44">
        <f t="shared" si="253"/>
        <v>0</v>
      </c>
      <c r="AL254" s="50"/>
      <c r="AM254" s="44">
        <f t="shared" si="254"/>
        <v>0</v>
      </c>
      <c r="AN254" s="63">
        <f>AI254*Inputs!$F$29*Inputs!$G$29</f>
        <v>0</v>
      </c>
      <c r="AO254" s="44">
        <f>Inputs!$F$29*Inputs!$I$29*AJ254</f>
        <v>0</v>
      </c>
      <c r="AP254" s="55"/>
      <c r="AR254" s="117">
        <v>9</v>
      </c>
      <c r="AS254" s="115">
        <f>Inputs!$A$29</f>
        <v>0</v>
      </c>
      <c r="AT254" s="44">
        <f>Inputs!$B$29</f>
        <v>0</v>
      </c>
      <c r="AU254" s="44" t="s">
        <v>57</v>
      </c>
      <c r="AV254" s="44">
        <f t="shared" si="210"/>
        <v>0</v>
      </c>
      <c r="AW254" s="50"/>
      <c r="AX254" s="119">
        <v>9</v>
      </c>
      <c r="AY254" s="115">
        <f>Inputs!$A$29</f>
        <v>0</v>
      </c>
      <c r="AZ254" s="44">
        <f>Inputs!$B$29</f>
        <v>0</v>
      </c>
      <c r="BA254" s="44" t="s">
        <v>58</v>
      </c>
      <c r="BB254" s="44">
        <f t="shared" si="207"/>
        <v>0</v>
      </c>
      <c r="BC254" s="50"/>
      <c r="BD254" s="44">
        <v>0</v>
      </c>
      <c r="BE254" s="44">
        <v>0</v>
      </c>
      <c r="BF254" s="44">
        <f t="shared" si="255"/>
        <v>0</v>
      </c>
      <c r="BG254" s="50"/>
      <c r="BH254" s="44">
        <f t="shared" si="256"/>
        <v>0</v>
      </c>
      <c r="BI254" s="63">
        <f>BD254*Inputs!$F$29*Inputs!$G$29</f>
        <v>0</v>
      </c>
      <c r="BJ254" s="44">
        <f>Inputs!$F$29*Inputs!$I$29*BE254</f>
        <v>0</v>
      </c>
      <c r="BK254" s="55"/>
      <c r="BM254" s="117">
        <v>9</v>
      </c>
      <c r="BN254" s="115">
        <f>Inputs!$A$29</f>
        <v>0</v>
      </c>
      <c r="BO254" s="44">
        <f>Inputs!$B$29</f>
        <v>0</v>
      </c>
      <c r="BP254" s="44" t="s">
        <v>57</v>
      </c>
      <c r="BQ254" s="44">
        <f t="shared" si="208"/>
        <v>0</v>
      </c>
      <c r="BR254" s="50"/>
      <c r="BS254" s="119">
        <v>9</v>
      </c>
      <c r="BT254" s="115">
        <f>Inputs!$A$29</f>
        <v>0</v>
      </c>
      <c r="BU254" s="44">
        <f>Inputs!$B$29</f>
        <v>0</v>
      </c>
      <c r="BV254" s="44" t="s">
        <v>58</v>
      </c>
      <c r="BW254" s="44">
        <f t="shared" si="209"/>
        <v>0</v>
      </c>
      <c r="BX254" s="50"/>
      <c r="BY254" s="44">
        <v>0</v>
      </c>
      <c r="BZ254" s="44">
        <v>0</v>
      </c>
      <c r="CA254" s="44">
        <f t="shared" si="257"/>
        <v>0</v>
      </c>
      <c r="CB254" s="50"/>
      <c r="CC254" s="44">
        <f t="shared" si="258"/>
        <v>0</v>
      </c>
      <c r="CD254" s="63">
        <f>BY254*Inputs!$F$29*Inputs!$G$29</f>
        <v>0</v>
      </c>
      <c r="CE254" s="44">
        <f>Inputs!$F$29*Inputs!$I$29*BZ254</f>
        <v>0</v>
      </c>
      <c r="CF254" s="55"/>
    </row>
    <row r="255" spans="1:84" x14ac:dyDescent="0.25">
      <c r="A255" s="117">
        <v>10</v>
      </c>
      <c r="B255" s="115">
        <f>Inputs!$A$29</f>
        <v>0</v>
      </c>
      <c r="C255" s="44">
        <f>Inputs!$B$29</f>
        <v>0</v>
      </c>
      <c r="D255" s="44" t="s">
        <v>57</v>
      </c>
      <c r="E255" s="44">
        <v>0</v>
      </c>
      <c r="F255" s="50"/>
      <c r="G255" s="119">
        <v>10</v>
      </c>
      <c r="H255" s="115">
        <f>Inputs!$A$29</f>
        <v>0</v>
      </c>
      <c r="I255" s="44">
        <f>Inputs!$B$29</f>
        <v>0</v>
      </c>
      <c r="J255" s="44" t="s">
        <v>58</v>
      </c>
      <c r="K255" s="44">
        <v>0</v>
      </c>
      <c r="L255" s="50"/>
      <c r="M255" s="44">
        <v>0</v>
      </c>
      <c r="N255" s="44">
        <v>0</v>
      </c>
      <c r="O255" s="44">
        <f t="shared" si="251"/>
        <v>0</v>
      </c>
      <c r="P255" s="50"/>
      <c r="Q255" s="44">
        <f t="shared" si="252"/>
        <v>0</v>
      </c>
      <c r="R255" s="63">
        <f>M255*Inputs!$F$29*Inputs!$G$29</f>
        <v>0</v>
      </c>
      <c r="S255" s="44">
        <f>Inputs!$F$29*Inputs!$I$29*N255</f>
        <v>0</v>
      </c>
      <c r="T255" s="18"/>
      <c r="U255" s="91"/>
      <c r="W255" s="117">
        <v>10</v>
      </c>
      <c r="X255" s="115">
        <f>Inputs!$A$29</f>
        <v>0</v>
      </c>
      <c r="Y255" s="44">
        <f>Inputs!$B$29</f>
        <v>0</v>
      </c>
      <c r="Z255" s="44" t="s">
        <v>57</v>
      </c>
      <c r="AA255" s="44">
        <f t="shared" si="205"/>
        <v>0</v>
      </c>
      <c r="AB255" s="50"/>
      <c r="AC255" s="119">
        <v>10</v>
      </c>
      <c r="AD255" s="115">
        <f>Inputs!$A$29</f>
        <v>0</v>
      </c>
      <c r="AE255" s="44">
        <f>Inputs!$B$29</f>
        <v>0</v>
      </c>
      <c r="AF255" s="44" t="s">
        <v>58</v>
      </c>
      <c r="AG255" s="44">
        <f t="shared" si="206"/>
        <v>0</v>
      </c>
      <c r="AH255" s="50"/>
      <c r="AI255" s="44">
        <v>0</v>
      </c>
      <c r="AJ255" s="44">
        <v>0</v>
      </c>
      <c r="AK255" s="44">
        <f t="shared" si="253"/>
        <v>0</v>
      </c>
      <c r="AL255" s="50"/>
      <c r="AM255" s="44">
        <f t="shared" si="254"/>
        <v>0</v>
      </c>
      <c r="AN255" s="63">
        <f>AI255*Inputs!$F$29*Inputs!$G$29</f>
        <v>0</v>
      </c>
      <c r="AO255" s="44">
        <f>Inputs!$F$29*Inputs!$I$29*AJ255</f>
        <v>0</v>
      </c>
      <c r="AP255" s="91"/>
      <c r="AR255" s="117">
        <v>10</v>
      </c>
      <c r="AS255" s="115">
        <f>Inputs!$A$29</f>
        <v>0</v>
      </c>
      <c r="AT255" s="44">
        <f>Inputs!$B$29</f>
        <v>0</v>
      </c>
      <c r="AU255" s="44" t="s">
        <v>57</v>
      </c>
      <c r="AV255" s="44">
        <f t="shared" si="210"/>
        <v>0</v>
      </c>
      <c r="AW255" s="50"/>
      <c r="AX255" s="119">
        <v>10</v>
      </c>
      <c r="AY255" s="115">
        <f>Inputs!$A$29</f>
        <v>0</v>
      </c>
      <c r="AZ255" s="44">
        <f>Inputs!$B$29</f>
        <v>0</v>
      </c>
      <c r="BA255" s="44" t="s">
        <v>58</v>
      </c>
      <c r="BB255" s="44">
        <f t="shared" si="207"/>
        <v>0</v>
      </c>
      <c r="BC255" s="50"/>
      <c r="BD255" s="44">
        <v>0</v>
      </c>
      <c r="BE255" s="44">
        <v>0</v>
      </c>
      <c r="BF255" s="44">
        <f t="shared" si="255"/>
        <v>0</v>
      </c>
      <c r="BG255" s="50"/>
      <c r="BH255" s="44">
        <f t="shared" si="256"/>
        <v>0</v>
      </c>
      <c r="BI255" s="63">
        <f>BD255*Inputs!$F$29*Inputs!$G$29</f>
        <v>0</v>
      </c>
      <c r="BJ255" s="44">
        <f>Inputs!$F$29*Inputs!$I$29*BE255</f>
        <v>0</v>
      </c>
      <c r="BK255" s="91"/>
      <c r="BM255" s="117">
        <v>10</v>
      </c>
      <c r="BN255" s="115">
        <f>Inputs!$A$29</f>
        <v>0</v>
      </c>
      <c r="BO255" s="44">
        <f>Inputs!$B$29</f>
        <v>0</v>
      </c>
      <c r="BP255" s="44" t="s">
        <v>57</v>
      </c>
      <c r="BQ255" s="44">
        <f t="shared" si="208"/>
        <v>0</v>
      </c>
      <c r="BR255" s="50"/>
      <c r="BS255" s="119">
        <v>10</v>
      </c>
      <c r="BT255" s="115">
        <f>Inputs!$A$29</f>
        <v>0</v>
      </c>
      <c r="BU255" s="44">
        <f>Inputs!$B$29</f>
        <v>0</v>
      </c>
      <c r="BV255" s="44" t="s">
        <v>58</v>
      </c>
      <c r="BW255" s="44">
        <f t="shared" si="209"/>
        <v>0</v>
      </c>
      <c r="BX255" s="50"/>
      <c r="BY255" s="44">
        <v>0</v>
      </c>
      <c r="BZ255" s="44">
        <v>0</v>
      </c>
      <c r="CA255" s="44">
        <f t="shared" si="257"/>
        <v>0</v>
      </c>
      <c r="CB255" s="50"/>
      <c r="CC255" s="44">
        <f t="shared" si="258"/>
        <v>0</v>
      </c>
      <c r="CD255" s="63">
        <f>BY255*Inputs!$F$29*Inputs!$G$29</f>
        <v>0</v>
      </c>
      <c r="CE255" s="44">
        <f>Inputs!$F$29*Inputs!$I$29*BZ255</f>
        <v>0</v>
      </c>
      <c r="CF255" s="91"/>
    </row>
    <row r="256" spans="1:84" x14ac:dyDescent="0.25">
      <c r="A256" s="117">
        <v>11</v>
      </c>
      <c r="B256" s="115">
        <f>Inputs!$A$29</f>
        <v>0</v>
      </c>
      <c r="C256" s="44">
        <f>Inputs!$B$29</f>
        <v>0</v>
      </c>
      <c r="D256" s="44" t="s">
        <v>57</v>
      </c>
      <c r="E256" s="44">
        <v>0</v>
      </c>
      <c r="F256" s="50"/>
      <c r="G256" s="119">
        <v>11</v>
      </c>
      <c r="H256" s="115">
        <f>Inputs!$A$29</f>
        <v>0</v>
      </c>
      <c r="I256" s="44">
        <f>Inputs!$B$29</f>
        <v>0</v>
      </c>
      <c r="J256" s="44" t="s">
        <v>58</v>
      </c>
      <c r="K256" s="44">
        <v>0</v>
      </c>
      <c r="L256" s="50"/>
      <c r="M256" s="44">
        <v>0</v>
      </c>
      <c r="N256" s="44">
        <v>0</v>
      </c>
      <c r="O256" s="44">
        <f t="shared" si="251"/>
        <v>0</v>
      </c>
      <c r="P256" s="50"/>
      <c r="Q256" s="44">
        <f t="shared" si="252"/>
        <v>0</v>
      </c>
      <c r="R256" s="63">
        <f>M256*Inputs!$F$29*Inputs!$H$29</f>
        <v>0</v>
      </c>
      <c r="S256" s="44">
        <f>Inputs!$F$29*Inputs!$I$29*N256</f>
        <v>0</v>
      </c>
      <c r="T256" s="18"/>
      <c r="U256" s="56"/>
      <c r="W256" s="117">
        <v>11</v>
      </c>
      <c r="X256" s="115">
        <f>Inputs!$A$29</f>
        <v>0</v>
      </c>
      <c r="Y256" s="44">
        <f>Inputs!$B$29</f>
        <v>0</v>
      </c>
      <c r="Z256" s="44" t="s">
        <v>57</v>
      </c>
      <c r="AA256" s="44">
        <f t="shared" si="205"/>
        <v>0</v>
      </c>
      <c r="AB256" s="50"/>
      <c r="AC256" s="119">
        <v>11</v>
      </c>
      <c r="AD256" s="115">
        <f>Inputs!$A$29</f>
        <v>0</v>
      </c>
      <c r="AE256" s="44">
        <f>Inputs!$B$29</f>
        <v>0</v>
      </c>
      <c r="AF256" s="44" t="s">
        <v>58</v>
      </c>
      <c r="AG256" s="44">
        <f t="shared" si="206"/>
        <v>0</v>
      </c>
      <c r="AH256" s="50"/>
      <c r="AI256" s="44">
        <v>0</v>
      </c>
      <c r="AJ256" s="44">
        <v>0</v>
      </c>
      <c r="AK256" s="44">
        <f t="shared" si="253"/>
        <v>0</v>
      </c>
      <c r="AL256" s="50"/>
      <c r="AM256" s="44">
        <f t="shared" si="254"/>
        <v>0</v>
      </c>
      <c r="AN256" s="63">
        <f>AI256*Inputs!$F$29*Inputs!$H$29</f>
        <v>0</v>
      </c>
      <c r="AO256" s="44">
        <f>Inputs!$F$29*Inputs!$I$29*AJ256</f>
        <v>0</v>
      </c>
      <c r="AP256" s="56"/>
      <c r="AR256" s="117">
        <v>11</v>
      </c>
      <c r="AS256" s="115">
        <f>Inputs!$A$29</f>
        <v>0</v>
      </c>
      <c r="AT256" s="44">
        <f>Inputs!$B$29</f>
        <v>0</v>
      </c>
      <c r="AU256" s="44" t="s">
        <v>57</v>
      </c>
      <c r="AV256" s="44">
        <f t="shared" si="210"/>
        <v>0</v>
      </c>
      <c r="AW256" s="50"/>
      <c r="AX256" s="119">
        <v>11</v>
      </c>
      <c r="AY256" s="115">
        <f>Inputs!$A$29</f>
        <v>0</v>
      </c>
      <c r="AZ256" s="44">
        <f>Inputs!$B$29</f>
        <v>0</v>
      </c>
      <c r="BA256" s="44" t="s">
        <v>58</v>
      </c>
      <c r="BB256" s="44">
        <f t="shared" si="207"/>
        <v>0</v>
      </c>
      <c r="BC256" s="50"/>
      <c r="BD256" s="44">
        <v>0</v>
      </c>
      <c r="BE256" s="44">
        <v>0</v>
      </c>
      <c r="BF256" s="44">
        <f t="shared" si="255"/>
        <v>0</v>
      </c>
      <c r="BG256" s="50"/>
      <c r="BH256" s="44">
        <f t="shared" si="256"/>
        <v>0</v>
      </c>
      <c r="BI256" s="63">
        <f>BD256*Inputs!$F$29*Inputs!$H$29</f>
        <v>0</v>
      </c>
      <c r="BJ256" s="44">
        <f>Inputs!$F$29*Inputs!$I$29*BE256</f>
        <v>0</v>
      </c>
      <c r="BK256" s="56"/>
      <c r="BM256" s="117">
        <v>11</v>
      </c>
      <c r="BN256" s="115">
        <f>Inputs!$A$29</f>
        <v>0</v>
      </c>
      <c r="BO256" s="44">
        <f>Inputs!$B$29</f>
        <v>0</v>
      </c>
      <c r="BP256" s="44" t="s">
        <v>57</v>
      </c>
      <c r="BQ256" s="44">
        <f t="shared" si="208"/>
        <v>0</v>
      </c>
      <c r="BR256" s="50"/>
      <c r="BS256" s="119">
        <v>11</v>
      </c>
      <c r="BT256" s="115">
        <f>Inputs!$A$29</f>
        <v>0</v>
      </c>
      <c r="BU256" s="44">
        <f>Inputs!$B$29</f>
        <v>0</v>
      </c>
      <c r="BV256" s="44" t="s">
        <v>58</v>
      </c>
      <c r="BW256" s="44">
        <f t="shared" si="209"/>
        <v>0</v>
      </c>
      <c r="BX256" s="50"/>
      <c r="BY256" s="44">
        <v>0</v>
      </c>
      <c r="BZ256" s="44">
        <v>0</v>
      </c>
      <c r="CA256" s="44">
        <f t="shared" si="257"/>
        <v>0</v>
      </c>
      <c r="CB256" s="50"/>
      <c r="CC256" s="44">
        <f t="shared" si="258"/>
        <v>0</v>
      </c>
      <c r="CD256" s="63">
        <f>BY256*Inputs!$F$29*Inputs!$H$29</f>
        <v>0</v>
      </c>
      <c r="CE256" s="44">
        <f>Inputs!$F$29*Inputs!$I$29*BZ256</f>
        <v>0</v>
      </c>
      <c r="CF256" s="56"/>
    </row>
    <row r="257" spans="1:84" x14ac:dyDescent="0.25">
      <c r="A257" s="116">
        <v>3</v>
      </c>
      <c r="B257" s="114">
        <f>Inputs!$A$30</f>
        <v>0</v>
      </c>
      <c r="C257" s="45">
        <f>Inputs!$B$30</f>
        <v>0</v>
      </c>
      <c r="D257" s="45" t="s">
        <v>57</v>
      </c>
      <c r="E257" s="45">
        <v>0</v>
      </c>
      <c r="F257" s="50"/>
      <c r="G257" s="118">
        <v>3</v>
      </c>
      <c r="H257" s="114">
        <f>Inputs!$A$30</f>
        <v>0</v>
      </c>
      <c r="I257" s="45">
        <f>Inputs!$B$30</f>
        <v>0</v>
      </c>
      <c r="J257" s="45" t="s">
        <v>58</v>
      </c>
      <c r="K257" s="45">
        <v>0</v>
      </c>
      <c r="L257" s="50"/>
      <c r="M257" s="45">
        <v>0</v>
      </c>
      <c r="N257" s="45">
        <v>0</v>
      </c>
      <c r="O257" s="45">
        <f>U257-0-E257-K257</f>
        <v>0</v>
      </c>
      <c r="P257" s="50"/>
      <c r="Q257" s="45">
        <f>E257+K257+N257-U257+0-M257</f>
        <v>0</v>
      </c>
      <c r="R257" s="64">
        <f>M257*Inputs!$F$30*Inputs!$G$30</f>
        <v>0</v>
      </c>
      <c r="S257" s="45">
        <f>Inputs!$F$30*Inputs!$I$30*N257</f>
        <v>0</v>
      </c>
      <c r="T257" s="18"/>
      <c r="U257" s="54"/>
      <c r="W257" s="116">
        <v>3</v>
      </c>
      <c r="X257" s="114">
        <f>Inputs!$A$30</f>
        <v>0</v>
      </c>
      <c r="Y257" s="45">
        <f>Inputs!$B$30</f>
        <v>0</v>
      </c>
      <c r="Z257" s="45" t="s">
        <v>57</v>
      </c>
      <c r="AA257" s="45">
        <f t="shared" si="205"/>
        <v>0</v>
      </c>
      <c r="AB257" s="50"/>
      <c r="AC257" s="118">
        <v>3</v>
      </c>
      <c r="AD257" s="114">
        <f>Inputs!$A$30</f>
        <v>0</v>
      </c>
      <c r="AE257" s="45">
        <f>Inputs!$B$30</f>
        <v>0</v>
      </c>
      <c r="AF257" s="45" t="s">
        <v>58</v>
      </c>
      <c r="AG257" s="45">
        <f t="shared" si="206"/>
        <v>0</v>
      </c>
      <c r="AH257" s="50"/>
      <c r="AI257" s="45">
        <v>0</v>
      </c>
      <c r="AJ257" s="45">
        <v>0</v>
      </c>
      <c r="AK257" s="45">
        <f>AP257-0-AA257-AG257</f>
        <v>0</v>
      </c>
      <c r="AL257" s="50"/>
      <c r="AM257" s="45">
        <f>AA257+AG257+AJ257-AP257+0-AI257</f>
        <v>0</v>
      </c>
      <c r="AN257" s="64">
        <f>AI257*Inputs!$F$30*Inputs!$G$30</f>
        <v>0</v>
      </c>
      <c r="AO257" s="45">
        <f>Inputs!$F$30*Inputs!$I$30*AJ257</f>
        <v>0</v>
      </c>
      <c r="AP257" s="54"/>
      <c r="AR257" s="116">
        <v>3</v>
      </c>
      <c r="AS257" s="114">
        <f>Inputs!$A$30</f>
        <v>0</v>
      </c>
      <c r="AT257" s="45">
        <f>Inputs!$B$30</f>
        <v>0</v>
      </c>
      <c r="AU257" s="45" t="s">
        <v>57</v>
      </c>
      <c r="AV257" s="45">
        <f t="shared" si="210"/>
        <v>0</v>
      </c>
      <c r="AW257" s="50"/>
      <c r="AX257" s="118">
        <v>3</v>
      </c>
      <c r="AY257" s="114">
        <f>Inputs!$A$30</f>
        <v>0</v>
      </c>
      <c r="AZ257" s="45">
        <f>Inputs!$B$30</f>
        <v>0</v>
      </c>
      <c r="BA257" s="45" t="s">
        <v>58</v>
      </c>
      <c r="BB257" s="45">
        <f t="shared" si="207"/>
        <v>0</v>
      </c>
      <c r="BC257" s="50"/>
      <c r="BD257" s="45">
        <v>0</v>
      </c>
      <c r="BE257" s="45">
        <v>0</v>
      </c>
      <c r="BF257" s="45">
        <f>BK257-0-AV257-BB257</f>
        <v>0</v>
      </c>
      <c r="BG257" s="50"/>
      <c r="BH257" s="45">
        <f>AV257+BB257+BE257-BK257+0-BD257</f>
        <v>0</v>
      </c>
      <c r="BI257" s="64">
        <f>BD257*Inputs!$F$30*Inputs!$G$30</f>
        <v>0</v>
      </c>
      <c r="BJ257" s="45">
        <f>Inputs!$F$30*Inputs!$I$30*BE257</f>
        <v>0</v>
      </c>
      <c r="BK257" s="54"/>
      <c r="BM257" s="116">
        <v>3</v>
      </c>
      <c r="BN257" s="114">
        <f>Inputs!$A$30</f>
        <v>0</v>
      </c>
      <c r="BO257" s="45">
        <f>Inputs!$B$30</f>
        <v>0</v>
      </c>
      <c r="BP257" s="45" t="s">
        <v>57</v>
      </c>
      <c r="BQ257" s="45">
        <f t="shared" si="208"/>
        <v>0</v>
      </c>
      <c r="BR257" s="50"/>
      <c r="BS257" s="118">
        <v>3</v>
      </c>
      <c r="BT257" s="114">
        <f>Inputs!$A$30</f>
        <v>0</v>
      </c>
      <c r="BU257" s="45">
        <f>Inputs!$B$30</f>
        <v>0</v>
      </c>
      <c r="BV257" s="45" t="s">
        <v>58</v>
      </c>
      <c r="BW257" s="45">
        <f t="shared" si="209"/>
        <v>0</v>
      </c>
      <c r="BX257" s="50"/>
      <c r="BY257" s="45">
        <v>0</v>
      </c>
      <c r="BZ257" s="45">
        <v>0</v>
      </c>
      <c r="CA257" s="45">
        <f>CF257-0-BQ257-BW257</f>
        <v>0</v>
      </c>
      <c r="CB257" s="50"/>
      <c r="CC257" s="45">
        <f>BQ257+BW257+BZ257-CF257+0-BY257</f>
        <v>0</v>
      </c>
      <c r="CD257" s="64">
        <f>BY257*Inputs!$F$30*Inputs!$G$30</f>
        <v>0</v>
      </c>
      <c r="CE257" s="45">
        <f>Inputs!$F$30*Inputs!$I$30*BZ257</f>
        <v>0</v>
      </c>
      <c r="CF257" s="54"/>
    </row>
    <row r="258" spans="1:84" x14ac:dyDescent="0.25">
      <c r="A258" s="116">
        <v>4</v>
      </c>
      <c r="B258" s="114">
        <f>Inputs!$A$30</f>
        <v>0</v>
      </c>
      <c r="C258" s="45">
        <f>Inputs!$B$30</f>
        <v>0</v>
      </c>
      <c r="D258" s="45" t="s">
        <v>57</v>
      </c>
      <c r="E258" s="45">
        <v>0</v>
      </c>
      <c r="F258" s="50"/>
      <c r="G258" s="118">
        <v>4</v>
      </c>
      <c r="H258" s="114">
        <f>Inputs!$A$30</f>
        <v>0</v>
      </c>
      <c r="I258" s="45">
        <f>Inputs!$B$30</f>
        <v>0</v>
      </c>
      <c r="J258" s="45" t="s">
        <v>58</v>
      </c>
      <c r="K258" s="45">
        <v>0</v>
      </c>
      <c r="L258" s="50"/>
      <c r="M258" s="45">
        <v>0</v>
      </c>
      <c r="N258" s="45">
        <v>0</v>
      </c>
      <c r="O258" s="45">
        <f t="shared" ref="O258:O265" si="259">U258-M257-E258-K258</f>
        <v>0</v>
      </c>
      <c r="P258" s="50"/>
      <c r="Q258" s="45">
        <f t="shared" ref="Q258:Q265" si="260">E258+K258+N258-U258+M257-M258</f>
        <v>0</v>
      </c>
      <c r="R258" s="64">
        <f>M258*Inputs!$F$30*Inputs!$G$30</f>
        <v>0</v>
      </c>
      <c r="S258" s="45">
        <f>Inputs!$F$30*Inputs!$I$30*N258</f>
        <v>0</v>
      </c>
      <c r="T258" s="18"/>
      <c r="U258" s="55"/>
      <c r="W258" s="116">
        <v>4</v>
      </c>
      <c r="X258" s="114">
        <f>Inputs!$A$30</f>
        <v>0</v>
      </c>
      <c r="Y258" s="45">
        <f>Inputs!$B$30</f>
        <v>0</v>
      </c>
      <c r="Z258" s="45" t="s">
        <v>57</v>
      </c>
      <c r="AA258" s="45">
        <f t="shared" si="205"/>
        <v>0</v>
      </c>
      <c r="AB258" s="50"/>
      <c r="AC258" s="118">
        <v>4</v>
      </c>
      <c r="AD258" s="114">
        <f>Inputs!$A$30</f>
        <v>0</v>
      </c>
      <c r="AE258" s="45">
        <f>Inputs!$B$30</f>
        <v>0</v>
      </c>
      <c r="AF258" s="45" t="s">
        <v>58</v>
      </c>
      <c r="AG258" s="45">
        <f t="shared" si="206"/>
        <v>0</v>
      </c>
      <c r="AH258" s="50"/>
      <c r="AI258" s="45">
        <v>0</v>
      </c>
      <c r="AJ258" s="45">
        <v>0</v>
      </c>
      <c r="AK258" s="45">
        <f t="shared" ref="AK258:AK265" si="261">AP258-AI257-AA258-AG258</f>
        <v>0</v>
      </c>
      <c r="AL258" s="50"/>
      <c r="AM258" s="45">
        <f t="shared" ref="AM258:AM265" si="262">AA258+AG258+AJ258-AP258+AI257-AI258</f>
        <v>0</v>
      </c>
      <c r="AN258" s="64">
        <f>AI258*Inputs!$F$30*Inputs!$G$30</f>
        <v>0</v>
      </c>
      <c r="AO258" s="45">
        <f>Inputs!$F$30*Inputs!$I$30*AJ258</f>
        <v>0</v>
      </c>
      <c r="AP258" s="55"/>
      <c r="AR258" s="116">
        <v>4</v>
      </c>
      <c r="AS258" s="114">
        <f>Inputs!$A$30</f>
        <v>0</v>
      </c>
      <c r="AT258" s="45">
        <f>Inputs!$B$30</f>
        <v>0</v>
      </c>
      <c r="AU258" s="45" t="s">
        <v>57</v>
      </c>
      <c r="AV258" s="45">
        <f t="shared" si="210"/>
        <v>0</v>
      </c>
      <c r="AW258" s="50"/>
      <c r="AX258" s="118">
        <v>4</v>
      </c>
      <c r="AY258" s="114">
        <f>Inputs!$A$30</f>
        <v>0</v>
      </c>
      <c r="AZ258" s="45">
        <f>Inputs!$B$30</f>
        <v>0</v>
      </c>
      <c r="BA258" s="45" t="s">
        <v>58</v>
      </c>
      <c r="BB258" s="45">
        <f t="shared" si="207"/>
        <v>0</v>
      </c>
      <c r="BC258" s="50"/>
      <c r="BD258" s="45">
        <v>0</v>
      </c>
      <c r="BE258" s="45">
        <v>0</v>
      </c>
      <c r="BF258" s="45">
        <f t="shared" ref="BF258:BF265" si="263">BK258-BD257-AV258-BB258</f>
        <v>0</v>
      </c>
      <c r="BG258" s="50"/>
      <c r="BH258" s="45">
        <f t="shared" ref="BH258:BH265" si="264">AV258+BB258+BE258-BK258+BD257-BD258</f>
        <v>0</v>
      </c>
      <c r="BI258" s="64">
        <f>BD258*Inputs!$F$30*Inputs!$G$30</f>
        <v>0</v>
      </c>
      <c r="BJ258" s="45">
        <f>Inputs!$F$30*Inputs!$I$30*BE258</f>
        <v>0</v>
      </c>
      <c r="BK258" s="55"/>
      <c r="BM258" s="116">
        <v>4</v>
      </c>
      <c r="BN258" s="114">
        <f>Inputs!$A$30</f>
        <v>0</v>
      </c>
      <c r="BO258" s="45">
        <f>Inputs!$B$30</f>
        <v>0</v>
      </c>
      <c r="BP258" s="45" t="s">
        <v>57</v>
      </c>
      <c r="BQ258" s="45">
        <f t="shared" si="208"/>
        <v>0</v>
      </c>
      <c r="BR258" s="50"/>
      <c r="BS258" s="118">
        <v>4</v>
      </c>
      <c r="BT258" s="114">
        <f>Inputs!$A$30</f>
        <v>0</v>
      </c>
      <c r="BU258" s="45">
        <f>Inputs!$B$30</f>
        <v>0</v>
      </c>
      <c r="BV258" s="45" t="s">
        <v>58</v>
      </c>
      <c r="BW258" s="45">
        <f t="shared" si="209"/>
        <v>0</v>
      </c>
      <c r="BX258" s="50"/>
      <c r="BY258" s="45">
        <v>0</v>
      </c>
      <c r="BZ258" s="45">
        <v>0</v>
      </c>
      <c r="CA258" s="45">
        <f t="shared" ref="CA258:CA265" si="265">CF258-BY257-BQ258-BW258</f>
        <v>0</v>
      </c>
      <c r="CB258" s="50"/>
      <c r="CC258" s="45">
        <f t="shared" ref="CC258:CC265" si="266">BQ258+BW258+BZ258-CF258+BY257-BY258</f>
        <v>0</v>
      </c>
      <c r="CD258" s="64">
        <f>BY258*Inputs!$F$30*Inputs!$G$30</f>
        <v>0</v>
      </c>
      <c r="CE258" s="45">
        <f>Inputs!$F$30*Inputs!$I$30*BZ258</f>
        <v>0</v>
      </c>
      <c r="CF258" s="55"/>
    </row>
    <row r="259" spans="1:84" x14ac:dyDescent="0.25">
      <c r="A259" s="116">
        <v>5</v>
      </c>
      <c r="B259" s="114">
        <f>Inputs!$A$30</f>
        <v>0</v>
      </c>
      <c r="C259" s="45">
        <f>Inputs!$B$30</f>
        <v>0</v>
      </c>
      <c r="D259" s="45" t="s">
        <v>57</v>
      </c>
      <c r="E259" s="45">
        <v>0</v>
      </c>
      <c r="F259" s="50"/>
      <c r="G259" s="118">
        <v>5</v>
      </c>
      <c r="H259" s="114">
        <f>Inputs!$A$30</f>
        <v>0</v>
      </c>
      <c r="I259" s="45">
        <f>Inputs!$B$30</f>
        <v>0</v>
      </c>
      <c r="J259" s="45" t="s">
        <v>58</v>
      </c>
      <c r="K259" s="45">
        <v>0</v>
      </c>
      <c r="L259" s="50"/>
      <c r="M259" s="45">
        <v>0</v>
      </c>
      <c r="N259" s="45">
        <v>0</v>
      </c>
      <c r="O259" s="45">
        <f t="shared" si="259"/>
        <v>0</v>
      </c>
      <c r="P259" s="50"/>
      <c r="Q259" s="45">
        <f t="shared" si="260"/>
        <v>0</v>
      </c>
      <c r="R259" s="64">
        <f>M259*Inputs!$F$30*Inputs!$G$30</f>
        <v>0</v>
      </c>
      <c r="S259" s="45">
        <f>Inputs!$F$30*Inputs!$I$30*N259</f>
        <v>0</v>
      </c>
      <c r="T259" s="18"/>
      <c r="U259" s="55"/>
      <c r="W259" s="116">
        <v>5</v>
      </c>
      <c r="X259" s="114">
        <f>Inputs!$A$30</f>
        <v>0</v>
      </c>
      <c r="Y259" s="45">
        <f>Inputs!$B$30</f>
        <v>0</v>
      </c>
      <c r="Z259" s="45" t="s">
        <v>57</v>
      </c>
      <c r="AA259" s="45">
        <f t="shared" si="205"/>
        <v>0</v>
      </c>
      <c r="AB259" s="50"/>
      <c r="AC259" s="118">
        <v>5</v>
      </c>
      <c r="AD259" s="114">
        <f>Inputs!$A$30</f>
        <v>0</v>
      </c>
      <c r="AE259" s="45">
        <f>Inputs!$B$30</f>
        <v>0</v>
      </c>
      <c r="AF259" s="45" t="s">
        <v>58</v>
      </c>
      <c r="AG259" s="45">
        <f t="shared" si="206"/>
        <v>0</v>
      </c>
      <c r="AH259" s="50"/>
      <c r="AI259" s="45">
        <v>0</v>
      </c>
      <c r="AJ259" s="45">
        <v>0</v>
      </c>
      <c r="AK259" s="45">
        <f t="shared" si="261"/>
        <v>0</v>
      </c>
      <c r="AL259" s="50"/>
      <c r="AM259" s="45">
        <f t="shared" si="262"/>
        <v>0</v>
      </c>
      <c r="AN259" s="64">
        <f>AI259*Inputs!$F$30*Inputs!$G$30</f>
        <v>0</v>
      </c>
      <c r="AO259" s="45">
        <f>Inputs!$F$30*Inputs!$I$30*AJ259</f>
        <v>0</v>
      </c>
      <c r="AP259" s="55"/>
      <c r="AR259" s="116">
        <v>5</v>
      </c>
      <c r="AS259" s="114">
        <f>Inputs!$A$30</f>
        <v>0</v>
      </c>
      <c r="AT259" s="45">
        <f>Inputs!$B$30</f>
        <v>0</v>
      </c>
      <c r="AU259" s="45" t="s">
        <v>57</v>
      </c>
      <c r="AV259" s="45">
        <f t="shared" si="210"/>
        <v>0</v>
      </c>
      <c r="AW259" s="50"/>
      <c r="AX259" s="118">
        <v>5</v>
      </c>
      <c r="AY259" s="114">
        <f>Inputs!$A$30</f>
        <v>0</v>
      </c>
      <c r="AZ259" s="45">
        <f>Inputs!$B$30</f>
        <v>0</v>
      </c>
      <c r="BA259" s="45" t="s">
        <v>58</v>
      </c>
      <c r="BB259" s="45">
        <f t="shared" si="207"/>
        <v>0</v>
      </c>
      <c r="BC259" s="50"/>
      <c r="BD259" s="45">
        <v>0</v>
      </c>
      <c r="BE259" s="45">
        <v>0</v>
      </c>
      <c r="BF259" s="45">
        <f t="shared" si="263"/>
        <v>0</v>
      </c>
      <c r="BG259" s="50"/>
      <c r="BH259" s="45">
        <f t="shared" si="264"/>
        <v>0</v>
      </c>
      <c r="BI259" s="64">
        <f>BD259*Inputs!$F$30*Inputs!$G$30</f>
        <v>0</v>
      </c>
      <c r="BJ259" s="45">
        <f>Inputs!$F$30*Inputs!$I$30*BE259</f>
        <v>0</v>
      </c>
      <c r="BK259" s="55"/>
      <c r="BM259" s="116">
        <v>5</v>
      </c>
      <c r="BN259" s="114">
        <f>Inputs!$A$30</f>
        <v>0</v>
      </c>
      <c r="BO259" s="45">
        <f>Inputs!$B$30</f>
        <v>0</v>
      </c>
      <c r="BP259" s="45" t="s">
        <v>57</v>
      </c>
      <c r="BQ259" s="45">
        <f t="shared" si="208"/>
        <v>0</v>
      </c>
      <c r="BR259" s="50"/>
      <c r="BS259" s="118">
        <v>5</v>
      </c>
      <c r="BT259" s="114">
        <f>Inputs!$A$30</f>
        <v>0</v>
      </c>
      <c r="BU259" s="45">
        <f>Inputs!$B$30</f>
        <v>0</v>
      </c>
      <c r="BV259" s="45" t="s">
        <v>58</v>
      </c>
      <c r="BW259" s="45">
        <f t="shared" si="209"/>
        <v>0</v>
      </c>
      <c r="BX259" s="50"/>
      <c r="BY259" s="45">
        <v>0</v>
      </c>
      <c r="BZ259" s="45">
        <v>0</v>
      </c>
      <c r="CA259" s="45">
        <f t="shared" si="265"/>
        <v>0</v>
      </c>
      <c r="CB259" s="50"/>
      <c r="CC259" s="45">
        <f t="shared" si="266"/>
        <v>0</v>
      </c>
      <c r="CD259" s="64">
        <f>BY259*Inputs!$F$30*Inputs!$G$30</f>
        <v>0</v>
      </c>
      <c r="CE259" s="45">
        <f>Inputs!$F$30*Inputs!$I$30*BZ259</f>
        <v>0</v>
      </c>
      <c r="CF259" s="55"/>
    </row>
    <row r="260" spans="1:84" x14ac:dyDescent="0.25">
      <c r="A260" s="116">
        <v>6</v>
      </c>
      <c r="B260" s="114">
        <f>Inputs!$A$30</f>
        <v>0</v>
      </c>
      <c r="C260" s="45">
        <f>Inputs!$B$30</f>
        <v>0</v>
      </c>
      <c r="D260" s="45" t="s">
        <v>57</v>
      </c>
      <c r="E260" s="45">
        <v>0</v>
      </c>
      <c r="F260" s="50"/>
      <c r="G260" s="118">
        <v>6</v>
      </c>
      <c r="H260" s="114">
        <f>Inputs!$A$30</f>
        <v>0</v>
      </c>
      <c r="I260" s="45">
        <f>Inputs!$B$30</f>
        <v>0</v>
      </c>
      <c r="J260" s="45" t="s">
        <v>58</v>
      </c>
      <c r="K260" s="45">
        <v>0</v>
      </c>
      <c r="L260" s="50"/>
      <c r="M260" s="45">
        <v>0</v>
      </c>
      <c r="N260" s="45">
        <v>0</v>
      </c>
      <c r="O260" s="45">
        <f t="shared" si="259"/>
        <v>0</v>
      </c>
      <c r="P260" s="50"/>
      <c r="Q260" s="45">
        <f t="shared" si="260"/>
        <v>0</v>
      </c>
      <c r="R260" s="64">
        <f>M260*Inputs!$F$30*Inputs!$G$30</f>
        <v>0</v>
      </c>
      <c r="S260" s="45">
        <f>Inputs!$F$30*Inputs!$I$30*N260</f>
        <v>0</v>
      </c>
      <c r="T260" s="18"/>
      <c r="U260" s="55"/>
      <c r="W260" s="116">
        <v>6</v>
      </c>
      <c r="X260" s="114">
        <f>Inputs!$A$30</f>
        <v>0</v>
      </c>
      <c r="Y260" s="45">
        <f>Inputs!$B$30</f>
        <v>0</v>
      </c>
      <c r="Z260" s="45" t="s">
        <v>57</v>
      </c>
      <c r="AA260" s="45">
        <f t="shared" si="205"/>
        <v>0</v>
      </c>
      <c r="AB260" s="50"/>
      <c r="AC260" s="118">
        <v>6</v>
      </c>
      <c r="AD260" s="114">
        <f>Inputs!$A$30</f>
        <v>0</v>
      </c>
      <c r="AE260" s="45">
        <f>Inputs!$B$30</f>
        <v>0</v>
      </c>
      <c r="AF260" s="45" t="s">
        <v>58</v>
      </c>
      <c r="AG260" s="45">
        <f t="shared" si="206"/>
        <v>0</v>
      </c>
      <c r="AH260" s="50"/>
      <c r="AI260" s="45">
        <v>0</v>
      </c>
      <c r="AJ260" s="45">
        <v>0</v>
      </c>
      <c r="AK260" s="45">
        <f t="shared" si="261"/>
        <v>0</v>
      </c>
      <c r="AL260" s="50"/>
      <c r="AM260" s="45">
        <f t="shared" si="262"/>
        <v>0</v>
      </c>
      <c r="AN260" s="64">
        <f>AI260*Inputs!$F$30*Inputs!$G$30</f>
        <v>0</v>
      </c>
      <c r="AO260" s="45">
        <f>Inputs!$F$30*Inputs!$I$30*AJ260</f>
        <v>0</v>
      </c>
      <c r="AP260" s="55"/>
      <c r="AR260" s="116">
        <v>6</v>
      </c>
      <c r="AS260" s="114">
        <f>Inputs!$A$30</f>
        <v>0</v>
      </c>
      <c r="AT260" s="45">
        <f>Inputs!$B$30</f>
        <v>0</v>
      </c>
      <c r="AU260" s="45" t="s">
        <v>57</v>
      </c>
      <c r="AV260" s="45">
        <f t="shared" si="210"/>
        <v>0</v>
      </c>
      <c r="AW260" s="50"/>
      <c r="AX260" s="118">
        <v>6</v>
      </c>
      <c r="AY260" s="114">
        <f>Inputs!$A$30</f>
        <v>0</v>
      </c>
      <c r="AZ260" s="45">
        <f>Inputs!$B$30</f>
        <v>0</v>
      </c>
      <c r="BA260" s="45" t="s">
        <v>58</v>
      </c>
      <c r="BB260" s="45">
        <f t="shared" si="207"/>
        <v>0</v>
      </c>
      <c r="BC260" s="50"/>
      <c r="BD260" s="45">
        <v>0</v>
      </c>
      <c r="BE260" s="45">
        <v>0</v>
      </c>
      <c r="BF260" s="45">
        <f t="shared" si="263"/>
        <v>0</v>
      </c>
      <c r="BG260" s="50"/>
      <c r="BH260" s="45">
        <f t="shared" si="264"/>
        <v>0</v>
      </c>
      <c r="BI260" s="64">
        <f>BD260*Inputs!$F$30*Inputs!$G$30</f>
        <v>0</v>
      </c>
      <c r="BJ260" s="45">
        <f>Inputs!$F$30*Inputs!$I$30*BE260</f>
        <v>0</v>
      </c>
      <c r="BK260" s="55"/>
      <c r="BM260" s="116">
        <v>6</v>
      </c>
      <c r="BN260" s="114">
        <f>Inputs!$A$30</f>
        <v>0</v>
      </c>
      <c r="BO260" s="45">
        <f>Inputs!$B$30</f>
        <v>0</v>
      </c>
      <c r="BP260" s="45" t="s">
        <v>57</v>
      </c>
      <c r="BQ260" s="45">
        <f t="shared" si="208"/>
        <v>0</v>
      </c>
      <c r="BR260" s="50"/>
      <c r="BS260" s="118">
        <v>6</v>
      </c>
      <c r="BT260" s="114">
        <f>Inputs!$A$30</f>
        <v>0</v>
      </c>
      <c r="BU260" s="45">
        <f>Inputs!$B$30</f>
        <v>0</v>
      </c>
      <c r="BV260" s="45" t="s">
        <v>58</v>
      </c>
      <c r="BW260" s="45">
        <f t="shared" si="209"/>
        <v>0</v>
      </c>
      <c r="BX260" s="50"/>
      <c r="BY260" s="45">
        <v>0</v>
      </c>
      <c r="BZ260" s="45">
        <v>0</v>
      </c>
      <c r="CA260" s="45">
        <f t="shared" si="265"/>
        <v>0</v>
      </c>
      <c r="CB260" s="50"/>
      <c r="CC260" s="45">
        <f t="shared" si="266"/>
        <v>0</v>
      </c>
      <c r="CD260" s="64">
        <f>BY260*Inputs!$F$30*Inputs!$G$30</f>
        <v>0</v>
      </c>
      <c r="CE260" s="45">
        <f>Inputs!$F$30*Inputs!$I$30*BZ260</f>
        <v>0</v>
      </c>
      <c r="CF260" s="55"/>
    </row>
    <row r="261" spans="1:84" x14ac:dyDescent="0.25">
      <c r="A261" s="116">
        <v>7</v>
      </c>
      <c r="B261" s="114">
        <f>Inputs!$A$30</f>
        <v>0</v>
      </c>
      <c r="C261" s="45">
        <f>Inputs!$B$30</f>
        <v>0</v>
      </c>
      <c r="D261" s="45" t="s">
        <v>57</v>
      </c>
      <c r="E261" s="45">
        <v>0</v>
      </c>
      <c r="F261" s="50"/>
      <c r="G261" s="118">
        <v>7</v>
      </c>
      <c r="H261" s="114">
        <f>Inputs!$A$30</f>
        <v>0</v>
      </c>
      <c r="I261" s="45">
        <f>Inputs!$B$30</f>
        <v>0</v>
      </c>
      <c r="J261" s="45" t="s">
        <v>58</v>
      </c>
      <c r="K261" s="45">
        <v>0</v>
      </c>
      <c r="L261" s="50"/>
      <c r="M261" s="45">
        <v>0</v>
      </c>
      <c r="N261" s="45">
        <v>0</v>
      </c>
      <c r="O261" s="45">
        <f t="shared" si="259"/>
        <v>0</v>
      </c>
      <c r="P261" s="50"/>
      <c r="Q261" s="45">
        <f t="shared" si="260"/>
        <v>0</v>
      </c>
      <c r="R261" s="64">
        <f>M261*Inputs!$F$30*Inputs!$G$30</f>
        <v>0</v>
      </c>
      <c r="S261" s="45">
        <f>Inputs!$F$30*Inputs!$I$30*N261</f>
        <v>0</v>
      </c>
      <c r="T261" s="18"/>
      <c r="U261" s="55"/>
      <c r="W261" s="116">
        <v>7</v>
      </c>
      <c r="X261" s="114">
        <f>Inputs!$A$30</f>
        <v>0</v>
      </c>
      <c r="Y261" s="45">
        <f>Inputs!$B$30</f>
        <v>0</v>
      </c>
      <c r="Z261" s="45" t="s">
        <v>57</v>
      </c>
      <c r="AA261" s="45">
        <f t="shared" ref="AA261:AA324" si="267">E261</f>
        <v>0</v>
      </c>
      <c r="AB261" s="50"/>
      <c r="AC261" s="118">
        <v>7</v>
      </c>
      <c r="AD261" s="114">
        <f>Inputs!$A$30</f>
        <v>0</v>
      </c>
      <c r="AE261" s="45">
        <f>Inputs!$B$30</f>
        <v>0</v>
      </c>
      <c r="AF261" s="45" t="s">
        <v>58</v>
      </c>
      <c r="AG261" s="45">
        <f t="shared" ref="AG261:AG324" si="268">K261</f>
        <v>0</v>
      </c>
      <c r="AH261" s="50"/>
      <c r="AI261" s="45">
        <v>0</v>
      </c>
      <c r="AJ261" s="45">
        <v>0</v>
      </c>
      <c r="AK261" s="45">
        <f t="shared" si="261"/>
        <v>0</v>
      </c>
      <c r="AL261" s="50"/>
      <c r="AM261" s="45">
        <f t="shared" si="262"/>
        <v>0</v>
      </c>
      <c r="AN261" s="64">
        <f>AI261*Inputs!$F$30*Inputs!$G$30</f>
        <v>0</v>
      </c>
      <c r="AO261" s="45">
        <f>Inputs!$F$30*Inputs!$I$30*AJ261</f>
        <v>0</v>
      </c>
      <c r="AP261" s="55"/>
      <c r="AR261" s="116">
        <v>7</v>
      </c>
      <c r="AS261" s="114">
        <f>Inputs!$A$30</f>
        <v>0</v>
      </c>
      <c r="AT261" s="45">
        <f>Inputs!$B$30</f>
        <v>0</v>
      </c>
      <c r="AU261" s="45" t="s">
        <v>57</v>
      </c>
      <c r="AV261" s="45">
        <f t="shared" si="210"/>
        <v>0</v>
      </c>
      <c r="AW261" s="50"/>
      <c r="AX261" s="118">
        <v>7</v>
      </c>
      <c r="AY261" s="114">
        <f>Inputs!$A$30</f>
        <v>0</v>
      </c>
      <c r="AZ261" s="45">
        <f>Inputs!$B$30</f>
        <v>0</v>
      </c>
      <c r="BA261" s="45" t="s">
        <v>58</v>
      </c>
      <c r="BB261" s="45">
        <f t="shared" ref="BB261:BB324" si="269">K261</f>
        <v>0</v>
      </c>
      <c r="BC261" s="50"/>
      <c r="BD261" s="45">
        <v>0</v>
      </c>
      <c r="BE261" s="45">
        <v>0</v>
      </c>
      <c r="BF261" s="45">
        <f t="shared" si="263"/>
        <v>0</v>
      </c>
      <c r="BG261" s="50"/>
      <c r="BH261" s="45">
        <f t="shared" si="264"/>
        <v>0</v>
      </c>
      <c r="BI261" s="64">
        <f>BD261*Inputs!$F$30*Inputs!$G$30</f>
        <v>0</v>
      </c>
      <c r="BJ261" s="45">
        <f>Inputs!$F$30*Inputs!$I$30*BE261</f>
        <v>0</v>
      </c>
      <c r="BK261" s="55"/>
      <c r="BM261" s="116">
        <v>7</v>
      </c>
      <c r="BN261" s="114">
        <f>Inputs!$A$30</f>
        <v>0</v>
      </c>
      <c r="BO261" s="45">
        <f>Inputs!$B$30</f>
        <v>0</v>
      </c>
      <c r="BP261" s="45" t="s">
        <v>57</v>
      </c>
      <c r="BQ261" s="45">
        <f t="shared" ref="BQ261:BQ324" si="270">E261</f>
        <v>0</v>
      </c>
      <c r="BR261" s="50"/>
      <c r="BS261" s="118">
        <v>7</v>
      </c>
      <c r="BT261" s="114">
        <f>Inputs!$A$30</f>
        <v>0</v>
      </c>
      <c r="BU261" s="45">
        <f>Inputs!$B$30</f>
        <v>0</v>
      </c>
      <c r="BV261" s="45" t="s">
        <v>58</v>
      </c>
      <c r="BW261" s="45">
        <f t="shared" ref="BW261:BW324" si="271">K261</f>
        <v>0</v>
      </c>
      <c r="BX261" s="50"/>
      <c r="BY261" s="45">
        <v>0</v>
      </c>
      <c r="BZ261" s="45">
        <v>0</v>
      </c>
      <c r="CA261" s="45">
        <f t="shared" si="265"/>
        <v>0</v>
      </c>
      <c r="CB261" s="50"/>
      <c r="CC261" s="45">
        <f t="shared" si="266"/>
        <v>0</v>
      </c>
      <c r="CD261" s="64">
        <f>BY261*Inputs!$F$30*Inputs!$G$30</f>
        <v>0</v>
      </c>
      <c r="CE261" s="45">
        <f>Inputs!$F$30*Inputs!$I$30*BZ261</f>
        <v>0</v>
      </c>
      <c r="CF261" s="55"/>
    </row>
    <row r="262" spans="1:84" x14ac:dyDescent="0.25">
      <c r="A262" s="116">
        <v>8</v>
      </c>
      <c r="B262" s="114">
        <f>Inputs!$A$30</f>
        <v>0</v>
      </c>
      <c r="C262" s="45">
        <f>Inputs!$B$30</f>
        <v>0</v>
      </c>
      <c r="D262" s="45" t="s">
        <v>57</v>
      </c>
      <c r="E262" s="45">
        <v>0</v>
      </c>
      <c r="F262" s="50"/>
      <c r="G262" s="118">
        <v>8</v>
      </c>
      <c r="H262" s="114">
        <f>Inputs!$A$30</f>
        <v>0</v>
      </c>
      <c r="I262" s="45">
        <f>Inputs!$B$30</f>
        <v>0</v>
      </c>
      <c r="J262" s="45" t="s">
        <v>58</v>
      </c>
      <c r="K262" s="45">
        <v>0</v>
      </c>
      <c r="L262" s="50"/>
      <c r="M262" s="45">
        <v>0</v>
      </c>
      <c r="N262" s="45">
        <v>0</v>
      </c>
      <c r="O262" s="45">
        <f t="shared" si="259"/>
        <v>0</v>
      </c>
      <c r="P262" s="50"/>
      <c r="Q262" s="45">
        <f t="shared" si="260"/>
        <v>0</v>
      </c>
      <c r="R262" s="64">
        <f>M262*Inputs!$F$30*Inputs!$G$30</f>
        <v>0</v>
      </c>
      <c r="S262" s="45">
        <f>Inputs!$F$30*Inputs!$I$30*N262</f>
        <v>0</v>
      </c>
      <c r="T262" s="18"/>
      <c r="U262" s="55"/>
      <c r="W262" s="116">
        <v>8</v>
      </c>
      <c r="X262" s="114">
        <f>Inputs!$A$30</f>
        <v>0</v>
      </c>
      <c r="Y262" s="45">
        <f>Inputs!$B$30</f>
        <v>0</v>
      </c>
      <c r="Z262" s="45" t="s">
        <v>57</v>
      </c>
      <c r="AA262" s="45">
        <f t="shared" si="267"/>
        <v>0</v>
      </c>
      <c r="AB262" s="50"/>
      <c r="AC262" s="118">
        <v>8</v>
      </c>
      <c r="AD262" s="114">
        <f>Inputs!$A$30</f>
        <v>0</v>
      </c>
      <c r="AE262" s="45">
        <f>Inputs!$B$30</f>
        <v>0</v>
      </c>
      <c r="AF262" s="45" t="s">
        <v>58</v>
      </c>
      <c r="AG262" s="45">
        <f t="shared" si="268"/>
        <v>0</v>
      </c>
      <c r="AH262" s="50"/>
      <c r="AI262" s="45">
        <v>0</v>
      </c>
      <c r="AJ262" s="45">
        <v>0</v>
      </c>
      <c r="AK262" s="45">
        <f t="shared" si="261"/>
        <v>0</v>
      </c>
      <c r="AL262" s="50"/>
      <c r="AM262" s="45">
        <f t="shared" si="262"/>
        <v>0</v>
      </c>
      <c r="AN262" s="64">
        <f>AI262*Inputs!$F$30*Inputs!$G$30</f>
        <v>0</v>
      </c>
      <c r="AO262" s="45">
        <f>Inputs!$F$30*Inputs!$I$30*AJ262</f>
        <v>0</v>
      </c>
      <c r="AP262" s="55"/>
      <c r="AR262" s="116">
        <v>8</v>
      </c>
      <c r="AS262" s="114">
        <f>Inputs!$A$30</f>
        <v>0</v>
      </c>
      <c r="AT262" s="45">
        <f>Inputs!$B$30</f>
        <v>0</v>
      </c>
      <c r="AU262" s="45" t="s">
        <v>57</v>
      </c>
      <c r="AV262" s="45">
        <f t="shared" ref="AV262:AV325" si="272">E262</f>
        <v>0</v>
      </c>
      <c r="AW262" s="50"/>
      <c r="AX262" s="118">
        <v>8</v>
      </c>
      <c r="AY262" s="114">
        <f>Inputs!$A$30</f>
        <v>0</v>
      </c>
      <c r="AZ262" s="45">
        <f>Inputs!$B$30</f>
        <v>0</v>
      </c>
      <c r="BA262" s="45" t="s">
        <v>58</v>
      </c>
      <c r="BB262" s="45">
        <f t="shared" si="269"/>
        <v>0</v>
      </c>
      <c r="BC262" s="50"/>
      <c r="BD262" s="45">
        <v>0</v>
      </c>
      <c r="BE262" s="45">
        <v>0</v>
      </c>
      <c r="BF262" s="45">
        <f t="shared" si="263"/>
        <v>0</v>
      </c>
      <c r="BG262" s="50"/>
      <c r="BH262" s="45">
        <f t="shared" si="264"/>
        <v>0</v>
      </c>
      <c r="BI262" s="64">
        <f>BD262*Inputs!$F$30*Inputs!$G$30</f>
        <v>0</v>
      </c>
      <c r="BJ262" s="45">
        <f>Inputs!$F$30*Inputs!$I$30*BE262</f>
        <v>0</v>
      </c>
      <c r="BK262" s="55"/>
      <c r="BM262" s="116">
        <v>8</v>
      </c>
      <c r="BN262" s="114">
        <f>Inputs!$A$30</f>
        <v>0</v>
      </c>
      <c r="BO262" s="45">
        <f>Inputs!$B$30</f>
        <v>0</v>
      </c>
      <c r="BP262" s="45" t="s">
        <v>57</v>
      </c>
      <c r="BQ262" s="45">
        <f t="shared" si="270"/>
        <v>0</v>
      </c>
      <c r="BR262" s="50"/>
      <c r="BS262" s="118">
        <v>8</v>
      </c>
      <c r="BT262" s="114">
        <f>Inputs!$A$30</f>
        <v>0</v>
      </c>
      <c r="BU262" s="45">
        <f>Inputs!$B$30</f>
        <v>0</v>
      </c>
      <c r="BV262" s="45" t="s">
        <v>58</v>
      </c>
      <c r="BW262" s="45">
        <f t="shared" si="271"/>
        <v>0</v>
      </c>
      <c r="BX262" s="50"/>
      <c r="BY262" s="45">
        <v>0</v>
      </c>
      <c r="BZ262" s="45">
        <v>0</v>
      </c>
      <c r="CA262" s="45">
        <f t="shared" si="265"/>
        <v>0</v>
      </c>
      <c r="CB262" s="50"/>
      <c r="CC262" s="45">
        <f t="shared" si="266"/>
        <v>0</v>
      </c>
      <c r="CD262" s="64">
        <f>BY262*Inputs!$F$30*Inputs!$G$30</f>
        <v>0</v>
      </c>
      <c r="CE262" s="45">
        <f>Inputs!$F$30*Inputs!$I$30*BZ262</f>
        <v>0</v>
      </c>
      <c r="CF262" s="55"/>
    </row>
    <row r="263" spans="1:84" x14ac:dyDescent="0.25">
      <c r="A263" s="116">
        <v>9</v>
      </c>
      <c r="B263" s="114">
        <f>Inputs!$A$30</f>
        <v>0</v>
      </c>
      <c r="C263" s="45">
        <f>Inputs!$B$30</f>
        <v>0</v>
      </c>
      <c r="D263" s="45" t="s">
        <v>57</v>
      </c>
      <c r="E263" s="45">
        <v>0</v>
      </c>
      <c r="F263" s="50"/>
      <c r="G263" s="118">
        <v>9</v>
      </c>
      <c r="H263" s="114">
        <f>Inputs!$A$30</f>
        <v>0</v>
      </c>
      <c r="I263" s="45">
        <f>Inputs!$B$30</f>
        <v>0</v>
      </c>
      <c r="J263" s="45" t="s">
        <v>58</v>
      </c>
      <c r="K263" s="45">
        <v>0</v>
      </c>
      <c r="L263" s="50"/>
      <c r="M263" s="45">
        <v>0</v>
      </c>
      <c r="N263" s="45">
        <v>0</v>
      </c>
      <c r="O263" s="45">
        <f t="shared" si="259"/>
        <v>0</v>
      </c>
      <c r="P263" s="50"/>
      <c r="Q263" s="45">
        <f t="shared" si="260"/>
        <v>0</v>
      </c>
      <c r="R263" s="64">
        <f>M263*Inputs!$F$30*Inputs!$G$30</f>
        <v>0</v>
      </c>
      <c r="S263" s="45">
        <f>Inputs!$F$30*Inputs!$I$30*N263</f>
        <v>0</v>
      </c>
      <c r="T263" s="18"/>
      <c r="U263" s="55"/>
      <c r="W263" s="116">
        <v>9</v>
      </c>
      <c r="X263" s="114">
        <f>Inputs!$A$30</f>
        <v>0</v>
      </c>
      <c r="Y263" s="45">
        <f>Inputs!$B$30</f>
        <v>0</v>
      </c>
      <c r="Z263" s="45" t="s">
        <v>57</v>
      </c>
      <c r="AA263" s="45">
        <f t="shared" si="267"/>
        <v>0</v>
      </c>
      <c r="AB263" s="50"/>
      <c r="AC263" s="118">
        <v>9</v>
      </c>
      <c r="AD263" s="114">
        <f>Inputs!$A$30</f>
        <v>0</v>
      </c>
      <c r="AE263" s="45">
        <f>Inputs!$B$30</f>
        <v>0</v>
      </c>
      <c r="AF263" s="45" t="s">
        <v>58</v>
      </c>
      <c r="AG263" s="45">
        <f t="shared" si="268"/>
        <v>0</v>
      </c>
      <c r="AH263" s="50"/>
      <c r="AI263" s="45">
        <v>0</v>
      </c>
      <c r="AJ263" s="45">
        <v>0</v>
      </c>
      <c r="AK263" s="45">
        <f t="shared" si="261"/>
        <v>0</v>
      </c>
      <c r="AL263" s="50"/>
      <c r="AM263" s="45">
        <f t="shared" si="262"/>
        <v>0</v>
      </c>
      <c r="AN263" s="64">
        <f>AI263*Inputs!$F$30*Inputs!$G$30</f>
        <v>0</v>
      </c>
      <c r="AO263" s="45">
        <f>Inputs!$F$30*Inputs!$I$30*AJ263</f>
        <v>0</v>
      </c>
      <c r="AP263" s="55"/>
      <c r="AR263" s="116">
        <v>9</v>
      </c>
      <c r="AS263" s="114">
        <f>Inputs!$A$30</f>
        <v>0</v>
      </c>
      <c r="AT263" s="45">
        <f>Inputs!$B$30</f>
        <v>0</v>
      </c>
      <c r="AU263" s="45" t="s">
        <v>57</v>
      </c>
      <c r="AV263" s="45">
        <f t="shared" si="272"/>
        <v>0</v>
      </c>
      <c r="AW263" s="50"/>
      <c r="AX263" s="118">
        <v>9</v>
      </c>
      <c r="AY263" s="114">
        <f>Inputs!$A$30</f>
        <v>0</v>
      </c>
      <c r="AZ263" s="45">
        <f>Inputs!$B$30</f>
        <v>0</v>
      </c>
      <c r="BA263" s="45" t="s">
        <v>58</v>
      </c>
      <c r="BB263" s="45">
        <f t="shared" si="269"/>
        <v>0</v>
      </c>
      <c r="BC263" s="50"/>
      <c r="BD263" s="45">
        <v>0</v>
      </c>
      <c r="BE263" s="45">
        <v>0</v>
      </c>
      <c r="BF263" s="45">
        <f t="shared" si="263"/>
        <v>0</v>
      </c>
      <c r="BG263" s="50"/>
      <c r="BH263" s="45">
        <f t="shared" si="264"/>
        <v>0</v>
      </c>
      <c r="BI263" s="64">
        <f>BD263*Inputs!$F$30*Inputs!$G$30</f>
        <v>0</v>
      </c>
      <c r="BJ263" s="45">
        <f>Inputs!$F$30*Inputs!$I$30*BE263</f>
        <v>0</v>
      </c>
      <c r="BK263" s="55"/>
      <c r="BM263" s="116">
        <v>9</v>
      </c>
      <c r="BN263" s="114">
        <f>Inputs!$A$30</f>
        <v>0</v>
      </c>
      <c r="BO263" s="45">
        <f>Inputs!$B$30</f>
        <v>0</v>
      </c>
      <c r="BP263" s="45" t="s">
        <v>57</v>
      </c>
      <c r="BQ263" s="45">
        <f t="shared" si="270"/>
        <v>0</v>
      </c>
      <c r="BR263" s="50"/>
      <c r="BS263" s="118">
        <v>9</v>
      </c>
      <c r="BT263" s="114">
        <f>Inputs!$A$30</f>
        <v>0</v>
      </c>
      <c r="BU263" s="45">
        <f>Inputs!$B$30</f>
        <v>0</v>
      </c>
      <c r="BV263" s="45" t="s">
        <v>58</v>
      </c>
      <c r="BW263" s="45">
        <f t="shared" si="271"/>
        <v>0</v>
      </c>
      <c r="BX263" s="50"/>
      <c r="BY263" s="45">
        <v>0</v>
      </c>
      <c r="BZ263" s="45">
        <v>0</v>
      </c>
      <c r="CA263" s="45">
        <f t="shared" si="265"/>
        <v>0</v>
      </c>
      <c r="CB263" s="50"/>
      <c r="CC263" s="45">
        <f t="shared" si="266"/>
        <v>0</v>
      </c>
      <c r="CD263" s="64">
        <f>BY263*Inputs!$F$30*Inputs!$G$30</f>
        <v>0</v>
      </c>
      <c r="CE263" s="45">
        <f>Inputs!$F$30*Inputs!$I$30*BZ263</f>
        <v>0</v>
      </c>
      <c r="CF263" s="55"/>
    </row>
    <row r="264" spans="1:84" x14ac:dyDescent="0.25">
      <c r="A264" s="116">
        <v>10</v>
      </c>
      <c r="B264" s="114">
        <f>Inputs!$A$30</f>
        <v>0</v>
      </c>
      <c r="C264" s="45">
        <f>Inputs!$B$30</f>
        <v>0</v>
      </c>
      <c r="D264" s="45" t="s">
        <v>57</v>
      </c>
      <c r="E264" s="45">
        <v>0</v>
      </c>
      <c r="F264" s="50"/>
      <c r="G264" s="118">
        <v>10</v>
      </c>
      <c r="H264" s="114">
        <f>Inputs!$A$30</f>
        <v>0</v>
      </c>
      <c r="I264" s="45">
        <f>Inputs!$B$30</f>
        <v>0</v>
      </c>
      <c r="J264" s="45" t="s">
        <v>58</v>
      </c>
      <c r="K264" s="45">
        <v>0</v>
      </c>
      <c r="L264" s="50"/>
      <c r="M264" s="45">
        <v>0</v>
      </c>
      <c r="N264" s="45">
        <v>0</v>
      </c>
      <c r="O264" s="45">
        <f t="shared" si="259"/>
        <v>0</v>
      </c>
      <c r="P264" s="50"/>
      <c r="Q264" s="45">
        <f t="shared" si="260"/>
        <v>0</v>
      </c>
      <c r="R264" s="64">
        <f>M264*Inputs!$F$30*Inputs!$G$30</f>
        <v>0</v>
      </c>
      <c r="S264" s="45">
        <f>Inputs!$F$30*Inputs!$I$30*N264</f>
        <v>0</v>
      </c>
      <c r="T264" s="18"/>
      <c r="U264" s="91"/>
      <c r="W264" s="116">
        <v>10</v>
      </c>
      <c r="X264" s="114">
        <f>Inputs!$A$30</f>
        <v>0</v>
      </c>
      <c r="Y264" s="45">
        <f>Inputs!$B$30</f>
        <v>0</v>
      </c>
      <c r="Z264" s="45" t="s">
        <v>57</v>
      </c>
      <c r="AA264" s="45">
        <f t="shared" si="267"/>
        <v>0</v>
      </c>
      <c r="AB264" s="50"/>
      <c r="AC264" s="118">
        <v>10</v>
      </c>
      <c r="AD264" s="114">
        <f>Inputs!$A$30</f>
        <v>0</v>
      </c>
      <c r="AE264" s="45">
        <f>Inputs!$B$30</f>
        <v>0</v>
      </c>
      <c r="AF264" s="45" t="s">
        <v>58</v>
      </c>
      <c r="AG264" s="45">
        <f t="shared" si="268"/>
        <v>0</v>
      </c>
      <c r="AH264" s="50"/>
      <c r="AI264" s="45">
        <v>0</v>
      </c>
      <c r="AJ264" s="45">
        <v>0</v>
      </c>
      <c r="AK264" s="45">
        <f t="shared" si="261"/>
        <v>0</v>
      </c>
      <c r="AL264" s="50"/>
      <c r="AM264" s="45">
        <f t="shared" si="262"/>
        <v>0</v>
      </c>
      <c r="AN264" s="64">
        <f>AI264*Inputs!$F$30*Inputs!$G$30</f>
        <v>0</v>
      </c>
      <c r="AO264" s="45">
        <f>Inputs!$F$30*Inputs!$I$30*AJ264</f>
        <v>0</v>
      </c>
      <c r="AP264" s="91"/>
      <c r="AR264" s="116">
        <v>10</v>
      </c>
      <c r="AS264" s="114">
        <f>Inputs!$A$30</f>
        <v>0</v>
      </c>
      <c r="AT264" s="45">
        <f>Inputs!$B$30</f>
        <v>0</v>
      </c>
      <c r="AU264" s="45" t="s">
        <v>57</v>
      </c>
      <c r="AV264" s="45">
        <f t="shared" si="272"/>
        <v>0</v>
      </c>
      <c r="AW264" s="50"/>
      <c r="AX264" s="118">
        <v>10</v>
      </c>
      <c r="AY264" s="114">
        <f>Inputs!$A$30</f>
        <v>0</v>
      </c>
      <c r="AZ264" s="45">
        <f>Inputs!$B$30</f>
        <v>0</v>
      </c>
      <c r="BA264" s="45" t="s">
        <v>58</v>
      </c>
      <c r="BB264" s="45">
        <f t="shared" si="269"/>
        <v>0</v>
      </c>
      <c r="BC264" s="50"/>
      <c r="BD264" s="45">
        <v>0</v>
      </c>
      <c r="BE264" s="45">
        <v>0</v>
      </c>
      <c r="BF264" s="45">
        <f t="shared" si="263"/>
        <v>0</v>
      </c>
      <c r="BG264" s="50"/>
      <c r="BH264" s="45">
        <f t="shared" si="264"/>
        <v>0</v>
      </c>
      <c r="BI264" s="64">
        <f>BD264*Inputs!$F$30*Inputs!$G$30</f>
        <v>0</v>
      </c>
      <c r="BJ264" s="45">
        <f>Inputs!$F$30*Inputs!$I$30*BE264</f>
        <v>0</v>
      </c>
      <c r="BK264" s="91"/>
      <c r="BM264" s="116">
        <v>10</v>
      </c>
      <c r="BN264" s="114">
        <f>Inputs!$A$30</f>
        <v>0</v>
      </c>
      <c r="BO264" s="45">
        <f>Inputs!$B$30</f>
        <v>0</v>
      </c>
      <c r="BP264" s="45" t="s">
        <v>57</v>
      </c>
      <c r="BQ264" s="45">
        <f t="shared" si="270"/>
        <v>0</v>
      </c>
      <c r="BR264" s="50"/>
      <c r="BS264" s="118">
        <v>10</v>
      </c>
      <c r="BT264" s="114">
        <f>Inputs!$A$30</f>
        <v>0</v>
      </c>
      <c r="BU264" s="45">
        <f>Inputs!$B$30</f>
        <v>0</v>
      </c>
      <c r="BV264" s="45" t="s">
        <v>58</v>
      </c>
      <c r="BW264" s="45">
        <f t="shared" si="271"/>
        <v>0</v>
      </c>
      <c r="BX264" s="50"/>
      <c r="BY264" s="45">
        <v>0</v>
      </c>
      <c r="BZ264" s="45">
        <v>0</v>
      </c>
      <c r="CA264" s="45">
        <f t="shared" si="265"/>
        <v>0</v>
      </c>
      <c r="CB264" s="50"/>
      <c r="CC264" s="45">
        <f t="shared" si="266"/>
        <v>0</v>
      </c>
      <c r="CD264" s="64">
        <f>BY264*Inputs!$F$30*Inputs!$G$30</f>
        <v>0</v>
      </c>
      <c r="CE264" s="45">
        <f>Inputs!$F$30*Inputs!$I$30*BZ264</f>
        <v>0</v>
      </c>
      <c r="CF264" s="91"/>
    </row>
    <row r="265" spans="1:84" x14ac:dyDescent="0.25">
      <c r="A265" s="116">
        <v>11</v>
      </c>
      <c r="B265" s="114">
        <f>Inputs!$A$30</f>
        <v>0</v>
      </c>
      <c r="C265" s="45">
        <f>Inputs!$B$30</f>
        <v>0</v>
      </c>
      <c r="D265" s="45" t="s">
        <v>57</v>
      </c>
      <c r="E265" s="45">
        <v>0</v>
      </c>
      <c r="F265" s="50"/>
      <c r="G265" s="118">
        <v>11</v>
      </c>
      <c r="H265" s="114">
        <f>Inputs!$A$30</f>
        <v>0</v>
      </c>
      <c r="I265" s="45">
        <f>Inputs!$B$30</f>
        <v>0</v>
      </c>
      <c r="J265" s="45" t="s">
        <v>58</v>
      </c>
      <c r="K265" s="45">
        <v>0</v>
      </c>
      <c r="L265" s="50"/>
      <c r="M265" s="45">
        <v>0</v>
      </c>
      <c r="N265" s="45">
        <v>0</v>
      </c>
      <c r="O265" s="45">
        <f t="shared" si="259"/>
        <v>0</v>
      </c>
      <c r="P265" s="50"/>
      <c r="Q265" s="45">
        <f t="shared" si="260"/>
        <v>0</v>
      </c>
      <c r="R265" s="64">
        <f>M265*Inputs!$F$30*Inputs!$H$30</f>
        <v>0</v>
      </c>
      <c r="S265" s="45">
        <f>Inputs!$F$30*Inputs!$I$30*N265</f>
        <v>0</v>
      </c>
      <c r="T265" s="18"/>
      <c r="U265" s="56"/>
      <c r="W265" s="116">
        <v>11</v>
      </c>
      <c r="X265" s="114">
        <f>Inputs!$A$30</f>
        <v>0</v>
      </c>
      <c r="Y265" s="45">
        <f>Inputs!$B$30</f>
        <v>0</v>
      </c>
      <c r="Z265" s="45" t="s">
        <v>57</v>
      </c>
      <c r="AA265" s="45">
        <f t="shared" si="267"/>
        <v>0</v>
      </c>
      <c r="AB265" s="50"/>
      <c r="AC265" s="118">
        <v>11</v>
      </c>
      <c r="AD265" s="114">
        <f>Inputs!$A$30</f>
        <v>0</v>
      </c>
      <c r="AE265" s="45">
        <f>Inputs!$B$30</f>
        <v>0</v>
      </c>
      <c r="AF265" s="45" t="s">
        <v>58</v>
      </c>
      <c r="AG265" s="45">
        <f t="shared" si="268"/>
        <v>0</v>
      </c>
      <c r="AH265" s="50"/>
      <c r="AI265" s="45">
        <v>0</v>
      </c>
      <c r="AJ265" s="45">
        <v>0</v>
      </c>
      <c r="AK265" s="45">
        <f t="shared" si="261"/>
        <v>0</v>
      </c>
      <c r="AL265" s="50"/>
      <c r="AM265" s="45">
        <f t="shared" si="262"/>
        <v>0</v>
      </c>
      <c r="AN265" s="64">
        <f>AI265*Inputs!$F$30*Inputs!$H$30</f>
        <v>0</v>
      </c>
      <c r="AO265" s="45">
        <f>Inputs!$F$30*Inputs!$I$30*AJ265</f>
        <v>0</v>
      </c>
      <c r="AP265" s="56"/>
      <c r="AR265" s="116">
        <v>11</v>
      </c>
      <c r="AS265" s="114">
        <f>Inputs!$A$30</f>
        <v>0</v>
      </c>
      <c r="AT265" s="45">
        <f>Inputs!$B$30</f>
        <v>0</v>
      </c>
      <c r="AU265" s="45" t="s">
        <v>57</v>
      </c>
      <c r="AV265" s="45">
        <f t="shared" si="272"/>
        <v>0</v>
      </c>
      <c r="AW265" s="50"/>
      <c r="AX265" s="118">
        <v>11</v>
      </c>
      <c r="AY265" s="114">
        <f>Inputs!$A$30</f>
        <v>0</v>
      </c>
      <c r="AZ265" s="45">
        <f>Inputs!$B$30</f>
        <v>0</v>
      </c>
      <c r="BA265" s="45" t="s">
        <v>58</v>
      </c>
      <c r="BB265" s="45">
        <f t="shared" si="269"/>
        <v>0</v>
      </c>
      <c r="BC265" s="50"/>
      <c r="BD265" s="45">
        <v>0</v>
      </c>
      <c r="BE265" s="45">
        <v>0</v>
      </c>
      <c r="BF265" s="45">
        <f t="shared" si="263"/>
        <v>0</v>
      </c>
      <c r="BG265" s="50"/>
      <c r="BH265" s="45">
        <f t="shared" si="264"/>
        <v>0</v>
      </c>
      <c r="BI265" s="64">
        <f>BD265*Inputs!$F$30*Inputs!$H$30</f>
        <v>0</v>
      </c>
      <c r="BJ265" s="45">
        <f>Inputs!$F$30*Inputs!$I$30*BE265</f>
        <v>0</v>
      </c>
      <c r="BK265" s="56"/>
      <c r="BM265" s="116">
        <v>11</v>
      </c>
      <c r="BN265" s="114">
        <f>Inputs!$A$30</f>
        <v>0</v>
      </c>
      <c r="BO265" s="45">
        <f>Inputs!$B$30</f>
        <v>0</v>
      </c>
      <c r="BP265" s="45" t="s">
        <v>57</v>
      </c>
      <c r="BQ265" s="45">
        <f t="shared" si="270"/>
        <v>0</v>
      </c>
      <c r="BR265" s="50"/>
      <c r="BS265" s="118">
        <v>11</v>
      </c>
      <c r="BT265" s="114">
        <f>Inputs!$A$30</f>
        <v>0</v>
      </c>
      <c r="BU265" s="45">
        <f>Inputs!$B$30</f>
        <v>0</v>
      </c>
      <c r="BV265" s="45" t="s">
        <v>58</v>
      </c>
      <c r="BW265" s="45">
        <f t="shared" si="271"/>
        <v>0</v>
      </c>
      <c r="BX265" s="50"/>
      <c r="BY265" s="45">
        <v>0</v>
      </c>
      <c r="BZ265" s="45">
        <v>0</v>
      </c>
      <c r="CA265" s="45">
        <f t="shared" si="265"/>
        <v>0</v>
      </c>
      <c r="CB265" s="50"/>
      <c r="CC265" s="45">
        <f t="shared" si="266"/>
        <v>0</v>
      </c>
      <c r="CD265" s="64">
        <f>BY265*Inputs!$F$30*Inputs!$H$30</f>
        <v>0</v>
      </c>
      <c r="CE265" s="45">
        <f>Inputs!$F$30*Inputs!$I$30*BZ265</f>
        <v>0</v>
      </c>
      <c r="CF265" s="56"/>
    </row>
    <row r="266" spans="1:84" x14ac:dyDescent="0.25">
      <c r="A266" s="117">
        <v>3</v>
      </c>
      <c r="B266" s="115">
        <f>Inputs!$A$31</f>
        <v>0</v>
      </c>
      <c r="C266" s="44">
        <f>Inputs!$B$31</f>
        <v>0</v>
      </c>
      <c r="D266" s="44" t="s">
        <v>57</v>
      </c>
      <c r="E266" s="44">
        <v>0</v>
      </c>
      <c r="F266" s="50"/>
      <c r="G266" s="119">
        <v>3</v>
      </c>
      <c r="H266" s="115">
        <f>Inputs!$A$31</f>
        <v>0</v>
      </c>
      <c r="I266" s="44">
        <f>Inputs!$B$31</f>
        <v>0</v>
      </c>
      <c r="J266" s="44" t="s">
        <v>58</v>
      </c>
      <c r="K266" s="44">
        <v>0</v>
      </c>
      <c r="L266" s="50"/>
      <c r="M266" s="44">
        <v>0</v>
      </c>
      <c r="N266" s="44">
        <v>0</v>
      </c>
      <c r="O266" s="44">
        <f>U266-0-E266-K266</f>
        <v>0</v>
      </c>
      <c r="P266" s="50"/>
      <c r="Q266" s="44">
        <f>E266+K266+N266-U266+0-M266</f>
        <v>0</v>
      </c>
      <c r="R266" s="63">
        <f>M266*Inputs!$F$31*Inputs!$G$31</f>
        <v>0</v>
      </c>
      <c r="S266" s="44">
        <f>Inputs!$F$31*Inputs!$I$31*N266</f>
        <v>0</v>
      </c>
      <c r="T266" s="18"/>
      <c r="U266" s="54"/>
      <c r="W266" s="117">
        <v>3</v>
      </c>
      <c r="X266" s="115">
        <f>Inputs!$A$31</f>
        <v>0</v>
      </c>
      <c r="Y266" s="44">
        <f>Inputs!$B$31</f>
        <v>0</v>
      </c>
      <c r="Z266" s="44" t="s">
        <v>57</v>
      </c>
      <c r="AA266" s="44">
        <f t="shared" si="267"/>
        <v>0</v>
      </c>
      <c r="AB266" s="50"/>
      <c r="AC266" s="119">
        <v>3</v>
      </c>
      <c r="AD266" s="115">
        <f>Inputs!$A$31</f>
        <v>0</v>
      </c>
      <c r="AE266" s="44">
        <f>Inputs!$B$31</f>
        <v>0</v>
      </c>
      <c r="AF266" s="44" t="s">
        <v>58</v>
      </c>
      <c r="AG266" s="44">
        <f t="shared" si="268"/>
        <v>0</v>
      </c>
      <c r="AH266" s="50"/>
      <c r="AI266" s="44">
        <v>0</v>
      </c>
      <c r="AJ266" s="44">
        <v>0</v>
      </c>
      <c r="AK266" s="44">
        <f>AP266-0-AA266-AG266</f>
        <v>0</v>
      </c>
      <c r="AL266" s="50"/>
      <c r="AM266" s="44">
        <f>AA266+AG266+AJ266-AP266+0-AI266</f>
        <v>0</v>
      </c>
      <c r="AN266" s="63">
        <f>AI266*Inputs!$F$31*Inputs!$G$31</f>
        <v>0</v>
      </c>
      <c r="AO266" s="44">
        <f>Inputs!$F$31*Inputs!$I$31*AJ266</f>
        <v>0</v>
      </c>
      <c r="AP266" s="54"/>
      <c r="AR266" s="117">
        <v>3</v>
      </c>
      <c r="AS266" s="115">
        <f>Inputs!$A$31</f>
        <v>0</v>
      </c>
      <c r="AT266" s="44">
        <f>Inputs!$B$31</f>
        <v>0</v>
      </c>
      <c r="AU266" s="44" t="s">
        <v>57</v>
      </c>
      <c r="AV266" s="44">
        <f t="shared" si="272"/>
        <v>0</v>
      </c>
      <c r="AW266" s="50"/>
      <c r="AX266" s="119">
        <v>3</v>
      </c>
      <c r="AY266" s="115">
        <f>Inputs!$A$31</f>
        <v>0</v>
      </c>
      <c r="AZ266" s="44">
        <f>Inputs!$B$31</f>
        <v>0</v>
      </c>
      <c r="BA266" s="44" t="s">
        <v>58</v>
      </c>
      <c r="BB266" s="44">
        <f t="shared" si="269"/>
        <v>0</v>
      </c>
      <c r="BC266" s="50"/>
      <c r="BD266" s="44">
        <v>0</v>
      </c>
      <c r="BE266" s="44">
        <v>0</v>
      </c>
      <c r="BF266" s="44">
        <f>BK266-0-AV266-BB266</f>
        <v>0</v>
      </c>
      <c r="BG266" s="50"/>
      <c r="BH266" s="44">
        <f>AV266+BB266+BE266-BK266+0-BD266</f>
        <v>0</v>
      </c>
      <c r="BI266" s="63">
        <f>BD266*Inputs!$F$31*Inputs!$G$31</f>
        <v>0</v>
      </c>
      <c r="BJ266" s="44">
        <f>Inputs!$F$31*Inputs!$I$31*BE266</f>
        <v>0</v>
      </c>
      <c r="BK266" s="54"/>
      <c r="BM266" s="117">
        <v>3</v>
      </c>
      <c r="BN266" s="115">
        <f>Inputs!$A$31</f>
        <v>0</v>
      </c>
      <c r="BO266" s="44">
        <f>Inputs!$B$31</f>
        <v>0</v>
      </c>
      <c r="BP266" s="44" t="s">
        <v>57</v>
      </c>
      <c r="BQ266" s="44">
        <f t="shared" si="270"/>
        <v>0</v>
      </c>
      <c r="BR266" s="50"/>
      <c r="BS266" s="119">
        <v>3</v>
      </c>
      <c r="BT266" s="115">
        <f>Inputs!$A$31</f>
        <v>0</v>
      </c>
      <c r="BU266" s="44">
        <f>Inputs!$B$31</f>
        <v>0</v>
      </c>
      <c r="BV266" s="44" t="s">
        <v>58</v>
      </c>
      <c r="BW266" s="44">
        <f t="shared" si="271"/>
        <v>0</v>
      </c>
      <c r="BX266" s="50"/>
      <c r="BY266" s="44">
        <v>0</v>
      </c>
      <c r="BZ266" s="44">
        <v>0</v>
      </c>
      <c r="CA266" s="44">
        <f>CF266-0-BQ266-BW266</f>
        <v>0</v>
      </c>
      <c r="CB266" s="50"/>
      <c r="CC266" s="44">
        <f>BQ266+BW266+BZ266-CF266+0-BY266</f>
        <v>0</v>
      </c>
      <c r="CD266" s="63">
        <f>BY266*Inputs!$F$31*Inputs!$G$31</f>
        <v>0</v>
      </c>
      <c r="CE266" s="44">
        <f>Inputs!$F$31*Inputs!$I$31*BZ266</f>
        <v>0</v>
      </c>
      <c r="CF266" s="54"/>
    </row>
    <row r="267" spans="1:84" x14ac:dyDescent="0.25">
      <c r="A267" s="117">
        <v>4</v>
      </c>
      <c r="B267" s="115">
        <f>Inputs!$A$31</f>
        <v>0</v>
      </c>
      <c r="C267" s="44">
        <f>Inputs!$B$31</f>
        <v>0</v>
      </c>
      <c r="D267" s="44" t="s">
        <v>57</v>
      </c>
      <c r="E267" s="44">
        <v>0</v>
      </c>
      <c r="F267" s="50"/>
      <c r="G267" s="119">
        <v>4</v>
      </c>
      <c r="H267" s="115">
        <f>Inputs!$A$31</f>
        <v>0</v>
      </c>
      <c r="I267" s="44">
        <f>Inputs!$B$31</f>
        <v>0</v>
      </c>
      <c r="J267" s="44" t="s">
        <v>58</v>
      </c>
      <c r="K267" s="44">
        <v>0</v>
      </c>
      <c r="L267" s="50"/>
      <c r="M267" s="44">
        <v>0</v>
      </c>
      <c r="N267" s="44">
        <v>0</v>
      </c>
      <c r="O267" s="44">
        <f t="shared" ref="O267:O274" si="273">U267-M266-E267-K267</f>
        <v>0</v>
      </c>
      <c r="P267" s="50"/>
      <c r="Q267" s="44">
        <f t="shared" ref="Q267:Q274" si="274">E267+K267+N267-U267+M266-M267</f>
        <v>0</v>
      </c>
      <c r="R267" s="63">
        <f>M267*Inputs!$F$31*Inputs!$G$31</f>
        <v>0</v>
      </c>
      <c r="S267" s="44">
        <f>Inputs!$F$31*Inputs!$I$31*N267</f>
        <v>0</v>
      </c>
      <c r="T267" s="18"/>
      <c r="U267" s="55"/>
      <c r="W267" s="117">
        <v>4</v>
      </c>
      <c r="X267" s="115">
        <f>Inputs!$A$31</f>
        <v>0</v>
      </c>
      <c r="Y267" s="44">
        <f>Inputs!$B$31</f>
        <v>0</v>
      </c>
      <c r="Z267" s="44" t="s">
        <v>57</v>
      </c>
      <c r="AA267" s="44">
        <f t="shared" si="267"/>
        <v>0</v>
      </c>
      <c r="AB267" s="50"/>
      <c r="AC267" s="119">
        <v>4</v>
      </c>
      <c r="AD267" s="115">
        <f>Inputs!$A$31</f>
        <v>0</v>
      </c>
      <c r="AE267" s="44">
        <f>Inputs!$B$31</f>
        <v>0</v>
      </c>
      <c r="AF267" s="44" t="s">
        <v>58</v>
      </c>
      <c r="AG267" s="44">
        <f t="shared" si="268"/>
        <v>0</v>
      </c>
      <c r="AH267" s="50"/>
      <c r="AI267" s="44">
        <v>0</v>
      </c>
      <c r="AJ267" s="44">
        <v>0</v>
      </c>
      <c r="AK267" s="44">
        <f t="shared" ref="AK267:AK274" si="275">AP267-AI266-AA267-AG267</f>
        <v>0</v>
      </c>
      <c r="AL267" s="50"/>
      <c r="AM267" s="44">
        <f t="shared" ref="AM267:AM274" si="276">AA267+AG267+AJ267-AP267+AI266-AI267</f>
        <v>0</v>
      </c>
      <c r="AN267" s="63">
        <f>AI267*Inputs!$F$31*Inputs!$G$31</f>
        <v>0</v>
      </c>
      <c r="AO267" s="44">
        <f>Inputs!$F$31*Inputs!$I$31*AJ267</f>
        <v>0</v>
      </c>
      <c r="AP267" s="55"/>
      <c r="AR267" s="117">
        <v>4</v>
      </c>
      <c r="AS267" s="115">
        <f>Inputs!$A$31</f>
        <v>0</v>
      </c>
      <c r="AT267" s="44">
        <f>Inputs!$B$31</f>
        <v>0</v>
      </c>
      <c r="AU267" s="44" t="s">
        <v>57</v>
      </c>
      <c r="AV267" s="44">
        <f t="shared" si="272"/>
        <v>0</v>
      </c>
      <c r="AW267" s="50"/>
      <c r="AX267" s="119">
        <v>4</v>
      </c>
      <c r="AY267" s="115">
        <f>Inputs!$A$31</f>
        <v>0</v>
      </c>
      <c r="AZ267" s="44">
        <f>Inputs!$B$31</f>
        <v>0</v>
      </c>
      <c r="BA267" s="44" t="s">
        <v>58</v>
      </c>
      <c r="BB267" s="44">
        <f t="shared" si="269"/>
        <v>0</v>
      </c>
      <c r="BC267" s="50"/>
      <c r="BD267" s="44">
        <v>0</v>
      </c>
      <c r="BE267" s="44">
        <v>0</v>
      </c>
      <c r="BF267" s="44">
        <f t="shared" ref="BF267:BF274" si="277">BK267-BD266-AV267-BB267</f>
        <v>0</v>
      </c>
      <c r="BG267" s="50"/>
      <c r="BH267" s="44">
        <f t="shared" ref="BH267:BH274" si="278">AV267+BB267+BE267-BK267+BD266-BD267</f>
        <v>0</v>
      </c>
      <c r="BI267" s="63">
        <f>BD267*Inputs!$F$31*Inputs!$G$31</f>
        <v>0</v>
      </c>
      <c r="BJ267" s="44">
        <f>Inputs!$F$31*Inputs!$I$31*BE267</f>
        <v>0</v>
      </c>
      <c r="BK267" s="55"/>
      <c r="BM267" s="117">
        <v>4</v>
      </c>
      <c r="BN267" s="115">
        <f>Inputs!$A$31</f>
        <v>0</v>
      </c>
      <c r="BO267" s="44">
        <f>Inputs!$B$31</f>
        <v>0</v>
      </c>
      <c r="BP267" s="44" t="s">
        <v>57</v>
      </c>
      <c r="BQ267" s="44">
        <f t="shared" si="270"/>
        <v>0</v>
      </c>
      <c r="BR267" s="50"/>
      <c r="BS267" s="119">
        <v>4</v>
      </c>
      <c r="BT267" s="115">
        <f>Inputs!$A$31</f>
        <v>0</v>
      </c>
      <c r="BU267" s="44">
        <f>Inputs!$B$31</f>
        <v>0</v>
      </c>
      <c r="BV267" s="44" t="s">
        <v>58</v>
      </c>
      <c r="BW267" s="44">
        <f t="shared" si="271"/>
        <v>0</v>
      </c>
      <c r="BX267" s="50"/>
      <c r="BY267" s="44">
        <v>0</v>
      </c>
      <c r="BZ267" s="44">
        <v>0</v>
      </c>
      <c r="CA267" s="44">
        <f t="shared" ref="CA267:CA274" si="279">CF267-BY266-BQ267-BW267</f>
        <v>0</v>
      </c>
      <c r="CB267" s="50"/>
      <c r="CC267" s="44">
        <f t="shared" ref="CC267:CC274" si="280">BQ267+BW267+BZ267-CF267+BY266-BY267</f>
        <v>0</v>
      </c>
      <c r="CD267" s="63">
        <f>BY267*Inputs!$F$31*Inputs!$G$31</f>
        <v>0</v>
      </c>
      <c r="CE267" s="44">
        <f>Inputs!$F$31*Inputs!$I$31*BZ267</f>
        <v>0</v>
      </c>
      <c r="CF267" s="55"/>
    </row>
    <row r="268" spans="1:84" x14ac:dyDescent="0.25">
      <c r="A268" s="117">
        <v>5</v>
      </c>
      <c r="B268" s="115">
        <f>Inputs!$A$31</f>
        <v>0</v>
      </c>
      <c r="C268" s="44">
        <f>Inputs!$B$31</f>
        <v>0</v>
      </c>
      <c r="D268" s="44" t="s">
        <v>57</v>
      </c>
      <c r="E268" s="44">
        <v>0</v>
      </c>
      <c r="F268" s="50"/>
      <c r="G268" s="119">
        <v>5</v>
      </c>
      <c r="H268" s="115">
        <f>Inputs!$A$31</f>
        <v>0</v>
      </c>
      <c r="I268" s="44">
        <f>Inputs!$B$31</f>
        <v>0</v>
      </c>
      <c r="J268" s="44" t="s">
        <v>58</v>
      </c>
      <c r="K268" s="44">
        <v>0</v>
      </c>
      <c r="L268" s="50"/>
      <c r="M268" s="44">
        <v>0</v>
      </c>
      <c r="N268" s="44">
        <v>0</v>
      </c>
      <c r="O268" s="44">
        <f t="shared" si="273"/>
        <v>0</v>
      </c>
      <c r="P268" s="50"/>
      <c r="Q268" s="44">
        <f t="shared" si="274"/>
        <v>0</v>
      </c>
      <c r="R268" s="63">
        <f>M268*Inputs!$F$31*Inputs!$G$31</f>
        <v>0</v>
      </c>
      <c r="S268" s="44">
        <f>Inputs!$F$31*Inputs!$I$31*N268</f>
        <v>0</v>
      </c>
      <c r="T268" s="18"/>
      <c r="U268" s="55"/>
      <c r="W268" s="117">
        <v>5</v>
      </c>
      <c r="X268" s="115">
        <f>Inputs!$A$31</f>
        <v>0</v>
      </c>
      <c r="Y268" s="44">
        <f>Inputs!$B$31</f>
        <v>0</v>
      </c>
      <c r="Z268" s="44" t="s">
        <v>57</v>
      </c>
      <c r="AA268" s="44">
        <f t="shared" si="267"/>
        <v>0</v>
      </c>
      <c r="AB268" s="50"/>
      <c r="AC268" s="119">
        <v>5</v>
      </c>
      <c r="AD268" s="115">
        <f>Inputs!$A$31</f>
        <v>0</v>
      </c>
      <c r="AE268" s="44">
        <f>Inputs!$B$31</f>
        <v>0</v>
      </c>
      <c r="AF268" s="44" t="s">
        <v>58</v>
      </c>
      <c r="AG268" s="44">
        <f t="shared" si="268"/>
        <v>0</v>
      </c>
      <c r="AH268" s="50"/>
      <c r="AI268" s="44">
        <v>0</v>
      </c>
      <c r="AJ268" s="44">
        <v>0</v>
      </c>
      <c r="AK268" s="44">
        <f t="shared" si="275"/>
        <v>0</v>
      </c>
      <c r="AL268" s="50"/>
      <c r="AM268" s="44">
        <f t="shared" si="276"/>
        <v>0</v>
      </c>
      <c r="AN268" s="63">
        <f>AI268*Inputs!$F$31*Inputs!$G$31</f>
        <v>0</v>
      </c>
      <c r="AO268" s="44">
        <f>Inputs!$F$31*Inputs!$I$31*AJ268</f>
        <v>0</v>
      </c>
      <c r="AP268" s="55"/>
      <c r="AR268" s="117">
        <v>5</v>
      </c>
      <c r="AS268" s="115">
        <f>Inputs!$A$31</f>
        <v>0</v>
      </c>
      <c r="AT268" s="44">
        <f>Inputs!$B$31</f>
        <v>0</v>
      </c>
      <c r="AU268" s="44" t="s">
        <v>57</v>
      </c>
      <c r="AV268" s="44">
        <f t="shared" si="272"/>
        <v>0</v>
      </c>
      <c r="AW268" s="50"/>
      <c r="AX268" s="119">
        <v>5</v>
      </c>
      <c r="AY268" s="115">
        <f>Inputs!$A$31</f>
        <v>0</v>
      </c>
      <c r="AZ268" s="44">
        <f>Inputs!$B$31</f>
        <v>0</v>
      </c>
      <c r="BA268" s="44" t="s">
        <v>58</v>
      </c>
      <c r="BB268" s="44">
        <f t="shared" si="269"/>
        <v>0</v>
      </c>
      <c r="BC268" s="50"/>
      <c r="BD268" s="44">
        <v>0</v>
      </c>
      <c r="BE268" s="44">
        <v>0</v>
      </c>
      <c r="BF268" s="44">
        <f t="shared" si="277"/>
        <v>0</v>
      </c>
      <c r="BG268" s="50"/>
      <c r="BH268" s="44">
        <f t="shared" si="278"/>
        <v>0</v>
      </c>
      <c r="BI268" s="63">
        <f>BD268*Inputs!$F$31*Inputs!$G$31</f>
        <v>0</v>
      </c>
      <c r="BJ268" s="44">
        <f>Inputs!$F$31*Inputs!$I$31*BE268</f>
        <v>0</v>
      </c>
      <c r="BK268" s="55"/>
      <c r="BM268" s="117">
        <v>5</v>
      </c>
      <c r="BN268" s="115">
        <f>Inputs!$A$31</f>
        <v>0</v>
      </c>
      <c r="BO268" s="44">
        <f>Inputs!$B$31</f>
        <v>0</v>
      </c>
      <c r="BP268" s="44" t="s">
        <v>57</v>
      </c>
      <c r="BQ268" s="44">
        <f t="shared" si="270"/>
        <v>0</v>
      </c>
      <c r="BR268" s="50"/>
      <c r="BS268" s="119">
        <v>5</v>
      </c>
      <c r="BT268" s="115">
        <f>Inputs!$A$31</f>
        <v>0</v>
      </c>
      <c r="BU268" s="44">
        <f>Inputs!$B$31</f>
        <v>0</v>
      </c>
      <c r="BV268" s="44" t="s">
        <v>58</v>
      </c>
      <c r="BW268" s="44">
        <f t="shared" si="271"/>
        <v>0</v>
      </c>
      <c r="BX268" s="50"/>
      <c r="BY268" s="44">
        <v>0</v>
      </c>
      <c r="BZ268" s="44">
        <v>0</v>
      </c>
      <c r="CA268" s="44">
        <f t="shared" si="279"/>
        <v>0</v>
      </c>
      <c r="CB268" s="50"/>
      <c r="CC268" s="44">
        <f t="shared" si="280"/>
        <v>0</v>
      </c>
      <c r="CD268" s="63">
        <f>BY268*Inputs!$F$31*Inputs!$G$31</f>
        <v>0</v>
      </c>
      <c r="CE268" s="44">
        <f>Inputs!$F$31*Inputs!$I$31*BZ268</f>
        <v>0</v>
      </c>
      <c r="CF268" s="55"/>
    </row>
    <row r="269" spans="1:84" x14ac:dyDescent="0.25">
      <c r="A269" s="117">
        <v>6</v>
      </c>
      <c r="B269" s="115">
        <f>Inputs!$A$31</f>
        <v>0</v>
      </c>
      <c r="C269" s="44">
        <f>Inputs!$B$31</f>
        <v>0</v>
      </c>
      <c r="D269" s="44" t="s">
        <v>57</v>
      </c>
      <c r="E269" s="44">
        <v>0</v>
      </c>
      <c r="F269" s="50"/>
      <c r="G269" s="119">
        <v>6</v>
      </c>
      <c r="H269" s="115">
        <f>Inputs!$A$31</f>
        <v>0</v>
      </c>
      <c r="I269" s="44">
        <f>Inputs!$B$31</f>
        <v>0</v>
      </c>
      <c r="J269" s="44" t="s">
        <v>58</v>
      </c>
      <c r="K269" s="44">
        <v>0</v>
      </c>
      <c r="L269" s="50"/>
      <c r="M269" s="44">
        <v>0</v>
      </c>
      <c r="N269" s="44">
        <v>0</v>
      </c>
      <c r="O269" s="44">
        <f t="shared" si="273"/>
        <v>0</v>
      </c>
      <c r="P269" s="50"/>
      <c r="Q269" s="44">
        <f t="shared" si="274"/>
        <v>0</v>
      </c>
      <c r="R269" s="63">
        <f>M269*Inputs!$F$31*Inputs!$G$31</f>
        <v>0</v>
      </c>
      <c r="S269" s="44">
        <f>Inputs!$F$31*Inputs!$I$31*N269</f>
        <v>0</v>
      </c>
      <c r="T269" s="18"/>
      <c r="U269" s="55"/>
      <c r="W269" s="117">
        <v>6</v>
      </c>
      <c r="X269" s="115">
        <f>Inputs!$A$31</f>
        <v>0</v>
      </c>
      <c r="Y269" s="44">
        <f>Inputs!$B$31</f>
        <v>0</v>
      </c>
      <c r="Z269" s="44" t="s">
        <v>57</v>
      </c>
      <c r="AA269" s="44">
        <f t="shared" si="267"/>
        <v>0</v>
      </c>
      <c r="AB269" s="50"/>
      <c r="AC269" s="119">
        <v>6</v>
      </c>
      <c r="AD269" s="115">
        <f>Inputs!$A$31</f>
        <v>0</v>
      </c>
      <c r="AE269" s="44">
        <f>Inputs!$B$31</f>
        <v>0</v>
      </c>
      <c r="AF269" s="44" t="s">
        <v>58</v>
      </c>
      <c r="AG269" s="44">
        <f t="shared" si="268"/>
        <v>0</v>
      </c>
      <c r="AH269" s="50"/>
      <c r="AI269" s="44">
        <v>0</v>
      </c>
      <c r="AJ269" s="44">
        <v>0</v>
      </c>
      <c r="AK269" s="44">
        <f t="shared" si="275"/>
        <v>0</v>
      </c>
      <c r="AL269" s="50"/>
      <c r="AM269" s="44">
        <f t="shared" si="276"/>
        <v>0</v>
      </c>
      <c r="AN269" s="63">
        <f>AI269*Inputs!$F$31*Inputs!$G$31</f>
        <v>0</v>
      </c>
      <c r="AO269" s="44">
        <f>Inputs!$F$31*Inputs!$I$31*AJ269</f>
        <v>0</v>
      </c>
      <c r="AP269" s="55"/>
      <c r="AR269" s="117">
        <v>6</v>
      </c>
      <c r="AS269" s="115">
        <f>Inputs!$A$31</f>
        <v>0</v>
      </c>
      <c r="AT269" s="44">
        <f>Inputs!$B$31</f>
        <v>0</v>
      </c>
      <c r="AU269" s="44" t="s">
        <v>57</v>
      </c>
      <c r="AV269" s="44">
        <f t="shared" si="272"/>
        <v>0</v>
      </c>
      <c r="AW269" s="50"/>
      <c r="AX269" s="119">
        <v>6</v>
      </c>
      <c r="AY269" s="115">
        <f>Inputs!$A$31</f>
        <v>0</v>
      </c>
      <c r="AZ269" s="44">
        <f>Inputs!$B$31</f>
        <v>0</v>
      </c>
      <c r="BA269" s="44" t="s">
        <v>58</v>
      </c>
      <c r="BB269" s="44">
        <f t="shared" si="269"/>
        <v>0</v>
      </c>
      <c r="BC269" s="50"/>
      <c r="BD269" s="44">
        <v>0</v>
      </c>
      <c r="BE269" s="44">
        <v>0</v>
      </c>
      <c r="BF269" s="44">
        <f t="shared" si="277"/>
        <v>0</v>
      </c>
      <c r="BG269" s="50"/>
      <c r="BH269" s="44">
        <f t="shared" si="278"/>
        <v>0</v>
      </c>
      <c r="BI269" s="63">
        <f>BD269*Inputs!$F$31*Inputs!$G$31</f>
        <v>0</v>
      </c>
      <c r="BJ269" s="44">
        <f>Inputs!$F$31*Inputs!$I$31*BE269</f>
        <v>0</v>
      </c>
      <c r="BK269" s="55"/>
      <c r="BM269" s="117">
        <v>6</v>
      </c>
      <c r="BN269" s="115">
        <f>Inputs!$A$31</f>
        <v>0</v>
      </c>
      <c r="BO269" s="44">
        <f>Inputs!$B$31</f>
        <v>0</v>
      </c>
      <c r="BP269" s="44" t="s">
        <v>57</v>
      </c>
      <c r="BQ269" s="44">
        <f t="shared" si="270"/>
        <v>0</v>
      </c>
      <c r="BR269" s="50"/>
      <c r="BS269" s="119">
        <v>6</v>
      </c>
      <c r="BT269" s="115">
        <f>Inputs!$A$31</f>
        <v>0</v>
      </c>
      <c r="BU269" s="44">
        <f>Inputs!$B$31</f>
        <v>0</v>
      </c>
      <c r="BV269" s="44" t="s">
        <v>58</v>
      </c>
      <c r="BW269" s="44">
        <f t="shared" si="271"/>
        <v>0</v>
      </c>
      <c r="BX269" s="50"/>
      <c r="BY269" s="44">
        <v>0</v>
      </c>
      <c r="BZ269" s="44">
        <v>0</v>
      </c>
      <c r="CA269" s="44">
        <f t="shared" si="279"/>
        <v>0</v>
      </c>
      <c r="CB269" s="50"/>
      <c r="CC269" s="44">
        <f t="shared" si="280"/>
        <v>0</v>
      </c>
      <c r="CD269" s="63">
        <f>BY269*Inputs!$F$31*Inputs!$G$31</f>
        <v>0</v>
      </c>
      <c r="CE269" s="44">
        <f>Inputs!$F$31*Inputs!$I$31*BZ269</f>
        <v>0</v>
      </c>
      <c r="CF269" s="55"/>
    </row>
    <row r="270" spans="1:84" x14ac:dyDescent="0.25">
      <c r="A270" s="117">
        <v>7</v>
      </c>
      <c r="B270" s="115">
        <f>Inputs!$A$31</f>
        <v>0</v>
      </c>
      <c r="C270" s="44">
        <f>Inputs!$B$31</f>
        <v>0</v>
      </c>
      <c r="D270" s="44" t="s">
        <v>57</v>
      </c>
      <c r="E270" s="44">
        <v>0</v>
      </c>
      <c r="F270" s="50"/>
      <c r="G270" s="119">
        <v>7</v>
      </c>
      <c r="H270" s="115">
        <f>Inputs!$A$31</f>
        <v>0</v>
      </c>
      <c r="I270" s="44">
        <f>Inputs!$B$31</f>
        <v>0</v>
      </c>
      <c r="J270" s="44" t="s">
        <v>58</v>
      </c>
      <c r="K270" s="44">
        <v>0</v>
      </c>
      <c r="L270" s="50"/>
      <c r="M270" s="44">
        <v>0</v>
      </c>
      <c r="N270" s="44">
        <v>0</v>
      </c>
      <c r="O270" s="44">
        <f t="shared" si="273"/>
        <v>0</v>
      </c>
      <c r="P270" s="50"/>
      <c r="Q270" s="44">
        <f t="shared" si="274"/>
        <v>0</v>
      </c>
      <c r="R270" s="63">
        <f>M270*Inputs!$F$31*Inputs!$G$31</f>
        <v>0</v>
      </c>
      <c r="S270" s="44">
        <f>Inputs!$F$31*Inputs!$I$31*N270</f>
        <v>0</v>
      </c>
      <c r="T270" s="18"/>
      <c r="U270" s="55"/>
      <c r="W270" s="117">
        <v>7</v>
      </c>
      <c r="X270" s="115">
        <f>Inputs!$A$31</f>
        <v>0</v>
      </c>
      <c r="Y270" s="44">
        <f>Inputs!$B$31</f>
        <v>0</v>
      </c>
      <c r="Z270" s="44" t="s">
        <v>57</v>
      </c>
      <c r="AA270" s="44">
        <f t="shared" si="267"/>
        <v>0</v>
      </c>
      <c r="AB270" s="50"/>
      <c r="AC270" s="119">
        <v>7</v>
      </c>
      <c r="AD270" s="115">
        <f>Inputs!$A$31</f>
        <v>0</v>
      </c>
      <c r="AE270" s="44">
        <f>Inputs!$B$31</f>
        <v>0</v>
      </c>
      <c r="AF270" s="44" t="s">
        <v>58</v>
      </c>
      <c r="AG270" s="44">
        <f t="shared" si="268"/>
        <v>0</v>
      </c>
      <c r="AH270" s="50"/>
      <c r="AI270" s="44">
        <v>0</v>
      </c>
      <c r="AJ270" s="44">
        <v>0</v>
      </c>
      <c r="AK270" s="44">
        <f t="shared" si="275"/>
        <v>0</v>
      </c>
      <c r="AL270" s="50"/>
      <c r="AM270" s="44">
        <f t="shared" si="276"/>
        <v>0</v>
      </c>
      <c r="AN270" s="63">
        <f>AI270*Inputs!$F$31*Inputs!$G$31</f>
        <v>0</v>
      </c>
      <c r="AO270" s="44">
        <f>Inputs!$F$31*Inputs!$I$31*AJ270</f>
        <v>0</v>
      </c>
      <c r="AP270" s="55"/>
      <c r="AR270" s="117">
        <v>7</v>
      </c>
      <c r="AS270" s="115">
        <f>Inputs!$A$31</f>
        <v>0</v>
      </c>
      <c r="AT270" s="44">
        <f>Inputs!$B$31</f>
        <v>0</v>
      </c>
      <c r="AU270" s="44" t="s">
        <v>57</v>
      </c>
      <c r="AV270" s="44">
        <f t="shared" si="272"/>
        <v>0</v>
      </c>
      <c r="AW270" s="50"/>
      <c r="AX270" s="119">
        <v>7</v>
      </c>
      <c r="AY270" s="115">
        <f>Inputs!$A$31</f>
        <v>0</v>
      </c>
      <c r="AZ270" s="44">
        <f>Inputs!$B$31</f>
        <v>0</v>
      </c>
      <c r="BA270" s="44" t="s">
        <v>58</v>
      </c>
      <c r="BB270" s="44">
        <f t="shared" si="269"/>
        <v>0</v>
      </c>
      <c r="BC270" s="50"/>
      <c r="BD270" s="44">
        <v>0</v>
      </c>
      <c r="BE270" s="44">
        <v>0</v>
      </c>
      <c r="BF270" s="44">
        <f t="shared" si="277"/>
        <v>0</v>
      </c>
      <c r="BG270" s="50"/>
      <c r="BH270" s="44">
        <f t="shared" si="278"/>
        <v>0</v>
      </c>
      <c r="BI270" s="63">
        <f>BD270*Inputs!$F$31*Inputs!$G$31</f>
        <v>0</v>
      </c>
      <c r="BJ270" s="44">
        <f>Inputs!$F$31*Inputs!$I$31*BE270</f>
        <v>0</v>
      </c>
      <c r="BK270" s="55"/>
      <c r="BM270" s="117">
        <v>7</v>
      </c>
      <c r="BN270" s="115">
        <f>Inputs!$A$31</f>
        <v>0</v>
      </c>
      <c r="BO270" s="44">
        <f>Inputs!$B$31</f>
        <v>0</v>
      </c>
      <c r="BP270" s="44" t="s">
        <v>57</v>
      </c>
      <c r="BQ270" s="44">
        <f t="shared" si="270"/>
        <v>0</v>
      </c>
      <c r="BR270" s="50"/>
      <c r="BS270" s="119">
        <v>7</v>
      </c>
      <c r="BT270" s="115">
        <f>Inputs!$A$31</f>
        <v>0</v>
      </c>
      <c r="BU270" s="44">
        <f>Inputs!$B$31</f>
        <v>0</v>
      </c>
      <c r="BV270" s="44" t="s">
        <v>58</v>
      </c>
      <c r="BW270" s="44">
        <f t="shared" si="271"/>
        <v>0</v>
      </c>
      <c r="BX270" s="50"/>
      <c r="BY270" s="44">
        <v>0</v>
      </c>
      <c r="BZ270" s="44">
        <v>0</v>
      </c>
      <c r="CA270" s="44">
        <f t="shared" si="279"/>
        <v>0</v>
      </c>
      <c r="CB270" s="50"/>
      <c r="CC270" s="44">
        <f t="shared" si="280"/>
        <v>0</v>
      </c>
      <c r="CD270" s="63">
        <f>BY270*Inputs!$F$31*Inputs!$G$31</f>
        <v>0</v>
      </c>
      <c r="CE270" s="44">
        <f>Inputs!$F$31*Inputs!$I$31*BZ270</f>
        <v>0</v>
      </c>
      <c r="CF270" s="55"/>
    </row>
    <row r="271" spans="1:84" x14ac:dyDescent="0.25">
      <c r="A271" s="117">
        <v>8</v>
      </c>
      <c r="B271" s="115">
        <f>Inputs!$A$31</f>
        <v>0</v>
      </c>
      <c r="C271" s="44">
        <f>Inputs!$B$31</f>
        <v>0</v>
      </c>
      <c r="D271" s="44" t="s">
        <v>57</v>
      </c>
      <c r="E271" s="44">
        <v>0</v>
      </c>
      <c r="F271" s="50"/>
      <c r="G271" s="119">
        <v>8</v>
      </c>
      <c r="H271" s="115">
        <f>Inputs!$A$31</f>
        <v>0</v>
      </c>
      <c r="I271" s="44">
        <f>Inputs!$B$31</f>
        <v>0</v>
      </c>
      <c r="J271" s="44" t="s">
        <v>58</v>
      </c>
      <c r="K271" s="44">
        <v>0</v>
      </c>
      <c r="L271" s="50"/>
      <c r="M271" s="44">
        <v>0</v>
      </c>
      <c r="N271" s="44">
        <v>0</v>
      </c>
      <c r="O271" s="44">
        <f t="shared" si="273"/>
        <v>0</v>
      </c>
      <c r="P271" s="50"/>
      <c r="Q271" s="44">
        <f t="shared" si="274"/>
        <v>0</v>
      </c>
      <c r="R271" s="63">
        <f>M271*Inputs!$F$31*Inputs!$G$31</f>
        <v>0</v>
      </c>
      <c r="S271" s="44">
        <f>Inputs!$F$31*Inputs!$I$31*N271</f>
        <v>0</v>
      </c>
      <c r="T271" s="18"/>
      <c r="U271" s="55"/>
      <c r="W271" s="117">
        <v>8</v>
      </c>
      <c r="X271" s="115">
        <f>Inputs!$A$31</f>
        <v>0</v>
      </c>
      <c r="Y271" s="44">
        <f>Inputs!$B$31</f>
        <v>0</v>
      </c>
      <c r="Z271" s="44" t="s">
        <v>57</v>
      </c>
      <c r="AA271" s="44">
        <f t="shared" si="267"/>
        <v>0</v>
      </c>
      <c r="AB271" s="50"/>
      <c r="AC271" s="119">
        <v>8</v>
      </c>
      <c r="AD271" s="115">
        <f>Inputs!$A$31</f>
        <v>0</v>
      </c>
      <c r="AE271" s="44">
        <f>Inputs!$B$31</f>
        <v>0</v>
      </c>
      <c r="AF271" s="44" t="s">
        <v>58</v>
      </c>
      <c r="AG271" s="44">
        <f t="shared" si="268"/>
        <v>0</v>
      </c>
      <c r="AH271" s="50"/>
      <c r="AI271" s="44">
        <v>0</v>
      </c>
      <c r="AJ271" s="44">
        <v>0</v>
      </c>
      <c r="AK271" s="44">
        <f t="shared" si="275"/>
        <v>0</v>
      </c>
      <c r="AL271" s="50"/>
      <c r="AM271" s="44">
        <f t="shared" si="276"/>
        <v>0</v>
      </c>
      <c r="AN271" s="63">
        <f>AI271*Inputs!$F$31*Inputs!$G$31</f>
        <v>0</v>
      </c>
      <c r="AO271" s="44">
        <f>Inputs!$F$31*Inputs!$I$31*AJ271</f>
        <v>0</v>
      </c>
      <c r="AP271" s="55"/>
      <c r="AR271" s="117">
        <v>8</v>
      </c>
      <c r="AS271" s="115">
        <f>Inputs!$A$31</f>
        <v>0</v>
      </c>
      <c r="AT271" s="44">
        <f>Inputs!$B$31</f>
        <v>0</v>
      </c>
      <c r="AU271" s="44" t="s">
        <v>57</v>
      </c>
      <c r="AV271" s="44">
        <f t="shared" si="272"/>
        <v>0</v>
      </c>
      <c r="AW271" s="50"/>
      <c r="AX271" s="119">
        <v>8</v>
      </c>
      <c r="AY271" s="115">
        <f>Inputs!$A$31</f>
        <v>0</v>
      </c>
      <c r="AZ271" s="44">
        <f>Inputs!$B$31</f>
        <v>0</v>
      </c>
      <c r="BA271" s="44" t="s">
        <v>58</v>
      </c>
      <c r="BB271" s="44">
        <f t="shared" si="269"/>
        <v>0</v>
      </c>
      <c r="BC271" s="50"/>
      <c r="BD271" s="44">
        <v>0</v>
      </c>
      <c r="BE271" s="44">
        <v>0</v>
      </c>
      <c r="BF271" s="44">
        <f t="shared" si="277"/>
        <v>0</v>
      </c>
      <c r="BG271" s="50"/>
      <c r="BH271" s="44">
        <f t="shared" si="278"/>
        <v>0</v>
      </c>
      <c r="BI271" s="63">
        <f>BD271*Inputs!$F$31*Inputs!$G$31</f>
        <v>0</v>
      </c>
      <c r="BJ271" s="44">
        <f>Inputs!$F$31*Inputs!$I$31*BE271</f>
        <v>0</v>
      </c>
      <c r="BK271" s="55"/>
      <c r="BM271" s="117">
        <v>8</v>
      </c>
      <c r="BN271" s="115">
        <f>Inputs!$A$31</f>
        <v>0</v>
      </c>
      <c r="BO271" s="44">
        <f>Inputs!$B$31</f>
        <v>0</v>
      </c>
      <c r="BP271" s="44" t="s">
        <v>57</v>
      </c>
      <c r="BQ271" s="44">
        <f t="shared" si="270"/>
        <v>0</v>
      </c>
      <c r="BR271" s="50"/>
      <c r="BS271" s="119">
        <v>8</v>
      </c>
      <c r="BT271" s="115">
        <f>Inputs!$A$31</f>
        <v>0</v>
      </c>
      <c r="BU271" s="44">
        <f>Inputs!$B$31</f>
        <v>0</v>
      </c>
      <c r="BV271" s="44" t="s">
        <v>58</v>
      </c>
      <c r="BW271" s="44">
        <f t="shared" si="271"/>
        <v>0</v>
      </c>
      <c r="BX271" s="50"/>
      <c r="BY271" s="44">
        <v>0</v>
      </c>
      <c r="BZ271" s="44">
        <v>0</v>
      </c>
      <c r="CA271" s="44">
        <f t="shared" si="279"/>
        <v>0</v>
      </c>
      <c r="CB271" s="50"/>
      <c r="CC271" s="44">
        <f t="shared" si="280"/>
        <v>0</v>
      </c>
      <c r="CD271" s="63">
        <f>BY271*Inputs!$F$31*Inputs!$G$31</f>
        <v>0</v>
      </c>
      <c r="CE271" s="44">
        <f>Inputs!$F$31*Inputs!$I$31*BZ271</f>
        <v>0</v>
      </c>
      <c r="CF271" s="55"/>
    </row>
    <row r="272" spans="1:84" x14ac:dyDescent="0.25">
      <c r="A272" s="117">
        <v>9</v>
      </c>
      <c r="B272" s="115">
        <f>Inputs!$A$31</f>
        <v>0</v>
      </c>
      <c r="C272" s="44">
        <f>Inputs!$B$31</f>
        <v>0</v>
      </c>
      <c r="D272" s="44" t="s">
        <v>57</v>
      </c>
      <c r="E272" s="44">
        <v>0</v>
      </c>
      <c r="F272" s="50"/>
      <c r="G272" s="119">
        <v>9</v>
      </c>
      <c r="H272" s="115">
        <f>Inputs!$A$31</f>
        <v>0</v>
      </c>
      <c r="I272" s="44">
        <f>Inputs!$B$31</f>
        <v>0</v>
      </c>
      <c r="J272" s="44" t="s">
        <v>58</v>
      </c>
      <c r="K272" s="44">
        <v>0</v>
      </c>
      <c r="L272" s="50"/>
      <c r="M272" s="44">
        <v>0</v>
      </c>
      <c r="N272" s="44">
        <v>0</v>
      </c>
      <c r="O272" s="44">
        <f t="shared" si="273"/>
        <v>0</v>
      </c>
      <c r="P272" s="50"/>
      <c r="Q272" s="44">
        <f t="shared" si="274"/>
        <v>0</v>
      </c>
      <c r="R272" s="63">
        <f>M272*Inputs!$F$31*Inputs!$G$31</f>
        <v>0</v>
      </c>
      <c r="S272" s="44">
        <f>Inputs!$F$31*Inputs!$I$31*N272</f>
        <v>0</v>
      </c>
      <c r="T272" s="18"/>
      <c r="U272" s="55"/>
      <c r="W272" s="117">
        <v>9</v>
      </c>
      <c r="X272" s="115">
        <f>Inputs!$A$31</f>
        <v>0</v>
      </c>
      <c r="Y272" s="44">
        <f>Inputs!$B$31</f>
        <v>0</v>
      </c>
      <c r="Z272" s="44" t="s">
        <v>57</v>
      </c>
      <c r="AA272" s="44">
        <f t="shared" si="267"/>
        <v>0</v>
      </c>
      <c r="AB272" s="50"/>
      <c r="AC272" s="119">
        <v>9</v>
      </c>
      <c r="AD272" s="115">
        <f>Inputs!$A$31</f>
        <v>0</v>
      </c>
      <c r="AE272" s="44">
        <f>Inputs!$B$31</f>
        <v>0</v>
      </c>
      <c r="AF272" s="44" t="s">
        <v>58</v>
      </c>
      <c r="AG272" s="44">
        <f t="shared" si="268"/>
        <v>0</v>
      </c>
      <c r="AH272" s="50"/>
      <c r="AI272" s="44">
        <v>0</v>
      </c>
      <c r="AJ272" s="44">
        <v>0</v>
      </c>
      <c r="AK272" s="44">
        <f t="shared" si="275"/>
        <v>0</v>
      </c>
      <c r="AL272" s="50"/>
      <c r="AM272" s="44">
        <f t="shared" si="276"/>
        <v>0</v>
      </c>
      <c r="AN272" s="63">
        <f>AI272*Inputs!$F$31*Inputs!$G$31</f>
        <v>0</v>
      </c>
      <c r="AO272" s="44">
        <f>Inputs!$F$31*Inputs!$I$31*AJ272</f>
        <v>0</v>
      </c>
      <c r="AP272" s="55"/>
      <c r="AR272" s="117">
        <v>9</v>
      </c>
      <c r="AS272" s="115">
        <f>Inputs!$A$31</f>
        <v>0</v>
      </c>
      <c r="AT272" s="44">
        <f>Inputs!$B$31</f>
        <v>0</v>
      </c>
      <c r="AU272" s="44" t="s">
        <v>57</v>
      </c>
      <c r="AV272" s="44">
        <f t="shared" si="272"/>
        <v>0</v>
      </c>
      <c r="AW272" s="50"/>
      <c r="AX272" s="119">
        <v>9</v>
      </c>
      <c r="AY272" s="115">
        <f>Inputs!$A$31</f>
        <v>0</v>
      </c>
      <c r="AZ272" s="44">
        <f>Inputs!$B$31</f>
        <v>0</v>
      </c>
      <c r="BA272" s="44" t="s">
        <v>58</v>
      </c>
      <c r="BB272" s="44">
        <f t="shared" si="269"/>
        <v>0</v>
      </c>
      <c r="BC272" s="50"/>
      <c r="BD272" s="44">
        <v>0</v>
      </c>
      <c r="BE272" s="44">
        <v>0</v>
      </c>
      <c r="BF272" s="44">
        <f t="shared" si="277"/>
        <v>0</v>
      </c>
      <c r="BG272" s="50"/>
      <c r="BH272" s="44">
        <f t="shared" si="278"/>
        <v>0</v>
      </c>
      <c r="BI272" s="63">
        <f>BD272*Inputs!$F$31*Inputs!$G$31</f>
        <v>0</v>
      </c>
      <c r="BJ272" s="44">
        <f>Inputs!$F$31*Inputs!$I$31*BE272</f>
        <v>0</v>
      </c>
      <c r="BK272" s="55"/>
      <c r="BM272" s="117">
        <v>9</v>
      </c>
      <c r="BN272" s="115">
        <f>Inputs!$A$31</f>
        <v>0</v>
      </c>
      <c r="BO272" s="44">
        <f>Inputs!$B$31</f>
        <v>0</v>
      </c>
      <c r="BP272" s="44" t="s">
        <v>57</v>
      </c>
      <c r="BQ272" s="44">
        <f t="shared" si="270"/>
        <v>0</v>
      </c>
      <c r="BR272" s="50"/>
      <c r="BS272" s="119">
        <v>9</v>
      </c>
      <c r="BT272" s="115">
        <f>Inputs!$A$31</f>
        <v>0</v>
      </c>
      <c r="BU272" s="44">
        <f>Inputs!$B$31</f>
        <v>0</v>
      </c>
      <c r="BV272" s="44" t="s">
        <v>58</v>
      </c>
      <c r="BW272" s="44">
        <f t="shared" si="271"/>
        <v>0</v>
      </c>
      <c r="BX272" s="50"/>
      <c r="BY272" s="44">
        <v>0</v>
      </c>
      <c r="BZ272" s="44">
        <v>0</v>
      </c>
      <c r="CA272" s="44">
        <f t="shared" si="279"/>
        <v>0</v>
      </c>
      <c r="CB272" s="50"/>
      <c r="CC272" s="44">
        <f t="shared" si="280"/>
        <v>0</v>
      </c>
      <c r="CD272" s="63">
        <f>BY272*Inputs!$F$31*Inputs!$G$31</f>
        <v>0</v>
      </c>
      <c r="CE272" s="44">
        <f>Inputs!$F$31*Inputs!$I$31*BZ272</f>
        <v>0</v>
      </c>
      <c r="CF272" s="55"/>
    </row>
    <row r="273" spans="1:84" x14ac:dyDescent="0.25">
      <c r="A273" s="117">
        <v>10</v>
      </c>
      <c r="B273" s="115">
        <f>Inputs!$A$31</f>
        <v>0</v>
      </c>
      <c r="C273" s="44">
        <f>Inputs!$B$31</f>
        <v>0</v>
      </c>
      <c r="D273" s="44" t="s">
        <v>57</v>
      </c>
      <c r="E273" s="44">
        <v>0</v>
      </c>
      <c r="F273" s="50"/>
      <c r="G273" s="119">
        <v>10</v>
      </c>
      <c r="H273" s="115">
        <f>Inputs!$A$31</f>
        <v>0</v>
      </c>
      <c r="I273" s="44">
        <f>Inputs!$B$31</f>
        <v>0</v>
      </c>
      <c r="J273" s="44" t="s">
        <v>58</v>
      </c>
      <c r="K273" s="44">
        <v>0</v>
      </c>
      <c r="L273" s="50"/>
      <c r="M273" s="44">
        <v>0</v>
      </c>
      <c r="N273" s="44">
        <v>0</v>
      </c>
      <c r="O273" s="44">
        <f t="shared" si="273"/>
        <v>0</v>
      </c>
      <c r="P273" s="50"/>
      <c r="Q273" s="44">
        <f t="shared" si="274"/>
        <v>0</v>
      </c>
      <c r="R273" s="63">
        <f>M273*Inputs!$F$31*Inputs!$G$31</f>
        <v>0</v>
      </c>
      <c r="S273" s="44">
        <f>Inputs!$F$31*Inputs!$I$31*N273</f>
        <v>0</v>
      </c>
      <c r="T273" s="18"/>
      <c r="U273" s="91"/>
      <c r="W273" s="117">
        <v>10</v>
      </c>
      <c r="X273" s="115">
        <f>Inputs!$A$31</f>
        <v>0</v>
      </c>
      <c r="Y273" s="44">
        <f>Inputs!$B$31</f>
        <v>0</v>
      </c>
      <c r="Z273" s="44" t="s">
        <v>57</v>
      </c>
      <c r="AA273" s="44">
        <f t="shared" si="267"/>
        <v>0</v>
      </c>
      <c r="AB273" s="50"/>
      <c r="AC273" s="119">
        <v>10</v>
      </c>
      <c r="AD273" s="115">
        <f>Inputs!$A$31</f>
        <v>0</v>
      </c>
      <c r="AE273" s="44">
        <f>Inputs!$B$31</f>
        <v>0</v>
      </c>
      <c r="AF273" s="44" t="s">
        <v>58</v>
      </c>
      <c r="AG273" s="44">
        <f t="shared" si="268"/>
        <v>0</v>
      </c>
      <c r="AH273" s="50"/>
      <c r="AI273" s="44">
        <v>0</v>
      </c>
      <c r="AJ273" s="44">
        <v>0</v>
      </c>
      <c r="AK273" s="44">
        <f t="shared" si="275"/>
        <v>0</v>
      </c>
      <c r="AL273" s="50"/>
      <c r="AM273" s="44">
        <f t="shared" si="276"/>
        <v>0</v>
      </c>
      <c r="AN273" s="63">
        <f>AI273*Inputs!$F$31*Inputs!$G$31</f>
        <v>0</v>
      </c>
      <c r="AO273" s="44">
        <f>Inputs!$F$31*Inputs!$I$31*AJ273</f>
        <v>0</v>
      </c>
      <c r="AP273" s="91"/>
      <c r="AR273" s="117">
        <v>10</v>
      </c>
      <c r="AS273" s="115">
        <f>Inputs!$A$31</f>
        <v>0</v>
      </c>
      <c r="AT273" s="44">
        <f>Inputs!$B$31</f>
        <v>0</v>
      </c>
      <c r="AU273" s="44" t="s">
        <v>57</v>
      </c>
      <c r="AV273" s="44">
        <f t="shared" si="272"/>
        <v>0</v>
      </c>
      <c r="AW273" s="50"/>
      <c r="AX273" s="119">
        <v>10</v>
      </c>
      <c r="AY273" s="115">
        <f>Inputs!$A$31</f>
        <v>0</v>
      </c>
      <c r="AZ273" s="44">
        <f>Inputs!$B$31</f>
        <v>0</v>
      </c>
      <c r="BA273" s="44" t="s">
        <v>58</v>
      </c>
      <c r="BB273" s="44">
        <f t="shared" si="269"/>
        <v>0</v>
      </c>
      <c r="BC273" s="50"/>
      <c r="BD273" s="44">
        <v>0</v>
      </c>
      <c r="BE273" s="44">
        <v>0</v>
      </c>
      <c r="BF273" s="44">
        <f t="shared" si="277"/>
        <v>0</v>
      </c>
      <c r="BG273" s="50"/>
      <c r="BH273" s="44">
        <f t="shared" si="278"/>
        <v>0</v>
      </c>
      <c r="BI273" s="63">
        <f>BD273*Inputs!$F$31*Inputs!$G$31</f>
        <v>0</v>
      </c>
      <c r="BJ273" s="44">
        <f>Inputs!$F$31*Inputs!$I$31*BE273</f>
        <v>0</v>
      </c>
      <c r="BK273" s="91"/>
      <c r="BM273" s="117">
        <v>10</v>
      </c>
      <c r="BN273" s="115">
        <f>Inputs!$A$31</f>
        <v>0</v>
      </c>
      <c r="BO273" s="44">
        <f>Inputs!$B$31</f>
        <v>0</v>
      </c>
      <c r="BP273" s="44" t="s">
        <v>57</v>
      </c>
      <c r="BQ273" s="44">
        <f t="shared" si="270"/>
        <v>0</v>
      </c>
      <c r="BR273" s="50"/>
      <c r="BS273" s="119">
        <v>10</v>
      </c>
      <c r="BT273" s="115">
        <f>Inputs!$A$31</f>
        <v>0</v>
      </c>
      <c r="BU273" s="44">
        <f>Inputs!$B$31</f>
        <v>0</v>
      </c>
      <c r="BV273" s="44" t="s">
        <v>58</v>
      </c>
      <c r="BW273" s="44">
        <f t="shared" si="271"/>
        <v>0</v>
      </c>
      <c r="BX273" s="50"/>
      <c r="BY273" s="44">
        <v>0</v>
      </c>
      <c r="BZ273" s="44">
        <v>0</v>
      </c>
      <c r="CA273" s="44">
        <f t="shared" si="279"/>
        <v>0</v>
      </c>
      <c r="CB273" s="50"/>
      <c r="CC273" s="44">
        <f t="shared" si="280"/>
        <v>0</v>
      </c>
      <c r="CD273" s="63">
        <f>BY273*Inputs!$F$31*Inputs!$G$31</f>
        <v>0</v>
      </c>
      <c r="CE273" s="44">
        <f>Inputs!$F$31*Inputs!$I$31*BZ273</f>
        <v>0</v>
      </c>
      <c r="CF273" s="91"/>
    </row>
    <row r="274" spans="1:84" x14ac:dyDescent="0.25">
      <c r="A274" s="117">
        <v>11</v>
      </c>
      <c r="B274" s="115">
        <f>Inputs!$A$31</f>
        <v>0</v>
      </c>
      <c r="C274" s="44">
        <f>Inputs!$B$31</f>
        <v>0</v>
      </c>
      <c r="D274" s="44" t="s">
        <v>57</v>
      </c>
      <c r="E274" s="44">
        <v>0</v>
      </c>
      <c r="F274" s="50"/>
      <c r="G274" s="119">
        <v>11</v>
      </c>
      <c r="H274" s="115">
        <f>Inputs!$A$31</f>
        <v>0</v>
      </c>
      <c r="I274" s="44">
        <f>Inputs!$B$31</f>
        <v>0</v>
      </c>
      <c r="J274" s="44" t="s">
        <v>58</v>
      </c>
      <c r="K274" s="44">
        <v>0</v>
      </c>
      <c r="L274" s="50"/>
      <c r="M274" s="44">
        <v>0</v>
      </c>
      <c r="N274" s="44">
        <v>0</v>
      </c>
      <c r="O274" s="44">
        <f t="shared" si="273"/>
        <v>0</v>
      </c>
      <c r="P274" s="50"/>
      <c r="Q274" s="44">
        <f t="shared" si="274"/>
        <v>0</v>
      </c>
      <c r="R274" s="63">
        <f>M274*Inputs!$F$31*Inputs!$H$31</f>
        <v>0</v>
      </c>
      <c r="S274" s="44">
        <f>Inputs!$F$31*Inputs!$I$31*N274</f>
        <v>0</v>
      </c>
      <c r="T274" s="18"/>
      <c r="U274" s="56"/>
      <c r="W274" s="117">
        <v>11</v>
      </c>
      <c r="X274" s="115">
        <f>Inputs!$A$31</f>
        <v>0</v>
      </c>
      <c r="Y274" s="44">
        <f>Inputs!$B$31</f>
        <v>0</v>
      </c>
      <c r="Z274" s="44" t="s">
        <v>57</v>
      </c>
      <c r="AA274" s="44">
        <f t="shared" si="267"/>
        <v>0</v>
      </c>
      <c r="AB274" s="50"/>
      <c r="AC274" s="119">
        <v>11</v>
      </c>
      <c r="AD274" s="115">
        <f>Inputs!$A$31</f>
        <v>0</v>
      </c>
      <c r="AE274" s="44">
        <f>Inputs!$B$31</f>
        <v>0</v>
      </c>
      <c r="AF274" s="44" t="s">
        <v>58</v>
      </c>
      <c r="AG274" s="44">
        <f t="shared" si="268"/>
        <v>0</v>
      </c>
      <c r="AH274" s="50"/>
      <c r="AI274" s="44">
        <v>0</v>
      </c>
      <c r="AJ274" s="44">
        <v>0</v>
      </c>
      <c r="AK274" s="44">
        <f t="shared" si="275"/>
        <v>0</v>
      </c>
      <c r="AL274" s="50"/>
      <c r="AM274" s="44">
        <f t="shared" si="276"/>
        <v>0</v>
      </c>
      <c r="AN274" s="63">
        <f>AI274*Inputs!$F$31*Inputs!$H$31</f>
        <v>0</v>
      </c>
      <c r="AO274" s="44">
        <f>Inputs!$F$31*Inputs!$I$31*AJ274</f>
        <v>0</v>
      </c>
      <c r="AP274" s="56"/>
      <c r="AR274" s="117">
        <v>11</v>
      </c>
      <c r="AS274" s="115">
        <f>Inputs!$A$31</f>
        <v>0</v>
      </c>
      <c r="AT274" s="44">
        <f>Inputs!$B$31</f>
        <v>0</v>
      </c>
      <c r="AU274" s="44" t="s">
        <v>57</v>
      </c>
      <c r="AV274" s="44">
        <f t="shared" si="272"/>
        <v>0</v>
      </c>
      <c r="AW274" s="50"/>
      <c r="AX274" s="119">
        <v>11</v>
      </c>
      <c r="AY274" s="115">
        <f>Inputs!$A$31</f>
        <v>0</v>
      </c>
      <c r="AZ274" s="44">
        <f>Inputs!$B$31</f>
        <v>0</v>
      </c>
      <c r="BA274" s="44" t="s">
        <v>58</v>
      </c>
      <c r="BB274" s="44">
        <f t="shared" si="269"/>
        <v>0</v>
      </c>
      <c r="BC274" s="50"/>
      <c r="BD274" s="44">
        <v>0</v>
      </c>
      <c r="BE274" s="44">
        <v>0</v>
      </c>
      <c r="BF274" s="44">
        <f t="shared" si="277"/>
        <v>0</v>
      </c>
      <c r="BG274" s="50"/>
      <c r="BH274" s="44">
        <f t="shared" si="278"/>
        <v>0</v>
      </c>
      <c r="BI274" s="63">
        <f>BD274*Inputs!$F$31*Inputs!$H$31</f>
        <v>0</v>
      </c>
      <c r="BJ274" s="44">
        <f>Inputs!$F$31*Inputs!$I$31*BE274</f>
        <v>0</v>
      </c>
      <c r="BK274" s="56"/>
      <c r="BM274" s="117">
        <v>11</v>
      </c>
      <c r="BN274" s="115">
        <f>Inputs!$A$31</f>
        <v>0</v>
      </c>
      <c r="BO274" s="44">
        <f>Inputs!$B$31</f>
        <v>0</v>
      </c>
      <c r="BP274" s="44" t="s">
        <v>57</v>
      </c>
      <c r="BQ274" s="44">
        <f t="shared" si="270"/>
        <v>0</v>
      </c>
      <c r="BR274" s="50"/>
      <c r="BS274" s="119">
        <v>11</v>
      </c>
      <c r="BT274" s="115">
        <f>Inputs!$A$31</f>
        <v>0</v>
      </c>
      <c r="BU274" s="44">
        <f>Inputs!$B$31</f>
        <v>0</v>
      </c>
      <c r="BV274" s="44" t="s">
        <v>58</v>
      </c>
      <c r="BW274" s="44">
        <f t="shared" si="271"/>
        <v>0</v>
      </c>
      <c r="BX274" s="50"/>
      <c r="BY274" s="44">
        <v>0</v>
      </c>
      <c r="BZ274" s="44">
        <v>0</v>
      </c>
      <c r="CA274" s="44">
        <f t="shared" si="279"/>
        <v>0</v>
      </c>
      <c r="CB274" s="50"/>
      <c r="CC274" s="44">
        <f t="shared" si="280"/>
        <v>0</v>
      </c>
      <c r="CD274" s="63">
        <f>BY274*Inputs!$F$31*Inputs!$H$31</f>
        <v>0</v>
      </c>
      <c r="CE274" s="44">
        <f>Inputs!$F$31*Inputs!$I$31*BZ274</f>
        <v>0</v>
      </c>
      <c r="CF274" s="56"/>
    </row>
    <row r="275" spans="1:84" x14ac:dyDescent="0.25">
      <c r="A275" s="116">
        <v>3</v>
      </c>
      <c r="B275" s="114">
        <f>Inputs!$A$32</f>
        <v>0</v>
      </c>
      <c r="C275" s="45">
        <f>Inputs!$B$32</f>
        <v>0</v>
      </c>
      <c r="D275" s="45" t="s">
        <v>57</v>
      </c>
      <c r="E275" s="45">
        <v>0</v>
      </c>
      <c r="F275" s="50"/>
      <c r="G275" s="118">
        <v>3</v>
      </c>
      <c r="H275" s="114">
        <f>Inputs!$A$32</f>
        <v>0</v>
      </c>
      <c r="I275" s="45">
        <f>Inputs!$B$32</f>
        <v>0</v>
      </c>
      <c r="J275" s="45" t="s">
        <v>58</v>
      </c>
      <c r="K275" s="45">
        <v>0</v>
      </c>
      <c r="L275" s="50"/>
      <c r="M275" s="45">
        <v>0</v>
      </c>
      <c r="N275" s="45">
        <v>0</v>
      </c>
      <c r="O275" s="45">
        <f>U275-0-E275-K275</f>
        <v>0</v>
      </c>
      <c r="P275" s="50"/>
      <c r="Q275" s="45">
        <f>E275+K275+N275-U275+0-M275</f>
        <v>0</v>
      </c>
      <c r="R275" s="64">
        <f>M275*Inputs!$F$32*Inputs!$G$32</f>
        <v>0</v>
      </c>
      <c r="S275" s="45">
        <f>Inputs!$F$32*Inputs!$I$32*N275</f>
        <v>0</v>
      </c>
      <c r="T275" s="18"/>
      <c r="U275" s="54"/>
      <c r="W275" s="116">
        <v>3</v>
      </c>
      <c r="X275" s="114">
        <f>Inputs!$A$32</f>
        <v>0</v>
      </c>
      <c r="Y275" s="45">
        <f>Inputs!$B$32</f>
        <v>0</v>
      </c>
      <c r="Z275" s="45" t="s">
        <v>57</v>
      </c>
      <c r="AA275" s="45">
        <f t="shared" si="267"/>
        <v>0</v>
      </c>
      <c r="AB275" s="50"/>
      <c r="AC275" s="118">
        <v>3</v>
      </c>
      <c r="AD275" s="114">
        <f>Inputs!$A$32</f>
        <v>0</v>
      </c>
      <c r="AE275" s="45">
        <f>Inputs!$B$32</f>
        <v>0</v>
      </c>
      <c r="AF275" s="45" t="s">
        <v>58</v>
      </c>
      <c r="AG275" s="45">
        <f t="shared" si="268"/>
        <v>0</v>
      </c>
      <c r="AH275" s="50"/>
      <c r="AI275" s="45">
        <v>0</v>
      </c>
      <c r="AJ275" s="45">
        <v>0</v>
      </c>
      <c r="AK275" s="45">
        <f>AP275-0-AA275-AG275</f>
        <v>0</v>
      </c>
      <c r="AL275" s="50"/>
      <c r="AM275" s="45">
        <f>AA275+AG275+AJ275-AP275+0-AI275</f>
        <v>0</v>
      </c>
      <c r="AN275" s="64">
        <f>AI275*Inputs!$F$32*Inputs!$G$32</f>
        <v>0</v>
      </c>
      <c r="AO275" s="45">
        <f>Inputs!$F$32*Inputs!$I$32*AJ275</f>
        <v>0</v>
      </c>
      <c r="AP275" s="54"/>
      <c r="AR275" s="116">
        <v>3</v>
      </c>
      <c r="AS275" s="114">
        <f>Inputs!$A$32</f>
        <v>0</v>
      </c>
      <c r="AT275" s="45">
        <f>Inputs!$B$32</f>
        <v>0</v>
      </c>
      <c r="AU275" s="45" t="s">
        <v>57</v>
      </c>
      <c r="AV275" s="45">
        <f t="shared" si="272"/>
        <v>0</v>
      </c>
      <c r="AW275" s="50"/>
      <c r="AX275" s="118">
        <v>3</v>
      </c>
      <c r="AY275" s="114">
        <f>Inputs!$A$32</f>
        <v>0</v>
      </c>
      <c r="AZ275" s="45">
        <f>Inputs!$B$32</f>
        <v>0</v>
      </c>
      <c r="BA275" s="45" t="s">
        <v>58</v>
      </c>
      <c r="BB275" s="45">
        <f t="shared" si="269"/>
        <v>0</v>
      </c>
      <c r="BC275" s="50"/>
      <c r="BD275" s="45">
        <v>0</v>
      </c>
      <c r="BE275" s="45">
        <v>0</v>
      </c>
      <c r="BF275" s="45">
        <f>BK275-0-AV275-BB275</f>
        <v>0</v>
      </c>
      <c r="BG275" s="50"/>
      <c r="BH275" s="45">
        <f>AV275+BB275+BE275-BK275+0-BD275</f>
        <v>0</v>
      </c>
      <c r="BI275" s="64">
        <f>BD275*Inputs!$F$32*Inputs!$G$32</f>
        <v>0</v>
      </c>
      <c r="BJ275" s="45">
        <f>Inputs!$F$32*Inputs!$I$32*BE275</f>
        <v>0</v>
      </c>
      <c r="BK275" s="54"/>
      <c r="BM275" s="116">
        <v>3</v>
      </c>
      <c r="BN275" s="114">
        <f>Inputs!$A$32</f>
        <v>0</v>
      </c>
      <c r="BO275" s="45">
        <f>Inputs!$B$32</f>
        <v>0</v>
      </c>
      <c r="BP275" s="45" t="s">
        <v>57</v>
      </c>
      <c r="BQ275" s="45">
        <f t="shared" si="270"/>
        <v>0</v>
      </c>
      <c r="BR275" s="50"/>
      <c r="BS275" s="118">
        <v>3</v>
      </c>
      <c r="BT275" s="114">
        <f>Inputs!$A$32</f>
        <v>0</v>
      </c>
      <c r="BU275" s="45">
        <f>Inputs!$B$32</f>
        <v>0</v>
      </c>
      <c r="BV275" s="45" t="s">
        <v>58</v>
      </c>
      <c r="BW275" s="45">
        <f t="shared" si="271"/>
        <v>0</v>
      </c>
      <c r="BX275" s="50"/>
      <c r="BY275" s="45">
        <v>0</v>
      </c>
      <c r="BZ275" s="45">
        <v>0</v>
      </c>
      <c r="CA275" s="45">
        <f>CF275-0-BQ275-BW275</f>
        <v>0</v>
      </c>
      <c r="CB275" s="50"/>
      <c r="CC275" s="45">
        <f>BQ275+BW275+BZ275-CF275+0-BY275</f>
        <v>0</v>
      </c>
      <c r="CD275" s="64">
        <f>BY275*Inputs!$F$32*Inputs!$G$32</f>
        <v>0</v>
      </c>
      <c r="CE275" s="45">
        <f>Inputs!$F$32*Inputs!$I$32*BZ275</f>
        <v>0</v>
      </c>
      <c r="CF275" s="54"/>
    </row>
    <row r="276" spans="1:84" x14ac:dyDescent="0.25">
      <c r="A276" s="116">
        <v>4</v>
      </c>
      <c r="B276" s="114">
        <f>Inputs!$A$32</f>
        <v>0</v>
      </c>
      <c r="C276" s="45">
        <f>Inputs!$B$32</f>
        <v>0</v>
      </c>
      <c r="D276" s="45" t="s">
        <v>57</v>
      </c>
      <c r="E276" s="45">
        <v>0</v>
      </c>
      <c r="F276" s="50"/>
      <c r="G276" s="118">
        <v>4</v>
      </c>
      <c r="H276" s="114">
        <f>Inputs!$A$32</f>
        <v>0</v>
      </c>
      <c r="I276" s="45">
        <f>Inputs!$B$32</f>
        <v>0</v>
      </c>
      <c r="J276" s="45" t="s">
        <v>58</v>
      </c>
      <c r="K276" s="45">
        <v>0</v>
      </c>
      <c r="L276" s="50"/>
      <c r="M276" s="45">
        <v>0</v>
      </c>
      <c r="N276" s="45">
        <v>0</v>
      </c>
      <c r="O276" s="45">
        <f t="shared" ref="O276:O283" si="281">U276-M275-E276-K276</f>
        <v>0</v>
      </c>
      <c r="P276" s="50"/>
      <c r="Q276" s="45">
        <f t="shared" ref="Q276:Q283" si="282">E276+K276+N276-U276+M275-M276</f>
        <v>0</v>
      </c>
      <c r="R276" s="64">
        <f>M276*Inputs!$F$32*Inputs!$G$32</f>
        <v>0</v>
      </c>
      <c r="S276" s="45">
        <f>Inputs!$F$32*Inputs!$I$32*N276</f>
        <v>0</v>
      </c>
      <c r="T276" s="18"/>
      <c r="U276" s="55"/>
      <c r="W276" s="116">
        <v>4</v>
      </c>
      <c r="X276" s="114">
        <f>Inputs!$A$32</f>
        <v>0</v>
      </c>
      <c r="Y276" s="45">
        <f>Inputs!$B$32</f>
        <v>0</v>
      </c>
      <c r="Z276" s="45" t="s">
        <v>57</v>
      </c>
      <c r="AA276" s="45">
        <f t="shared" si="267"/>
        <v>0</v>
      </c>
      <c r="AB276" s="50"/>
      <c r="AC276" s="118">
        <v>4</v>
      </c>
      <c r="AD276" s="114">
        <f>Inputs!$A$32</f>
        <v>0</v>
      </c>
      <c r="AE276" s="45">
        <f>Inputs!$B$32</f>
        <v>0</v>
      </c>
      <c r="AF276" s="45" t="s">
        <v>58</v>
      </c>
      <c r="AG276" s="45">
        <f t="shared" si="268"/>
        <v>0</v>
      </c>
      <c r="AH276" s="50"/>
      <c r="AI276" s="45">
        <v>0</v>
      </c>
      <c r="AJ276" s="45">
        <v>0</v>
      </c>
      <c r="AK276" s="45">
        <f t="shared" ref="AK276:AK283" si="283">AP276-AI275-AA276-AG276</f>
        <v>0</v>
      </c>
      <c r="AL276" s="50"/>
      <c r="AM276" s="45">
        <f t="shared" ref="AM276:AM283" si="284">AA276+AG276+AJ276-AP276+AI275-AI276</f>
        <v>0</v>
      </c>
      <c r="AN276" s="64">
        <f>AI276*Inputs!$F$32*Inputs!$G$32</f>
        <v>0</v>
      </c>
      <c r="AO276" s="45">
        <f>Inputs!$F$32*Inputs!$I$32*AJ276</f>
        <v>0</v>
      </c>
      <c r="AP276" s="55"/>
      <c r="AR276" s="116">
        <v>4</v>
      </c>
      <c r="AS276" s="114">
        <f>Inputs!$A$32</f>
        <v>0</v>
      </c>
      <c r="AT276" s="45">
        <f>Inputs!$B$32</f>
        <v>0</v>
      </c>
      <c r="AU276" s="45" t="s">
        <v>57</v>
      </c>
      <c r="AV276" s="45">
        <f t="shared" si="272"/>
        <v>0</v>
      </c>
      <c r="AW276" s="50"/>
      <c r="AX276" s="118">
        <v>4</v>
      </c>
      <c r="AY276" s="114">
        <f>Inputs!$A$32</f>
        <v>0</v>
      </c>
      <c r="AZ276" s="45">
        <f>Inputs!$B$32</f>
        <v>0</v>
      </c>
      <c r="BA276" s="45" t="s">
        <v>58</v>
      </c>
      <c r="BB276" s="45">
        <f t="shared" si="269"/>
        <v>0</v>
      </c>
      <c r="BC276" s="50"/>
      <c r="BD276" s="45">
        <v>0</v>
      </c>
      <c r="BE276" s="45">
        <v>0</v>
      </c>
      <c r="BF276" s="45">
        <f t="shared" ref="BF276:BF283" si="285">BK276-BD275-AV276-BB276</f>
        <v>0</v>
      </c>
      <c r="BG276" s="50"/>
      <c r="BH276" s="45">
        <f t="shared" ref="BH276:BH283" si="286">AV276+BB276+BE276-BK276+BD275-BD276</f>
        <v>0</v>
      </c>
      <c r="BI276" s="64">
        <f>BD276*Inputs!$F$32*Inputs!$G$32</f>
        <v>0</v>
      </c>
      <c r="BJ276" s="45">
        <f>Inputs!$F$32*Inputs!$I$32*BE276</f>
        <v>0</v>
      </c>
      <c r="BK276" s="55"/>
      <c r="BM276" s="116">
        <v>4</v>
      </c>
      <c r="BN276" s="114">
        <f>Inputs!$A$32</f>
        <v>0</v>
      </c>
      <c r="BO276" s="45">
        <f>Inputs!$B$32</f>
        <v>0</v>
      </c>
      <c r="BP276" s="45" t="s">
        <v>57</v>
      </c>
      <c r="BQ276" s="45">
        <f t="shared" si="270"/>
        <v>0</v>
      </c>
      <c r="BR276" s="50"/>
      <c r="BS276" s="118">
        <v>4</v>
      </c>
      <c r="BT276" s="114">
        <f>Inputs!$A$32</f>
        <v>0</v>
      </c>
      <c r="BU276" s="45">
        <f>Inputs!$B$32</f>
        <v>0</v>
      </c>
      <c r="BV276" s="45" t="s">
        <v>58</v>
      </c>
      <c r="BW276" s="45">
        <f t="shared" si="271"/>
        <v>0</v>
      </c>
      <c r="BX276" s="50"/>
      <c r="BY276" s="45">
        <v>0</v>
      </c>
      <c r="BZ276" s="45">
        <v>0</v>
      </c>
      <c r="CA276" s="45">
        <f t="shared" ref="CA276:CA283" si="287">CF276-BY275-BQ276-BW276</f>
        <v>0</v>
      </c>
      <c r="CB276" s="50"/>
      <c r="CC276" s="45">
        <f t="shared" ref="CC276:CC283" si="288">BQ276+BW276+BZ276-CF276+BY275-BY276</f>
        <v>0</v>
      </c>
      <c r="CD276" s="64">
        <f>BY276*Inputs!$F$32*Inputs!$G$32</f>
        <v>0</v>
      </c>
      <c r="CE276" s="45">
        <f>Inputs!$F$32*Inputs!$I$32*BZ276</f>
        <v>0</v>
      </c>
      <c r="CF276" s="55"/>
    </row>
    <row r="277" spans="1:84" x14ac:dyDescent="0.25">
      <c r="A277" s="116">
        <v>5</v>
      </c>
      <c r="B277" s="114">
        <f>Inputs!$A$32</f>
        <v>0</v>
      </c>
      <c r="C277" s="45">
        <f>Inputs!$B$32</f>
        <v>0</v>
      </c>
      <c r="D277" s="45" t="s">
        <v>57</v>
      </c>
      <c r="E277" s="45">
        <v>0</v>
      </c>
      <c r="F277" s="50"/>
      <c r="G277" s="118">
        <v>5</v>
      </c>
      <c r="H277" s="114">
        <f>Inputs!$A$32</f>
        <v>0</v>
      </c>
      <c r="I277" s="45">
        <f>Inputs!$B$32</f>
        <v>0</v>
      </c>
      <c r="J277" s="45" t="s">
        <v>58</v>
      </c>
      <c r="K277" s="45">
        <v>0</v>
      </c>
      <c r="L277" s="50"/>
      <c r="M277" s="45">
        <v>0</v>
      </c>
      <c r="N277" s="45">
        <v>0</v>
      </c>
      <c r="O277" s="45">
        <f t="shared" si="281"/>
        <v>0</v>
      </c>
      <c r="P277" s="50"/>
      <c r="Q277" s="45">
        <f t="shared" si="282"/>
        <v>0</v>
      </c>
      <c r="R277" s="64">
        <f>M277*Inputs!$F$32*Inputs!$G$32</f>
        <v>0</v>
      </c>
      <c r="S277" s="45">
        <f>Inputs!$F$32*Inputs!$I$32*N277</f>
        <v>0</v>
      </c>
      <c r="T277" s="18"/>
      <c r="U277" s="55"/>
      <c r="W277" s="116">
        <v>5</v>
      </c>
      <c r="X277" s="114">
        <f>Inputs!$A$32</f>
        <v>0</v>
      </c>
      <c r="Y277" s="45">
        <f>Inputs!$B$32</f>
        <v>0</v>
      </c>
      <c r="Z277" s="45" t="s">
        <v>57</v>
      </c>
      <c r="AA277" s="45">
        <f t="shared" si="267"/>
        <v>0</v>
      </c>
      <c r="AB277" s="50"/>
      <c r="AC277" s="118">
        <v>5</v>
      </c>
      <c r="AD277" s="114">
        <f>Inputs!$A$32</f>
        <v>0</v>
      </c>
      <c r="AE277" s="45">
        <f>Inputs!$B$32</f>
        <v>0</v>
      </c>
      <c r="AF277" s="45" t="s">
        <v>58</v>
      </c>
      <c r="AG277" s="45">
        <f t="shared" si="268"/>
        <v>0</v>
      </c>
      <c r="AH277" s="50"/>
      <c r="AI277" s="45">
        <v>0</v>
      </c>
      <c r="AJ277" s="45">
        <v>0</v>
      </c>
      <c r="AK277" s="45">
        <f t="shared" si="283"/>
        <v>0</v>
      </c>
      <c r="AL277" s="50"/>
      <c r="AM277" s="45">
        <f t="shared" si="284"/>
        <v>0</v>
      </c>
      <c r="AN277" s="64">
        <f>AI277*Inputs!$F$32*Inputs!$G$32</f>
        <v>0</v>
      </c>
      <c r="AO277" s="45">
        <f>Inputs!$F$32*Inputs!$I$32*AJ277</f>
        <v>0</v>
      </c>
      <c r="AP277" s="55"/>
      <c r="AR277" s="116">
        <v>5</v>
      </c>
      <c r="AS277" s="114">
        <f>Inputs!$A$32</f>
        <v>0</v>
      </c>
      <c r="AT277" s="45">
        <f>Inputs!$B$32</f>
        <v>0</v>
      </c>
      <c r="AU277" s="45" t="s">
        <v>57</v>
      </c>
      <c r="AV277" s="45">
        <f t="shared" si="272"/>
        <v>0</v>
      </c>
      <c r="AW277" s="50"/>
      <c r="AX277" s="118">
        <v>5</v>
      </c>
      <c r="AY277" s="114">
        <f>Inputs!$A$32</f>
        <v>0</v>
      </c>
      <c r="AZ277" s="45">
        <f>Inputs!$B$32</f>
        <v>0</v>
      </c>
      <c r="BA277" s="45" t="s">
        <v>58</v>
      </c>
      <c r="BB277" s="45">
        <f t="shared" si="269"/>
        <v>0</v>
      </c>
      <c r="BC277" s="50"/>
      <c r="BD277" s="45">
        <v>0</v>
      </c>
      <c r="BE277" s="45">
        <v>0</v>
      </c>
      <c r="BF277" s="45">
        <f t="shared" si="285"/>
        <v>0</v>
      </c>
      <c r="BG277" s="50"/>
      <c r="BH277" s="45">
        <f t="shared" si="286"/>
        <v>0</v>
      </c>
      <c r="BI277" s="64">
        <f>BD277*Inputs!$F$32*Inputs!$G$32</f>
        <v>0</v>
      </c>
      <c r="BJ277" s="45">
        <f>Inputs!$F$32*Inputs!$I$32*BE277</f>
        <v>0</v>
      </c>
      <c r="BK277" s="55"/>
      <c r="BM277" s="116">
        <v>5</v>
      </c>
      <c r="BN277" s="114">
        <f>Inputs!$A$32</f>
        <v>0</v>
      </c>
      <c r="BO277" s="45">
        <f>Inputs!$B$32</f>
        <v>0</v>
      </c>
      <c r="BP277" s="45" t="s">
        <v>57</v>
      </c>
      <c r="BQ277" s="45">
        <f t="shared" si="270"/>
        <v>0</v>
      </c>
      <c r="BR277" s="50"/>
      <c r="BS277" s="118">
        <v>5</v>
      </c>
      <c r="BT277" s="114">
        <f>Inputs!$A$32</f>
        <v>0</v>
      </c>
      <c r="BU277" s="45">
        <f>Inputs!$B$32</f>
        <v>0</v>
      </c>
      <c r="BV277" s="45" t="s">
        <v>58</v>
      </c>
      <c r="BW277" s="45">
        <f t="shared" si="271"/>
        <v>0</v>
      </c>
      <c r="BX277" s="50"/>
      <c r="BY277" s="45">
        <v>0</v>
      </c>
      <c r="BZ277" s="45">
        <v>0</v>
      </c>
      <c r="CA277" s="45">
        <f t="shared" si="287"/>
        <v>0</v>
      </c>
      <c r="CB277" s="50"/>
      <c r="CC277" s="45">
        <f t="shared" si="288"/>
        <v>0</v>
      </c>
      <c r="CD277" s="64">
        <f>BY277*Inputs!$F$32*Inputs!$G$32</f>
        <v>0</v>
      </c>
      <c r="CE277" s="45">
        <f>Inputs!$F$32*Inputs!$I$32*BZ277</f>
        <v>0</v>
      </c>
      <c r="CF277" s="55"/>
    </row>
    <row r="278" spans="1:84" x14ac:dyDescent="0.25">
      <c r="A278" s="116">
        <v>6</v>
      </c>
      <c r="B278" s="114">
        <f>Inputs!$A$32</f>
        <v>0</v>
      </c>
      <c r="C278" s="45">
        <f>Inputs!$B$32</f>
        <v>0</v>
      </c>
      <c r="D278" s="45" t="s">
        <v>57</v>
      </c>
      <c r="E278" s="45">
        <v>0</v>
      </c>
      <c r="F278" s="50"/>
      <c r="G278" s="118">
        <v>6</v>
      </c>
      <c r="H278" s="114">
        <f>Inputs!$A$32</f>
        <v>0</v>
      </c>
      <c r="I278" s="45">
        <f>Inputs!$B$32</f>
        <v>0</v>
      </c>
      <c r="J278" s="45" t="s">
        <v>58</v>
      </c>
      <c r="K278" s="45">
        <v>0</v>
      </c>
      <c r="L278" s="50"/>
      <c r="M278" s="45">
        <v>0</v>
      </c>
      <c r="N278" s="45">
        <v>0</v>
      </c>
      <c r="O278" s="45">
        <f t="shared" si="281"/>
        <v>0</v>
      </c>
      <c r="P278" s="50"/>
      <c r="Q278" s="45">
        <f t="shared" si="282"/>
        <v>0</v>
      </c>
      <c r="R278" s="64">
        <f>M278*Inputs!$F$32*Inputs!$G$32</f>
        <v>0</v>
      </c>
      <c r="S278" s="45">
        <f>Inputs!$F$32*Inputs!$I$32*N278</f>
        <v>0</v>
      </c>
      <c r="T278" s="18"/>
      <c r="U278" s="55"/>
      <c r="W278" s="116">
        <v>6</v>
      </c>
      <c r="X278" s="114">
        <f>Inputs!$A$32</f>
        <v>0</v>
      </c>
      <c r="Y278" s="45">
        <f>Inputs!$B$32</f>
        <v>0</v>
      </c>
      <c r="Z278" s="45" t="s">
        <v>57</v>
      </c>
      <c r="AA278" s="45">
        <f t="shared" si="267"/>
        <v>0</v>
      </c>
      <c r="AB278" s="50"/>
      <c r="AC278" s="118">
        <v>6</v>
      </c>
      <c r="AD278" s="114">
        <f>Inputs!$A$32</f>
        <v>0</v>
      </c>
      <c r="AE278" s="45">
        <f>Inputs!$B$32</f>
        <v>0</v>
      </c>
      <c r="AF278" s="45" t="s">
        <v>58</v>
      </c>
      <c r="AG278" s="45">
        <f t="shared" si="268"/>
        <v>0</v>
      </c>
      <c r="AH278" s="50"/>
      <c r="AI278" s="45">
        <v>0</v>
      </c>
      <c r="AJ278" s="45">
        <v>0</v>
      </c>
      <c r="AK278" s="45">
        <f t="shared" si="283"/>
        <v>0</v>
      </c>
      <c r="AL278" s="50"/>
      <c r="AM278" s="45">
        <f t="shared" si="284"/>
        <v>0</v>
      </c>
      <c r="AN278" s="64">
        <f>AI278*Inputs!$F$32*Inputs!$G$32</f>
        <v>0</v>
      </c>
      <c r="AO278" s="45">
        <f>Inputs!$F$32*Inputs!$I$32*AJ278</f>
        <v>0</v>
      </c>
      <c r="AP278" s="55"/>
      <c r="AR278" s="116">
        <v>6</v>
      </c>
      <c r="AS278" s="114">
        <f>Inputs!$A$32</f>
        <v>0</v>
      </c>
      <c r="AT278" s="45">
        <f>Inputs!$B$32</f>
        <v>0</v>
      </c>
      <c r="AU278" s="45" t="s">
        <v>57</v>
      </c>
      <c r="AV278" s="45">
        <f t="shared" si="272"/>
        <v>0</v>
      </c>
      <c r="AW278" s="50"/>
      <c r="AX278" s="118">
        <v>6</v>
      </c>
      <c r="AY278" s="114">
        <f>Inputs!$A$32</f>
        <v>0</v>
      </c>
      <c r="AZ278" s="45">
        <f>Inputs!$B$32</f>
        <v>0</v>
      </c>
      <c r="BA278" s="45" t="s">
        <v>58</v>
      </c>
      <c r="BB278" s="45">
        <f t="shared" si="269"/>
        <v>0</v>
      </c>
      <c r="BC278" s="50"/>
      <c r="BD278" s="45">
        <v>0</v>
      </c>
      <c r="BE278" s="45">
        <v>0</v>
      </c>
      <c r="BF278" s="45">
        <f t="shared" si="285"/>
        <v>0</v>
      </c>
      <c r="BG278" s="50"/>
      <c r="BH278" s="45">
        <f t="shared" si="286"/>
        <v>0</v>
      </c>
      <c r="BI278" s="64">
        <f>BD278*Inputs!$F$32*Inputs!$G$32</f>
        <v>0</v>
      </c>
      <c r="BJ278" s="45">
        <f>Inputs!$F$32*Inputs!$I$32*BE278</f>
        <v>0</v>
      </c>
      <c r="BK278" s="55"/>
      <c r="BM278" s="116">
        <v>6</v>
      </c>
      <c r="BN278" s="114">
        <f>Inputs!$A$32</f>
        <v>0</v>
      </c>
      <c r="BO278" s="45">
        <f>Inputs!$B$32</f>
        <v>0</v>
      </c>
      <c r="BP278" s="45" t="s">
        <v>57</v>
      </c>
      <c r="BQ278" s="45">
        <f t="shared" si="270"/>
        <v>0</v>
      </c>
      <c r="BR278" s="50"/>
      <c r="BS278" s="118">
        <v>6</v>
      </c>
      <c r="BT278" s="114">
        <f>Inputs!$A$32</f>
        <v>0</v>
      </c>
      <c r="BU278" s="45">
        <f>Inputs!$B$32</f>
        <v>0</v>
      </c>
      <c r="BV278" s="45" t="s">
        <v>58</v>
      </c>
      <c r="BW278" s="45">
        <f t="shared" si="271"/>
        <v>0</v>
      </c>
      <c r="BX278" s="50"/>
      <c r="BY278" s="45">
        <v>0</v>
      </c>
      <c r="BZ278" s="45">
        <v>0</v>
      </c>
      <c r="CA278" s="45">
        <f t="shared" si="287"/>
        <v>0</v>
      </c>
      <c r="CB278" s="50"/>
      <c r="CC278" s="45">
        <f t="shared" si="288"/>
        <v>0</v>
      </c>
      <c r="CD278" s="64">
        <f>BY278*Inputs!$F$32*Inputs!$G$32</f>
        <v>0</v>
      </c>
      <c r="CE278" s="45">
        <f>Inputs!$F$32*Inputs!$I$32*BZ278</f>
        <v>0</v>
      </c>
      <c r="CF278" s="55"/>
    </row>
    <row r="279" spans="1:84" x14ac:dyDescent="0.25">
      <c r="A279" s="116">
        <v>7</v>
      </c>
      <c r="B279" s="114">
        <f>Inputs!$A$32</f>
        <v>0</v>
      </c>
      <c r="C279" s="45">
        <f>Inputs!$B$32</f>
        <v>0</v>
      </c>
      <c r="D279" s="45" t="s">
        <v>57</v>
      </c>
      <c r="E279" s="45">
        <v>0</v>
      </c>
      <c r="F279" s="50"/>
      <c r="G279" s="118">
        <v>7</v>
      </c>
      <c r="H279" s="114">
        <f>Inputs!$A$32</f>
        <v>0</v>
      </c>
      <c r="I279" s="45">
        <f>Inputs!$B$32</f>
        <v>0</v>
      </c>
      <c r="J279" s="45" t="s">
        <v>58</v>
      </c>
      <c r="K279" s="45">
        <v>0</v>
      </c>
      <c r="L279" s="50"/>
      <c r="M279" s="45">
        <v>0</v>
      </c>
      <c r="N279" s="45">
        <v>0</v>
      </c>
      <c r="O279" s="45">
        <f t="shared" si="281"/>
        <v>0</v>
      </c>
      <c r="P279" s="50"/>
      <c r="Q279" s="45">
        <f t="shared" si="282"/>
        <v>0</v>
      </c>
      <c r="R279" s="64">
        <f>M279*Inputs!$F$32*Inputs!$G$32</f>
        <v>0</v>
      </c>
      <c r="S279" s="45">
        <f>Inputs!$F$32*Inputs!$I$32*N279</f>
        <v>0</v>
      </c>
      <c r="T279" s="18"/>
      <c r="U279" s="55"/>
      <c r="W279" s="116">
        <v>7</v>
      </c>
      <c r="X279" s="114">
        <f>Inputs!$A$32</f>
        <v>0</v>
      </c>
      <c r="Y279" s="45">
        <f>Inputs!$B$32</f>
        <v>0</v>
      </c>
      <c r="Z279" s="45" t="s">
        <v>57</v>
      </c>
      <c r="AA279" s="45">
        <f t="shared" si="267"/>
        <v>0</v>
      </c>
      <c r="AB279" s="50"/>
      <c r="AC279" s="118">
        <v>7</v>
      </c>
      <c r="AD279" s="114">
        <f>Inputs!$A$32</f>
        <v>0</v>
      </c>
      <c r="AE279" s="45">
        <f>Inputs!$B$32</f>
        <v>0</v>
      </c>
      <c r="AF279" s="45" t="s">
        <v>58</v>
      </c>
      <c r="AG279" s="45">
        <f t="shared" si="268"/>
        <v>0</v>
      </c>
      <c r="AH279" s="50"/>
      <c r="AI279" s="45">
        <v>0</v>
      </c>
      <c r="AJ279" s="45">
        <v>0</v>
      </c>
      <c r="AK279" s="45">
        <f t="shared" si="283"/>
        <v>0</v>
      </c>
      <c r="AL279" s="50"/>
      <c r="AM279" s="45">
        <f t="shared" si="284"/>
        <v>0</v>
      </c>
      <c r="AN279" s="64">
        <f>AI279*Inputs!$F$32*Inputs!$G$32</f>
        <v>0</v>
      </c>
      <c r="AO279" s="45">
        <f>Inputs!$F$32*Inputs!$I$32*AJ279</f>
        <v>0</v>
      </c>
      <c r="AP279" s="55"/>
      <c r="AR279" s="116">
        <v>7</v>
      </c>
      <c r="AS279" s="114">
        <f>Inputs!$A$32</f>
        <v>0</v>
      </c>
      <c r="AT279" s="45">
        <f>Inputs!$B$32</f>
        <v>0</v>
      </c>
      <c r="AU279" s="45" t="s">
        <v>57</v>
      </c>
      <c r="AV279" s="45">
        <f t="shared" si="272"/>
        <v>0</v>
      </c>
      <c r="AW279" s="50"/>
      <c r="AX279" s="118">
        <v>7</v>
      </c>
      <c r="AY279" s="114">
        <f>Inputs!$A$32</f>
        <v>0</v>
      </c>
      <c r="AZ279" s="45">
        <f>Inputs!$B$32</f>
        <v>0</v>
      </c>
      <c r="BA279" s="45" t="s">
        <v>58</v>
      </c>
      <c r="BB279" s="45">
        <f t="shared" si="269"/>
        <v>0</v>
      </c>
      <c r="BC279" s="50"/>
      <c r="BD279" s="45">
        <v>0</v>
      </c>
      <c r="BE279" s="45">
        <v>0</v>
      </c>
      <c r="BF279" s="45">
        <f t="shared" si="285"/>
        <v>0</v>
      </c>
      <c r="BG279" s="50"/>
      <c r="BH279" s="45">
        <f t="shared" si="286"/>
        <v>0</v>
      </c>
      <c r="BI279" s="64">
        <f>BD279*Inputs!$F$32*Inputs!$G$32</f>
        <v>0</v>
      </c>
      <c r="BJ279" s="45">
        <f>Inputs!$F$32*Inputs!$I$32*BE279</f>
        <v>0</v>
      </c>
      <c r="BK279" s="55"/>
      <c r="BM279" s="116">
        <v>7</v>
      </c>
      <c r="BN279" s="114">
        <f>Inputs!$A$32</f>
        <v>0</v>
      </c>
      <c r="BO279" s="45">
        <f>Inputs!$B$32</f>
        <v>0</v>
      </c>
      <c r="BP279" s="45" t="s">
        <v>57</v>
      </c>
      <c r="BQ279" s="45">
        <f t="shared" si="270"/>
        <v>0</v>
      </c>
      <c r="BR279" s="50"/>
      <c r="BS279" s="118">
        <v>7</v>
      </c>
      <c r="BT279" s="114">
        <f>Inputs!$A$32</f>
        <v>0</v>
      </c>
      <c r="BU279" s="45">
        <f>Inputs!$B$32</f>
        <v>0</v>
      </c>
      <c r="BV279" s="45" t="s">
        <v>58</v>
      </c>
      <c r="BW279" s="45">
        <f t="shared" si="271"/>
        <v>0</v>
      </c>
      <c r="BX279" s="50"/>
      <c r="BY279" s="45">
        <v>0</v>
      </c>
      <c r="BZ279" s="45">
        <v>0</v>
      </c>
      <c r="CA279" s="45">
        <f t="shared" si="287"/>
        <v>0</v>
      </c>
      <c r="CB279" s="50"/>
      <c r="CC279" s="45">
        <f t="shared" si="288"/>
        <v>0</v>
      </c>
      <c r="CD279" s="64">
        <f>BY279*Inputs!$F$32*Inputs!$G$32</f>
        <v>0</v>
      </c>
      <c r="CE279" s="45">
        <f>Inputs!$F$32*Inputs!$I$32*BZ279</f>
        <v>0</v>
      </c>
      <c r="CF279" s="55"/>
    </row>
    <row r="280" spans="1:84" x14ac:dyDescent="0.25">
      <c r="A280" s="116">
        <v>8</v>
      </c>
      <c r="B280" s="114">
        <f>Inputs!$A$32</f>
        <v>0</v>
      </c>
      <c r="C280" s="45">
        <f>Inputs!$B$32</f>
        <v>0</v>
      </c>
      <c r="D280" s="45" t="s">
        <v>57</v>
      </c>
      <c r="E280" s="45">
        <v>0</v>
      </c>
      <c r="F280" s="50"/>
      <c r="G280" s="118">
        <v>8</v>
      </c>
      <c r="H280" s="114">
        <f>Inputs!$A$32</f>
        <v>0</v>
      </c>
      <c r="I280" s="45">
        <f>Inputs!$B$32</f>
        <v>0</v>
      </c>
      <c r="J280" s="45" t="s">
        <v>58</v>
      </c>
      <c r="K280" s="45">
        <v>0</v>
      </c>
      <c r="L280" s="50"/>
      <c r="M280" s="45">
        <v>0</v>
      </c>
      <c r="N280" s="45">
        <v>0</v>
      </c>
      <c r="O280" s="45">
        <f t="shared" si="281"/>
        <v>0</v>
      </c>
      <c r="P280" s="50"/>
      <c r="Q280" s="45">
        <f t="shared" si="282"/>
        <v>0</v>
      </c>
      <c r="R280" s="64">
        <f>M280*Inputs!$F$32*Inputs!$G$32</f>
        <v>0</v>
      </c>
      <c r="S280" s="45">
        <f>Inputs!$F$32*Inputs!$I$32*N280</f>
        <v>0</v>
      </c>
      <c r="T280" s="18"/>
      <c r="U280" s="55"/>
      <c r="W280" s="116">
        <v>8</v>
      </c>
      <c r="X280" s="114">
        <f>Inputs!$A$32</f>
        <v>0</v>
      </c>
      <c r="Y280" s="45">
        <f>Inputs!$B$32</f>
        <v>0</v>
      </c>
      <c r="Z280" s="45" t="s">
        <v>57</v>
      </c>
      <c r="AA280" s="45">
        <f t="shared" si="267"/>
        <v>0</v>
      </c>
      <c r="AB280" s="50"/>
      <c r="AC280" s="118">
        <v>8</v>
      </c>
      <c r="AD280" s="114">
        <f>Inputs!$A$32</f>
        <v>0</v>
      </c>
      <c r="AE280" s="45">
        <f>Inputs!$B$32</f>
        <v>0</v>
      </c>
      <c r="AF280" s="45" t="s">
        <v>58</v>
      </c>
      <c r="AG280" s="45">
        <f t="shared" si="268"/>
        <v>0</v>
      </c>
      <c r="AH280" s="50"/>
      <c r="AI280" s="45">
        <v>0</v>
      </c>
      <c r="AJ280" s="45">
        <v>0</v>
      </c>
      <c r="AK280" s="45">
        <f t="shared" si="283"/>
        <v>0</v>
      </c>
      <c r="AL280" s="50"/>
      <c r="AM280" s="45">
        <f t="shared" si="284"/>
        <v>0</v>
      </c>
      <c r="AN280" s="64">
        <f>AI280*Inputs!$F$32*Inputs!$G$32</f>
        <v>0</v>
      </c>
      <c r="AO280" s="45">
        <f>Inputs!$F$32*Inputs!$I$32*AJ280</f>
        <v>0</v>
      </c>
      <c r="AP280" s="55"/>
      <c r="AR280" s="116">
        <v>8</v>
      </c>
      <c r="AS280" s="114">
        <f>Inputs!$A$32</f>
        <v>0</v>
      </c>
      <c r="AT280" s="45">
        <f>Inputs!$B$32</f>
        <v>0</v>
      </c>
      <c r="AU280" s="45" t="s">
        <v>57</v>
      </c>
      <c r="AV280" s="45">
        <f t="shared" si="272"/>
        <v>0</v>
      </c>
      <c r="AW280" s="50"/>
      <c r="AX280" s="118">
        <v>8</v>
      </c>
      <c r="AY280" s="114">
        <f>Inputs!$A$32</f>
        <v>0</v>
      </c>
      <c r="AZ280" s="45">
        <f>Inputs!$B$32</f>
        <v>0</v>
      </c>
      <c r="BA280" s="45" t="s">
        <v>58</v>
      </c>
      <c r="BB280" s="45">
        <f t="shared" si="269"/>
        <v>0</v>
      </c>
      <c r="BC280" s="50"/>
      <c r="BD280" s="45">
        <v>0</v>
      </c>
      <c r="BE280" s="45">
        <v>0</v>
      </c>
      <c r="BF280" s="45">
        <f t="shared" si="285"/>
        <v>0</v>
      </c>
      <c r="BG280" s="50"/>
      <c r="BH280" s="45">
        <f t="shared" si="286"/>
        <v>0</v>
      </c>
      <c r="BI280" s="64">
        <f>BD280*Inputs!$F$32*Inputs!$G$32</f>
        <v>0</v>
      </c>
      <c r="BJ280" s="45">
        <f>Inputs!$F$32*Inputs!$I$32*BE280</f>
        <v>0</v>
      </c>
      <c r="BK280" s="55"/>
      <c r="BM280" s="116">
        <v>8</v>
      </c>
      <c r="BN280" s="114">
        <f>Inputs!$A$32</f>
        <v>0</v>
      </c>
      <c r="BO280" s="45">
        <f>Inputs!$B$32</f>
        <v>0</v>
      </c>
      <c r="BP280" s="45" t="s">
        <v>57</v>
      </c>
      <c r="BQ280" s="45">
        <f t="shared" si="270"/>
        <v>0</v>
      </c>
      <c r="BR280" s="50"/>
      <c r="BS280" s="118">
        <v>8</v>
      </c>
      <c r="BT280" s="114">
        <f>Inputs!$A$32</f>
        <v>0</v>
      </c>
      <c r="BU280" s="45">
        <f>Inputs!$B$32</f>
        <v>0</v>
      </c>
      <c r="BV280" s="45" t="s">
        <v>58</v>
      </c>
      <c r="BW280" s="45">
        <f t="shared" si="271"/>
        <v>0</v>
      </c>
      <c r="BX280" s="50"/>
      <c r="BY280" s="45">
        <v>0</v>
      </c>
      <c r="BZ280" s="45">
        <v>0</v>
      </c>
      <c r="CA280" s="45">
        <f t="shared" si="287"/>
        <v>0</v>
      </c>
      <c r="CB280" s="50"/>
      <c r="CC280" s="45">
        <f t="shared" si="288"/>
        <v>0</v>
      </c>
      <c r="CD280" s="64">
        <f>BY280*Inputs!$F$32*Inputs!$G$32</f>
        <v>0</v>
      </c>
      <c r="CE280" s="45">
        <f>Inputs!$F$32*Inputs!$I$32*BZ280</f>
        <v>0</v>
      </c>
      <c r="CF280" s="55"/>
    </row>
    <row r="281" spans="1:84" x14ac:dyDescent="0.25">
      <c r="A281" s="116">
        <v>9</v>
      </c>
      <c r="B281" s="114">
        <f>Inputs!$A$32</f>
        <v>0</v>
      </c>
      <c r="C281" s="45">
        <f>Inputs!$B$32</f>
        <v>0</v>
      </c>
      <c r="D281" s="45" t="s">
        <v>57</v>
      </c>
      <c r="E281" s="45">
        <v>0</v>
      </c>
      <c r="F281" s="50"/>
      <c r="G281" s="118">
        <v>9</v>
      </c>
      <c r="H281" s="114">
        <f>Inputs!$A$32</f>
        <v>0</v>
      </c>
      <c r="I281" s="45">
        <f>Inputs!$B$32</f>
        <v>0</v>
      </c>
      <c r="J281" s="45" t="s">
        <v>58</v>
      </c>
      <c r="K281" s="45">
        <v>0</v>
      </c>
      <c r="L281" s="50"/>
      <c r="M281" s="45">
        <v>0</v>
      </c>
      <c r="N281" s="45">
        <v>0</v>
      </c>
      <c r="O281" s="45">
        <f t="shared" si="281"/>
        <v>0</v>
      </c>
      <c r="P281" s="50"/>
      <c r="Q281" s="45">
        <f t="shared" si="282"/>
        <v>0</v>
      </c>
      <c r="R281" s="64">
        <f>M281*Inputs!$F$32*Inputs!$G$32</f>
        <v>0</v>
      </c>
      <c r="S281" s="45">
        <f>Inputs!$F$32*Inputs!$I$32*N281</f>
        <v>0</v>
      </c>
      <c r="T281" s="18"/>
      <c r="U281" s="55"/>
      <c r="W281" s="116">
        <v>9</v>
      </c>
      <c r="X281" s="114">
        <f>Inputs!$A$32</f>
        <v>0</v>
      </c>
      <c r="Y281" s="45">
        <f>Inputs!$B$32</f>
        <v>0</v>
      </c>
      <c r="Z281" s="45" t="s">
        <v>57</v>
      </c>
      <c r="AA281" s="45">
        <f t="shared" si="267"/>
        <v>0</v>
      </c>
      <c r="AB281" s="50"/>
      <c r="AC281" s="118">
        <v>9</v>
      </c>
      <c r="AD281" s="114">
        <f>Inputs!$A$32</f>
        <v>0</v>
      </c>
      <c r="AE281" s="45">
        <f>Inputs!$B$32</f>
        <v>0</v>
      </c>
      <c r="AF281" s="45" t="s">
        <v>58</v>
      </c>
      <c r="AG281" s="45">
        <f t="shared" si="268"/>
        <v>0</v>
      </c>
      <c r="AH281" s="50"/>
      <c r="AI281" s="45">
        <v>0</v>
      </c>
      <c r="AJ281" s="45">
        <v>0</v>
      </c>
      <c r="AK281" s="45">
        <f t="shared" si="283"/>
        <v>0</v>
      </c>
      <c r="AL281" s="50"/>
      <c r="AM281" s="45">
        <f t="shared" si="284"/>
        <v>0</v>
      </c>
      <c r="AN281" s="64">
        <f>AI281*Inputs!$F$32*Inputs!$G$32</f>
        <v>0</v>
      </c>
      <c r="AO281" s="45">
        <f>Inputs!$F$32*Inputs!$I$32*AJ281</f>
        <v>0</v>
      </c>
      <c r="AP281" s="55"/>
      <c r="AR281" s="116">
        <v>9</v>
      </c>
      <c r="AS281" s="114">
        <f>Inputs!$A$32</f>
        <v>0</v>
      </c>
      <c r="AT281" s="45">
        <f>Inputs!$B$32</f>
        <v>0</v>
      </c>
      <c r="AU281" s="45" t="s">
        <v>57</v>
      </c>
      <c r="AV281" s="45">
        <f t="shared" si="272"/>
        <v>0</v>
      </c>
      <c r="AW281" s="50"/>
      <c r="AX281" s="118">
        <v>9</v>
      </c>
      <c r="AY281" s="114">
        <f>Inputs!$A$32</f>
        <v>0</v>
      </c>
      <c r="AZ281" s="45">
        <f>Inputs!$B$32</f>
        <v>0</v>
      </c>
      <c r="BA281" s="45" t="s">
        <v>58</v>
      </c>
      <c r="BB281" s="45">
        <f t="shared" si="269"/>
        <v>0</v>
      </c>
      <c r="BC281" s="50"/>
      <c r="BD281" s="45">
        <v>0</v>
      </c>
      <c r="BE281" s="45">
        <v>0</v>
      </c>
      <c r="BF281" s="45">
        <f t="shared" si="285"/>
        <v>0</v>
      </c>
      <c r="BG281" s="50"/>
      <c r="BH281" s="45">
        <f t="shared" si="286"/>
        <v>0</v>
      </c>
      <c r="BI281" s="64">
        <f>BD281*Inputs!$F$32*Inputs!$G$32</f>
        <v>0</v>
      </c>
      <c r="BJ281" s="45">
        <f>Inputs!$F$32*Inputs!$I$32*BE281</f>
        <v>0</v>
      </c>
      <c r="BK281" s="55"/>
      <c r="BM281" s="116">
        <v>9</v>
      </c>
      <c r="BN281" s="114">
        <f>Inputs!$A$32</f>
        <v>0</v>
      </c>
      <c r="BO281" s="45">
        <f>Inputs!$B$32</f>
        <v>0</v>
      </c>
      <c r="BP281" s="45" t="s">
        <v>57</v>
      </c>
      <c r="BQ281" s="45">
        <f t="shared" si="270"/>
        <v>0</v>
      </c>
      <c r="BR281" s="50"/>
      <c r="BS281" s="118">
        <v>9</v>
      </c>
      <c r="BT281" s="114">
        <f>Inputs!$A$32</f>
        <v>0</v>
      </c>
      <c r="BU281" s="45">
        <f>Inputs!$B$32</f>
        <v>0</v>
      </c>
      <c r="BV281" s="45" t="s">
        <v>58</v>
      </c>
      <c r="BW281" s="45">
        <f t="shared" si="271"/>
        <v>0</v>
      </c>
      <c r="BX281" s="50"/>
      <c r="BY281" s="45">
        <v>0</v>
      </c>
      <c r="BZ281" s="45">
        <v>0</v>
      </c>
      <c r="CA281" s="45">
        <f t="shared" si="287"/>
        <v>0</v>
      </c>
      <c r="CB281" s="50"/>
      <c r="CC281" s="45">
        <f t="shared" si="288"/>
        <v>0</v>
      </c>
      <c r="CD281" s="64">
        <f>BY281*Inputs!$F$32*Inputs!$G$32</f>
        <v>0</v>
      </c>
      <c r="CE281" s="45">
        <f>Inputs!$F$32*Inputs!$I$32*BZ281</f>
        <v>0</v>
      </c>
      <c r="CF281" s="55"/>
    </row>
    <row r="282" spans="1:84" x14ac:dyDescent="0.25">
      <c r="A282" s="116">
        <v>10</v>
      </c>
      <c r="B282" s="114">
        <f>Inputs!$A$32</f>
        <v>0</v>
      </c>
      <c r="C282" s="45">
        <f>Inputs!$B$32</f>
        <v>0</v>
      </c>
      <c r="D282" s="45" t="s">
        <v>57</v>
      </c>
      <c r="E282" s="45">
        <v>0</v>
      </c>
      <c r="F282" s="50"/>
      <c r="G282" s="118">
        <v>10</v>
      </c>
      <c r="H282" s="114">
        <f>Inputs!$A$32</f>
        <v>0</v>
      </c>
      <c r="I282" s="45">
        <f>Inputs!$B$32</f>
        <v>0</v>
      </c>
      <c r="J282" s="45" t="s">
        <v>58</v>
      </c>
      <c r="K282" s="45">
        <v>0</v>
      </c>
      <c r="L282" s="50"/>
      <c r="M282" s="45">
        <v>0</v>
      </c>
      <c r="N282" s="45">
        <v>0</v>
      </c>
      <c r="O282" s="45">
        <f t="shared" si="281"/>
        <v>0</v>
      </c>
      <c r="P282" s="50"/>
      <c r="Q282" s="45">
        <f t="shared" si="282"/>
        <v>0</v>
      </c>
      <c r="R282" s="64">
        <f>M282*Inputs!$F$32*Inputs!$G$32</f>
        <v>0</v>
      </c>
      <c r="S282" s="45">
        <f>Inputs!$F$32*Inputs!$I$32*N282</f>
        <v>0</v>
      </c>
      <c r="T282" s="18"/>
      <c r="U282" s="91"/>
      <c r="W282" s="116">
        <v>10</v>
      </c>
      <c r="X282" s="114">
        <f>Inputs!$A$32</f>
        <v>0</v>
      </c>
      <c r="Y282" s="45">
        <f>Inputs!$B$32</f>
        <v>0</v>
      </c>
      <c r="Z282" s="45" t="s">
        <v>57</v>
      </c>
      <c r="AA282" s="45">
        <f t="shared" si="267"/>
        <v>0</v>
      </c>
      <c r="AB282" s="50"/>
      <c r="AC282" s="118">
        <v>10</v>
      </c>
      <c r="AD282" s="114">
        <f>Inputs!$A$32</f>
        <v>0</v>
      </c>
      <c r="AE282" s="45">
        <f>Inputs!$B$32</f>
        <v>0</v>
      </c>
      <c r="AF282" s="45" t="s">
        <v>58</v>
      </c>
      <c r="AG282" s="45">
        <f t="shared" si="268"/>
        <v>0</v>
      </c>
      <c r="AH282" s="50"/>
      <c r="AI282" s="45">
        <v>0</v>
      </c>
      <c r="AJ282" s="45">
        <v>0</v>
      </c>
      <c r="AK282" s="45">
        <f t="shared" si="283"/>
        <v>0</v>
      </c>
      <c r="AL282" s="50"/>
      <c r="AM282" s="45">
        <f t="shared" si="284"/>
        <v>0</v>
      </c>
      <c r="AN282" s="64">
        <f>AI282*Inputs!$F$32*Inputs!$G$32</f>
        <v>0</v>
      </c>
      <c r="AO282" s="45">
        <f>Inputs!$F$32*Inputs!$I$32*AJ282</f>
        <v>0</v>
      </c>
      <c r="AP282" s="91"/>
      <c r="AR282" s="116">
        <v>10</v>
      </c>
      <c r="AS282" s="114">
        <f>Inputs!$A$32</f>
        <v>0</v>
      </c>
      <c r="AT282" s="45">
        <f>Inputs!$B$32</f>
        <v>0</v>
      </c>
      <c r="AU282" s="45" t="s">
        <v>57</v>
      </c>
      <c r="AV282" s="45">
        <f t="shared" si="272"/>
        <v>0</v>
      </c>
      <c r="AW282" s="50"/>
      <c r="AX282" s="118">
        <v>10</v>
      </c>
      <c r="AY282" s="114">
        <f>Inputs!$A$32</f>
        <v>0</v>
      </c>
      <c r="AZ282" s="45">
        <f>Inputs!$B$32</f>
        <v>0</v>
      </c>
      <c r="BA282" s="45" t="s">
        <v>58</v>
      </c>
      <c r="BB282" s="45">
        <f t="shared" si="269"/>
        <v>0</v>
      </c>
      <c r="BC282" s="50"/>
      <c r="BD282" s="45">
        <v>0</v>
      </c>
      <c r="BE282" s="45">
        <v>0</v>
      </c>
      <c r="BF282" s="45">
        <f t="shared" si="285"/>
        <v>0</v>
      </c>
      <c r="BG282" s="50"/>
      <c r="BH282" s="45">
        <f t="shared" si="286"/>
        <v>0</v>
      </c>
      <c r="BI282" s="64">
        <f>BD282*Inputs!$F$32*Inputs!$G$32</f>
        <v>0</v>
      </c>
      <c r="BJ282" s="45">
        <f>Inputs!$F$32*Inputs!$I$32*BE282</f>
        <v>0</v>
      </c>
      <c r="BK282" s="91"/>
      <c r="BM282" s="116">
        <v>10</v>
      </c>
      <c r="BN282" s="114">
        <f>Inputs!$A$32</f>
        <v>0</v>
      </c>
      <c r="BO282" s="45">
        <f>Inputs!$B$32</f>
        <v>0</v>
      </c>
      <c r="BP282" s="45" t="s">
        <v>57</v>
      </c>
      <c r="BQ282" s="45">
        <f t="shared" si="270"/>
        <v>0</v>
      </c>
      <c r="BR282" s="50"/>
      <c r="BS282" s="118">
        <v>10</v>
      </c>
      <c r="BT282" s="114">
        <f>Inputs!$A$32</f>
        <v>0</v>
      </c>
      <c r="BU282" s="45">
        <f>Inputs!$B$32</f>
        <v>0</v>
      </c>
      <c r="BV282" s="45" t="s">
        <v>58</v>
      </c>
      <c r="BW282" s="45">
        <f t="shared" si="271"/>
        <v>0</v>
      </c>
      <c r="BX282" s="50"/>
      <c r="BY282" s="45">
        <v>0</v>
      </c>
      <c r="BZ282" s="45">
        <v>0</v>
      </c>
      <c r="CA282" s="45">
        <f t="shared" si="287"/>
        <v>0</v>
      </c>
      <c r="CB282" s="50"/>
      <c r="CC282" s="45">
        <f t="shared" si="288"/>
        <v>0</v>
      </c>
      <c r="CD282" s="64">
        <f>BY282*Inputs!$F$32*Inputs!$G$32</f>
        <v>0</v>
      </c>
      <c r="CE282" s="45">
        <f>Inputs!$F$32*Inputs!$I$32*BZ282</f>
        <v>0</v>
      </c>
      <c r="CF282" s="91"/>
    </row>
    <row r="283" spans="1:84" x14ac:dyDescent="0.25">
      <c r="A283" s="116">
        <v>11</v>
      </c>
      <c r="B283" s="114">
        <f>Inputs!$A$32</f>
        <v>0</v>
      </c>
      <c r="C283" s="45">
        <f>Inputs!$B$32</f>
        <v>0</v>
      </c>
      <c r="D283" s="45" t="s">
        <v>57</v>
      </c>
      <c r="E283" s="45">
        <v>0</v>
      </c>
      <c r="F283" s="50"/>
      <c r="G283" s="118">
        <v>11</v>
      </c>
      <c r="H283" s="114">
        <f>Inputs!$A$32</f>
        <v>0</v>
      </c>
      <c r="I283" s="45">
        <f>Inputs!$B$32</f>
        <v>0</v>
      </c>
      <c r="J283" s="45" t="s">
        <v>58</v>
      </c>
      <c r="K283" s="45">
        <v>0</v>
      </c>
      <c r="L283" s="50"/>
      <c r="M283" s="45">
        <v>0</v>
      </c>
      <c r="N283" s="45">
        <v>0</v>
      </c>
      <c r="O283" s="45">
        <f t="shared" si="281"/>
        <v>0</v>
      </c>
      <c r="P283" s="50"/>
      <c r="Q283" s="45">
        <f t="shared" si="282"/>
        <v>0</v>
      </c>
      <c r="R283" s="64">
        <f>M283*Inputs!$F$32*Inputs!$H$32</f>
        <v>0</v>
      </c>
      <c r="S283" s="45">
        <f>Inputs!$F$32*Inputs!$I$32*N283</f>
        <v>0</v>
      </c>
      <c r="T283" s="18"/>
      <c r="U283" s="56"/>
      <c r="W283" s="116">
        <v>11</v>
      </c>
      <c r="X283" s="114">
        <f>Inputs!$A$32</f>
        <v>0</v>
      </c>
      <c r="Y283" s="45">
        <f>Inputs!$B$32</f>
        <v>0</v>
      </c>
      <c r="Z283" s="45" t="s">
        <v>57</v>
      </c>
      <c r="AA283" s="45">
        <f t="shared" si="267"/>
        <v>0</v>
      </c>
      <c r="AB283" s="50"/>
      <c r="AC283" s="118">
        <v>11</v>
      </c>
      <c r="AD283" s="114">
        <f>Inputs!$A$32</f>
        <v>0</v>
      </c>
      <c r="AE283" s="45">
        <f>Inputs!$B$32</f>
        <v>0</v>
      </c>
      <c r="AF283" s="45" t="s">
        <v>58</v>
      </c>
      <c r="AG283" s="45">
        <f t="shared" si="268"/>
        <v>0</v>
      </c>
      <c r="AH283" s="50"/>
      <c r="AI283" s="45">
        <v>0</v>
      </c>
      <c r="AJ283" s="45">
        <v>0</v>
      </c>
      <c r="AK283" s="45">
        <f t="shared" si="283"/>
        <v>0</v>
      </c>
      <c r="AL283" s="50"/>
      <c r="AM283" s="45">
        <f t="shared" si="284"/>
        <v>0</v>
      </c>
      <c r="AN283" s="64">
        <f>AI283*Inputs!$F$32*Inputs!$H$32</f>
        <v>0</v>
      </c>
      <c r="AO283" s="45">
        <f>Inputs!$F$32*Inputs!$I$32*AJ283</f>
        <v>0</v>
      </c>
      <c r="AP283" s="56"/>
      <c r="AR283" s="116">
        <v>11</v>
      </c>
      <c r="AS283" s="114">
        <f>Inputs!$A$32</f>
        <v>0</v>
      </c>
      <c r="AT283" s="45">
        <f>Inputs!$B$32</f>
        <v>0</v>
      </c>
      <c r="AU283" s="45" t="s">
        <v>57</v>
      </c>
      <c r="AV283" s="45">
        <f t="shared" si="272"/>
        <v>0</v>
      </c>
      <c r="AW283" s="50"/>
      <c r="AX283" s="118">
        <v>11</v>
      </c>
      <c r="AY283" s="114">
        <f>Inputs!$A$32</f>
        <v>0</v>
      </c>
      <c r="AZ283" s="45">
        <f>Inputs!$B$32</f>
        <v>0</v>
      </c>
      <c r="BA283" s="45" t="s">
        <v>58</v>
      </c>
      <c r="BB283" s="45">
        <f t="shared" si="269"/>
        <v>0</v>
      </c>
      <c r="BC283" s="50"/>
      <c r="BD283" s="45">
        <v>0</v>
      </c>
      <c r="BE283" s="45">
        <v>0</v>
      </c>
      <c r="BF283" s="45">
        <f t="shared" si="285"/>
        <v>0</v>
      </c>
      <c r="BG283" s="50"/>
      <c r="BH283" s="45">
        <f t="shared" si="286"/>
        <v>0</v>
      </c>
      <c r="BI283" s="64">
        <f>BD283*Inputs!$F$32*Inputs!$H$32</f>
        <v>0</v>
      </c>
      <c r="BJ283" s="45">
        <f>Inputs!$F$32*Inputs!$I$32*BE283</f>
        <v>0</v>
      </c>
      <c r="BK283" s="56"/>
      <c r="BM283" s="116">
        <v>11</v>
      </c>
      <c r="BN283" s="114">
        <f>Inputs!$A$32</f>
        <v>0</v>
      </c>
      <c r="BO283" s="45">
        <f>Inputs!$B$32</f>
        <v>0</v>
      </c>
      <c r="BP283" s="45" t="s">
        <v>57</v>
      </c>
      <c r="BQ283" s="45">
        <f t="shared" si="270"/>
        <v>0</v>
      </c>
      <c r="BR283" s="50"/>
      <c r="BS283" s="118">
        <v>11</v>
      </c>
      <c r="BT283" s="114">
        <f>Inputs!$A$32</f>
        <v>0</v>
      </c>
      <c r="BU283" s="45">
        <f>Inputs!$B$32</f>
        <v>0</v>
      </c>
      <c r="BV283" s="45" t="s">
        <v>58</v>
      </c>
      <c r="BW283" s="45">
        <f t="shared" si="271"/>
        <v>0</v>
      </c>
      <c r="BX283" s="50"/>
      <c r="BY283" s="45">
        <v>0</v>
      </c>
      <c r="BZ283" s="45">
        <v>0</v>
      </c>
      <c r="CA283" s="45">
        <f t="shared" si="287"/>
        <v>0</v>
      </c>
      <c r="CB283" s="50"/>
      <c r="CC283" s="45">
        <f t="shared" si="288"/>
        <v>0</v>
      </c>
      <c r="CD283" s="64">
        <f>BY283*Inputs!$F$32*Inputs!$H$32</f>
        <v>0</v>
      </c>
      <c r="CE283" s="45">
        <f>Inputs!$F$32*Inputs!$I$32*BZ283</f>
        <v>0</v>
      </c>
      <c r="CF283" s="56"/>
    </row>
    <row r="284" spans="1:84" x14ac:dyDescent="0.25">
      <c r="A284" s="117">
        <v>3</v>
      </c>
      <c r="B284" s="115">
        <f>Inputs!$A$33</f>
        <v>0</v>
      </c>
      <c r="C284" s="44">
        <f>Inputs!$B$33</f>
        <v>0</v>
      </c>
      <c r="D284" s="44" t="s">
        <v>57</v>
      </c>
      <c r="E284" s="44">
        <v>0</v>
      </c>
      <c r="F284" s="50"/>
      <c r="G284" s="119">
        <v>3</v>
      </c>
      <c r="H284" s="115">
        <f>Inputs!$A$33</f>
        <v>0</v>
      </c>
      <c r="I284" s="44">
        <f>Inputs!$B$33</f>
        <v>0</v>
      </c>
      <c r="J284" s="44" t="s">
        <v>58</v>
      </c>
      <c r="K284" s="44">
        <v>0</v>
      </c>
      <c r="L284" s="50"/>
      <c r="M284" s="44">
        <v>0</v>
      </c>
      <c r="N284" s="44">
        <v>0</v>
      </c>
      <c r="O284" s="44">
        <f>U284-0-E284-K284</f>
        <v>0</v>
      </c>
      <c r="P284" s="50"/>
      <c r="Q284" s="44">
        <f>E284+K284+N284-U284+0-M284</f>
        <v>0</v>
      </c>
      <c r="R284" s="63">
        <f>M284*Inputs!$F$33*Inputs!$G$33</f>
        <v>0</v>
      </c>
      <c r="S284" s="44">
        <f>Inputs!$F$33*Inputs!$I$33*N284</f>
        <v>0</v>
      </c>
      <c r="T284" s="18"/>
      <c r="U284" s="54"/>
      <c r="W284" s="117">
        <v>3</v>
      </c>
      <c r="X284" s="115">
        <f>Inputs!$A$33</f>
        <v>0</v>
      </c>
      <c r="Y284" s="44">
        <f>Inputs!$B$33</f>
        <v>0</v>
      </c>
      <c r="Z284" s="44" t="s">
        <v>57</v>
      </c>
      <c r="AA284" s="44">
        <f t="shared" si="267"/>
        <v>0</v>
      </c>
      <c r="AB284" s="50"/>
      <c r="AC284" s="119">
        <v>3</v>
      </c>
      <c r="AD284" s="115">
        <f>Inputs!$A$33</f>
        <v>0</v>
      </c>
      <c r="AE284" s="44">
        <f>Inputs!$B$33</f>
        <v>0</v>
      </c>
      <c r="AF284" s="44" t="s">
        <v>58</v>
      </c>
      <c r="AG284" s="44">
        <f t="shared" si="268"/>
        <v>0</v>
      </c>
      <c r="AH284" s="50"/>
      <c r="AI284" s="44">
        <v>0</v>
      </c>
      <c r="AJ284" s="44">
        <v>0</v>
      </c>
      <c r="AK284" s="44">
        <f>AP284-0-AA284-AG284</f>
        <v>0</v>
      </c>
      <c r="AL284" s="50"/>
      <c r="AM284" s="44">
        <f>AA284+AG284+AJ284-AP284+0-AI284</f>
        <v>0</v>
      </c>
      <c r="AN284" s="63">
        <f>AI284*Inputs!$F$33*Inputs!$G$33</f>
        <v>0</v>
      </c>
      <c r="AO284" s="44">
        <f>Inputs!$F$33*Inputs!$I$33*AJ284</f>
        <v>0</v>
      </c>
      <c r="AP284" s="54"/>
      <c r="AR284" s="117">
        <v>3</v>
      </c>
      <c r="AS284" s="115">
        <f>Inputs!$A$33</f>
        <v>0</v>
      </c>
      <c r="AT284" s="44">
        <f>Inputs!$B$33</f>
        <v>0</v>
      </c>
      <c r="AU284" s="44" t="s">
        <v>57</v>
      </c>
      <c r="AV284" s="44">
        <f t="shared" si="272"/>
        <v>0</v>
      </c>
      <c r="AW284" s="50"/>
      <c r="AX284" s="119">
        <v>3</v>
      </c>
      <c r="AY284" s="115">
        <f>Inputs!$A$33</f>
        <v>0</v>
      </c>
      <c r="AZ284" s="44">
        <f>Inputs!$B$33</f>
        <v>0</v>
      </c>
      <c r="BA284" s="44" t="s">
        <v>58</v>
      </c>
      <c r="BB284" s="44">
        <f t="shared" si="269"/>
        <v>0</v>
      </c>
      <c r="BC284" s="50"/>
      <c r="BD284" s="44">
        <v>0</v>
      </c>
      <c r="BE284" s="44">
        <v>0</v>
      </c>
      <c r="BF284" s="44">
        <f>BK284-0-AV284-BB284</f>
        <v>0</v>
      </c>
      <c r="BG284" s="50"/>
      <c r="BH284" s="44">
        <f>AV284+BB284+BE284-BK284+0-BD284</f>
        <v>0</v>
      </c>
      <c r="BI284" s="63">
        <f>BD284*Inputs!$F$33*Inputs!$G$33</f>
        <v>0</v>
      </c>
      <c r="BJ284" s="44">
        <f>Inputs!$F$33*Inputs!$I$33*BE284</f>
        <v>0</v>
      </c>
      <c r="BK284" s="54"/>
      <c r="BM284" s="117">
        <v>3</v>
      </c>
      <c r="BN284" s="115">
        <f>Inputs!$A$33</f>
        <v>0</v>
      </c>
      <c r="BO284" s="44">
        <f>Inputs!$B$33</f>
        <v>0</v>
      </c>
      <c r="BP284" s="44" t="s">
        <v>57</v>
      </c>
      <c r="BQ284" s="44">
        <f t="shared" si="270"/>
        <v>0</v>
      </c>
      <c r="BR284" s="50"/>
      <c r="BS284" s="119">
        <v>3</v>
      </c>
      <c r="BT284" s="115">
        <f>Inputs!$A$33</f>
        <v>0</v>
      </c>
      <c r="BU284" s="44">
        <f>Inputs!$B$33</f>
        <v>0</v>
      </c>
      <c r="BV284" s="44" t="s">
        <v>58</v>
      </c>
      <c r="BW284" s="44">
        <f t="shared" si="271"/>
        <v>0</v>
      </c>
      <c r="BX284" s="50"/>
      <c r="BY284" s="44">
        <v>0</v>
      </c>
      <c r="BZ284" s="44">
        <v>0</v>
      </c>
      <c r="CA284" s="44">
        <f>CF284-0-BQ284-BW284</f>
        <v>0</v>
      </c>
      <c r="CB284" s="50"/>
      <c r="CC284" s="44">
        <f>BQ284+BW284+BZ284-CF284+0-BY284</f>
        <v>0</v>
      </c>
      <c r="CD284" s="63">
        <f>BY284*Inputs!$F$33*Inputs!$G$33</f>
        <v>0</v>
      </c>
      <c r="CE284" s="44">
        <f>Inputs!$F$33*Inputs!$I$33*BZ284</f>
        <v>0</v>
      </c>
      <c r="CF284" s="54"/>
    </row>
    <row r="285" spans="1:84" x14ac:dyDescent="0.25">
      <c r="A285" s="117">
        <v>4</v>
      </c>
      <c r="B285" s="115">
        <f>Inputs!$A$33</f>
        <v>0</v>
      </c>
      <c r="C285" s="44">
        <f>Inputs!$B$33</f>
        <v>0</v>
      </c>
      <c r="D285" s="44" t="s">
        <v>57</v>
      </c>
      <c r="E285" s="44">
        <v>0</v>
      </c>
      <c r="F285" s="50"/>
      <c r="G285" s="119">
        <v>4</v>
      </c>
      <c r="H285" s="115">
        <f>Inputs!$A$33</f>
        <v>0</v>
      </c>
      <c r="I285" s="44">
        <f>Inputs!$B$33</f>
        <v>0</v>
      </c>
      <c r="J285" s="44" t="s">
        <v>58</v>
      </c>
      <c r="K285" s="44">
        <v>0</v>
      </c>
      <c r="L285" s="50"/>
      <c r="M285" s="44">
        <v>0</v>
      </c>
      <c r="N285" s="44">
        <v>0</v>
      </c>
      <c r="O285" s="44">
        <f t="shared" ref="O285:O292" si="289">U285-M284-E285-K285</f>
        <v>0</v>
      </c>
      <c r="P285" s="50"/>
      <c r="Q285" s="44">
        <f t="shared" ref="Q285:Q292" si="290">E285+K285+N285-U285+M284-M285</f>
        <v>0</v>
      </c>
      <c r="R285" s="63">
        <f>M285*Inputs!$F$33*Inputs!$G$33</f>
        <v>0</v>
      </c>
      <c r="S285" s="44">
        <f>Inputs!$F$33*Inputs!$I$33*N285</f>
        <v>0</v>
      </c>
      <c r="T285" s="18"/>
      <c r="U285" s="55"/>
      <c r="W285" s="117">
        <v>4</v>
      </c>
      <c r="X285" s="115">
        <f>Inputs!$A$33</f>
        <v>0</v>
      </c>
      <c r="Y285" s="44">
        <f>Inputs!$B$33</f>
        <v>0</v>
      </c>
      <c r="Z285" s="44" t="s">
        <v>57</v>
      </c>
      <c r="AA285" s="44">
        <f t="shared" si="267"/>
        <v>0</v>
      </c>
      <c r="AB285" s="50"/>
      <c r="AC285" s="119">
        <v>4</v>
      </c>
      <c r="AD285" s="115">
        <f>Inputs!$A$33</f>
        <v>0</v>
      </c>
      <c r="AE285" s="44">
        <f>Inputs!$B$33</f>
        <v>0</v>
      </c>
      <c r="AF285" s="44" t="s">
        <v>58</v>
      </c>
      <c r="AG285" s="44">
        <f t="shared" si="268"/>
        <v>0</v>
      </c>
      <c r="AH285" s="50"/>
      <c r="AI285" s="44">
        <v>0</v>
      </c>
      <c r="AJ285" s="44">
        <v>0</v>
      </c>
      <c r="AK285" s="44">
        <f t="shared" ref="AK285:AK292" si="291">AP285-AI284-AA285-AG285</f>
        <v>0</v>
      </c>
      <c r="AL285" s="50"/>
      <c r="AM285" s="44">
        <f t="shared" ref="AM285:AM292" si="292">AA285+AG285+AJ285-AP285+AI284-AI285</f>
        <v>0</v>
      </c>
      <c r="AN285" s="63">
        <f>AI285*Inputs!$F$33*Inputs!$G$33</f>
        <v>0</v>
      </c>
      <c r="AO285" s="44">
        <f>Inputs!$F$33*Inputs!$I$33*AJ285</f>
        <v>0</v>
      </c>
      <c r="AP285" s="55"/>
      <c r="AR285" s="117">
        <v>4</v>
      </c>
      <c r="AS285" s="115">
        <f>Inputs!$A$33</f>
        <v>0</v>
      </c>
      <c r="AT285" s="44">
        <f>Inputs!$B$33</f>
        <v>0</v>
      </c>
      <c r="AU285" s="44" t="s">
        <v>57</v>
      </c>
      <c r="AV285" s="44">
        <f t="shared" si="272"/>
        <v>0</v>
      </c>
      <c r="AW285" s="50"/>
      <c r="AX285" s="119">
        <v>4</v>
      </c>
      <c r="AY285" s="115">
        <f>Inputs!$A$33</f>
        <v>0</v>
      </c>
      <c r="AZ285" s="44">
        <f>Inputs!$B$33</f>
        <v>0</v>
      </c>
      <c r="BA285" s="44" t="s">
        <v>58</v>
      </c>
      <c r="BB285" s="44">
        <f t="shared" si="269"/>
        <v>0</v>
      </c>
      <c r="BC285" s="50"/>
      <c r="BD285" s="44">
        <v>0</v>
      </c>
      <c r="BE285" s="44">
        <v>0</v>
      </c>
      <c r="BF285" s="44">
        <f t="shared" ref="BF285:BF292" si="293">BK285-BD284-AV285-BB285</f>
        <v>0</v>
      </c>
      <c r="BG285" s="50"/>
      <c r="BH285" s="44">
        <f t="shared" ref="BH285:BH292" si="294">AV285+BB285+BE285-BK285+BD284-BD285</f>
        <v>0</v>
      </c>
      <c r="BI285" s="63">
        <f>BD285*Inputs!$F$33*Inputs!$G$33</f>
        <v>0</v>
      </c>
      <c r="BJ285" s="44">
        <f>Inputs!$F$33*Inputs!$I$33*BE285</f>
        <v>0</v>
      </c>
      <c r="BK285" s="55"/>
      <c r="BM285" s="117">
        <v>4</v>
      </c>
      <c r="BN285" s="115">
        <f>Inputs!$A$33</f>
        <v>0</v>
      </c>
      <c r="BO285" s="44">
        <f>Inputs!$B$33</f>
        <v>0</v>
      </c>
      <c r="BP285" s="44" t="s">
        <v>57</v>
      </c>
      <c r="BQ285" s="44">
        <f t="shared" si="270"/>
        <v>0</v>
      </c>
      <c r="BR285" s="50"/>
      <c r="BS285" s="119">
        <v>4</v>
      </c>
      <c r="BT285" s="115">
        <f>Inputs!$A$33</f>
        <v>0</v>
      </c>
      <c r="BU285" s="44">
        <f>Inputs!$B$33</f>
        <v>0</v>
      </c>
      <c r="BV285" s="44" t="s">
        <v>58</v>
      </c>
      <c r="BW285" s="44">
        <f t="shared" si="271"/>
        <v>0</v>
      </c>
      <c r="BX285" s="50"/>
      <c r="BY285" s="44">
        <v>0</v>
      </c>
      <c r="BZ285" s="44">
        <v>0</v>
      </c>
      <c r="CA285" s="44">
        <f t="shared" ref="CA285:CA292" si="295">CF285-BY284-BQ285-BW285</f>
        <v>0</v>
      </c>
      <c r="CB285" s="50"/>
      <c r="CC285" s="44">
        <f t="shared" ref="CC285:CC292" si="296">BQ285+BW285+BZ285-CF285+BY284-BY285</f>
        <v>0</v>
      </c>
      <c r="CD285" s="63">
        <f>BY285*Inputs!$F$33*Inputs!$G$33</f>
        <v>0</v>
      </c>
      <c r="CE285" s="44">
        <f>Inputs!$F$33*Inputs!$I$33*BZ285</f>
        <v>0</v>
      </c>
      <c r="CF285" s="55"/>
    </row>
    <row r="286" spans="1:84" x14ac:dyDescent="0.25">
      <c r="A286" s="117">
        <v>5</v>
      </c>
      <c r="B286" s="115">
        <f>Inputs!$A$33</f>
        <v>0</v>
      </c>
      <c r="C286" s="44">
        <f>Inputs!$B$33</f>
        <v>0</v>
      </c>
      <c r="D286" s="44" t="s">
        <v>57</v>
      </c>
      <c r="E286" s="44">
        <v>0</v>
      </c>
      <c r="F286" s="50"/>
      <c r="G286" s="119">
        <v>5</v>
      </c>
      <c r="H286" s="115">
        <f>Inputs!$A$33</f>
        <v>0</v>
      </c>
      <c r="I286" s="44">
        <f>Inputs!$B$33</f>
        <v>0</v>
      </c>
      <c r="J286" s="44" t="s">
        <v>58</v>
      </c>
      <c r="K286" s="44">
        <v>0</v>
      </c>
      <c r="L286" s="50"/>
      <c r="M286" s="44">
        <v>0</v>
      </c>
      <c r="N286" s="44">
        <v>0</v>
      </c>
      <c r="O286" s="44">
        <f t="shared" si="289"/>
        <v>0</v>
      </c>
      <c r="P286" s="50"/>
      <c r="Q286" s="44">
        <f t="shared" si="290"/>
        <v>0</v>
      </c>
      <c r="R286" s="63">
        <f>M286*Inputs!$F$33*Inputs!$G$33</f>
        <v>0</v>
      </c>
      <c r="S286" s="44">
        <f>Inputs!$F$33*Inputs!$I$33*N286</f>
        <v>0</v>
      </c>
      <c r="T286" s="18"/>
      <c r="U286" s="55"/>
      <c r="W286" s="117">
        <v>5</v>
      </c>
      <c r="X286" s="115">
        <f>Inputs!$A$33</f>
        <v>0</v>
      </c>
      <c r="Y286" s="44">
        <f>Inputs!$B$33</f>
        <v>0</v>
      </c>
      <c r="Z286" s="44" t="s">
        <v>57</v>
      </c>
      <c r="AA286" s="44">
        <f t="shared" si="267"/>
        <v>0</v>
      </c>
      <c r="AB286" s="50"/>
      <c r="AC286" s="119">
        <v>5</v>
      </c>
      <c r="AD286" s="115">
        <f>Inputs!$A$33</f>
        <v>0</v>
      </c>
      <c r="AE286" s="44">
        <f>Inputs!$B$33</f>
        <v>0</v>
      </c>
      <c r="AF286" s="44" t="s">
        <v>58</v>
      </c>
      <c r="AG286" s="44">
        <f t="shared" si="268"/>
        <v>0</v>
      </c>
      <c r="AH286" s="50"/>
      <c r="AI286" s="44">
        <v>0</v>
      </c>
      <c r="AJ286" s="44">
        <v>0</v>
      </c>
      <c r="AK286" s="44">
        <f t="shared" si="291"/>
        <v>0</v>
      </c>
      <c r="AL286" s="50"/>
      <c r="AM286" s="44">
        <f t="shared" si="292"/>
        <v>0</v>
      </c>
      <c r="AN286" s="63">
        <f>AI286*Inputs!$F$33*Inputs!$G$33</f>
        <v>0</v>
      </c>
      <c r="AO286" s="44">
        <f>Inputs!$F$33*Inputs!$I$33*AJ286</f>
        <v>0</v>
      </c>
      <c r="AP286" s="55"/>
      <c r="AR286" s="117">
        <v>5</v>
      </c>
      <c r="AS286" s="115">
        <f>Inputs!$A$33</f>
        <v>0</v>
      </c>
      <c r="AT286" s="44">
        <f>Inputs!$B$33</f>
        <v>0</v>
      </c>
      <c r="AU286" s="44" t="s">
        <v>57</v>
      </c>
      <c r="AV286" s="44">
        <f t="shared" si="272"/>
        <v>0</v>
      </c>
      <c r="AW286" s="50"/>
      <c r="AX286" s="119">
        <v>5</v>
      </c>
      <c r="AY286" s="115">
        <f>Inputs!$A$33</f>
        <v>0</v>
      </c>
      <c r="AZ286" s="44">
        <f>Inputs!$B$33</f>
        <v>0</v>
      </c>
      <c r="BA286" s="44" t="s">
        <v>58</v>
      </c>
      <c r="BB286" s="44">
        <f t="shared" si="269"/>
        <v>0</v>
      </c>
      <c r="BC286" s="50"/>
      <c r="BD286" s="44">
        <v>0</v>
      </c>
      <c r="BE286" s="44">
        <v>0</v>
      </c>
      <c r="BF286" s="44">
        <f t="shared" si="293"/>
        <v>0</v>
      </c>
      <c r="BG286" s="50"/>
      <c r="BH286" s="44">
        <f t="shared" si="294"/>
        <v>0</v>
      </c>
      <c r="BI286" s="63">
        <f>BD286*Inputs!$F$33*Inputs!$G$33</f>
        <v>0</v>
      </c>
      <c r="BJ286" s="44">
        <f>Inputs!$F$33*Inputs!$I$33*BE286</f>
        <v>0</v>
      </c>
      <c r="BK286" s="55"/>
      <c r="BM286" s="117">
        <v>5</v>
      </c>
      <c r="BN286" s="115">
        <f>Inputs!$A$33</f>
        <v>0</v>
      </c>
      <c r="BO286" s="44">
        <f>Inputs!$B$33</f>
        <v>0</v>
      </c>
      <c r="BP286" s="44" t="s">
        <v>57</v>
      </c>
      <c r="BQ286" s="44">
        <f t="shared" si="270"/>
        <v>0</v>
      </c>
      <c r="BR286" s="50"/>
      <c r="BS286" s="119">
        <v>5</v>
      </c>
      <c r="BT286" s="115">
        <f>Inputs!$A$33</f>
        <v>0</v>
      </c>
      <c r="BU286" s="44">
        <f>Inputs!$B$33</f>
        <v>0</v>
      </c>
      <c r="BV286" s="44" t="s">
        <v>58</v>
      </c>
      <c r="BW286" s="44">
        <f t="shared" si="271"/>
        <v>0</v>
      </c>
      <c r="BX286" s="50"/>
      <c r="BY286" s="44">
        <v>0</v>
      </c>
      <c r="BZ286" s="44">
        <v>0</v>
      </c>
      <c r="CA286" s="44">
        <f t="shared" si="295"/>
        <v>0</v>
      </c>
      <c r="CB286" s="50"/>
      <c r="CC286" s="44">
        <f t="shared" si="296"/>
        <v>0</v>
      </c>
      <c r="CD286" s="63">
        <f>BY286*Inputs!$F$33*Inputs!$G$33</f>
        <v>0</v>
      </c>
      <c r="CE286" s="44">
        <f>Inputs!$F$33*Inputs!$I$33*BZ286</f>
        <v>0</v>
      </c>
      <c r="CF286" s="55"/>
    </row>
    <row r="287" spans="1:84" x14ac:dyDescent="0.25">
      <c r="A287" s="117">
        <v>6</v>
      </c>
      <c r="B287" s="115">
        <f>Inputs!$A$33</f>
        <v>0</v>
      </c>
      <c r="C287" s="44">
        <f>Inputs!$B$33</f>
        <v>0</v>
      </c>
      <c r="D287" s="44" t="s">
        <v>57</v>
      </c>
      <c r="E287" s="44">
        <v>0</v>
      </c>
      <c r="F287" s="50"/>
      <c r="G287" s="119">
        <v>6</v>
      </c>
      <c r="H287" s="115">
        <f>Inputs!$A$33</f>
        <v>0</v>
      </c>
      <c r="I287" s="44">
        <f>Inputs!$B$33</f>
        <v>0</v>
      </c>
      <c r="J287" s="44" t="s">
        <v>58</v>
      </c>
      <c r="K287" s="44">
        <v>0</v>
      </c>
      <c r="L287" s="50"/>
      <c r="M287" s="44">
        <v>0</v>
      </c>
      <c r="N287" s="44">
        <v>0</v>
      </c>
      <c r="O287" s="44">
        <f t="shared" si="289"/>
        <v>0</v>
      </c>
      <c r="P287" s="50"/>
      <c r="Q287" s="44">
        <f t="shared" si="290"/>
        <v>0</v>
      </c>
      <c r="R287" s="63">
        <f>M287*Inputs!$F$33*Inputs!$G$33</f>
        <v>0</v>
      </c>
      <c r="S287" s="44">
        <f>Inputs!$F$33*Inputs!$I$33*N287</f>
        <v>0</v>
      </c>
      <c r="T287" s="18"/>
      <c r="U287" s="55"/>
      <c r="W287" s="117">
        <v>6</v>
      </c>
      <c r="X287" s="115">
        <f>Inputs!$A$33</f>
        <v>0</v>
      </c>
      <c r="Y287" s="44">
        <f>Inputs!$B$33</f>
        <v>0</v>
      </c>
      <c r="Z287" s="44" t="s">
        <v>57</v>
      </c>
      <c r="AA287" s="44">
        <f t="shared" si="267"/>
        <v>0</v>
      </c>
      <c r="AB287" s="50"/>
      <c r="AC287" s="119">
        <v>6</v>
      </c>
      <c r="AD287" s="115">
        <f>Inputs!$A$33</f>
        <v>0</v>
      </c>
      <c r="AE287" s="44">
        <f>Inputs!$B$33</f>
        <v>0</v>
      </c>
      <c r="AF287" s="44" t="s">
        <v>58</v>
      </c>
      <c r="AG287" s="44">
        <f t="shared" si="268"/>
        <v>0</v>
      </c>
      <c r="AH287" s="50"/>
      <c r="AI287" s="44">
        <v>0</v>
      </c>
      <c r="AJ287" s="44">
        <v>0</v>
      </c>
      <c r="AK287" s="44">
        <f t="shared" si="291"/>
        <v>0</v>
      </c>
      <c r="AL287" s="50"/>
      <c r="AM287" s="44">
        <f t="shared" si="292"/>
        <v>0</v>
      </c>
      <c r="AN287" s="63">
        <f>AI287*Inputs!$F$33*Inputs!$G$33</f>
        <v>0</v>
      </c>
      <c r="AO287" s="44">
        <f>Inputs!$F$33*Inputs!$I$33*AJ287</f>
        <v>0</v>
      </c>
      <c r="AP287" s="55"/>
      <c r="AR287" s="117">
        <v>6</v>
      </c>
      <c r="AS287" s="115">
        <f>Inputs!$A$33</f>
        <v>0</v>
      </c>
      <c r="AT287" s="44">
        <f>Inputs!$B$33</f>
        <v>0</v>
      </c>
      <c r="AU287" s="44" t="s">
        <v>57</v>
      </c>
      <c r="AV287" s="44">
        <f t="shared" si="272"/>
        <v>0</v>
      </c>
      <c r="AW287" s="50"/>
      <c r="AX287" s="119">
        <v>6</v>
      </c>
      <c r="AY287" s="115">
        <f>Inputs!$A$33</f>
        <v>0</v>
      </c>
      <c r="AZ287" s="44">
        <f>Inputs!$B$33</f>
        <v>0</v>
      </c>
      <c r="BA287" s="44" t="s">
        <v>58</v>
      </c>
      <c r="BB287" s="44">
        <f t="shared" si="269"/>
        <v>0</v>
      </c>
      <c r="BC287" s="50"/>
      <c r="BD287" s="44">
        <v>0</v>
      </c>
      <c r="BE287" s="44">
        <v>0</v>
      </c>
      <c r="BF287" s="44">
        <f t="shared" si="293"/>
        <v>0</v>
      </c>
      <c r="BG287" s="50"/>
      <c r="BH287" s="44">
        <f t="shared" si="294"/>
        <v>0</v>
      </c>
      <c r="BI287" s="63">
        <f>BD287*Inputs!$F$33*Inputs!$G$33</f>
        <v>0</v>
      </c>
      <c r="BJ287" s="44">
        <f>Inputs!$F$33*Inputs!$I$33*BE287</f>
        <v>0</v>
      </c>
      <c r="BK287" s="55"/>
      <c r="BM287" s="117">
        <v>6</v>
      </c>
      <c r="BN287" s="115">
        <f>Inputs!$A$33</f>
        <v>0</v>
      </c>
      <c r="BO287" s="44">
        <f>Inputs!$B$33</f>
        <v>0</v>
      </c>
      <c r="BP287" s="44" t="s">
        <v>57</v>
      </c>
      <c r="BQ287" s="44">
        <f t="shared" si="270"/>
        <v>0</v>
      </c>
      <c r="BR287" s="50"/>
      <c r="BS287" s="119">
        <v>6</v>
      </c>
      <c r="BT287" s="115">
        <f>Inputs!$A$33</f>
        <v>0</v>
      </c>
      <c r="BU287" s="44">
        <f>Inputs!$B$33</f>
        <v>0</v>
      </c>
      <c r="BV287" s="44" t="s">
        <v>58</v>
      </c>
      <c r="BW287" s="44">
        <f t="shared" si="271"/>
        <v>0</v>
      </c>
      <c r="BX287" s="50"/>
      <c r="BY287" s="44">
        <v>0</v>
      </c>
      <c r="BZ287" s="44">
        <v>0</v>
      </c>
      <c r="CA287" s="44">
        <f t="shared" si="295"/>
        <v>0</v>
      </c>
      <c r="CB287" s="50"/>
      <c r="CC287" s="44">
        <f t="shared" si="296"/>
        <v>0</v>
      </c>
      <c r="CD287" s="63">
        <f>BY287*Inputs!$F$33*Inputs!$G$33</f>
        <v>0</v>
      </c>
      <c r="CE287" s="44">
        <f>Inputs!$F$33*Inputs!$I$33*BZ287</f>
        <v>0</v>
      </c>
      <c r="CF287" s="55"/>
    </row>
    <row r="288" spans="1:84" x14ac:dyDescent="0.25">
      <c r="A288" s="117">
        <v>7</v>
      </c>
      <c r="B288" s="115">
        <f>Inputs!$A$33</f>
        <v>0</v>
      </c>
      <c r="C288" s="44">
        <f>Inputs!$B$33</f>
        <v>0</v>
      </c>
      <c r="D288" s="44" t="s">
        <v>57</v>
      </c>
      <c r="E288" s="44">
        <v>0</v>
      </c>
      <c r="F288" s="50"/>
      <c r="G288" s="119">
        <v>7</v>
      </c>
      <c r="H288" s="115">
        <f>Inputs!$A$33</f>
        <v>0</v>
      </c>
      <c r="I288" s="44">
        <f>Inputs!$B$33</f>
        <v>0</v>
      </c>
      <c r="J288" s="44" t="s">
        <v>58</v>
      </c>
      <c r="K288" s="44">
        <v>0</v>
      </c>
      <c r="L288" s="50"/>
      <c r="M288" s="44">
        <v>0</v>
      </c>
      <c r="N288" s="44">
        <v>0</v>
      </c>
      <c r="O288" s="44">
        <f t="shared" si="289"/>
        <v>0</v>
      </c>
      <c r="P288" s="50"/>
      <c r="Q288" s="44">
        <f t="shared" si="290"/>
        <v>0</v>
      </c>
      <c r="R288" s="63">
        <f>M288*Inputs!$F$33*Inputs!$G$33</f>
        <v>0</v>
      </c>
      <c r="S288" s="44">
        <f>Inputs!$F$33*Inputs!$I$33*N288</f>
        <v>0</v>
      </c>
      <c r="T288" s="18"/>
      <c r="U288" s="55"/>
      <c r="W288" s="117">
        <v>7</v>
      </c>
      <c r="X288" s="115">
        <f>Inputs!$A$33</f>
        <v>0</v>
      </c>
      <c r="Y288" s="44">
        <f>Inputs!$B$33</f>
        <v>0</v>
      </c>
      <c r="Z288" s="44" t="s">
        <v>57</v>
      </c>
      <c r="AA288" s="44">
        <f t="shared" si="267"/>
        <v>0</v>
      </c>
      <c r="AB288" s="50"/>
      <c r="AC288" s="119">
        <v>7</v>
      </c>
      <c r="AD288" s="115">
        <f>Inputs!$A$33</f>
        <v>0</v>
      </c>
      <c r="AE288" s="44">
        <f>Inputs!$B$33</f>
        <v>0</v>
      </c>
      <c r="AF288" s="44" t="s">
        <v>58</v>
      </c>
      <c r="AG288" s="44">
        <f t="shared" si="268"/>
        <v>0</v>
      </c>
      <c r="AH288" s="50"/>
      <c r="AI288" s="44">
        <v>0</v>
      </c>
      <c r="AJ288" s="44">
        <v>0</v>
      </c>
      <c r="AK288" s="44">
        <f t="shared" si="291"/>
        <v>0</v>
      </c>
      <c r="AL288" s="50"/>
      <c r="AM288" s="44">
        <f t="shared" si="292"/>
        <v>0</v>
      </c>
      <c r="AN288" s="63">
        <f>AI288*Inputs!$F$33*Inputs!$G$33</f>
        <v>0</v>
      </c>
      <c r="AO288" s="44">
        <f>Inputs!$F$33*Inputs!$I$33*AJ288</f>
        <v>0</v>
      </c>
      <c r="AP288" s="55"/>
      <c r="AR288" s="117">
        <v>7</v>
      </c>
      <c r="AS288" s="115">
        <f>Inputs!$A$33</f>
        <v>0</v>
      </c>
      <c r="AT288" s="44">
        <f>Inputs!$B$33</f>
        <v>0</v>
      </c>
      <c r="AU288" s="44" t="s">
        <v>57</v>
      </c>
      <c r="AV288" s="44">
        <f t="shared" si="272"/>
        <v>0</v>
      </c>
      <c r="AW288" s="50"/>
      <c r="AX288" s="119">
        <v>7</v>
      </c>
      <c r="AY288" s="115">
        <f>Inputs!$A$33</f>
        <v>0</v>
      </c>
      <c r="AZ288" s="44">
        <f>Inputs!$B$33</f>
        <v>0</v>
      </c>
      <c r="BA288" s="44" t="s">
        <v>58</v>
      </c>
      <c r="BB288" s="44">
        <f t="shared" si="269"/>
        <v>0</v>
      </c>
      <c r="BC288" s="50"/>
      <c r="BD288" s="44">
        <v>0</v>
      </c>
      <c r="BE288" s="44">
        <v>0</v>
      </c>
      <c r="BF288" s="44">
        <f t="shared" si="293"/>
        <v>0</v>
      </c>
      <c r="BG288" s="50"/>
      <c r="BH288" s="44">
        <f t="shared" si="294"/>
        <v>0</v>
      </c>
      <c r="BI288" s="63">
        <f>BD288*Inputs!$F$33*Inputs!$G$33</f>
        <v>0</v>
      </c>
      <c r="BJ288" s="44">
        <f>Inputs!$F$33*Inputs!$I$33*BE288</f>
        <v>0</v>
      </c>
      <c r="BK288" s="55"/>
      <c r="BM288" s="117">
        <v>7</v>
      </c>
      <c r="BN288" s="115">
        <f>Inputs!$A$33</f>
        <v>0</v>
      </c>
      <c r="BO288" s="44">
        <f>Inputs!$B$33</f>
        <v>0</v>
      </c>
      <c r="BP288" s="44" t="s">
        <v>57</v>
      </c>
      <c r="BQ288" s="44">
        <f t="shared" si="270"/>
        <v>0</v>
      </c>
      <c r="BR288" s="50"/>
      <c r="BS288" s="119">
        <v>7</v>
      </c>
      <c r="BT288" s="115">
        <f>Inputs!$A$33</f>
        <v>0</v>
      </c>
      <c r="BU288" s="44">
        <f>Inputs!$B$33</f>
        <v>0</v>
      </c>
      <c r="BV288" s="44" t="s">
        <v>58</v>
      </c>
      <c r="BW288" s="44">
        <f t="shared" si="271"/>
        <v>0</v>
      </c>
      <c r="BX288" s="50"/>
      <c r="BY288" s="44">
        <v>0</v>
      </c>
      <c r="BZ288" s="44">
        <v>0</v>
      </c>
      <c r="CA288" s="44">
        <f t="shared" si="295"/>
        <v>0</v>
      </c>
      <c r="CB288" s="50"/>
      <c r="CC288" s="44">
        <f t="shared" si="296"/>
        <v>0</v>
      </c>
      <c r="CD288" s="63">
        <f>BY288*Inputs!$F$33*Inputs!$G$33</f>
        <v>0</v>
      </c>
      <c r="CE288" s="44">
        <f>Inputs!$F$33*Inputs!$I$33*BZ288</f>
        <v>0</v>
      </c>
      <c r="CF288" s="55"/>
    </row>
    <row r="289" spans="1:84" x14ac:dyDescent="0.25">
      <c r="A289" s="117">
        <v>8</v>
      </c>
      <c r="B289" s="115">
        <f>Inputs!$A$33</f>
        <v>0</v>
      </c>
      <c r="C289" s="44">
        <f>Inputs!$B$33</f>
        <v>0</v>
      </c>
      <c r="D289" s="44" t="s">
        <v>57</v>
      </c>
      <c r="E289" s="44">
        <v>0</v>
      </c>
      <c r="F289" s="50"/>
      <c r="G289" s="119">
        <v>8</v>
      </c>
      <c r="H289" s="115">
        <f>Inputs!$A$33</f>
        <v>0</v>
      </c>
      <c r="I289" s="44">
        <f>Inputs!$B$33</f>
        <v>0</v>
      </c>
      <c r="J289" s="44" t="s">
        <v>58</v>
      </c>
      <c r="K289" s="44">
        <v>0</v>
      </c>
      <c r="L289" s="50"/>
      <c r="M289" s="44">
        <v>0</v>
      </c>
      <c r="N289" s="44">
        <v>0</v>
      </c>
      <c r="O289" s="44">
        <f t="shared" si="289"/>
        <v>0</v>
      </c>
      <c r="P289" s="50"/>
      <c r="Q289" s="44">
        <f t="shared" si="290"/>
        <v>0</v>
      </c>
      <c r="R289" s="63">
        <f>M289*Inputs!$F$33*Inputs!$G$33</f>
        <v>0</v>
      </c>
      <c r="S289" s="44">
        <f>Inputs!$F$33*Inputs!$I$33*N289</f>
        <v>0</v>
      </c>
      <c r="T289" s="18"/>
      <c r="U289" s="55"/>
      <c r="W289" s="117">
        <v>8</v>
      </c>
      <c r="X289" s="115">
        <f>Inputs!$A$33</f>
        <v>0</v>
      </c>
      <c r="Y289" s="44">
        <f>Inputs!$B$33</f>
        <v>0</v>
      </c>
      <c r="Z289" s="44" t="s">
        <v>57</v>
      </c>
      <c r="AA289" s="44">
        <f t="shared" si="267"/>
        <v>0</v>
      </c>
      <c r="AB289" s="50"/>
      <c r="AC289" s="119">
        <v>8</v>
      </c>
      <c r="AD289" s="115">
        <f>Inputs!$A$33</f>
        <v>0</v>
      </c>
      <c r="AE289" s="44">
        <f>Inputs!$B$33</f>
        <v>0</v>
      </c>
      <c r="AF289" s="44" t="s">
        <v>58</v>
      </c>
      <c r="AG289" s="44">
        <f t="shared" si="268"/>
        <v>0</v>
      </c>
      <c r="AH289" s="50"/>
      <c r="AI289" s="44">
        <v>0</v>
      </c>
      <c r="AJ289" s="44">
        <v>0</v>
      </c>
      <c r="AK289" s="44">
        <f t="shared" si="291"/>
        <v>0</v>
      </c>
      <c r="AL289" s="50"/>
      <c r="AM289" s="44">
        <f t="shared" si="292"/>
        <v>0</v>
      </c>
      <c r="AN289" s="63">
        <f>AI289*Inputs!$F$33*Inputs!$G$33</f>
        <v>0</v>
      </c>
      <c r="AO289" s="44">
        <f>Inputs!$F$33*Inputs!$I$33*AJ289</f>
        <v>0</v>
      </c>
      <c r="AP289" s="55"/>
      <c r="AR289" s="117">
        <v>8</v>
      </c>
      <c r="AS289" s="115">
        <f>Inputs!$A$33</f>
        <v>0</v>
      </c>
      <c r="AT289" s="44">
        <f>Inputs!$B$33</f>
        <v>0</v>
      </c>
      <c r="AU289" s="44" t="s">
        <v>57</v>
      </c>
      <c r="AV289" s="44">
        <f t="shared" si="272"/>
        <v>0</v>
      </c>
      <c r="AW289" s="50"/>
      <c r="AX289" s="119">
        <v>8</v>
      </c>
      <c r="AY289" s="115">
        <f>Inputs!$A$33</f>
        <v>0</v>
      </c>
      <c r="AZ289" s="44">
        <f>Inputs!$B$33</f>
        <v>0</v>
      </c>
      <c r="BA289" s="44" t="s">
        <v>58</v>
      </c>
      <c r="BB289" s="44">
        <f t="shared" si="269"/>
        <v>0</v>
      </c>
      <c r="BC289" s="50"/>
      <c r="BD289" s="44">
        <v>0</v>
      </c>
      <c r="BE289" s="44">
        <v>0</v>
      </c>
      <c r="BF289" s="44">
        <f t="shared" si="293"/>
        <v>0</v>
      </c>
      <c r="BG289" s="50"/>
      <c r="BH289" s="44">
        <f t="shared" si="294"/>
        <v>0</v>
      </c>
      <c r="BI289" s="63">
        <f>BD289*Inputs!$F$33*Inputs!$G$33</f>
        <v>0</v>
      </c>
      <c r="BJ289" s="44">
        <f>Inputs!$F$33*Inputs!$I$33*BE289</f>
        <v>0</v>
      </c>
      <c r="BK289" s="55"/>
      <c r="BM289" s="117">
        <v>8</v>
      </c>
      <c r="BN289" s="115">
        <f>Inputs!$A$33</f>
        <v>0</v>
      </c>
      <c r="BO289" s="44">
        <f>Inputs!$B$33</f>
        <v>0</v>
      </c>
      <c r="BP289" s="44" t="s">
        <v>57</v>
      </c>
      <c r="BQ289" s="44">
        <f t="shared" si="270"/>
        <v>0</v>
      </c>
      <c r="BR289" s="50"/>
      <c r="BS289" s="119">
        <v>8</v>
      </c>
      <c r="BT289" s="115">
        <f>Inputs!$A$33</f>
        <v>0</v>
      </c>
      <c r="BU289" s="44">
        <f>Inputs!$B$33</f>
        <v>0</v>
      </c>
      <c r="BV289" s="44" t="s">
        <v>58</v>
      </c>
      <c r="BW289" s="44">
        <f t="shared" si="271"/>
        <v>0</v>
      </c>
      <c r="BX289" s="50"/>
      <c r="BY289" s="44">
        <v>0</v>
      </c>
      <c r="BZ289" s="44">
        <v>0</v>
      </c>
      <c r="CA289" s="44">
        <f t="shared" si="295"/>
        <v>0</v>
      </c>
      <c r="CB289" s="50"/>
      <c r="CC289" s="44">
        <f t="shared" si="296"/>
        <v>0</v>
      </c>
      <c r="CD289" s="63">
        <f>BY289*Inputs!$F$33*Inputs!$G$33</f>
        <v>0</v>
      </c>
      <c r="CE289" s="44">
        <f>Inputs!$F$33*Inputs!$I$33*BZ289</f>
        <v>0</v>
      </c>
      <c r="CF289" s="55"/>
    </row>
    <row r="290" spans="1:84" x14ac:dyDescent="0.25">
      <c r="A290" s="117">
        <v>9</v>
      </c>
      <c r="B290" s="115">
        <f>Inputs!$A$33</f>
        <v>0</v>
      </c>
      <c r="C290" s="44">
        <f>Inputs!$B$33</f>
        <v>0</v>
      </c>
      <c r="D290" s="44" t="s">
        <v>57</v>
      </c>
      <c r="E290" s="44">
        <v>0</v>
      </c>
      <c r="F290" s="50"/>
      <c r="G290" s="119">
        <v>9</v>
      </c>
      <c r="H290" s="115">
        <f>Inputs!$A$33</f>
        <v>0</v>
      </c>
      <c r="I290" s="44">
        <f>Inputs!$B$33</f>
        <v>0</v>
      </c>
      <c r="J290" s="44" t="s">
        <v>58</v>
      </c>
      <c r="K290" s="44">
        <v>0</v>
      </c>
      <c r="L290" s="50"/>
      <c r="M290" s="44">
        <v>0</v>
      </c>
      <c r="N290" s="44">
        <v>0</v>
      </c>
      <c r="O290" s="44">
        <f t="shared" si="289"/>
        <v>0</v>
      </c>
      <c r="P290" s="50"/>
      <c r="Q290" s="44">
        <f t="shared" si="290"/>
        <v>0</v>
      </c>
      <c r="R290" s="63">
        <f>M290*Inputs!$F$33*Inputs!$G$33</f>
        <v>0</v>
      </c>
      <c r="S290" s="44">
        <f>Inputs!$F$33*Inputs!$I$33*N290</f>
        <v>0</v>
      </c>
      <c r="T290" s="18"/>
      <c r="U290" s="55"/>
      <c r="W290" s="117">
        <v>9</v>
      </c>
      <c r="X290" s="115">
        <f>Inputs!$A$33</f>
        <v>0</v>
      </c>
      <c r="Y290" s="44">
        <f>Inputs!$B$33</f>
        <v>0</v>
      </c>
      <c r="Z290" s="44" t="s">
        <v>57</v>
      </c>
      <c r="AA290" s="44">
        <f t="shared" si="267"/>
        <v>0</v>
      </c>
      <c r="AB290" s="50"/>
      <c r="AC290" s="119">
        <v>9</v>
      </c>
      <c r="AD290" s="115">
        <f>Inputs!$A$33</f>
        <v>0</v>
      </c>
      <c r="AE290" s="44">
        <f>Inputs!$B$33</f>
        <v>0</v>
      </c>
      <c r="AF290" s="44" t="s">
        <v>58</v>
      </c>
      <c r="AG290" s="44">
        <f t="shared" si="268"/>
        <v>0</v>
      </c>
      <c r="AH290" s="50"/>
      <c r="AI290" s="44">
        <v>0</v>
      </c>
      <c r="AJ290" s="44">
        <v>0</v>
      </c>
      <c r="AK290" s="44">
        <f t="shared" si="291"/>
        <v>0</v>
      </c>
      <c r="AL290" s="50"/>
      <c r="AM290" s="44">
        <f t="shared" si="292"/>
        <v>0</v>
      </c>
      <c r="AN290" s="63">
        <f>AI290*Inputs!$F$33*Inputs!$G$33</f>
        <v>0</v>
      </c>
      <c r="AO290" s="44">
        <f>Inputs!$F$33*Inputs!$I$33*AJ290</f>
        <v>0</v>
      </c>
      <c r="AP290" s="55"/>
      <c r="AR290" s="117">
        <v>9</v>
      </c>
      <c r="AS290" s="115">
        <f>Inputs!$A$33</f>
        <v>0</v>
      </c>
      <c r="AT290" s="44">
        <f>Inputs!$B$33</f>
        <v>0</v>
      </c>
      <c r="AU290" s="44" t="s">
        <v>57</v>
      </c>
      <c r="AV290" s="44">
        <f t="shared" si="272"/>
        <v>0</v>
      </c>
      <c r="AW290" s="50"/>
      <c r="AX290" s="119">
        <v>9</v>
      </c>
      <c r="AY290" s="115">
        <f>Inputs!$A$33</f>
        <v>0</v>
      </c>
      <c r="AZ290" s="44">
        <f>Inputs!$B$33</f>
        <v>0</v>
      </c>
      <c r="BA290" s="44" t="s">
        <v>58</v>
      </c>
      <c r="BB290" s="44">
        <f t="shared" si="269"/>
        <v>0</v>
      </c>
      <c r="BC290" s="50"/>
      <c r="BD290" s="44">
        <v>0</v>
      </c>
      <c r="BE290" s="44">
        <v>0</v>
      </c>
      <c r="BF290" s="44">
        <f t="shared" si="293"/>
        <v>0</v>
      </c>
      <c r="BG290" s="50"/>
      <c r="BH290" s="44">
        <f t="shared" si="294"/>
        <v>0</v>
      </c>
      <c r="BI290" s="63">
        <f>BD290*Inputs!$F$33*Inputs!$G$33</f>
        <v>0</v>
      </c>
      <c r="BJ290" s="44">
        <f>Inputs!$F$33*Inputs!$I$33*BE290</f>
        <v>0</v>
      </c>
      <c r="BK290" s="55"/>
      <c r="BM290" s="117">
        <v>9</v>
      </c>
      <c r="BN290" s="115">
        <f>Inputs!$A$33</f>
        <v>0</v>
      </c>
      <c r="BO290" s="44">
        <f>Inputs!$B$33</f>
        <v>0</v>
      </c>
      <c r="BP290" s="44" t="s">
        <v>57</v>
      </c>
      <c r="BQ290" s="44">
        <f t="shared" si="270"/>
        <v>0</v>
      </c>
      <c r="BR290" s="50"/>
      <c r="BS290" s="119">
        <v>9</v>
      </c>
      <c r="BT290" s="115">
        <f>Inputs!$A$33</f>
        <v>0</v>
      </c>
      <c r="BU290" s="44">
        <f>Inputs!$B$33</f>
        <v>0</v>
      </c>
      <c r="BV290" s="44" t="s">
        <v>58</v>
      </c>
      <c r="BW290" s="44">
        <f t="shared" si="271"/>
        <v>0</v>
      </c>
      <c r="BX290" s="50"/>
      <c r="BY290" s="44">
        <v>0</v>
      </c>
      <c r="BZ290" s="44">
        <v>0</v>
      </c>
      <c r="CA290" s="44">
        <f t="shared" si="295"/>
        <v>0</v>
      </c>
      <c r="CB290" s="50"/>
      <c r="CC290" s="44">
        <f t="shared" si="296"/>
        <v>0</v>
      </c>
      <c r="CD290" s="63">
        <f>BY290*Inputs!$F$33*Inputs!$G$33</f>
        <v>0</v>
      </c>
      <c r="CE290" s="44">
        <f>Inputs!$F$33*Inputs!$I$33*BZ290</f>
        <v>0</v>
      </c>
      <c r="CF290" s="55"/>
    </row>
    <row r="291" spans="1:84" x14ac:dyDescent="0.25">
      <c r="A291" s="117">
        <v>10</v>
      </c>
      <c r="B291" s="115">
        <f>Inputs!$A$33</f>
        <v>0</v>
      </c>
      <c r="C291" s="44">
        <f>Inputs!$B$33</f>
        <v>0</v>
      </c>
      <c r="D291" s="44" t="s">
        <v>57</v>
      </c>
      <c r="E291" s="44">
        <v>0</v>
      </c>
      <c r="F291" s="50"/>
      <c r="G291" s="119">
        <v>10</v>
      </c>
      <c r="H291" s="115">
        <f>Inputs!$A$33</f>
        <v>0</v>
      </c>
      <c r="I291" s="44">
        <f>Inputs!$B$33</f>
        <v>0</v>
      </c>
      <c r="J291" s="44" t="s">
        <v>58</v>
      </c>
      <c r="K291" s="44">
        <v>0</v>
      </c>
      <c r="L291" s="50"/>
      <c r="M291" s="44">
        <v>0</v>
      </c>
      <c r="N291" s="44">
        <v>0</v>
      </c>
      <c r="O291" s="44">
        <f t="shared" si="289"/>
        <v>0</v>
      </c>
      <c r="P291" s="50"/>
      <c r="Q291" s="44">
        <f t="shared" si="290"/>
        <v>0</v>
      </c>
      <c r="R291" s="63">
        <f>M291*Inputs!$F$33*Inputs!$G$33</f>
        <v>0</v>
      </c>
      <c r="S291" s="44">
        <f>Inputs!$F$33*Inputs!$I$33*N291</f>
        <v>0</v>
      </c>
      <c r="T291" s="18"/>
      <c r="U291" s="91"/>
      <c r="W291" s="117">
        <v>10</v>
      </c>
      <c r="X291" s="115">
        <f>Inputs!$A$33</f>
        <v>0</v>
      </c>
      <c r="Y291" s="44">
        <f>Inputs!$B$33</f>
        <v>0</v>
      </c>
      <c r="Z291" s="44" t="s">
        <v>57</v>
      </c>
      <c r="AA291" s="44">
        <f t="shared" si="267"/>
        <v>0</v>
      </c>
      <c r="AB291" s="50"/>
      <c r="AC291" s="119">
        <v>10</v>
      </c>
      <c r="AD291" s="115">
        <f>Inputs!$A$33</f>
        <v>0</v>
      </c>
      <c r="AE291" s="44">
        <f>Inputs!$B$33</f>
        <v>0</v>
      </c>
      <c r="AF291" s="44" t="s">
        <v>58</v>
      </c>
      <c r="AG291" s="44">
        <f t="shared" si="268"/>
        <v>0</v>
      </c>
      <c r="AH291" s="50"/>
      <c r="AI291" s="44">
        <v>0</v>
      </c>
      <c r="AJ291" s="44">
        <v>0</v>
      </c>
      <c r="AK291" s="44">
        <f t="shared" si="291"/>
        <v>0</v>
      </c>
      <c r="AL291" s="50"/>
      <c r="AM291" s="44">
        <f t="shared" si="292"/>
        <v>0</v>
      </c>
      <c r="AN291" s="63">
        <f>AI291*Inputs!$F$33*Inputs!$G$33</f>
        <v>0</v>
      </c>
      <c r="AO291" s="44">
        <f>Inputs!$F$33*Inputs!$I$33*AJ291</f>
        <v>0</v>
      </c>
      <c r="AP291" s="91"/>
      <c r="AR291" s="117">
        <v>10</v>
      </c>
      <c r="AS291" s="115">
        <f>Inputs!$A$33</f>
        <v>0</v>
      </c>
      <c r="AT291" s="44">
        <f>Inputs!$B$33</f>
        <v>0</v>
      </c>
      <c r="AU291" s="44" t="s">
        <v>57</v>
      </c>
      <c r="AV291" s="44">
        <f t="shared" si="272"/>
        <v>0</v>
      </c>
      <c r="AW291" s="50"/>
      <c r="AX291" s="119">
        <v>10</v>
      </c>
      <c r="AY291" s="115">
        <f>Inputs!$A$33</f>
        <v>0</v>
      </c>
      <c r="AZ291" s="44">
        <f>Inputs!$B$33</f>
        <v>0</v>
      </c>
      <c r="BA291" s="44" t="s">
        <v>58</v>
      </c>
      <c r="BB291" s="44">
        <f t="shared" si="269"/>
        <v>0</v>
      </c>
      <c r="BC291" s="50"/>
      <c r="BD291" s="44">
        <v>0</v>
      </c>
      <c r="BE291" s="44">
        <v>0</v>
      </c>
      <c r="BF291" s="44">
        <f t="shared" si="293"/>
        <v>0</v>
      </c>
      <c r="BG291" s="50"/>
      <c r="BH291" s="44">
        <f t="shared" si="294"/>
        <v>0</v>
      </c>
      <c r="BI291" s="63">
        <f>BD291*Inputs!$F$33*Inputs!$G$33</f>
        <v>0</v>
      </c>
      <c r="BJ291" s="44">
        <f>Inputs!$F$33*Inputs!$I$33*BE291</f>
        <v>0</v>
      </c>
      <c r="BK291" s="91"/>
      <c r="BM291" s="117">
        <v>10</v>
      </c>
      <c r="BN291" s="115">
        <f>Inputs!$A$33</f>
        <v>0</v>
      </c>
      <c r="BO291" s="44">
        <f>Inputs!$B$33</f>
        <v>0</v>
      </c>
      <c r="BP291" s="44" t="s">
        <v>57</v>
      </c>
      <c r="BQ291" s="44">
        <f t="shared" si="270"/>
        <v>0</v>
      </c>
      <c r="BR291" s="50"/>
      <c r="BS291" s="119">
        <v>10</v>
      </c>
      <c r="BT291" s="115">
        <f>Inputs!$A$33</f>
        <v>0</v>
      </c>
      <c r="BU291" s="44">
        <f>Inputs!$B$33</f>
        <v>0</v>
      </c>
      <c r="BV291" s="44" t="s">
        <v>58</v>
      </c>
      <c r="BW291" s="44">
        <f t="shared" si="271"/>
        <v>0</v>
      </c>
      <c r="BX291" s="50"/>
      <c r="BY291" s="44">
        <v>0</v>
      </c>
      <c r="BZ291" s="44">
        <v>0</v>
      </c>
      <c r="CA291" s="44">
        <f t="shared" si="295"/>
        <v>0</v>
      </c>
      <c r="CB291" s="50"/>
      <c r="CC291" s="44">
        <f t="shared" si="296"/>
        <v>0</v>
      </c>
      <c r="CD291" s="63">
        <f>BY291*Inputs!$F$33*Inputs!$G$33</f>
        <v>0</v>
      </c>
      <c r="CE291" s="44">
        <f>Inputs!$F$33*Inputs!$I$33*BZ291</f>
        <v>0</v>
      </c>
      <c r="CF291" s="91"/>
    </row>
    <row r="292" spans="1:84" x14ac:dyDescent="0.25">
      <c r="A292" s="117">
        <v>11</v>
      </c>
      <c r="B292" s="115">
        <f>Inputs!$A$33</f>
        <v>0</v>
      </c>
      <c r="C292" s="44">
        <f>Inputs!$B$33</f>
        <v>0</v>
      </c>
      <c r="D292" s="44" t="s">
        <v>57</v>
      </c>
      <c r="E292" s="44">
        <v>0</v>
      </c>
      <c r="F292" s="50"/>
      <c r="G292" s="119">
        <v>11</v>
      </c>
      <c r="H292" s="115">
        <f>Inputs!$A$33</f>
        <v>0</v>
      </c>
      <c r="I292" s="44">
        <f>Inputs!$B$33</f>
        <v>0</v>
      </c>
      <c r="J292" s="44" t="s">
        <v>58</v>
      </c>
      <c r="K292" s="44">
        <v>0</v>
      </c>
      <c r="L292" s="50"/>
      <c r="M292" s="44">
        <v>0</v>
      </c>
      <c r="N292" s="44">
        <v>0</v>
      </c>
      <c r="O292" s="44">
        <f t="shared" si="289"/>
        <v>0</v>
      </c>
      <c r="P292" s="50"/>
      <c r="Q292" s="44">
        <f t="shared" si="290"/>
        <v>0</v>
      </c>
      <c r="R292" s="63">
        <f>M292*Inputs!$F$33*Inputs!$H$33</f>
        <v>0</v>
      </c>
      <c r="S292" s="44">
        <f>Inputs!$F$33*Inputs!$I$33*N292</f>
        <v>0</v>
      </c>
      <c r="T292" s="18"/>
      <c r="U292" s="56"/>
      <c r="W292" s="117">
        <v>11</v>
      </c>
      <c r="X292" s="115">
        <f>Inputs!$A$33</f>
        <v>0</v>
      </c>
      <c r="Y292" s="44">
        <f>Inputs!$B$33</f>
        <v>0</v>
      </c>
      <c r="Z292" s="44" t="s">
        <v>57</v>
      </c>
      <c r="AA292" s="44">
        <f t="shared" si="267"/>
        <v>0</v>
      </c>
      <c r="AB292" s="50"/>
      <c r="AC292" s="119">
        <v>11</v>
      </c>
      <c r="AD292" s="115">
        <f>Inputs!$A$33</f>
        <v>0</v>
      </c>
      <c r="AE292" s="44">
        <f>Inputs!$B$33</f>
        <v>0</v>
      </c>
      <c r="AF292" s="44" t="s">
        <v>58</v>
      </c>
      <c r="AG292" s="44">
        <f t="shared" si="268"/>
        <v>0</v>
      </c>
      <c r="AH292" s="50"/>
      <c r="AI292" s="44">
        <v>0</v>
      </c>
      <c r="AJ292" s="44">
        <v>0</v>
      </c>
      <c r="AK292" s="44">
        <f t="shared" si="291"/>
        <v>0</v>
      </c>
      <c r="AL292" s="50"/>
      <c r="AM292" s="44">
        <f t="shared" si="292"/>
        <v>0</v>
      </c>
      <c r="AN292" s="63">
        <f>AI292*Inputs!$F$33*Inputs!$H$33</f>
        <v>0</v>
      </c>
      <c r="AO292" s="44">
        <f>Inputs!$F$33*Inputs!$I$33*AJ292</f>
        <v>0</v>
      </c>
      <c r="AP292" s="56"/>
      <c r="AR292" s="117">
        <v>11</v>
      </c>
      <c r="AS292" s="115">
        <f>Inputs!$A$33</f>
        <v>0</v>
      </c>
      <c r="AT292" s="44">
        <f>Inputs!$B$33</f>
        <v>0</v>
      </c>
      <c r="AU292" s="44" t="s">
        <v>57</v>
      </c>
      <c r="AV292" s="44">
        <f t="shared" si="272"/>
        <v>0</v>
      </c>
      <c r="AW292" s="50"/>
      <c r="AX292" s="119">
        <v>11</v>
      </c>
      <c r="AY292" s="115">
        <f>Inputs!$A$33</f>
        <v>0</v>
      </c>
      <c r="AZ292" s="44">
        <f>Inputs!$B$33</f>
        <v>0</v>
      </c>
      <c r="BA292" s="44" t="s">
        <v>58</v>
      </c>
      <c r="BB292" s="44">
        <f t="shared" si="269"/>
        <v>0</v>
      </c>
      <c r="BC292" s="50"/>
      <c r="BD292" s="44">
        <v>0</v>
      </c>
      <c r="BE292" s="44">
        <v>0</v>
      </c>
      <c r="BF292" s="44">
        <f t="shared" si="293"/>
        <v>0</v>
      </c>
      <c r="BG292" s="50"/>
      <c r="BH292" s="44">
        <f t="shared" si="294"/>
        <v>0</v>
      </c>
      <c r="BI292" s="63">
        <f>BD292*Inputs!$F$33*Inputs!$H$33</f>
        <v>0</v>
      </c>
      <c r="BJ292" s="44">
        <f>Inputs!$F$33*Inputs!$I$33*BE292</f>
        <v>0</v>
      </c>
      <c r="BK292" s="56"/>
      <c r="BM292" s="117">
        <v>11</v>
      </c>
      <c r="BN292" s="115">
        <f>Inputs!$A$33</f>
        <v>0</v>
      </c>
      <c r="BO292" s="44">
        <f>Inputs!$B$33</f>
        <v>0</v>
      </c>
      <c r="BP292" s="44" t="s">
        <v>57</v>
      </c>
      <c r="BQ292" s="44">
        <f t="shared" si="270"/>
        <v>0</v>
      </c>
      <c r="BR292" s="50"/>
      <c r="BS292" s="119">
        <v>11</v>
      </c>
      <c r="BT292" s="115">
        <f>Inputs!$A$33</f>
        <v>0</v>
      </c>
      <c r="BU292" s="44">
        <f>Inputs!$B$33</f>
        <v>0</v>
      </c>
      <c r="BV292" s="44" t="s">
        <v>58</v>
      </c>
      <c r="BW292" s="44">
        <f t="shared" si="271"/>
        <v>0</v>
      </c>
      <c r="BX292" s="50"/>
      <c r="BY292" s="44">
        <v>0</v>
      </c>
      <c r="BZ292" s="44">
        <v>0</v>
      </c>
      <c r="CA292" s="44">
        <f t="shared" si="295"/>
        <v>0</v>
      </c>
      <c r="CB292" s="50"/>
      <c r="CC292" s="44">
        <f t="shared" si="296"/>
        <v>0</v>
      </c>
      <c r="CD292" s="63">
        <f>BY292*Inputs!$F$33*Inputs!$H$33</f>
        <v>0</v>
      </c>
      <c r="CE292" s="44">
        <f>Inputs!$F$33*Inputs!$I$33*BZ292</f>
        <v>0</v>
      </c>
      <c r="CF292" s="56"/>
    </row>
    <row r="293" spans="1:84" x14ac:dyDescent="0.25">
      <c r="A293" s="116">
        <v>3</v>
      </c>
      <c r="B293" s="114">
        <f>Inputs!$A$34</f>
        <v>0</v>
      </c>
      <c r="C293" s="45">
        <f>Inputs!$B$34</f>
        <v>0</v>
      </c>
      <c r="D293" s="45" t="s">
        <v>57</v>
      </c>
      <c r="E293" s="45">
        <v>0</v>
      </c>
      <c r="F293" s="50"/>
      <c r="G293" s="118">
        <v>3</v>
      </c>
      <c r="H293" s="114">
        <f>Inputs!$A$34</f>
        <v>0</v>
      </c>
      <c r="I293" s="45">
        <f>Inputs!$B$34</f>
        <v>0</v>
      </c>
      <c r="J293" s="45" t="s">
        <v>58</v>
      </c>
      <c r="K293" s="45">
        <v>0</v>
      </c>
      <c r="L293" s="50"/>
      <c r="M293" s="45">
        <v>0</v>
      </c>
      <c r="N293" s="45">
        <v>0</v>
      </c>
      <c r="O293" s="45">
        <f>U293-0-E293-K293</f>
        <v>0</v>
      </c>
      <c r="P293" s="50"/>
      <c r="Q293" s="45">
        <f>E293+K293+N293-U293+0-M293</f>
        <v>0</v>
      </c>
      <c r="R293" s="64">
        <f>M293*Inputs!$F$34*Inputs!$G$34</f>
        <v>0</v>
      </c>
      <c r="S293" s="45">
        <f>Inputs!$F$34*Inputs!$I$34*N293</f>
        <v>0</v>
      </c>
      <c r="T293" s="18"/>
      <c r="U293" s="54"/>
      <c r="W293" s="116">
        <v>3</v>
      </c>
      <c r="X293" s="114">
        <f>Inputs!$A$34</f>
        <v>0</v>
      </c>
      <c r="Y293" s="45">
        <f>Inputs!$B$34</f>
        <v>0</v>
      </c>
      <c r="Z293" s="45" t="s">
        <v>57</v>
      </c>
      <c r="AA293" s="45">
        <f t="shared" si="267"/>
        <v>0</v>
      </c>
      <c r="AB293" s="50"/>
      <c r="AC293" s="118">
        <v>3</v>
      </c>
      <c r="AD293" s="114">
        <f>Inputs!$A$34</f>
        <v>0</v>
      </c>
      <c r="AE293" s="45">
        <f>Inputs!$B$34</f>
        <v>0</v>
      </c>
      <c r="AF293" s="45" t="s">
        <v>58</v>
      </c>
      <c r="AG293" s="45">
        <f t="shared" si="268"/>
        <v>0</v>
      </c>
      <c r="AH293" s="50"/>
      <c r="AI293" s="45">
        <v>0</v>
      </c>
      <c r="AJ293" s="45">
        <v>0</v>
      </c>
      <c r="AK293" s="45">
        <f>AP293-0-AA293-AG293</f>
        <v>0</v>
      </c>
      <c r="AL293" s="50"/>
      <c r="AM293" s="45">
        <f>AA293+AG293+AJ293-AP293+0-AI293</f>
        <v>0</v>
      </c>
      <c r="AN293" s="64">
        <f>AI293*Inputs!$F$34*Inputs!$G$34</f>
        <v>0</v>
      </c>
      <c r="AO293" s="45">
        <f>Inputs!$F$34*Inputs!$I$34*AJ293</f>
        <v>0</v>
      </c>
      <c r="AP293" s="54"/>
      <c r="AR293" s="116">
        <v>3</v>
      </c>
      <c r="AS293" s="114">
        <f>Inputs!$A$34</f>
        <v>0</v>
      </c>
      <c r="AT293" s="45">
        <f>Inputs!$B$34</f>
        <v>0</v>
      </c>
      <c r="AU293" s="45" t="s">
        <v>57</v>
      </c>
      <c r="AV293" s="45">
        <f t="shared" si="272"/>
        <v>0</v>
      </c>
      <c r="AW293" s="50"/>
      <c r="AX293" s="118">
        <v>3</v>
      </c>
      <c r="AY293" s="114">
        <f>Inputs!$A$34</f>
        <v>0</v>
      </c>
      <c r="AZ293" s="45">
        <f>Inputs!$B$34</f>
        <v>0</v>
      </c>
      <c r="BA293" s="45" t="s">
        <v>58</v>
      </c>
      <c r="BB293" s="45">
        <f t="shared" si="269"/>
        <v>0</v>
      </c>
      <c r="BC293" s="50"/>
      <c r="BD293" s="45">
        <v>0</v>
      </c>
      <c r="BE293" s="45">
        <v>0</v>
      </c>
      <c r="BF293" s="45">
        <f>BK293-0-AV293-BB293</f>
        <v>0</v>
      </c>
      <c r="BG293" s="50"/>
      <c r="BH293" s="45">
        <f>AV293+BB293+BE293-BK293+0-BD293</f>
        <v>0</v>
      </c>
      <c r="BI293" s="64">
        <f>BD293*Inputs!$F$34*Inputs!$G$34</f>
        <v>0</v>
      </c>
      <c r="BJ293" s="45">
        <f>Inputs!$F$34*Inputs!$I$34*BE293</f>
        <v>0</v>
      </c>
      <c r="BK293" s="54"/>
      <c r="BM293" s="116">
        <v>3</v>
      </c>
      <c r="BN293" s="114">
        <f>Inputs!$A$34</f>
        <v>0</v>
      </c>
      <c r="BO293" s="45">
        <f>Inputs!$B$34</f>
        <v>0</v>
      </c>
      <c r="BP293" s="45" t="s">
        <v>57</v>
      </c>
      <c r="BQ293" s="45">
        <f t="shared" si="270"/>
        <v>0</v>
      </c>
      <c r="BR293" s="50"/>
      <c r="BS293" s="118">
        <v>3</v>
      </c>
      <c r="BT293" s="114">
        <f>Inputs!$A$34</f>
        <v>0</v>
      </c>
      <c r="BU293" s="45">
        <f>Inputs!$B$34</f>
        <v>0</v>
      </c>
      <c r="BV293" s="45" t="s">
        <v>58</v>
      </c>
      <c r="BW293" s="45">
        <f t="shared" si="271"/>
        <v>0</v>
      </c>
      <c r="BX293" s="50"/>
      <c r="BY293" s="45">
        <v>0</v>
      </c>
      <c r="BZ293" s="45">
        <v>0</v>
      </c>
      <c r="CA293" s="45">
        <f>CF293-0-BQ293-BW293</f>
        <v>0</v>
      </c>
      <c r="CB293" s="50"/>
      <c r="CC293" s="45">
        <f>BQ293+BW293+BZ293-CF293+0-BY293</f>
        <v>0</v>
      </c>
      <c r="CD293" s="64">
        <f>BY293*Inputs!$F$34*Inputs!$G$34</f>
        <v>0</v>
      </c>
      <c r="CE293" s="45">
        <f>Inputs!$F$34*Inputs!$I$34*BZ293</f>
        <v>0</v>
      </c>
      <c r="CF293" s="54"/>
    </row>
    <row r="294" spans="1:84" x14ac:dyDescent="0.25">
      <c r="A294" s="116">
        <v>4</v>
      </c>
      <c r="B294" s="114">
        <f>Inputs!$A$34</f>
        <v>0</v>
      </c>
      <c r="C294" s="45">
        <f>Inputs!$B$34</f>
        <v>0</v>
      </c>
      <c r="D294" s="45" t="s">
        <v>57</v>
      </c>
      <c r="E294" s="45">
        <v>0</v>
      </c>
      <c r="F294" s="50"/>
      <c r="G294" s="118">
        <v>4</v>
      </c>
      <c r="H294" s="114">
        <f>Inputs!$A$34</f>
        <v>0</v>
      </c>
      <c r="I294" s="45">
        <f>Inputs!$B$34</f>
        <v>0</v>
      </c>
      <c r="J294" s="45" t="s">
        <v>58</v>
      </c>
      <c r="K294" s="45">
        <v>0</v>
      </c>
      <c r="L294" s="50"/>
      <c r="M294" s="45">
        <v>0</v>
      </c>
      <c r="N294" s="45">
        <v>0</v>
      </c>
      <c r="O294" s="45">
        <f t="shared" ref="O294:O301" si="297">U294-M293-E294-K294</f>
        <v>0</v>
      </c>
      <c r="P294" s="50"/>
      <c r="Q294" s="45">
        <f t="shared" ref="Q294:Q301" si="298">E294+K294+N294-U294+M293-M294</f>
        <v>0</v>
      </c>
      <c r="R294" s="64">
        <f>M294*Inputs!$F$34*Inputs!$G$34</f>
        <v>0</v>
      </c>
      <c r="S294" s="45">
        <f>Inputs!$F$34*Inputs!$I$34*N294</f>
        <v>0</v>
      </c>
      <c r="T294" s="18"/>
      <c r="U294" s="55"/>
      <c r="W294" s="116">
        <v>4</v>
      </c>
      <c r="X294" s="114">
        <f>Inputs!$A$34</f>
        <v>0</v>
      </c>
      <c r="Y294" s="45">
        <f>Inputs!$B$34</f>
        <v>0</v>
      </c>
      <c r="Z294" s="45" t="s">
        <v>57</v>
      </c>
      <c r="AA294" s="45">
        <f t="shared" si="267"/>
        <v>0</v>
      </c>
      <c r="AB294" s="50"/>
      <c r="AC294" s="118">
        <v>4</v>
      </c>
      <c r="AD294" s="114">
        <f>Inputs!$A$34</f>
        <v>0</v>
      </c>
      <c r="AE294" s="45">
        <f>Inputs!$B$34</f>
        <v>0</v>
      </c>
      <c r="AF294" s="45" t="s">
        <v>58</v>
      </c>
      <c r="AG294" s="45">
        <f t="shared" si="268"/>
        <v>0</v>
      </c>
      <c r="AH294" s="50"/>
      <c r="AI294" s="45">
        <v>0</v>
      </c>
      <c r="AJ294" s="45">
        <v>0</v>
      </c>
      <c r="AK294" s="45">
        <f t="shared" ref="AK294:AK301" si="299">AP294-AI293-AA294-AG294</f>
        <v>0</v>
      </c>
      <c r="AL294" s="50"/>
      <c r="AM294" s="45">
        <f t="shared" ref="AM294:AM301" si="300">AA294+AG294+AJ294-AP294+AI293-AI294</f>
        <v>0</v>
      </c>
      <c r="AN294" s="64">
        <f>AI294*Inputs!$F$34*Inputs!$G$34</f>
        <v>0</v>
      </c>
      <c r="AO294" s="45">
        <f>Inputs!$F$34*Inputs!$I$34*AJ294</f>
        <v>0</v>
      </c>
      <c r="AP294" s="55"/>
      <c r="AR294" s="116">
        <v>4</v>
      </c>
      <c r="AS294" s="114">
        <f>Inputs!$A$34</f>
        <v>0</v>
      </c>
      <c r="AT294" s="45">
        <f>Inputs!$B$34</f>
        <v>0</v>
      </c>
      <c r="AU294" s="45" t="s">
        <v>57</v>
      </c>
      <c r="AV294" s="45">
        <f t="shared" si="272"/>
        <v>0</v>
      </c>
      <c r="AW294" s="50"/>
      <c r="AX294" s="118">
        <v>4</v>
      </c>
      <c r="AY294" s="114">
        <f>Inputs!$A$34</f>
        <v>0</v>
      </c>
      <c r="AZ294" s="45">
        <f>Inputs!$B$34</f>
        <v>0</v>
      </c>
      <c r="BA294" s="45" t="s">
        <v>58</v>
      </c>
      <c r="BB294" s="45">
        <f t="shared" si="269"/>
        <v>0</v>
      </c>
      <c r="BC294" s="50"/>
      <c r="BD294" s="45">
        <v>0</v>
      </c>
      <c r="BE294" s="45">
        <v>0</v>
      </c>
      <c r="BF294" s="45">
        <f t="shared" ref="BF294:BF301" si="301">BK294-BD293-AV294-BB294</f>
        <v>0</v>
      </c>
      <c r="BG294" s="50"/>
      <c r="BH294" s="45">
        <f t="shared" ref="BH294:BH301" si="302">AV294+BB294+BE294-BK294+BD293-BD294</f>
        <v>0</v>
      </c>
      <c r="BI294" s="64">
        <f>BD294*Inputs!$F$34*Inputs!$G$34</f>
        <v>0</v>
      </c>
      <c r="BJ294" s="45">
        <f>Inputs!$F$34*Inputs!$I$34*BE294</f>
        <v>0</v>
      </c>
      <c r="BK294" s="55"/>
      <c r="BM294" s="116">
        <v>4</v>
      </c>
      <c r="BN294" s="114">
        <f>Inputs!$A$34</f>
        <v>0</v>
      </c>
      <c r="BO294" s="45">
        <f>Inputs!$B$34</f>
        <v>0</v>
      </c>
      <c r="BP294" s="45" t="s">
        <v>57</v>
      </c>
      <c r="BQ294" s="45">
        <f t="shared" si="270"/>
        <v>0</v>
      </c>
      <c r="BR294" s="50"/>
      <c r="BS294" s="118">
        <v>4</v>
      </c>
      <c r="BT294" s="114">
        <f>Inputs!$A$34</f>
        <v>0</v>
      </c>
      <c r="BU294" s="45">
        <f>Inputs!$B$34</f>
        <v>0</v>
      </c>
      <c r="BV294" s="45" t="s">
        <v>58</v>
      </c>
      <c r="BW294" s="45">
        <f t="shared" si="271"/>
        <v>0</v>
      </c>
      <c r="BX294" s="50"/>
      <c r="BY294" s="45">
        <v>0</v>
      </c>
      <c r="BZ294" s="45">
        <v>0</v>
      </c>
      <c r="CA294" s="45">
        <f t="shared" ref="CA294:CA301" si="303">CF294-BY293-BQ294-BW294</f>
        <v>0</v>
      </c>
      <c r="CB294" s="50"/>
      <c r="CC294" s="45">
        <f t="shared" ref="CC294:CC301" si="304">BQ294+BW294+BZ294-CF294+BY293-BY294</f>
        <v>0</v>
      </c>
      <c r="CD294" s="64">
        <f>BY294*Inputs!$F$34*Inputs!$G$34</f>
        <v>0</v>
      </c>
      <c r="CE294" s="45">
        <f>Inputs!$F$34*Inputs!$I$34*BZ294</f>
        <v>0</v>
      </c>
      <c r="CF294" s="55"/>
    </row>
    <row r="295" spans="1:84" x14ac:dyDescent="0.25">
      <c r="A295" s="116">
        <v>5</v>
      </c>
      <c r="B295" s="114">
        <f>Inputs!$A$34</f>
        <v>0</v>
      </c>
      <c r="C295" s="45">
        <f>Inputs!$B$34</f>
        <v>0</v>
      </c>
      <c r="D295" s="45" t="s">
        <v>57</v>
      </c>
      <c r="E295" s="45">
        <v>0</v>
      </c>
      <c r="F295" s="50"/>
      <c r="G295" s="118">
        <v>5</v>
      </c>
      <c r="H295" s="114">
        <f>Inputs!$A$34</f>
        <v>0</v>
      </c>
      <c r="I295" s="45">
        <f>Inputs!$B$34</f>
        <v>0</v>
      </c>
      <c r="J295" s="45" t="s">
        <v>58</v>
      </c>
      <c r="K295" s="45">
        <v>0</v>
      </c>
      <c r="L295" s="50"/>
      <c r="M295" s="45">
        <v>0</v>
      </c>
      <c r="N295" s="45">
        <v>0</v>
      </c>
      <c r="O295" s="45">
        <f t="shared" si="297"/>
        <v>0</v>
      </c>
      <c r="P295" s="50"/>
      <c r="Q295" s="45">
        <f t="shared" si="298"/>
        <v>0</v>
      </c>
      <c r="R295" s="64">
        <f>M295*Inputs!$F$34*Inputs!$G$34</f>
        <v>0</v>
      </c>
      <c r="S295" s="45">
        <f>Inputs!$F$34*Inputs!$I$34*N295</f>
        <v>0</v>
      </c>
      <c r="T295" s="18"/>
      <c r="U295" s="55"/>
      <c r="W295" s="116">
        <v>5</v>
      </c>
      <c r="X295" s="114">
        <f>Inputs!$A$34</f>
        <v>0</v>
      </c>
      <c r="Y295" s="45">
        <f>Inputs!$B$34</f>
        <v>0</v>
      </c>
      <c r="Z295" s="45" t="s">
        <v>57</v>
      </c>
      <c r="AA295" s="45">
        <f t="shared" si="267"/>
        <v>0</v>
      </c>
      <c r="AB295" s="50"/>
      <c r="AC295" s="118">
        <v>5</v>
      </c>
      <c r="AD295" s="114">
        <f>Inputs!$A$34</f>
        <v>0</v>
      </c>
      <c r="AE295" s="45">
        <f>Inputs!$B$34</f>
        <v>0</v>
      </c>
      <c r="AF295" s="45" t="s">
        <v>58</v>
      </c>
      <c r="AG295" s="45">
        <f t="shared" si="268"/>
        <v>0</v>
      </c>
      <c r="AH295" s="50"/>
      <c r="AI295" s="45">
        <v>0</v>
      </c>
      <c r="AJ295" s="45">
        <v>0</v>
      </c>
      <c r="AK295" s="45">
        <f t="shared" si="299"/>
        <v>0</v>
      </c>
      <c r="AL295" s="50"/>
      <c r="AM295" s="45">
        <f t="shared" si="300"/>
        <v>0</v>
      </c>
      <c r="AN295" s="64">
        <f>AI295*Inputs!$F$34*Inputs!$G$34</f>
        <v>0</v>
      </c>
      <c r="AO295" s="45">
        <f>Inputs!$F$34*Inputs!$I$34*AJ295</f>
        <v>0</v>
      </c>
      <c r="AP295" s="55"/>
      <c r="AR295" s="116">
        <v>5</v>
      </c>
      <c r="AS295" s="114">
        <f>Inputs!$A$34</f>
        <v>0</v>
      </c>
      <c r="AT295" s="45">
        <f>Inputs!$B$34</f>
        <v>0</v>
      </c>
      <c r="AU295" s="45" t="s">
        <v>57</v>
      </c>
      <c r="AV295" s="45">
        <f t="shared" si="272"/>
        <v>0</v>
      </c>
      <c r="AW295" s="50"/>
      <c r="AX295" s="118">
        <v>5</v>
      </c>
      <c r="AY295" s="114">
        <f>Inputs!$A$34</f>
        <v>0</v>
      </c>
      <c r="AZ295" s="45">
        <f>Inputs!$B$34</f>
        <v>0</v>
      </c>
      <c r="BA295" s="45" t="s">
        <v>58</v>
      </c>
      <c r="BB295" s="45">
        <f t="shared" si="269"/>
        <v>0</v>
      </c>
      <c r="BC295" s="50"/>
      <c r="BD295" s="45">
        <v>0</v>
      </c>
      <c r="BE295" s="45">
        <v>0</v>
      </c>
      <c r="BF295" s="45">
        <f t="shared" si="301"/>
        <v>0</v>
      </c>
      <c r="BG295" s="50"/>
      <c r="BH295" s="45">
        <f t="shared" si="302"/>
        <v>0</v>
      </c>
      <c r="BI295" s="64">
        <f>BD295*Inputs!$F$34*Inputs!$G$34</f>
        <v>0</v>
      </c>
      <c r="BJ295" s="45">
        <f>Inputs!$F$34*Inputs!$I$34*BE295</f>
        <v>0</v>
      </c>
      <c r="BK295" s="55"/>
      <c r="BM295" s="116">
        <v>5</v>
      </c>
      <c r="BN295" s="114">
        <f>Inputs!$A$34</f>
        <v>0</v>
      </c>
      <c r="BO295" s="45">
        <f>Inputs!$B$34</f>
        <v>0</v>
      </c>
      <c r="BP295" s="45" t="s">
        <v>57</v>
      </c>
      <c r="BQ295" s="45">
        <f t="shared" si="270"/>
        <v>0</v>
      </c>
      <c r="BR295" s="50"/>
      <c r="BS295" s="118">
        <v>5</v>
      </c>
      <c r="BT295" s="114">
        <f>Inputs!$A$34</f>
        <v>0</v>
      </c>
      <c r="BU295" s="45">
        <f>Inputs!$B$34</f>
        <v>0</v>
      </c>
      <c r="BV295" s="45" t="s">
        <v>58</v>
      </c>
      <c r="BW295" s="45">
        <f t="shared" si="271"/>
        <v>0</v>
      </c>
      <c r="BX295" s="50"/>
      <c r="BY295" s="45">
        <v>0</v>
      </c>
      <c r="BZ295" s="45">
        <v>0</v>
      </c>
      <c r="CA295" s="45">
        <f t="shared" si="303"/>
        <v>0</v>
      </c>
      <c r="CB295" s="50"/>
      <c r="CC295" s="45">
        <f t="shared" si="304"/>
        <v>0</v>
      </c>
      <c r="CD295" s="64">
        <f>BY295*Inputs!$F$34*Inputs!$G$34</f>
        <v>0</v>
      </c>
      <c r="CE295" s="45">
        <f>Inputs!$F$34*Inputs!$I$34*BZ295</f>
        <v>0</v>
      </c>
      <c r="CF295" s="55"/>
    </row>
    <row r="296" spans="1:84" x14ac:dyDescent="0.25">
      <c r="A296" s="116">
        <v>6</v>
      </c>
      <c r="B296" s="114">
        <f>Inputs!$A$34</f>
        <v>0</v>
      </c>
      <c r="C296" s="45">
        <f>Inputs!$B$34</f>
        <v>0</v>
      </c>
      <c r="D296" s="45" t="s">
        <v>57</v>
      </c>
      <c r="E296" s="45">
        <v>0</v>
      </c>
      <c r="F296" s="50"/>
      <c r="G296" s="118">
        <v>6</v>
      </c>
      <c r="H296" s="114">
        <f>Inputs!$A$34</f>
        <v>0</v>
      </c>
      <c r="I296" s="45">
        <f>Inputs!$B$34</f>
        <v>0</v>
      </c>
      <c r="J296" s="45" t="s">
        <v>58</v>
      </c>
      <c r="K296" s="45">
        <v>0</v>
      </c>
      <c r="L296" s="50"/>
      <c r="M296" s="45">
        <v>0</v>
      </c>
      <c r="N296" s="45">
        <v>0</v>
      </c>
      <c r="O296" s="45">
        <f t="shared" si="297"/>
        <v>0</v>
      </c>
      <c r="P296" s="50"/>
      <c r="Q296" s="45">
        <f t="shared" si="298"/>
        <v>0</v>
      </c>
      <c r="R296" s="64">
        <f>M296*Inputs!$F$34*Inputs!$G$34</f>
        <v>0</v>
      </c>
      <c r="S296" s="45">
        <f>Inputs!$F$34*Inputs!$I$34*N296</f>
        <v>0</v>
      </c>
      <c r="T296" s="18"/>
      <c r="U296" s="55"/>
      <c r="W296" s="116">
        <v>6</v>
      </c>
      <c r="X296" s="114">
        <f>Inputs!$A$34</f>
        <v>0</v>
      </c>
      <c r="Y296" s="45">
        <f>Inputs!$B$34</f>
        <v>0</v>
      </c>
      <c r="Z296" s="45" t="s">
        <v>57</v>
      </c>
      <c r="AA296" s="45">
        <f t="shared" si="267"/>
        <v>0</v>
      </c>
      <c r="AB296" s="50"/>
      <c r="AC296" s="118">
        <v>6</v>
      </c>
      <c r="AD296" s="114">
        <f>Inputs!$A$34</f>
        <v>0</v>
      </c>
      <c r="AE296" s="45">
        <f>Inputs!$B$34</f>
        <v>0</v>
      </c>
      <c r="AF296" s="45" t="s">
        <v>58</v>
      </c>
      <c r="AG296" s="45">
        <f t="shared" si="268"/>
        <v>0</v>
      </c>
      <c r="AH296" s="50"/>
      <c r="AI296" s="45">
        <v>0</v>
      </c>
      <c r="AJ296" s="45">
        <v>0</v>
      </c>
      <c r="AK296" s="45">
        <f t="shared" si="299"/>
        <v>0</v>
      </c>
      <c r="AL296" s="50"/>
      <c r="AM296" s="45">
        <f t="shared" si="300"/>
        <v>0</v>
      </c>
      <c r="AN296" s="64">
        <f>AI296*Inputs!$F$34*Inputs!$G$34</f>
        <v>0</v>
      </c>
      <c r="AO296" s="45">
        <f>Inputs!$F$34*Inputs!$I$34*AJ296</f>
        <v>0</v>
      </c>
      <c r="AP296" s="55"/>
      <c r="AR296" s="116">
        <v>6</v>
      </c>
      <c r="AS296" s="114">
        <f>Inputs!$A$34</f>
        <v>0</v>
      </c>
      <c r="AT296" s="45">
        <f>Inputs!$B$34</f>
        <v>0</v>
      </c>
      <c r="AU296" s="45" t="s">
        <v>57</v>
      </c>
      <c r="AV296" s="45">
        <f t="shared" si="272"/>
        <v>0</v>
      </c>
      <c r="AW296" s="50"/>
      <c r="AX296" s="118">
        <v>6</v>
      </c>
      <c r="AY296" s="114">
        <f>Inputs!$A$34</f>
        <v>0</v>
      </c>
      <c r="AZ296" s="45">
        <f>Inputs!$B$34</f>
        <v>0</v>
      </c>
      <c r="BA296" s="45" t="s">
        <v>58</v>
      </c>
      <c r="BB296" s="45">
        <f t="shared" si="269"/>
        <v>0</v>
      </c>
      <c r="BC296" s="50"/>
      <c r="BD296" s="45">
        <v>0</v>
      </c>
      <c r="BE296" s="45">
        <v>0</v>
      </c>
      <c r="BF296" s="45">
        <f t="shared" si="301"/>
        <v>0</v>
      </c>
      <c r="BG296" s="50"/>
      <c r="BH296" s="45">
        <f t="shared" si="302"/>
        <v>0</v>
      </c>
      <c r="BI296" s="64">
        <f>BD296*Inputs!$F$34*Inputs!$G$34</f>
        <v>0</v>
      </c>
      <c r="BJ296" s="45">
        <f>Inputs!$F$34*Inputs!$I$34*BE296</f>
        <v>0</v>
      </c>
      <c r="BK296" s="55"/>
      <c r="BM296" s="116">
        <v>6</v>
      </c>
      <c r="BN296" s="114">
        <f>Inputs!$A$34</f>
        <v>0</v>
      </c>
      <c r="BO296" s="45">
        <f>Inputs!$B$34</f>
        <v>0</v>
      </c>
      <c r="BP296" s="45" t="s">
        <v>57</v>
      </c>
      <c r="BQ296" s="45">
        <f t="shared" si="270"/>
        <v>0</v>
      </c>
      <c r="BR296" s="50"/>
      <c r="BS296" s="118">
        <v>6</v>
      </c>
      <c r="BT296" s="114">
        <f>Inputs!$A$34</f>
        <v>0</v>
      </c>
      <c r="BU296" s="45">
        <f>Inputs!$B$34</f>
        <v>0</v>
      </c>
      <c r="BV296" s="45" t="s">
        <v>58</v>
      </c>
      <c r="BW296" s="45">
        <f t="shared" si="271"/>
        <v>0</v>
      </c>
      <c r="BX296" s="50"/>
      <c r="BY296" s="45">
        <v>0</v>
      </c>
      <c r="BZ296" s="45">
        <v>0</v>
      </c>
      <c r="CA296" s="45">
        <f t="shared" si="303"/>
        <v>0</v>
      </c>
      <c r="CB296" s="50"/>
      <c r="CC296" s="45">
        <f t="shared" si="304"/>
        <v>0</v>
      </c>
      <c r="CD296" s="64">
        <f>BY296*Inputs!$F$34*Inputs!$G$34</f>
        <v>0</v>
      </c>
      <c r="CE296" s="45">
        <f>Inputs!$F$34*Inputs!$I$34*BZ296</f>
        <v>0</v>
      </c>
      <c r="CF296" s="55"/>
    </row>
    <row r="297" spans="1:84" x14ac:dyDescent="0.25">
      <c r="A297" s="116">
        <v>7</v>
      </c>
      <c r="B297" s="114">
        <f>Inputs!$A$34</f>
        <v>0</v>
      </c>
      <c r="C297" s="45">
        <f>Inputs!$B$34</f>
        <v>0</v>
      </c>
      <c r="D297" s="45" t="s">
        <v>57</v>
      </c>
      <c r="E297" s="45">
        <v>0</v>
      </c>
      <c r="F297" s="50"/>
      <c r="G297" s="118">
        <v>7</v>
      </c>
      <c r="H297" s="114">
        <f>Inputs!$A$34</f>
        <v>0</v>
      </c>
      <c r="I297" s="45">
        <f>Inputs!$B$34</f>
        <v>0</v>
      </c>
      <c r="J297" s="45" t="s">
        <v>58</v>
      </c>
      <c r="K297" s="45">
        <v>0</v>
      </c>
      <c r="L297" s="50"/>
      <c r="M297" s="45">
        <v>0</v>
      </c>
      <c r="N297" s="45">
        <v>0</v>
      </c>
      <c r="O297" s="45">
        <f t="shared" si="297"/>
        <v>0</v>
      </c>
      <c r="P297" s="50"/>
      <c r="Q297" s="45">
        <f t="shared" si="298"/>
        <v>0</v>
      </c>
      <c r="R297" s="64">
        <f>M297*Inputs!$F$34*Inputs!$G$34</f>
        <v>0</v>
      </c>
      <c r="S297" s="45">
        <f>Inputs!$F$34*Inputs!$I$34*N297</f>
        <v>0</v>
      </c>
      <c r="T297" s="18"/>
      <c r="U297" s="55"/>
      <c r="W297" s="116">
        <v>7</v>
      </c>
      <c r="X297" s="114">
        <f>Inputs!$A$34</f>
        <v>0</v>
      </c>
      <c r="Y297" s="45">
        <f>Inputs!$B$34</f>
        <v>0</v>
      </c>
      <c r="Z297" s="45" t="s">
        <v>57</v>
      </c>
      <c r="AA297" s="45">
        <f t="shared" si="267"/>
        <v>0</v>
      </c>
      <c r="AB297" s="50"/>
      <c r="AC297" s="118">
        <v>7</v>
      </c>
      <c r="AD297" s="114">
        <f>Inputs!$A$34</f>
        <v>0</v>
      </c>
      <c r="AE297" s="45">
        <f>Inputs!$B$34</f>
        <v>0</v>
      </c>
      <c r="AF297" s="45" t="s">
        <v>58</v>
      </c>
      <c r="AG297" s="45">
        <f t="shared" si="268"/>
        <v>0</v>
      </c>
      <c r="AH297" s="50"/>
      <c r="AI297" s="45">
        <v>0</v>
      </c>
      <c r="AJ297" s="45">
        <v>0</v>
      </c>
      <c r="AK297" s="45">
        <f t="shared" si="299"/>
        <v>0</v>
      </c>
      <c r="AL297" s="50"/>
      <c r="AM297" s="45">
        <f t="shared" si="300"/>
        <v>0</v>
      </c>
      <c r="AN297" s="64">
        <f>AI297*Inputs!$F$34*Inputs!$G$34</f>
        <v>0</v>
      </c>
      <c r="AO297" s="45">
        <f>Inputs!$F$34*Inputs!$I$34*AJ297</f>
        <v>0</v>
      </c>
      <c r="AP297" s="55"/>
      <c r="AR297" s="116">
        <v>7</v>
      </c>
      <c r="AS297" s="114">
        <f>Inputs!$A$34</f>
        <v>0</v>
      </c>
      <c r="AT297" s="45">
        <f>Inputs!$B$34</f>
        <v>0</v>
      </c>
      <c r="AU297" s="45" t="s">
        <v>57</v>
      </c>
      <c r="AV297" s="45">
        <f t="shared" si="272"/>
        <v>0</v>
      </c>
      <c r="AW297" s="50"/>
      <c r="AX297" s="118">
        <v>7</v>
      </c>
      <c r="AY297" s="114">
        <f>Inputs!$A$34</f>
        <v>0</v>
      </c>
      <c r="AZ297" s="45">
        <f>Inputs!$B$34</f>
        <v>0</v>
      </c>
      <c r="BA297" s="45" t="s">
        <v>58</v>
      </c>
      <c r="BB297" s="45">
        <f t="shared" si="269"/>
        <v>0</v>
      </c>
      <c r="BC297" s="50"/>
      <c r="BD297" s="45">
        <v>0</v>
      </c>
      <c r="BE297" s="45">
        <v>0</v>
      </c>
      <c r="BF297" s="45">
        <f t="shared" si="301"/>
        <v>0</v>
      </c>
      <c r="BG297" s="50"/>
      <c r="BH297" s="45">
        <f t="shared" si="302"/>
        <v>0</v>
      </c>
      <c r="BI297" s="64">
        <f>BD297*Inputs!$F$34*Inputs!$G$34</f>
        <v>0</v>
      </c>
      <c r="BJ297" s="45">
        <f>Inputs!$F$34*Inputs!$I$34*BE297</f>
        <v>0</v>
      </c>
      <c r="BK297" s="55"/>
      <c r="BM297" s="116">
        <v>7</v>
      </c>
      <c r="BN297" s="114">
        <f>Inputs!$A$34</f>
        <v>0</v>
      </c>
      <c r="BO297" s="45">
        <f>Inputs!$B$34</f>
        <v>0</v>
      </c>
      <c r="BP297" s="45" t="s">
        <v>57</v>
      </c>
      <c r="BQ297" s="45">
        <f t="shared" si="270"/>
        <v>0</v>
      </c>
      <c r="BR297" s="50"/>
      <c r="BS297" s="118">
        <v>7</v>
      </c>
      <c r="BT297" s="114">
        <f>Inputs!$A$34</f>
        <v>0</v>
      </c>
      <c r="BU297" s="45">
        <f>Inputs!$B$34</f>
        <v>0</v>
      </c>
      <c r="BV297" s="45" t="s">
        <v>58</v>
      </c>
      <c r="BW297" s="45">
        <f t="shared" si="271"/>
        <v>0</v>
      </c>
      <c r="BX297" s="50"/>
      <c r="BY297" s="45">
        <v>0</v>
      </c>
      <c r="BZ297" s="45">
        <v>0</v>
      </c>
      <c r="CA297" s="45">
        <f t="shared" si="303"/>
        <v>0</v>
      </c>
      <c r="CB297" s="50"/>
      <c r="CC297" s="45">
        <f t="shared" si="304"/>
        <v>0</v>
      </c>
      <c r="CD297" s="64">
        <f>BY297*Inputs!$F$34*Inputs!$G$34</f>
        <v>0</v>
      </c>
      <c r="CE297" s="45">
        <f>Inputs!$F$34*Inputs!$I$34*BZ297</f>
        <v>0</v>
      </c>
      <c r="CF297" s="55"/>
    </row>
    <row r="298" spans="1:84" x14ac:dyDescent="0.25">
      <c r="A298" s="116">
        <v>8</v>
      </c>
      <c r="B298" s="114">
        <f>Inputs!$A$34</f>
        <v>0</v>
      </c>
      <c r="C298" s="45">
        <f>Inputs!$B$34</f>
        <v>0</v>
      </c>
      <c r="D298" s="45" t="s">
        <v>57</v>
      </c>
      <c r="E298" s="45">
        <v>0</v>
      </c>
      <c r="F298" s="50"/>
      <c r="G298" s="118">
        <v>8</v>
      </c>
      <c r="H298" s="114">
        <f>Inputs!$A$34</f>
        <v>0</v>
      </c>
      <c r="I298" s="45">
        <f>Inputs!$B$34</f>
        <v>0</v>
      </c>
      <c r="J298" s="45" t="s">
        <v>58</v>
      </c>
      <c r="K298" s="45">
        <v>0</v>
      </c>
      <c r="L298" s="50"/>
      <c r="M298" s="45">
        <v>0</v>
      </c>
      <c r="N298" s="45">
        <v>0</v>
      </c>
      <c r="O298" s="45">
        <f t="shared" si="297"/>
        <v>0</v>
      </c>
      <c r="P298" s="50"/>
      <c r="Q298" s="45">
        <f t="shared" si="298"/>
        <v>0</v>
      </c>
      <c r="R298" s="64">
        <f>M298*Inputs!$F$34*Inputs!$G$34</f>
        <v>0</v>
      </c>
      <c r="S298" s="45">
        <f>Inputs!$F$34*Inputs!$I$34*N298</f>
        <v>0</v>
      </c>
      <c r="T298" s="18"/>
      <c r="U298" s="55"/>
      <c r="W298" s="116">
        <v>8</v>
      </c>
      <c r="X298" s="114">
        <f>Inputs!$A$34</f>
        <v>0</v>
      </c>
      <c r="Y298" s="45">
        <f>Inputs!$B$34</f>
        <v>0</v>
      </c>
      <c r="Z298" s="45" t="s">
        <v>57</v>
      </c>
      <c r="AA298" s="45">
        <f t="shared" si="267"/>
        <v>0</v>
      </c>
      <c r="AB298" s="50"/>
      <c r="AC298" s="118">
        <v>8</v>
      </c>
      <c r="AD298" s="114">
        <f>Inputs!$A$34</f>
        <v>0</v>
      </c>
      <c r="AE298" s="45">
        <f>Inputs!$B$34</f>
        <v>0</v>
      </c>
      <c r="AF298" s="45" t="s">
        <v>58</v>
      </c>
      <c r="AG298" s="45">
        <f t="shared" si="268"/>
        <v>0</v>
      </c>
      <c r="AH298" s="50"/>
      <c r="AI298" s="45">
        <v>0</v>
      </c>
      <c r="AJ298" s="45">
        <v>0</v>
      </c>
      <c r="AK298" s="45">
        <f t="shared" si="299"/>
        <v>0</v>
      </c>
      <c r="AL298" s="50"/>
      <c r="AM298" s="45">
        <f t="shared" si="300"/>
        <v>0</v>
      </c>
      <c r="AN298" s="64">
        <f>AI298*Inputs!$F$34*Inputs!$G$34</f>
        <v>0</v>
      </c>
      <c r="AO298" s="45">
        <f>Inputs!$F$34*Inputs!$I$34*AJ298</f>
        <v>0</v>
      </c>
      <c r="AP298" s="55"/>
      <c r="AR298" s="116">
        <v>8</v>
      </c>
      <c r="AS298" s="114">
        <f>Inputs!$A$34</f>
        <v>0</v>
      </c>
      <c r="AT298" s="45">
        <f>Inputs!$B$34</f>
        <v>0</v>
      </c>
      <c r="AU298" s="45" t="s">
        <v>57</v>
      </c>
      <c r="AV298" s="45">
        <f t="shared" si="272"/>
        <v>0</v>
      </c>
      <c r="AW298" s="50"/>
      <c r="AX298" s="118">
        <v>8</v>
      </c>
      <c r="AY298" s="114">
        <f>Inputs!$A$34</f>
        <v>0</v>
      </c>
      <c r="AZ298" s="45">
        <f>Inputs!$B$34</f>
        <v>0</v>
      </c>
      <c r="BA298" s="45" t="s">
        <v>58</v>
      </c>
      <c r="BB298" s="45">
        <f t="shared" si="269"/>
        <v>0</v>
      </c>
      <c r="BC298" s="50"/>
      <c r="BD298" s="45">
        <v>0</v>
      </c>
      <c r="BE298" s="45">
        <v>0</v>
      </c>
      <c r="BF298" s="45">
        <f t="shared" si="301"/>
        <v>0</v>
      </c>
      <c r="BG298" s="50"/>
      <c r="BH298" s="45">
        <f t="shared" si="302"/>
        <v>0</v>
      </c>
      <c r="BI298" s="64">
        <f>BD298*Inputs!$F$34*Inputs!$G$34</f>
        <v>0</v>
      </c>
      <c r="BJ298" s="45">
        <f>Inputs!$F$34*Inputs!$I$34*BE298</f>
        <v>0</v>
      </c>
      <c r="BK298" s="55"/>
      <c r="BM298" s="116">
        <v>8</v>
      </c>
      <c r="BN298" s="114">
        <f>Inputs!$A$34</f>
        <v>0</v>
      </c>
      <c r="BO298" s="45">
        <f>Inputs!$B$34</f>
        <v>0</v>
      </c>
      <c r="BP298" s="45" t="s">
        <v>57</v>
      </c>
      <c r="BQ298" s="45">
        <f t="shared" si="270"/>
        <v>0</v>
      </c>
      <c r="BR298" s="50"/>
      <c r="BS298" s="118">
        <v>8</v>
      </c>
      <c r="BT298" s="114">
        <f>Inputs!$A$34</f>
        <v>0</v>
      </c>
      <c r="BU298" s="45">
        <f>Inputs!$B$34</f>
        <v>0</v>
      </c>
      <c r="BV298" s="45" t="s">
        <v>58</v>
      </c>
      <c r="BW298" s="45">
        <f t="shared" si="271"/>
        <v>0</v>
      </c>
      <c r="BX298" s="50"/>
      <c r="BY298" s="45">
        <v>0</v>
      </c>
      <c r="BZ298" s="45">
        <v>0</v>
      </c>
      <c r="CA298" s="45">
        <f t="shared" si="303"/>
        <v>0</v>
      </c>
      <c r="CB298" s="50"/>
      <c r="CC298" s="45">
        <f t="shared" si="304"/>
        <v>0</v>
      </c>
      <c r="CD298" s="64">
        <f>BY298*Inputs!$F$34*Inputs!$G$34</f>
        <v>0</v>
      </c>
      <c r="CE298" s="45">
        <f>Inputs!$F$34*Inputs!$I$34*BZ298</f>
        <v>0</v>
      </c>
      <c r="CF298" s="55"/>
    </row>
    <row r="299" spans="1:84" x14ac:dyDescent="0.25">
      <c r="A299" s="116">
        <v>9</v>
      </c>
      <c r="B299" s="114">
        <f>Inputs!$A$34</f>
        <v>0</v>
      </c>
      <c r="C299" s="45">
        <f>Inputs!$B$34</f>
        <v>0</v>
      </c>
      <c r="D299" s="45" t="s">
        <v>57</v>
      </c>
      <c r="E299" s="45">
        <v>0</v>
      </c>
      <c r="F299" s="50"/>
      <c r="G299" s="118">
        <v>9</v>
      </c>
      <c r="H299" s="114">
        <f>Inputs!$A$34</f>
        <v>0</v>
      </c>
      <c r="I299" s="45">
        <f>Inputs!$B$34</f>
        <v>0</v>
      </c>
      <c r="J299" s="45" t="s">
        <v>58</v>
      </c>
      <c r="K299" s="45">
        <v>0</v>
      </c>
      <c r="L299" s="50"/>
      <c r="M299" s="45">
        <v>0</v>
      </c>
      <c r="N299" s="45">
        <v>0</v>
      </c>
      <c r="O299" s="45">
        <f t="shared" si="297"/>
        <v>0</v>
      </c>
      <c r="P299" s="50"/>
      <c r="Q299" s="45">
        <f t="shared" si="298"/>
        <v>0</v>
      </c>
      <c r="R299" s="64">
        <f>M299*Inputs!$F$34*Inputs!$G$34</f>
        <v>0</v>
      </c>
      <c r="S299" s="45">
        <f>Inputs!$F$34*Inputs!$I$34*N299</f>
        <v>0</v>
      </c>
      <c r="T299" s="18"/>
      <c r="U299" s="55"/>
      <c r="W299" s="116">
        <v>9</v>
      </c>
      <c r="X299" s="114">
        <f>Inputs!$A$34</f>
        <v>0</v>
      </c>
      <c r="Y299" s="45">
        <f>Inputs!$B$34</f>
        <v>0</v>
      </c>
      <c r="Z299" s="45" t="s">
        <v>57</v>
      </c>
      <c r="AA299" s="45">
        <f t="shared" si="267"/>
        <v>0</v>
      </c>
      <c r="AB299" s="50"/>
      <c r="AC299" s="118">
        <v>9</v>
      </c>
      <c r="AD299" s="114">
        <f>Inputs!$A$34</f>
        <v>0</v>
      </c>
      <c r="AE299" s="45">
        <f>Inputs!$B$34</f>
        <v>0</v>
      </c>
      <c r="AF299" s="45" t="s">
        <v>58</v>
      </c>
      <c r="AG299" s="45">
        <f t="shared" si="268"/>
        <v>0</v>
      </c>
      <c r="AH299" s="50"/>
      <c r="AI299" s="45">
        <v>0</v>
      </c>
      <c r="AJ299" s="45">
        <v>0</v>
      </c>
      <c r="AK299" s="45">
        <f t="shared" si="299"/>
        <v>0</v>
      </c>
      <c r="AL299" s="50"/>
      <c r="AM299" s="45">
        <f t="shared" si="300"/>
        <v>0</v>
      </c>
      <c r="AN299" s="64">
        <f>AI299*Inputs!$F$34*Inputs!$G$34</f>
        <v>0</v>
      </c>
      <c r="AO299" s="45">
        <f>Inputs!$F$34*Inputs!$I$34*AJ299</f>
        <v>0</v>
      </c>
      <c r="AP299" s="55"/>
      <c r="AR299" s="116">
        <v>9</v>
      </c>
      <c r="AS299" s="114">
        <f>Inputs!$A$34</f>
        <v>0</v>
      </c>
      <c r="AT299" s="45">
        <f>Inputs!$B$34</f>
        <v>0</v>
      </c>
      <c r="AU299" s="45" t="s">
        <v>57</v>
      </c>
      <c r="AV299" s="45">
        <f t="shared" si="272"/>
        <v>0</v>
      </c>
      <c r="AW299" s="50"/>
      <c r="AX299" s="118">
        <v>9</v>
      </c>
      <c r="AY299" s="114">
        <f>Inputs!$A$34</f>
        <v>0</v>
      </c>
      <c r="AZ299" s="45">
        <f>Inputs!$B$34</f>
        <v>0</v>
      </c>
      <c r="BA299" s="45" t="s">
        <v>58</v>
      </c>
      <c r="BB299" s="45">
        <f t="shared" si="269"/>
        <v>0</v>
      </c>
      <c r="BC299" s="50"/>
      <c r="BD299" s="45">
        <v>0</v>
      </c>
      <c r="BE299" s="45">
        <v>0</v>
      </c>
      <c r="BF299" s="45">
        <f t="shared" si="301"/>
        <v>0</v>
      </c>
      <c r="BG299" s="50"/>
      <c r="BH299" s="45">
        <f t="shared" si="302"/>
        <v>0</v>
      </c>
      <c r="BI299" s="64">
        <f>BD299*Inputs!$F$34*Inputs!$G$34</f>
        <v>0</v>
      </c>
      <c r="BJ299" s="45">
        <f>Inputs!$F$34*Inputs!$I$34*BE299</f>
        <v>0</v>
      </c>
      <c r="BK299" s="55"/>
      <c r="BM299" s="116">
        <v>9</v>
      </c>
      <c r="BN299" s="114">
        <f>Inputs!$A$34</f>
        <v>0</v>
      </c>
      <c r="BO299" s="45">
        <f>Inputs!$B$34</f>
        <v>0</v>
      </c>
      <c r="BP299" s="45" t="s">
        <v>57</v>
      </c>
      <c r="BQ299" s="45">
        <f t="shared" si="270"/>
        <v>0</v>
      </c>
      <c r="BR299" s="50"/>
      <c r="BS299" s="118">
        <v>9</v>
      </c>
      <c r="BT299" s="114">
        <f>Inputs!$A$34</f>
        <v>0</v>
      </c>
      <c r="BU299" s="45">
        <f>Inputs!$B$34</f>
        <v>0</v>
      </c>
      <c r="BV299" s="45" t="s">
        <v>58</v>
      </c>
      <c r="BW299" s="45">
        <f t="shared" si="271"/>
        <v>0</v>
      </c>
      <c r="BX299" s="50"/>
      <c r="BY299" s="45">
        <v>0</v>
      </c>
      <c r="BZ299" s="45">
        <v>0</v>
      </c>
      <c r="CA299" s="45">
        <f t="shared" si="303"/>
        <v>0</v>
      </c>
      <c r="CB299" s="50"/>
      <c r="CC299" s="45">
        <f t="shared" si="304"/>
        <v>0</v>
      </c>
      <c r="CD299" s="64">
        <f>BY299*Inputs!$F$34*Inputs!$G$34</f>
        <v>0</v>
      </c>
      <c r="CE299" s="45">
        <f>Inputs!$F$34*Inputs!$I$34*BZ299</f>
        <v>0</v>
      </c>
      <c r="CF299" s="55"/>
    </row>
    <row r="300" spans="1:84" x14ac:dyDescent="0.25">
      <c r="A300" s="116">
        <v>10</v>
      </c>
      <c r="B300" s="114">
        <f>Inputs!$A$34</f>
        <v>0</v>
      </c>
      <c r="C300" s="45">
        <f>Inputs!$B$34</f>
        <v>0</v>
      </c>
      <c r="D300" s="45" t="s">
        <v>57</v>
      </c>
      <c r="E300" s="45">
        <v>0</v>
      </c>
      <c r="F300" s="50"/>
      <c r="G300" s="118">
        <v>10</v>
      </c>
      <c r="H300" s="114">
        <f>Inputs!$A$34</f>
        <v>0</v>
      </c>
      <c r="I300" s="45">
        <f>Inputs!$B$34</f>
        <v>0</v>
      </c>
      <c r="J300" s="45" t="s">
        <v>58</v>
      </c>
      <c r="K300" s="45">
        <v>0</v>
      </c>
      <c r="L300" s="50"/>
      <c r="M300" s="45">
        <v>0</v>
      </c>
      <c r="N300" s="45">
        <v>0</v>
      </c>
      <c r="O300" s="45">
        <f t="shared" si="297"/>
        <v>0</v>
      </c>
      <c r="P300" s="50"/>
      <c r="Q300" s="45">
        <f t="shared" si="298"/>
        <v>0</v>
      </c>
      <c r="R300" s="64">
        <f>M300*Inputs!$F$34*Inputs!$G$34</f>
        <v>0</v>
      </c>
      <c r="S300" s="45">
        <f>Inputs!$F$34*Inputs!$I$34*N300</f>
        <v>0</v>
      </c>
      <c r="T300" s="18"/>
      <c r="U300" s="91"/>
      <c r="W300" s="116">
        <v>10</v>
      </c>
      <c r="X300" s="114">
        <f>Inputs!$A$34</f>
        <v>0</v>
      </c>
      <c r="Y300" s="45">
        <f>Inputs!$B$34</f>
        <v>0</v>
      </c>
      <c r="Z300" s="45" t="s">
        <v>57</v>
      </c>
      <c r="AA300" s="45">
        <f t="shared" si="267"/>
        <v>0</v>
      </c>
      <c r="AB300" s="50"/>
      <c r="AC300" s="118">
        <v>10</v>
      </c>
      <c r="AD300" s="114">
        <f>Inputs!$A$34</f>
        <v>0</v>
      </c>
      <c r="AE300" s="45">
        <f>Inputs!$B$34</f>
        <v>0</v>
      </c>
      <c r="AF300" s="45" t="s">
        <v>58</v>
      </c>
      <c r="AG300" s="45">
        <f t="shared" si="268"/>
        <v>0</v>
      </c>
      <c r="AH300" s="50"/>
      <c r="AI300" s="45">
        <v>0</v>
      </c>
      <c r="AJ300" s="45">
        <v>0</v>
      </c>
      <c r="AK300" s="45">
        <f t="shared" si="299"/>
        <v>0</v>
      </c>
      <c r="AL300" s="50"/>
      <c r="AM300" s="45">
        <f t="shared" si="300"/>
        <v>0</v>
      </c>
      <c r="AN300" s="64">
        <f>AI300*Inputs!$F$34*Inputs!$G$34</f>
        <v>0</v>
      </c>
      <c r="AO300" s="45">
        <f>Inputs!$F$34*Inputs!$I$34*AJ300</f>
        <v>0</v>
      </c>
      <c r="AP300" s="91"/>
      <c r="AR300" s="116">
        <v>10</v>
      </c>
      <c r="AS300" s="114">
        <f>Inputs!$A$34</f>
        <v>0</v>
      </c>
      <c r="AT300" s="45">
        <f>Inputs!$B$34</f>
        <v>0</v>
      </c>
      <c r="AU300" s="45" t="s">
        <v>57</v>
      </c>
      <c r="AV300" s="45">
        <f t="shared" si="272"/>
        <v>0</v>
      </c>
      <c r="AW300" s="50"/>
      <c r="AX300" s="118">
        <v>10</v>
      </c>
      <c r="AY300" s="114">
        <f>Inputs!$A$34</f>
        <v>0</v>
      </c>
      <c r="AZ300" s="45">
        <f>Inputs!$B$34</f>
        <v>0</v>
      </c>
      <c r="BA300" s="45" t="s">
        <v>58</v>
      </c>
      <c r="BB300" s="45">
        <f t="shared" si="269"/>
        <v>0</v>
      </c>
      <c r="BC300" s="50"/>
      <c r="BD300" s="45">
        <v>0</v>
      </c>
      <c r="BE300" s="45">
        <v>0</v>
      </c>
      <c r="BF300" s="45">
        <f t="shared" si="301"/>
        <v>0</v>
      </c>
      <c r="BG300" s="50"/>
      <c r="BH300" s="45">
        <f t="shared" si="302"/>
        <v>0</v>
      </c>
      <c r="BI300" s="64">
        <f>BD300*Inputs!$F$34*Inputs!$G$34</f>
        <v>0</v>
      </c>
      <c r="BJ300" s="45">
        <f>Inputs!$F$34*Inputs!$I$34*BE300</f>
        <v>0</v>
      </c>
      <c r="BK300" s="91"/>
      <c r="BM300" s="116">
        <v>10</v>
      </c>
      <c r="BN300" s="114">
        <f>Inputs!$A$34</f>
        <v>0</v>
      </c>
      <c r="BO300" s="45">
        <f>Inputs!$B$34</f>
        <v>0</v>
      </c>
      <c r="BP300" s="45" t="s">
        <v>57</v>
      </c>
      <c r="BQ300" s="45">
        <f t="shared" si="270"/>
        <v>0</v>
      </c>
      <c r="BR300" s="50"/>
      <c r="BS300" s="118">
        <v>10</v>
      </c>
      <c r="BT300" s="114">
        <f>Inputs!$A$34</f>
        <v>0</v>
      </c>
      <c r="BU300" s="45">
        <f>Inputs!$B$34</f>
        <v>0</v>
      </c>
      <c r="BV300" s="45" t="s">
        <v>58</v>
      </c>
      <c r="BW300" s="45">
        <f t="shared" si="271"/>
        <v>0</v>
      </c>
      <c r="BX300" s="50"/>
      <c r="BY300" s="45">
        <v>0</v>
      </c>
      <c r="BZ300" s="45">
        <v>0</v>
      </c>
      <c r="CA300" s="45">
        <f t="shared" si="303"/>
        <v>0</v>
      </c>
      <c r="CB300" s="50"/>
      <c r="CC300" s="45">
        <f t="shared" si="304"/>
        <v>0</v>
      </c>
      <c r="CD300" s="64">
        <f>BY300*Inputs!$F$34*Inputs!$G$34</f>
        <v>0</v>
      </c>
      <c r="CE300" s="45">
        <f>Inputs!$F$34*Inputs!$I$34*BZ300</f>
        <v>0</v>
      </c>
      <c r="CF300" s="91"/>
    </row>
    <row r="301" spans="1:84" x14ac:dyDescent="0.25">
      <c r="A301" s="116">
        <v>11</v>
      </c>
      <c r="B301" s="114">
        <f>Inputs!$A$34</f>
        <v>0</v>
      </c>
      <c r="C301" s="45">
        <f>Inputs!$B$34</f>
        <v>0</v>
      </c>
      <c r="D301" s="45" t="s">
        <v>57</v>
      </c>
      <c r="E301" s="45">
        <v>0</v>
      </c>
      <c r="F301" s="50"/>
      <c r="G301" s="118">
        <v>11</v>
      </c>
      <c r="H301" s="114">
        <f>Inputs!$A$34</f>
        <v>0</v>
      </c>
      <c r="I301" s="45">
        <f>Inputs!$B$34</f>
        <v>0</v>
      </c>
      <c r="J301" s="45" t="s">
        <v>58</v>
      </c>
      <c r="K301" s="45">
        <v>0</v>
      </c>
      <c r="L301" s="50"/>
      <c r="M301" s="45">
        <v>0</v>
      </c>
      <c r="N301" s="45">
        <v>0</v>
      </c>
      <c r="O301" s="45">
        <f t="shared" si="297"/>
        <v>0</v>
      </c>
      <c r="P301" s="50"/>
      <c r="Q301" s="45">
        <f t="shared" si="298"/>
        <v>0</v>
      </c>
      <c r="R301" s="64">
        <f>M301*Inputs!$F$34*Inputs!$H$34</f>
        <v>0</v>
      </c>
      <c r="S301" s="45">
        <f>Inputs!$F$34*Inputs!$I$34*N301</f>
        <v>0</v>
      </c>
      <c r="T301" s="18"/>
      <c r="U301" s="56"/>
      <c r="W301" s="116">
        <v>11</v>
      </c>
      <c r="X301" s="114">
        <f>Inputs!$A$34</f>
        <v>0</v>
      </c>
      <c r="Y301" s="45">
        <f>Inputs!$B$34</f>
        <v>0</v>
      </c>
      <c r="Z301" s="45" t="s">
        <v>57</v>
      </c>
      <c r="AA301" s="45">
        <f t="shared" si="267"/>
        <v>0</v>
      </c>
      <c r="AB301" s="50"/>
      <c r="AC301" s="118">
        <v>11</v>
      </c>
      <c r="AD301" s="114">
        <f>Inputs!$A$34</f>
        <v>0</v>
      </c>
      <c r="AE301" s="45">
        <f>Inputs!$B$34</f>
        <v>0</v>
      </c>
      <c r="AF301" s="45" t="s">
        <v>58</v>
      </c>
      <c r="AG301" s="45">
        <f t="shared" si="268"/>
        <v>0</v>
      </c>
      <c r="AH301" s="50"/>
      <c r="AI301" s="45">
        <v>0</v>
      </c>
      <c r="AJ301" s="45">
        <v>0</v>
      </c>
      <c r="AK301" s="45">
        <f t="shared" si="299"/>
        <v>0</v>
      </c>
      <c r="AL301" s="50"/>
      <c r="AM301" s="45">
        <f t="shared" si="300"/>
        <v>0</v>
      </c>
      <c r="AN301" s="64">
        <f>AI301*Inputs!$F$34*Inputs!$H$34</f>
        <v>0</v>
      </c>
      <c r="AO301" s="45">
        <f>Inputs!$F$34*Inputs!$I$34*AJ301</f>
        <v>0</v>
      </c>
      <c r="AP301" s="56"/>
      <c r="AR301" s="116">
        <v>11</v>
      </c>
      <c r="AS301" s="114">
        <f>Inputs!$A$34</f>
        <v>0</v>
      </c>
      <c r="AT301" s="45">
        <f>Inputs!$B$34</f>
        <v>0</v>
      </c>
      <c r="AU301" s="45" t="s">
        <v>57</v>
      </c>
      <c r="AV301" s="45">
        <f t="shared" si="272"/>
        <v>0</v>
      </c>
      <c r="AW301" s="50"/>
      <c r="AX301" s="118">
        <v>11</v>
      </c>
      <c r="AY301" s="114">
        <f>Inputs!$A$34</f>
        <v>0</v>
      </c>
      <c r="AZ301" s="45">
        <f>Inputs!$B$34</f>
        <v>0</v>
      </c>
      <c r="BA301" s="45" t="s">
        <v>58</v>
      </c>
      <c r="BB301" s="45">
        <f t="shared" si="269"/>
        <v>0</v>
      </c>
      <c r="BC301" s="50"/>
      <c r="BD301" s="45">
        <v>0</v>
      </c>
      <c r="BE301" s="45">
        <v>0</v>
      </c>
      <c r="BF301" s="45">
        <f t="shared" si="301"/>
        <v>0</v>
      </c>
      <c r="BG301" s="50"/>
      <c r="BH301" s="45">
        <f t="shared" si="302"/>
        <v>0</v>
      </c>
      <c r="BI301" s="64">
        <f>BD301*Inputs!$F$34*Inputs!$H$34</f>
        <v>0</v>
      </c>
      <c r="BJ301" s="45">
        <f>Inputs!$F$34*Inputs!$I$34*BE301</f>
        <v>0</v>
      </c>
      <c r="BK301" s="56"/>
      <c r="BM301" s="116">
        <v>11</v>
      </c>
      <c r="BN301" s="114">
        <f>Inputs!$A$34</f>
        <v>0</v>
      </c>
      <c r="BO301" s="45">
        <f>Inputs!$B$34</f>
        <v>0</v>
      </c>
      <c r="BP301" s="45" t="s">
        <v>57</v>
      </c>
      <c r="BQ301" s="45">
        <f t="shared" si="270"/>
        <v>0</v>
      </c>
      <c r="BR301" s="50"/>
      <c r="BS301" s="118">
        <v>11</v>
      </c>
      <c r="BT301" s="114">
        <f>Inputs!$A$34</f>
        <v>0</v>
      </c>
      <c r="BU301" s="45">
        <f>Inputs!$B$34</f>
        <v>0</v>
      </c>
      <c r="BV301" s="45" t="s">
        <v>58</v>
      </c>
      <c r="BW301" s="45">
        <f t="shared" si="271"/>
        <v>0</v>
      </c>
      <c r="BX301" s="50"/>
      <c r="BY301" s="45">
        <v>0</v>
      </c>
      <c r="BZ301" s="45">
        <v>0</v>
      </c>
      <c r="CA301" s="45">
        <f t="shared" si="303"/>
        <v>0</v>
      </c>
      <c r="CB301" s="50"/>
      <c r="CC301" s="45">
        <f t="shared" si="304"/>
        <v>0</v>
      </c>
      <c r="CD301" s="64">
        <f>BY301*Inputs!$F$34*Inputs!$H$34</f>
        <v>0</v>
      </c>
      <c r="CE301" s="45">
        <f>Inputs!$F$34*Inputs!$I$34*BZ301</f>
        <v>0</v>
      </c>
      <c r="CF301" s="56"/>
    </row>
    <row r="302" spans="1:84" x14ac:dyDescent="0.25">
      <c r="A302" s="117">
        <v>3</v>
      </c>
      <c r="B302" s="115">
        <f>Inputs!$A$35</f>
        <v>0</v>
      </c>
      <c r="C302" s="44">
        <f>Inputs!$B$35</f>
        <v>0</v>
      </c>
      <c r="D302" s="44" t="s">
        <v>57</v>
      </c>
      <c r="E302" s="44">
        <v>0</v>
      </c>
      <c r="F302" s="50"/>
      <c r="G302" s="119">
        <v>3</v>
      </c>
      <c r="H302" s="115">
        <f>Inputs!$A$35</f>
        <v>0</v>
      </c>
      <c r="I302" s="44">
        <f>Inputs!$B$35</f>
        <v>0</v>
      </c>
      <c r="J302" s="44" t="s">
        <v>58</v>
      </c>
      <c r="K302" s="44">
        <v>0</v>
      </c>
      <c r="L302" s="50"/>
      <c r="M302" s="44">
        <v>0</v>
      </c>
      <c r="N302" s="44">
        <v>0</v>
      </c>
      <c r="O302" s="44">
        <f>U302-0-E302-K302</f>
        <v>0</v>
      </c>
      <c r="P302" s="50"/>
      <c r="Q302" s="44">
        <f>E302+K302+N302-U302+0-M302</f>
        <v>0</v>
      </c>
      <c r="R302" s="63">
        <f>M302*Inputs!$F$35*Inputs!$G$35</f>
        <v>0</v>
      </c>
      <c r="S302" s="44">
        <f>Inputs!$F$35*Inputs!$I$35*N302</f>
        <v>0</v>
      </c>
      <c r="T302" s="18"/>
      <c r="U302" s="54"/>
      <c r="W302" s="117">
        <v>3</v>
      </c>
      <c r="X302" s="115">
        <f>Inputs!$A$35</f>
        <v>0</v>
      </c>
      <c r="Y302" s="44">
        <f>Inputs!$B$35</f>
        <v>0</v>
      </c>
      <c r="Z302" s="44" t="s">
        <v>57</v>
      </c>
      <c r="AA302" s="44">
        <f t="shared" si="267"/>
        <v>0</v>
      </c>
      <c r="AB302" s="50"/>
      <c r="AC302" s="119">
        <v>3</v>
      </c>
      <c r="AD302" s="115">
        <f>Inputs!$A$35</f>
        <v>0</v>
      </c>
      <c r="AE302" s="44">
        <f>Inputs!$B$35</f>
        <v>0</v>
      </c>
      <c r="AF302" s="44" t="s">
        <v>58</v>
      </c>
      <c r="AG302" s="44">
        <f t="shared" si="268"/>
        <v>0</v>
      </c>
      <c r="AH302" s="50"/>
      <c r="AI302" s="44">
        <v>0</v>
      </c>
      <c r="AJ302" s="44">
        <v>0</v>
      </c>
      <c r="AK302" s="44">
        <f>AP302-0-AA302-AG302</f>
        <v>0</v>
      </c>
      <c r="AL302" s="50"/>
      <c r="AM302" s="44">
        <f>AA302+AG302+AJ302-AP302+0-AI302</f>
        <v>0</v>
      </c>
      <c r="AN302" s="63">
        <f>AI302*Inputs!$F$35*Inputs!$G$35</f>
        <v>0</v>
      </c>
      <c r="AO302" s="44">
        <f>Inputs!$F$35*Inputs!$I$35*AJ302</f>
        <v>0</v>
      </c>
      <c r="AP302" s="54"/>
      <c r="AR302" s="117">
        <v>3</v>
      </c>
      <c r="AS302" s="115">
        <f>Inputs!$A$35</f>
        <v>0</v>
      </c>
      <c r="AT302" s="44">
        <f>Inputs!$B$35</f>
        <v>0</v>
      </c>
      <c r="AU302" s="44" t="s">
        <v>57</v>
      </c>
      <c r="AV302" s="44">
        <f t="shared" si="272"/>
        <v>0</v>
      </c>
      <c r="AW302" s="50"/>
      <c r="AX302" s="119">
        <v>3</v>
      </c>
      <c r="AY302" s="115">
        <f>Inputs!$A$35</f>
        <v>0</v>
      </c>
      <c r="AZ302" s="44">
        <f>Inputs!$B$35</f>
        <v>0</v>
      </c>
      <c r="BA302" s="44" t="s">
        <v>58</v>
      </c>
      <c r="BB302" s="44">
        <f t="shared" si="269"/>
        <v>0</v>
      </c>
      <c r="BC302" s="50"/>
      <c r="BD302" s="44">
        <v>0</v>
      </c>
      <c r="BE302" s="44">
        <v>0</v>
      </c>
      <c r="BF302" s="44">
        <f>BK302-0-AV302-BB302</f>
        <v>0</v>
      </c>
      <c r="BG302" s="50"/>
      <c r="BH302" s="44">
        <f>AV302+BB302+BE302-BK302+0-BD302</f>
        <v>0</v>
      </c>
      <c r="BI302" s="63">
        <f>BD302*Inputs!$F$35*Inputs!$G$35</f>
        <v>0</v>
      </c>
      <c r="BJ302" s="44">
        <f>Inputs!$F$35*Inputs!$I$35*BE302</f>
        <v>0</v>
      </c>
      <c r="BK302" s="54"/>
      <c r="BM302" s="117">
        <v>3</v>
      </c>
      <c r="BN302" s="115">
        <f>Inputs!$A$35</f>
        <v>0</v>
      </c>
      <c r="BO302" s="44">
        <f>Inputs!$B$35</f>
        <v>0</v>
      </c>
      <c r="BP302" s="44" t="s">
        <v>57</v>
      </c>
      <c r="BQ302" s="44">
        <f t="shared" si="270"/>
        <v>0</v>
      </c>
      <c r="BR302" s="50"/>
      <c r="BS302" s="119">
        <v>3</v>
      </c>
      <c r="BT302" s="115">
        <f>Inputs!$A$35</f>
        <v>0</v>
      </c>
      <c r="BU302" s="44">
        <f>Inputs!$B$35</f>
        <v>0</v>
      </c>
      <c r="BV302" s="44" t="s">
        <v>58</v>
      </c>
      <c r="BW302" s="44">
        <f t="shared" si="271"/>
        <v>0</v>
      </c>
      <c r="BX302" s="50"/>
      <c r="BY302" s="44">
        <v>0</v>
      </c>
      <c r="BZ302" s="44">
        <v>0</v>
      </c>
      <c r="CA302" s="44">
        <f>CF302-0-BQ302-BW302</f>
        <v>0</v>
      </c>
      <c r="CB302" s="50"/>
      <c r="CC302" s="44">
        <f>BQ302+BW302+BZ302-CF302+0-BY302</f>
        <v>0</v>
      </c>
      <c r="CD302" s="63">
        <f>BY302*Inputs!$F$35*Inputs!$G$35</f>
        <v>0</v>
      </c>
      <c r="CE302" s="44">
        <f>Inputs!$F$35*Inputs!$I$35*BZ302</f>
        <v>0</v>
      </c>
      <c r="CF302" s="54"/>
    </row>
    <row r="303" spans="1:84" x14ac:dyDescent="0.25">
      <c r="A303" s="117">
        <v>4</v>
      </c>
      <c r="B303" s="115">
        <f>Inputs!$A$35</f>
        <v>0</v>
      </c>
      <c r="C303" s="44">
        <f>Inputs!$B$35</f>
        <v>0</v>
      </c>
      <c r="D303" s="44" t="s">
        <v>57</v>
      </c>
      <c r="E303" s="44">
        <v>0</v>
      </c>
      <c r="F303" s="50"/>
      <c r="G303" s="119">
        <v>4</v>
      </c>
      <c r="H303" s="115">
        <f>Inputs!$A$35</f>
        <v>0</v>
      </c>
      <c r="I303" s="44">
        <f>Inputs!$B$35</f>
        <v>0</v>
      </c>
      <c r="J303" s="44" t="s">
        <v>58</v>
      </c>
      <c r="K303" s="44">
        <v>0</v>
      </c>
      <c r="L303" s="50"/>
      <c r="M303" s="44">
        <v>0</v>
      </c>
      <c r="N303" s="44">
        <v>0</v>
      </c>
      <c r="O303" s="44">
        <f t="shared" ref="O303:O310" si="305">U303-M302-E303-K303</f>
        <v>0</v>
      </c>
      <c r="P303" s="50"/>
      <c r="Q303" s="44">
        <f t="shared" ref="Q303:Q310" si="306">E303+K303+N303-U303+M302-M303</f>
        <v>0</v>
      </c>
      <c r="R303" s="63">
        <f>M303*Inputs!$F$35*Inputs!$G$35</f>
        <v>0</v>
      </c>
      <c r="S303" s="44">
        <f>Inputs!$F$35*Inputs!$I$35*N303</f>
        <v>0</v>
      </c>
      <c r="T303" s="18"/>
      <c r="U303" s="55"/>
      <c r="W303" s="117">
        <v>4</v>
      </c>
      <c r="X303" s="115">
        <f>Inputs!$A$35</f>
        <v>0</v>
      </c>
      <c r="Y303" s="44">
        <f>Inputs!$B$35</f>
        <v>0</v>
      </c>
      <c r="Z303" s="44" t="s">
        <v>57</v>
      </c>
      <c r="AA303" s="44">
        <f t="shared" si="267"/>
        <v>0</v>
      </c>
      <c r="AB303" s="50"/>
      <c r="AC303" s="119">
        <v>4</v>
      </c>
      <c r="AD303" s="115">
        <f>Inputs!$A$35</f>
        <v>0</v>
      </c>
      <c r="AE303" s="44">
        <f>Inputs!$B$35</f>
        <v>0</v>
      </c>
      <c r="AF303" s="44" t="s">
        <v>58</v>
      </c>
      <c r="AG303" s="44">
        <f t="shared" si="268"/>
        <v>0</v>
      </c>
      <c r="AH303" s="50"/>
      <c r="AI303" s="44">
        <v>0</v>
      </c>
      <c r="AJ303" s="44">
        <v>0</v>
      </c>
      <c r="AK303" s="44">
        <f t="shared" ref="AK303:AK310" si="307">AP303-AI302-AA303-AG303</f>
        <v>0</v>
      </c>
      <c r="AL303" s="50"/>
      <c r="AM303" s="44">
        <f t="shared" ref="AM303:AM310" si="308">AA303+AG303+AJ303-AP303+AI302-AI303</f>
        <v>0</v>
      </c>
      <c r="AN303" s="63">
        <f>AI303*Inputs!$F$35*Inputs!$G$35</f>
        <v>0</v>
      </c>
      <c r="AO303" s="44">
        <f>Inputs!$F$35*Inputs!$I$35*AJ303</f>
        <v>0</v>
      </c>
      <c r="AP303" s="55"/>
      <c r="AR303" s="117">
        <v>4</v>
      </c>
      <c r="AS303" s="115">
        <f>Inputs!$A$35</f>
        <v>0</v>
      </c>
      <c r="AT303" s="44">
        <f>Inputs!$B$35</f>
        <v>0</v>
      </c>
      <c r="AU303" s="44" t="s">
        <v>57</v>
      </c>
      <c r="AV303" s="44">
        <f t="shared" si="272"/>
        <v>0</v>
      </c>
      <c r="AW303" s="50"/>
      <c r="AX303" s="119">
        <v>4</v>
      </c>
      <c r="AY303" s="115">
        <f>Inputs!$A$35</f>
        <v>0</v>
      </c>
      <c r="AZ303" s="44">
        <f>Inputs!$B$35</f>
        <v>0</v>
      </c>
      <c r="BA303" s="44" t="s">
        <v>58</v>
      </c>
      <c r="BB303" s="44">
        <f t="shared" si="269"/>
        <v>0</v>
      </c>
      <c r="BC303" s="50"/>
      <c r="BD303" s="44">
        <v>0</v>
      </c>
      <c r="BE303" s="44">
        <v>0</v>
      </c>
      <c r="BF303" s="44">
        <f t="shared" ref="BF303:BF310" si="309">BK303-BD302-AV303-BB303</f>
        <v>0</v>
      </c>
      <c r="BG303" s="50"/>
      <c r="BH303" s="44">
        <f t="shared" ref="BH303:BH310" si="310">AV303+BB303+BE303-BK303+BD302-BD303</f>
        <v>0</v>
      </c>
      <c r="BI303" s="63">
        <f>BD303*Inputs!$F$35*Inputs!$G$35</f>
        <v>0</v>
      </c>
      <c r="BJ303" s="44">
        <f>Inputs!$F$35*Inputs!$I$35*BE303</f>
        <v>0</v>
      </c>
      <c r="BK303" s="55"/>
      <c r="BM303" s="117">
        <v>4</v>
      </c>
      <c r="BN303" s="115">
        <f>Inputs!$A$35</f>
        <v>0</v>
      </c>
      <c r="BO303" s="44">
        <f>Inputs!$B$35</f>
        <v>0</v>
      </c>
      <c r="BP303" s="44" t="s">
        <v>57</v>
      </c>
      <c r="BQ303" s="44">
        <f t="shared" si="270"/>
        <v>0</v>
      </c>
      <c r="BR303" s="50"/>
      <c r="BS303" s="119">
        <v>4</v>
      </c>
      <c r="BT303" s="115">
        <f>Inputs!$A$35</f>
        <v>0</v>
      </c>
      <c r="BU303" s="44">
        <f>Inputs!$B$35</f>
        <v>0</v>
      </c>
      <c r="BV303" s="44" t="s">
        <v>58</v>
      </c>
      <c r="BW303" s="44">
        <f t="shared" si="271"/>
        <v>0</v>
      </c>
      <c r="BX303" s="50"/>
      <c r="BY303" s="44">
        <v>0</v>
      </c>
      <c r="BZ303" s="44">
        <v>0</v>
      </c>
      <c r="CA303" s="44">
        <f t="shared" ref="CA303:CA310" si="311">CF303-BY302-BQ303-BW303</f>
        <v>0</v>
      </c>
      <c r="CB303" s="50"/>
      <c r="CC303" s="44">
        <f t="shared" ref="CC303:CC310" si="312">BQ303+BW303+BZ303-CF303+BY302-BY303</f>
        <v>0</v>
      </c>
      <c r="CD303" s="63">
        <f>BY303*Inputs!$F$35*Inputs!$G$35</f>
        <v>0</v>
      </c>
      <c r="CE303" s="44">
        <f>Inputs!$F$35*Inputs!$I$35*BZ303</f>
        <v>0</v>
      </c>
      <c r="CF303" s="55"/>
    </row>
    <row r="304" spans="1:84" x14ac:dyDescent="0.25">
      <c r="A304" s="117">
        <v>5</v>
      </c>
      <c r="B304" s="115">
        <f>Inputs!$A$35</f>
        <v>0</v>
      </c>
      <c r="C304" s="44">
        <f>Inputs!$B$35</f>
        <v>0</v>
      </c>
      <c r="D304" s="44" t="s">
        <v>57</v>
      </c>
      <c r="E304" s="44">
        <v>0</v>
      </c>
      <c r="F304" s="50"/>
      <c r="G304" s="119">
        <v>5</v>
      </c>
      <c r="H304" s="115">
        <f>Inputs!$A$35</f>
        <v>0</v>
      </c>
      <c r="I304" s="44">
        <f>Inputs!$B$35</f>
        <v>0</v>
      </c>
      <c r="J304" s="44" t="s">
        <v>58</v>
      </c>
      <c r="K304" s="44">
        <v>0</v>
      </c>
      <c r="L304" s="50"/>
      <c r="M304" s="44">
        <v>0</v>
      </c>
      <c r="N304" s="44">
        <v>0</v>
      </c>
      <c r="O304" s="44">
        <f t="shared" si="305"/>
        <v>0</v>
      </c>
      <c r="P304" s="50"/>
      <c r="Q304" s="44">
        <f t="shared" si="306"/>
        <v>0</v>
      </c>
      <c r="R304" s="63">
        <f>M304*Inputs!$F$35*Inputs!$G$35</f>
        <v>0</v>
      </c>
      <c r="S304" s="44">
        <f>Inputs!$F$35*Inputs!$I$35*N304</f>
        <v>0</v>
      </c>
      <c r="T304" s="18"/>
      <c r="U304" s="55"/>
      <c r="W304" s="117">
        <v>5</v>
      </c>
      <c r="X304" s="115">
        <f>Inputs!$A$35</f>
        <v>0</v>
      </c>
      <c r="Y304" s="44">
        <f>Inputs!$B$35</f>
        <v>0</v>
      </c>
      <c r="Z304" s="44" t="s">
        <v>57</v>
      </c>
      <c r="AA304" s="44">
        <f t="shared" si="267"/>
        <v>0</v>
      </c>
      <c r="AB304" s="50"/>
      <c r="AC304" s="119">
        <v>5</v>
      </c>
      <c r="AD304" s="115">
        <f>Inputs!$A$35</f>
        <v>0</v>
      </c>
      <c r="AE304" s="44">
        <f>Inputs!$B$35</f>
        <v>0</v>
      </c>
      <c r="AF304" s="44" t="s">
        <v>58</v>
      </c>
      <c r="AG304" s="44">
        <f t="shared" si="268"/>
        <v>0</v>
      </c>
      <c r="AH304" s="50"/>
      <c r="AI304" s="44">
        <v>0</v>
      </c>
      <c r="AJ304" s="44">
        <v>0</v>
      </c>
      <c r="AK304" s="44">
        <f t="shared" si="307"/>
        <v>0</v>
      </c>
      <c r="AL304" s="50"/>
      <c r="AM304" s="44">
        <f t="shared" si="308"/>
        <v>0</v>
      </c>
      <c r="AN304" s="63">
        <f>AI304*Inputs!$F$35*Inputs!$G$35</f>
        <v>0</v>
      </c>
      <c r="AO304" s="44">
        <f>Inputs!$F$35*Inputs!$I$35*AJ304</f>
        <v>0</v>
      </c>
      <c r="AP304" s="55"/>
      <c r="AR304" s="117">
        <v>5</v>
      </c>
      <c r="AS304" s="115">
        <f>Inputs!$A$35</f>
        <v>0</v>
      </c>
      <c r="AT304" s="44">
        <f>Inputs!$B$35</f>
        <v>0</v>
      </c>
      <c r="AU304" s="44" t="s">
        <v>57</v>
      </c>
      <c r="AV304" s="44">
        <f t="shared" si="272"/>
        <v>0</v>
      </c>
      <c r="AW304" s="50"/>
      <c r="AX304" s="119">
        <v>5</v>
      </c>
      <c r="AY304" s="115">
        <f>Inputs!$A$35</f>
        <v>0</v>
      </c>
      <c r="AZ304" s="44">
        <f>Inputs!$B$35</f>
        <v>0</v>
      </c>
      <c r="BA304" s="44" t="s">
        <v>58</v>
      </c>
      <c r="BB304" s="44">
        <f t="shared" si="269"/>
        <v>0</v>
      </c>
      <c r="BC304" s="50"/>
      <c r="BD304" s="44">
        <v>0</v>
      </c>
      <c r="BE304" s="44">
        <v>0</v>
      </c>
      <c r="BF304" s="44">
        <f t="shared" si="309"/>
        <v>0</v>
      </c>
      <c r="BG304" s="50"/>
      <c r="BH304" s="44">
        <f t="shared" si="310"/>
        <v>0</v>
      </c>
      <c r="BI304" s="63">
        <f>BD304*Inputs!$F$35*Inputs!$G$35</f>
        <v>0</v>
      </c>
      <c r="BJ304" s="44">
        <f>Inputs!$F$35*Inputs!$I$35*BE304</f>
        <v>0</v>
      </c>
      <c r="BK304" s="55"/>
      <c r="BM304" s="117">
        <v>5</v>
      </c>
      <c r="BN304" s="115">
        <f>Inputs!$A$35</f>
        <v>0</v>
      </c>
      <c r="BO304" s="44">
        <f>Inputs!$B$35</f>
        <v>0</v>
      </c>
      <c r="BP304" s="44" t="s">
        <v>57</v>
      </c>
      <c r="BQ304" s="44">
        <f t="shared" si="270"/>
        <v>0</v>
      </c>
      <c r="BR304" s="50"/>
      <c r="BS304" s="119">
        <v>5</v>
      </c>
      <c r="BT304" s="115">
        <f>Inputs!$A$35</f>
        <v>0</v>
      </c>
      <c r="BU304" s="44">
        <f>Inputs!$B$35</f>
        <v>0</v>
      </c>
      <c r="BV304" s="44" t="s">
        <v>58</v>
      </c>
      <c r="BW304" s="44">
        <f t="shared" si="271"/>
        <v>0</v>
      </c>
      <c r="BX304" s="50"/>
      <c r="BY304" s="44">
        <v>0</v>
      </c>
      <c r="BZ304" s="44">
        <v>0</v>
      </c>
      <c r="CA304" s="44">
        <f t="shared" si="311"/>
        <v>0</v>
      </c>
      <c r="CB304" s="50"/>
      <c r="CC304" s="44">
        <f t="shared" si="312"/>
        <v>0</v>
      </c>
      <c r="CD304" s="63">
        <f>BY304*Inputs!$F$35*Inputs!$G$35</f>
        <v>0</v>
      </c>
      <c r="CE304" s="44">
        <f>Inputs!$F$35*Inputs!$I$35*BZ304</f>
        <v>0</v>
      </c>
      <c r="CF304" s="55"/>
    </row>
    <row r="305" spans="1:84" x14ac:dyDescent="0.25">
      <c r="A305" s="117">
        <v>6</v>
      </c>
      <c r="B305" s="115">
        <f>Inputs!$A$35</f>
        <v>0</v>
      </c>
      <c r="C305" s="44">
        <f>Inputs!$B$35</f>
        <v>0</v>
      </c>
      <c r="D305" s="44" t="s">
        <v>57</v>
      </c>
      <c r="E305" s="44">
        <v>0</v>
      </c>
      <c r="F305" s="50"/>
      <c r="G305" s="119">
        <v>6</v>
      </c>
      <c r="H305" s="115">
        <f>Inputs!$A$35</f>
        <v>0</v>
      </c>
      <c r="I305" s="44">
        <f>Inputs!$B$35</f>
        <v>0</v>
      </c>
      <c r="J305" s="44" t="s">
        <v>58</v>
      </c>
      <c r="K305" s="44">
        <v>0</v>
      </c>
      <c r="L305" s="50"/>
      <c r="M305" s="44">
        <v>0</v>
      </c>
      <c r="N305" s="44">
        <v>0</v>
      </c>
      <c r="O305" s="44">
        <f t="shared" si="305"/>
        <v>0</v>
      </c>
      <c r="P305" s="50"/>
      <c r="Q305" s="44">
        <f t="shared" si="306"/>
        <v>0</v>
      </c>
      <c r="R305" s="63">
        <f>M305*Inputs!$F$35*Inputs!$G$35</f>
        <v>0</v>
      </c>
      <c r="S305" s="44">
        <f>Inputs!$F$35*Inputs!$I$35*N305</f>
        <v>0</v>
      </c>
      <c r="T305" s="18"/>
      <c r="U305" s="55"/>
      <c r="W305" s="117">
        <v>6</v>
      </c>
      <c r="X305" s="115">
        <f>Inputs!$A$35</f>
        <v>0</v>
      </c>
      <c r="Y305" s="44">
        <f>Inputs!$B$35</f>
        <v>0</v>
      </c>
      <c r="Z305" s="44" t="s">
        <v>57</v>
      </c>
      <c r="AA305" s="44">
        <f t="shared" si="267"/>
        <v>0</v>
      </c>
      <c r="AB305" s="50"/>
      <c r="AC305" s="119">
        <v>6</v>
      </c>
      <c r="AD305" s="115">
        <f>Inputs!$A$35</f>
        <v>0</v>
      </c>
      <c r="AE305" s="44">
        <f>Inputs!$B$35</f>
        <v>0</v>
      </c>
      <c r="AF305" s="44" t="s">
        <v>58</v>
      </c>
      <c r="AG305" s="44">
        <f t="shared" si="268"/>
        <v>0</v>
      </c>
      <c r="AH305" s="50"/>
      <c r="AI305" s="44">
        <v>0</v>
      </c>
      <c r="AJ305" s="44">
        <v>0</v>
      </c>
      <c r="AK305" s="44">
        <f t="shared" si="307"/>
        <v>0</v>
      </c>
      <c r="AL305" s="50"/>
      <c r="AM305" s="44">
        <f t="shared" si="308"/>
        <v>0</v>
      </c>
      <c r="AN305" s="63">
        <f>AI305*Inputs!$F$35*Inputs!$G$35</f>
        <v>0</v>
      </c>
      <c r="AO305" s="44">
        <f>Inputs!$F$35*Inputs!$I$35*AJ305</f>
        <v>0</v>
      </c>
      <c r="AP305" s="55"/>
      <c r="AR305" s="117">
        <v>6</v>
      </c>
      <c r="AS305" s="115">
        <f>Inputs!$A$35</f>
        <v>0</v>
      </c>
      <c r="AT305" s="44">
        <f>Inputs!$B$35</f>
        <v>0</v>
      </c>
      <c r="AU305" s="44" t="s">
        <v>57</v>
      </c>
      <c r="AV305" s="44">
        <f t="shared" si="272"/>
        <v>0</v>
      </c>
      <c r="AW305" s="50"/>
      <c r="AX305" s="119">
        <v>6</v>
      </c>
      <c r="AY305" s="115">
        <f>Inputs!$A$35</f>
        <v>0</v>
      </c>
      <c r="AZ305" s="44">
        <f>Inputs!$B$35</f>
        <v>0</v>
      </c>
      <c r="BA305" s="44" t="s">
        <v>58</v>
      </c>
      <c r="BB305" s="44">
        <f t="shared" si="269"/>
        <v>0</v>
      </c>
      <c r="BC305" s="50"/>
      <c r="BD305" s="44">
        <v>0</v>
      </c>
      <c r="BE305" s="44">
        <v>0</v>
      </c>
      <c r="BF305" s="44">
        <f t="shared" si="309"/>
        <v>0</v>
      </c>
      <c r="BG305" s="50"/>
      <c r="BH305" s="44">
        <f t="shared" si="310"/>
        <v>0</v>
      </c>
      <c r="BI305" s="63">
        <f>BD305*Inputs!$F$35*Inputs!$G$35</f>
        <v>0</v>
      </c>
      <c r="BJ305" s="44">
        <f>Inputs!$F$35*Inputs!$I$35*BE305</f>
        <v>0</v>
      </c>
      <c r="BK305" s="55"/>
      <c r="BM305" s="117">
        <v>6</v>
      </c>
      <c r="BN305" s="115">
        <f>Inputs!$A$35</f>
        <v>0</v>
      </c>
      <c r="BO305" s="44">
        <f>Inputs!$B$35</f>
        <v>0</v>
      </c>
      <c r="BP305" s="44" t="s">
        <v>57</v>
      </c>
      <c r="BQ305" s="44">
        <f t="shared" si="270"/>
        <v>0</v>
      </c>
      <c r="BR305" s="50"/>
      <c r="BS305" s="119">
        <v>6</v>
      </c>
      <c r="BT305" s="115">
        <f>Inputs!$A$35</f>
        <v>0</v>
      </c>
      <c r="BU305" s="44">
        <f>Inputs!$B$35</f>
        <v>0</v>
      </c>
      <c r="BV305" s="44" t="s">
        <v>58</v>
      </c>
      <c r="BW305" s="44">
        <f t="shared" si="271"/>
        <v>0</v>
      </c>
      <c r="BX305" s="50"/>
      <c r="BY305" s="44">
        <v>0</v>
      </c>
      <c r="BZ305" s="44">
        <v>0</v>
      </c>
      <c r="CA305" s="44">
        <f t="shared" si="311"/>
        <v>0</v>
      </c>
      <c r="CB305" s="50"/>
      <c r="CC305" s="44">
        <f t="shared" si="312"/>
        <v>0</v>
      </c>
      <c r="CD305" s="63">
        <f>BY305*Inputs!$F$35*Inputs!$G$35</f>
        <v>0</v>
      </c>
      <c r="CE305" s="44">
        <f>Inputs!$F$35*Inputs!$I$35*BZ305</f>
        <v>0</v>
      </c>
      <c r="CF305" s="55"/>
    </row>
    <row r="306" spans="1:84" x14ac:dyDescent="0.25">
      <c r="A306" s="117">
        <v>7</v>
      </c>
      <c r="B306" s="115">
        <f>Inputs!$A$35</f>
        <v>0</v>
      </c>
      <c r="C306" s="44">
        <f>Inputs!$B$35</f>
        <v>0</v>
      </c>
      <c r="D306" s="44" t="s">
        <v>57</v>
      </c>
      <c r="E306" s="44">
        <v>0</v>
      </c>
      <c r="F306" s="50"/>
      <c r="G306" s="119">
        <v>7</v>
      </c>
      <c r="H306" s="115">
        <f>Inputs!$A$35</f>
        <v>0</v>
      </c>
      <c r="I306" s="44">
        <f>Inputs!$B$35</f>
        <v>0</v>
      </c>
      <c r="J306" s="44" t="s">
        <v>58</v>
      </c>
      <c r="K306" s="44">
        <v>0</v>
      </c>
      <c r="L306" s="50"/>
      <c r="M306" s="44">
        <v>0</v>
      </c>
      <c r="N306" s="44">
        <v>0</v>
      </c>
      <c r="O306" s="44">
        <f t="shared" si="305"/>
        <v>0</v>
      </c>
      <c r="P306" s="50"/>
      <c r="Q306" s="44">
        <f t="shared" si="306"/>
        <v>0</v>
      </c>
      <c r="R306" s="63">
        <f>M306*Inputs!$F$35*Inputs!$G$35</f>
        <v>0</v>
      </c>
      <c r="S306" s="44">
        <f>Inputs!$F$35*Inputs!$I$35*N306</f>
        <v>0</v>
      </c>
      <c r="T306" s="18"/>
      <c r="U306" s="55"/>
      <c r="W306" s="117">
        <v>7</v>
      </c>
      <c r="X306" s="115">
        <f>Inputs!$A$35</f>
        <v>0</v>
      </c>
      <c r="Y306" s="44">
        <f>Inputs!$B$35</f>
        <v>0</v>
      </c>
      <c r="Z306" s="44" t="s">
        <v>57</v>
      </c>
      <c r="AA306" s="44">
        <f t="shared" si="267"/>
        <v>0</v>
      </c>
      <c r="AB306" s="50"/>
      <c r="AC306" s="119">
        <v>7</v>
      </c>
      <c r="AD306" s="115">
        <f>Inputs!$A$35</f>
        <v>0</v>
      </c>
      <c r="AE306" s="44">
        <f>Inputs!$B$35</f>
        <v>0</v>
      </c>
      <c r="AF306" s="44" t="s">
        <v>58</v>
      </c>
      <c r="AG306" s="44">
        <f t="shared" si="268"/>
        <v>0</v>
      </c>
      <c r="AH306" s="50"/>
      <c r="AI306" s="44">
        <v>0</v>
      </c>
      <c r="AJ306" s="44">
        <v>0</v>
      </c>
      <c r="AK306" s="44">
        <f t="shared" si="307"/>
        <v>0</v>
      </c>
      <c r="AL306" s="50"/>
      <c r="AM306" s="44">
        <f t="shared" si="308"/>
        <v>0</v>
      </c>
      <c r="AN306" s="63">
        <f>AI306*Inputs!$F$35*Inputs!$G$35</f>
        <v>0</v>
      </c>
      <c r="AO306" s="44">
        <f>Inputs!$F$35*Inputs!$I$35*AJ306</f>
        <v>0</v>
      </c>
      <c r="AP306" s="55"/>
      <c r="AR306" s="117">
        <v>7</v>
      </c>
      <c r="AS306" s="115">
        <f>Inputs!$A$35</f>
        <v>0</v>
      </c>
      <c r="AT306" s="44">
        <f>Inputs!$B$35</f>
        <v>0</v>
      </c>
      <c r="AU306" s="44" t="s">
        <v>57</v>
      </c>
      <c r="AV306" s="44">
        <f t="shared" si="272"/>
        <v>0</v>
      </c>
      <c r="AW306" s="50"/>
      <c r="AX306" s="119">
        <v>7</v>
      </c>
      <c r="AY306" s="115">
        <f>Inputs!$A$35</f>
        <v>0</v>
      </c>
      <c r="AZ306" s="44">
        <f>Inputs!$B$35</f>
        <v>0</v>
      </c>
      <c r="BA306" s="44" t="s">
        <v>58</v>
      </c>
      <c r="BB306" s="44">
        <f t="shared" si="269"/>
        <v>0</v>
      </c>
      <c r="BC306" s="50"/>
      <c r="BD306" s="44">
        <v>0</v>
      </c>
      <c r="BE306" s="44">
        <v>0</v>
      </c>
      <c r="BF306" s="44">
        <f t="shared" si="309"/>
        <v>0</v>
      </c>
      <c r="BG306" s="50"/>
      <c r="BH306" s="44">
        <f t="shared" si="310"/>
        <v>0</v>
      </c>
      <c r="BI306" s="63">
        <f>BD306*Inputs!$F$35*Inputs!$G$35</f>
        <v>0</v>
      </c>
      <c r="BJ306" s="44">
        <f>Inputs!$F$35*Inputs!$I$35*BE306</f>
        <v>0</v>
      </c>
      <c r="BK306" s="55"/>
      <c r="BM306" s="117">
        <v>7</v>
      </c>
      <c r="BN306" s="115">
        <f>Inputs!$A$35</f>
        <v>0</v>
      </c>
      <c r="BO306" s="44">
        <f>Inputs!$B$35</f>
        <v>0</v>
      </c>
      <c r="BP306" s="44" t="s">
        <v>57</v>
      </c>
      <c r="BQ306" s="44">
        <f t="shared" si="270"/>
        <v>0</v>
      </c>
      <c r="BR306" s="50"/>
      <c r="BS306" s="119">
        <v>7</v>
      </c>
      <c r="BT306" s="115">
        <f>Inputs!$A$35</f>
        <v>0</v>
      </c>
      <c r="BU306" s="44">
        <f>Inputs!$B$35</f>
        <v>0</v>
      </c>
      <c r="BV306" s="44" t="s">
        <v>58</v>
      </c>
      <c r="BW306" s="44">
        <f t="shared" si="271"/>
        <v>0</v>
      </c>
      <c r="BX306" s="50"/>
      <c r="BY306" s="44">
        <v>0</v>
      </c>
      <c r="BZ306" s="44">
        <v>0</v>
      </c>
      <c r="CA306" s="44">
        <f t="shared" si="311"/>
        <v>0</v>
      </c>
      <c r="CB306" s="50"/>
      <c r="CC306" s="44">
        <f t="shared" si="312"/>
        <v>0</v>
      </c>
      <c r="CD306" s="63">
        <f>BY306*Inputs!$F$35*Inputs!$G$35</f>
        <v>0</v>
      </c>
      <c r="CE306" s="44">
        <f>Inputs!$F$35*Inputs!$I$35*BZ306</f>
        <v>0</v>
      </c>
      <c r="CF306" s="55"/>
    </row>
    <row r="307" spans="1:84" x14ac:dyDescent="0.25">
      <c r="A307" s="117">
        <v>8</v>
      </c>
      <c r="B307" s="115">
        <f>Inputs!$A$35</f>
        <v>0</v>
      </c>
      <c r="C307" s="44">
        <f>Inputs!$B$35</f>
        <v>0</v>
      </c>
      <c r="D307" s="44" t="s">
        <v>57</v>
      </c>
      <c r="E307" s="44">
        <v>0</v>
      </c>
      <c r="F307" s="50"/>
      <c r="G307" s="119">
        <v>8</v>
      </c>
      <c r="H307" s="115">
        <f>Inputs!$A$35</f>
        <v>0</v>
      </c>
      <c r="I307" s="44">
        <f>Inputs!$B$35</f>
        <v>0</v>
      </c>
      <c r="J307" s="44" t="s">
        <v>58</v>
      </c>
      <c r="K307" s="44">
        <v>0</v>
      </c>
      <c r="L307" s="50"/>
      <c r="M307" s="44">
        <v>0</v>
      </c>
      <c r="N307" s="44">
        <v>0</v>
      </c>
      <c r="O307" s="44">
        <f t="shared" si="305"/>
        <v>0</v>
      </c>
      <c r="P307" s="50"/>
      <c r="Q307" s="44">
        <f t="shared" si="306"/>
        <v>0</v>
      </c>
      <c r="R307" s="63">
        <f>M307*Inputs!$F$35*Inputs!$G$35</f>
        <v>0</v>
      </c>
      <c r="S307" s="44">
        <f>Inputs!$F$35*Inputs!$I$35*N307</f>
        <v>0</v>
      </c>
      <c r="T307" s="18"/>
      <c r="U307" s="55"/>
      <c r="W307" s="117">
        <v>8</v>
      </c>
      <c r="X307" s="115">
        <f>Inputs!$A$35</f>
        <v>0</v>
      </c>
      <c r="Y307" s="44">
        <f>Inputs!$B$35</f>
        <v>0</v>
      </c>
      <c r="Z307" s="44" t="s">
        <v>57</v>
      </c>
      <c r="AA307" s="44">
        <f t="shared" si="267"/>
        <v>0</v>
      </c>
      <c r="AB307" s="50"/>
      <c r="AC307" s="119">
        <v>8</v>
      </c>
      <c r="AD307" s="115">
        <f>Inputs!$A$35</f>
        <v>0</v>
      </c>
      <c r="AE307" s="44">
        <f>Inputs!$B$35</f>
        <v>0</v>
      </c>
      <c r="AF307" s="44" t="s">
        <v>58</v>
      </c>
      <c r="AG307" s="44">
        <f t="shared" si="268"/>
        <v>0</v>
      </c>
      <c r="AH307" s="50"/>
      <c r="AI307" s="44">
        <v>0</v>
      </c>
      <c r="AJ307" s="44">
        <v>0</v>
      </c>
      <c r="AK307" s="44">
        <f t="shared" si="307"/>
        <v>0</v>
      </c>
      <c r="AL307" s="50"/>
      <c r="AM307" s="44">
        <f t="shared" si="308"/>
        <v>0</v>
      </c>
      <c r="AN307" s="63">
        <f>AI307*Inputs!$F$35*Inputs!$G$35</f>
        <v>0</v>
      </c>
      <c r="AO307" s="44">
        <f>Inputs!$F$35*Inputs!$I$35*AJ307</f>
        <v>0</v>
      </c>
      <c r="AP307" s="55"/>
      <c r="AR307" s="117">
        <v>8</v>
      </c>
      <c r="AS307" s="115">
        <f>Inputs!$A$35</f>
        <v>0</v>
      </c>
      <c r="AT307" s="44">
        <f>Inputs!$B$35</f>
        <v>0</v>
      </c>
      <c r="AU307" s="44" t="s">
        <v>57</v>
      </c>
      <c r="AV307" s="44">
        <f t="shared" si="272"/>
        <v>0</v>
      </c>
      <c r="AW307" s="50"/>
      <c r="AX307" s="119">
        <v>8</v>
      </c>
      <c r="AY307" s="115">
        <f>Inputs!$A$35</f>
        <v>0</v>
      </c>
      <c r="AZ307" s="44">
        <f>Inputs!$B$35</f>
        <v>0</v>
      </c>
      <c r="BA307" s="44" t="s">
        <v>58</v>
      </c>
      <c r="BB307" s="44">
        <f t="shared" si="269"/>
        <v>0</v>
      </c>
      <c r="BC307" s="50"/>
      <c r="BD307" s="44">
        <v>0</v>
      </c>
      <c r="BE307" s="44">
        <v>0</v>
      </c>
      <c r="BF307" s="44">
        <f t="shared" si="309"/>
        <v>0</v>
      </c>
      <c r="BG307" s="50"/>
      <c r="BH307" s="44">
        <f t="shared" si="310"/>
        <v>0</v>
      </c>
      <c r="BI307" s="63">
        <f>BD307*Inputs!$F$35*Inputs!$G$35</f>
        <v>0</v>
      </c>
      <c r="BJ307" s="44">
        <f>Inputs!$F$35*Inputs!$I$35*BE307</f>
        <v>0</v>
      </c>
      <c r="BK307" s="55"/>
      <c r="BM307" s="117">
        <v>8</v>
      </c>
      <c r="BN307" s="115">
        <f>Inputs!$A$35</f>
        <v>0</v>
      </c>
      <c r="BO307" s="44">
        <f>Inputs!$B$35</f>
        <v>0</v>
      </c>
      <c r="BP307" s="44" t="s">
        <v>57</v>
      </c>
      <c r="BQ307" s="44">
        <f t="shared" si="270"/>
        <v>0</v>
      </c>
      <c r="BR307" s="50"/>
      <c r="BS307" s="119">
        <v>8</v>
      </c>
      <c r="BT307" s="115">
        <f>Inputs!$A$35</f>
        <v>0</v>
      </c>
      <c r="BU307" s="44">
        <f>Inputs!$B$35</f>
        <v>0</v>
      </c>
      <c r="BV307" s="44" t="s">
        <v>58</v>
      </c>
      <c r="BW307" s="44">
        <f t="shared" si="271"/>
        <v>0</v>
      </c>
      <c r="BX307" s="50"/>
      <c r="BY307" s="44">
        <v>0</v>
      </c>
      <c r="BZ307" s="44">
        <v>0</v>
      </c>
      <c r="CA307" s="44">
        <f t="shared" si="311"/>
        <v>0</v>
      </c>
      <c r="CB307" s="50"/>
      <c r="CC307" s="44">
        <f t="shared" si="312"/>
        <v>0</v>
      </c>
      <c r="CD307" s="63">
        <f>BY307*Inputs!$F$35*Inputs!$G$35</f>
        <v>0</v>
      </c>
      <c r="CE307" s="44">
        <f>Inputs!$F$35*Inputs!$I$35*BZ307</f>
        <v>0</v>
      </c>
      <c r="CF307" s="55"/>
    </row>
    <row r="308" spans="1:84" x14ac:dyDescent="0.25">
      <c r="A308" s="117">
        <v>9</v>
      </c>
      <c r="B308" s="115">
        <f>Inputs!$A$35</f>
        <v>0</v>
      </c>
      <c r="C308" s="44">
        <f>Inputs!$B$35</f>
        <v>0</v>
      </c>
      <c r="D308" s="44" t="s">
        <v>57</v>
      </c>
      <c r="E308" s="44">
        <v>0</v>
      </c>
      <c r="F308" s="50"/>
      <c r="G308" s="119">
        <v>9</v>
      </c>
      <c r="H308" s="115">
        <f>Inputs!$A$35</f>
        <v>0</v>
      </c>
      <c r="I308" s="44">
        <f>Inputs!$B$35</f>
        <v>0</v>
      </c>
      <c r="J308" s="44" t="s">
        <v>58</v>
      </c>
      <c r="K308" s="44">
        <v>0</v>
      </c>
      <c r="L308" s="50"/>
      <c r="M308" s="44">
        <v>0</v>
      </c>
      <c r="N308" s="44">
        <v>0</v>
      </c>
      <c r="O308" s="44">
        <f t="shared" si="305"/>
        <v>0</v>
      </c>
      <c r="P308" s="50"/>
      <c r="Q308" s="44">
        <f t="shared" si="306"/>
        <v>0</v>
      </c>
      <c r="R308" s="63">
        <f>M308*Inputs!$F$35*Inputs!$G$35</f>
        <v>0</v>
      </c>
      <c r="S308" s="44">
        <f>Inputs!$F$35*Inputs!$I$35*N308</f>
        <v>0</v>
      </c>
      <c r="T308" s="18"/>
      <c r="U308" s="55"/>
      <c r="W308" s="117">
        <v>9</v>
      </c>
      <c r="X308" s="115">
        <f>Inputs!$A$35</f>
        <v>0</v>
      </c>
      <c r="Y308" s="44">
        <f>Inputs!$B$35</f>
        <v>0</v>
      </c>
      <c r="Z308" s="44" t="s">
        <v>57</v>
      </c>
      <c r="AA308" s="44">
        <f t="shared" si="267"/>
        <v>0</v>
      </c>
      <c r="AB308" s="50"/>
      <c r="AC308" s="119">
        <v>9</v>
      </c>
      <c r="AD308" s="115">
        <f>Inputs!$A$35</f>
        <v>0</v>
      </c>
      <c r="AE308" s="44">
        <f>Inputs!$B$35</f>
        <v>0</v>
      </c>
      <c r="AF308" s="44" t="s">
        <v>58</v>
      </c>
      <c r="AG308" s="44">
        <f t="shared" si="268"/>
        <v>0</v>
      </c>
      <c r="AH308" s="50"/>
      <c r="AI308" s="44">
        <v>0</v>
      </c>
      <c r="AJ308" s="44">
        <v>0</v>
      </c>
      <c r="AK308" s="44">
        <f t="shared" si="307"/>
        <v>0</v>
      </c>
      <c r="AL308" s="50"/>
      <c r="AM308" s="44">
        <f t="shared" si="308"/>
        <v>0</v>
      </c>
      <c r="AN308" s="63">
        <f>AI308*Inputs!$F$35*Inputs!$G$35</f>
        <v>0</v>
      </c>
      <c r="AO308" s="44">
        <f>Inputs!$F$35*Inputs!$I$35*AJ308</f>
        <v>0</v>
      </c>
      <c r="AP308" s="55"/>
      <c r="AR308" s="117">
        <v>9</v>
      </c>
      <c r="AS308" s="115">
        <f>Inputs!$A$35</f>
        <v>0</v>
      </c>
      <c r="AT308" s="44">
        <f>Inputs!$B$35</f>
        <v>0</v>
      </c>
      <c r="AU308" s="44" t="s">
        <v>57</v>
      </c>
      <c r="AV308" s="44">
        <f t="shared" si="272"/>
        <v>0</v>
      </c>
      <c r="AW308" s="50"/>
      <c r="AX308" s="119">
        <v>9</v>
      </c>
      <c r="AY308" s="115">
        <f>Inputs!$A$35</f>
        <v>0</v>
      </c>
      <c r="AZ308" s="44">
        <f>Inputs!$B$35</f>
        <v>0</v>
      </c>
      <c r="BA308" s="44" t="s">
        <v>58</v>
      </c>
      <c r="BB308" s="44">
        <f t="shared" si="269"/>
        <v>0</v>
      </c>
      <c r="BC308" s="50"/>
      <c r="BD308" s="44">
        <v>0</v>
      </c>
      <c r="BE308" s="44">
        <v>0</v>
      </c>
      <c r="BF308" s="44">
        <f t="shared" si="309"/>
        <v>0</v>
      </c>
      <c r="BG308" s="50"/>
      <c r="BH308" s="44">
        <f t="shared" si="310"/>
        <v>0</v>
      </c>
      <c r="BI308" s="63">
        <f>BD308*Inputs!$F$35*Inputs!$G$35</f>
        <v>0</v>
      </c>
      <c r="BJ308" s="44">
        <f>Inputs!$F$35*Inputs!$I$35*BE308</f>
        <v>0</v>
      </c>
      <c r="BK308" s="55"/>
      <c r="BM308" s="117">
        <v>9</v>
      </c>
      <c r="BN308" s="115">
        <f>Inputs!$A$35</f>
        <v>0</v>
      </c>
      <c r="BO308" s="44">
        <f>Inputs!$B$35</f>
        <v>0</v>
      </c>
      <c r="BP308" s="44" t="s">
        <v>57</v>
      </c>
      <c r="BQ308" s="44">
        <f t="shared" si="270"/>
        <v>0</v>
      </c>
      <c r="BR308" s="50"/>
      <c r="BS308" s="119">
        <v>9</v>
      </c>
      <c r="BT308" s="115">
        <f>Inputs!$A$35</f>
        <v>0</v>
      </c>
      <c r="BU308" s="44">
        <f>Inputs!$B$35</f>
        <v>0</v>
      </c>
      <c r="BV308" s="44" t="s">
        <v>58</v>
      </c>
      <c r="BW308" s="44">
        <f t="shared" si="271"/>
        <v>0</v>
      </c>
      <c r="BX308" s="50"/>
      <c r="BY308" s="44">
        <v>0</v>
      </c>
      <c r="BZ308" s="44">
        <v>0</v>
      </c>
      <c r="CA308" s="44">
        <f t="shared" si="311"/>
        <v>0</v>
      </c>
      <c r="CB308" s="50"/>
      <c r="CC308" s="44">
        <f t="shared" si="312"/>
        <v>0</v>
      </c>
      <c r="CD308" s="63">
        <f>BY308*Inputs!$F$35*Inputs!$G$35</f>
        <v>0</v>
      </c>
      <c r="CE308" s="44">
        <f>Inputs!$F$35*Inputs!$I$35*BZ308</f>
        <v>0</v>
      </c>
      <c r="CF308" s="55"/>
    </row>
    <row r="309" spans="1:84" x14ac:dyDescent="0.25">
      <c r="A309" s="117">
        <v>10</v>
      </c>
      <c r="B309" s="115">
        <f>Inputs!$A$35</f>
        <v>0</v>
      </c>
      <c r="C309" s="44">
        <f>Inputs!$B$35</f>
        <v>0</v>
      </c>
      <c r="D309" s="44" t="s">
        <v>57</v>
      </c>
      <c r="E309" s="44">
        <v>0</v>
      </c>
      <c r="F309" s="50"/>
      <c r="G309" s="119">
        <v>10</v>
      </c>
      <c r="H309" s="115">
        <f>Inputs!$A$35</f>
        <v>0</v>
      </c>
      <c r="I309" s="44">
        <f>Inputs!$B$35</f>
        <v>0</v>
      </c>
      <c r="J309" s="44" t="s">
        <v>58</v>
      </c>
      <c r="K309" s="44">
        <v>0</v>
      </c>
      <c r="L309" s="50"/>
      <c r="M309" s="44">
        <v>0</v>
      </c>
      <c r="N309" s="44">
        <v>0</v>
      </c>
      <c r="O309" s="44">
        <f t="shared" si="305"/>
        <v>0</v>
      </c>
      <c r="P309" s="50"/>
      <c r="Q309" s="44">
        <f t="shared" si="306"/>
        <v>0</v>
      </c>
      <c r="R309" s="63">
        <f>M309*Inputs!$F$35*Inputs!$G$35</f>
        <v>0</v>
      </c>
      <c r="S309" s="44">
        <f>Inputs!$F$35*Inputs!$I$35*N309</f>
        <v>0</v>
      </c>
      <c r="T309" s="18"/>
      <c r="U309" s="91"/>
      <c r="W309" s="117">
        <v>10</v>
      </c>
      <c r="X309" s="115">
        <f>Inputs!$A$35</f>
        <v>0</v>
      </c>
      <c r="Y309" s="44">
        <f>Inputs!$B$35</f>
        <v>0</v>
      </c>
      <c r="Z309" s="44" t="s">
        <v>57</v>
      </c>
      <c r="AA309" s="44">
        <f t="shared" si="267"/>
        <v>0</v>
      </c>
      <c r="AB309" s="50"/>
      <c r="AC309" s="119">
        <v>10</v>
      </c>
      <c r="AD309" s="115">
        <f>Inputs!$A$35</f>
        <v>0</v>
      </c>
      <c r="AE309" s="44">
        <f>Inputs!$B$35</f>
        <v>0</v>
      </c>
      <c r="AF309" s="44" t="s">
        <v>58</v>
      </c>
      <c r="AG309" s="44">
        <f t="shared" si="268"/>
        <v>0</v>
      </c>
      <c r="AH309" s="50"/>
      <c r="AI309" s="44">
        <v>0</v>
      </c>
      <c r="AJ309" s="44">
        <v>0</v>
      </c>
      <c r="AK309" s="44">
        <f t="shared" si="307"/>
        <v>0</v>
      </c>
      <c r="AL309" s="50"/>
      <c r="AM309" s="44">
        <f t="shared" si="308"/>
        <v>0</v>
      </c>
      <c r="AN309" s="63">
        <f>AI309*Inputs!$F$35*Inputs!$G$35</f>
        <v>0</v>
      </c>
      <c r="AO309" s="44">
        <f>Inputs!$F$35*Inputs!$I$35*AJ309</f>
        <v>0</v>
      </c>
      <c r="AP309" s="91"/>
      <c r="AR309" s="117">
        <v>10</v>
      </c>
      <c r="AS309" s="115">
        <f>Inputs!$A$35</f>
        <v>0</v>
      </c>
      <c r="AT309" s="44">
        <f>Inputs!$B$35</f>
        <v>0</v>
      </c>
      <c r="AU309" s="44" t="s">
        <v>57</v>
      </c>
      <c r="AV309" s="44">
        <f t="shared" si="272"/>
        <v>0</v>
      </c>
      <c r="AW309" s="50"/>
      <c r="AX309" s="119">
        <v>10</v>
      </c>
      <c r="AY309" s="115">
        <f>Inputs!$A$35</f>
        <v>0</v>
      </c>
      <c r="AZ309" s="44">
        <f>Inputs!$B$35</f>
        <v>0</v>
      </c>
      <c r="BA309" s="44" t="s">
        <v>58</v>
      </c>
      <c r="BB309" s="44">
        <f t="shared" si="269"/>
        <v>0</v>
      </c>
      <c r="BC309" s="50"/>
      <c r="BD309" s="44">
        <v>0</v>
      </c>
      <c r="BE309" s="44">
        <v>0</v>
      </c>
      <c r="BF309" s="44">
        <f t="shared" si="309"/>
        <v>0</v>
      </c>
      <c r="BG309" s="50"/>
      <c r="BH309" s="44">
        <f t="shared" si="310"/>
        <v>0</v>
      </c>
      <c r="BI309" s="63">
        <f>BD309*Inputs!$F$35*Inputs!$G$35</f>
        <v>0</v>
      </c>
      <c r="BJ309" s="44">
        <f>Inputs!$F$35*Inputs!$I$35*BE309</f>
        <v>0</v>
      </c>
      <c r="BK309" s="91"/>
      <c r="BM309" s="117">
        <v>10</v>
      </c>
      <c r="BN309" s="115">
        <f>Inputs!$A$35</f>
        <v>0</v>
      </c>
      <c r="BO309" s="44">
        <f>Inputs!$B$35</f>
        <v>0</v>
      </c>
      <c r="BP309" s="44" t="s">
        <v>57</v>
      </c>
      <c r="BQ309" s="44">
        <f t="shared" si="270"/>
        <v>0</v>
      </c>
      <c r="BR309" s="50"/>
      <c r="BS309" s="119">
        <v>10</v>
      </c>
      <c r="BT309" s="115">
        <f>Inputs!$A$35</f>
        <v>0</v>
      </c>
      <c r="BU309" s="44">
        <f>Inputs!$B$35</f>
        <v>0</v>
      </c>
      <c r="BV309" s="44" t="s">
        <v>58</v>
      </c>
      <c r="BW309" s="44">
        <f t="shared" si="271"/>
        <v>0</v>
      </c>
      <c r="BX309" s="50"/>
      <c r="BY309" s="44">
        <v>0</v>
      </c>
      <c r="BZ309" s="44">
        <v>0</v>
      </c>
      <c r="CA309" s="44">
        <f t="shared" si="311"/>
        <v>0</v>
      </c>
      <c r="CB309" s="50"/>
      <c r="CC309" s="44">
        <f t="shared" si="312"/>
        <v>0</v>
      </c>
      <c r="CD309" s="63">
        <f>BY309*Inputs!$F$35*Inputs!$G$35</f>
        <v>0</v>
      </c>
      <c r="CE309" s="44">
        <f>Inputs!$F$35*Inputs!$I$35*BZ309</f>
        <v>0</v>
      </c>
      <c r="CF309" s="91"/>
    </row>
    <row r="310" spans="1:84" x14ac:dyDescent="0.25">
      <c r="A310" s="117">
        <v>11</v>
      </c>
      <c r="B310" s="115">
        <f>Inputs!$A$35</f>
        <v>0</v>
      </c>
      <c r="C310" s="44">
        <f>Inputs!$B$35</f>
        <v>0</v>
      </c>
      <c r="D310" s="44" t="s">
        <v>57</v>
      </c>
      <c r="E310" s="44">
        <v>0</v>
      </c>
      <c r="F310" s="50"/>
      <c r="G310" s="119">
        <v>11</v>
      </c>
      <c r="H310" s="115">
        <f>Inputs!$A$35</f>
        <v>0</v>
      </c>
      <c r="I310" s="44">
        <f>Inputs!$B$35</f>
        <v>0</v>
      </c>
      <c r="J310" s="44" t="s">
        <v>58</v>
      </c>
      <c r="K310" s="44">
        <v>0</v>
      </c>
      <c r="L310" s="50"/>
      <c r="M310" s="44">
        <v>0</v>
      </c>
      <c r="N310" s="44">
        <v>0</v>
      </c>
      <c r="O310" s="44">
        <f t="shared" si="305"/>
        <v>0</v>
      </c>
      <c r="P310" s="50"/>
      <c r="Q310" s="44">
        <f t="shared" si="306"/>
        <v>0</v>
      </c>
      <c r="R310" s="63">
        <f>M310*Inputs!$F$35*Inputs!$H$35</f>
        <v>0</v>
      </c>
      <c r="S310" s="44">
        <f>Inputs!$F$35*Inputs!$I$35*N310</f>
        <v>0</v>
      </c>
      <c r="T310" s="18"/>
      <c r="U310" s="56"/>
      <c r="W310" s="117">
        <v>11</v>
      </c>
      <c r="X310" s="115">
        <f>Inputs!$A$35</f>
        <v>0</v>
      </c>
      <c r="Y310" s="44">
        <f>Inputs!$B$35</f>
        <v>0</v>
      </c>
      <c r="Z310" s="44" t="s">
        <v>57</v>
      </c>
      <c r="AA310" s="44">
        <f t="shared" si="267"/>
        <v>0</v>
      </c>
      <c r="AB310" s="50"/>
      <c r="AC310" s="119">
        <v>11</v>
      </c>
      <c r="AD310" s="115">
        <f>Inputs!$A$35</f>
        <v>0</v>
      </c>
      <c r="AE310" s="44">
        <f>Inputs!$B$35</f>
        <v>0</v>
      </c>
      <c r="AF310" s="44" t="s">
        <v>58</v>
      </c>
      <c r="AG310" s="44">
        <f t="shared" si="268"/>
        <v>0</v>
      </c>
      <c r="AH310" s="50"/>
      <c r="AI310" s="44">
        <v>0</v>
      </c>
      <c r="AJ310" s="44">
        <v>0</v>
      </c>
      <c r="AK310" s="44">
        <f t="shared" si="307"/>
        <v>0</v>
      </c>
      <c r="AL310" s="50"/>
      <c r="AM310" s="44">
        <f t="shared" si="308"/>
        <v>0</v>
      </c>
      <c r="AN310" s="63">
        <f>AI310*Inputs!$F$35*Inputs!$H$35</f>
        <v>0</v>
      </c>
      <c r="AO310" s="44">
        <f>Inputs!$F$35*Inputs!$I$35*AJ310</f>
        <v>0</v>
      </c>
      <c r="AP310" s="56"/>
      <c r="AR310" s="117">
        <v>11</v>
      </c>
      <c r="AS310" s="115">
        <f>Inputs!$A$35</f>
        <v>0</v>
      </c>
      <c r="AT310" s="44">
        <f>Inputs!$B$35</f>
        <v>0</v>
      </c>
      <c r="AU310" s="44" t="s">
        <v>57</v>
      </c>
      <c r="AV310" s="44">
        <f t="shared" si="272"/>
        <v>0</v>
      </c>
      <c r="AW310" s="50"/>
      <c r="AX310" s="119">
        <v>11</v>
      </c>
      <c r="AY310" s="115">
        <f>Inputs!$A$35</f>
        <v>0</v>
      </c>
      <c r="AZ310" s="44">
        <f>Inputs!$B$35</f>
        <v>0</v>
      </c>
      <c r="BA310" s="44" t="s">
        <v>58</v>
      </c>
      <c r="BB310" s="44">
        <f t="shared" si="269"/>
        <v>0</v>
      </c>
      <c r="BC310" s="50"/>
      <c r="BD310" s="44">
        <v>0</v>
      </c>
      <c r="BE310" s="44">
        <v>0</v>
      </c>
      <c r="BF310" s="44">
        <f t="shared" si="309"/>
        <v>0</v>
      </c>
      <c r="BG310" s="50"/>
      <c r="BH310" s="44">
        <f t="shared" si="310"/>
        <v>0</v>
      </c>
      <c r="BI310" s="63">
        <f>BD310*Inputs!$F$35*Inputs!$H$35</f>
        <v>0</v>
      </c>
      <c r="BJ310" s="44">
        <f>Inputs!$F$35*Inputs!$I$35*BE310</f>
        <v>0</v>
      </c>
      <c r="BK310" s="56"/>
      <c r="BM310" s="117">
        <v>11</v>
      </c>
      <c r="BN310" s="115">
        <f>Inputs!$A$35</f>
        <v>0</v>
      </c>
      <c r="BO310" s="44">
        <f>Inputs!$B$35</f>
        <v>0</v>
      </c>
      <c r="BP310" s="44" t="s">
        <v>57</v>
      </c>
      <c r="BQ310" s="44">
        <f t="shared" si="270"/>
        <v>0</v>
      </c>
      <c r="BR310" s="50"/>
      <c r="BS310" s="119">
        <v>11</v>
      </c>
      <c r="BT310" s="115">
        <f>Inputs!$A$35</f>
        <v>0</v>
      </c>
      <c r="BU310" s="44">
        <f>Inputs!$B$35</f>
        <v>0</v>
      </c>
      <c r="BV310" s="44" t="s">
        <v>58</v>
      </c>
      <c r="BW310" s="44">
        <f t="shared" si="271"/>
        <v>0</v>
      </c>
      <c r="BX310" s="50"/>
      <c r="BY310" s="44">
        <v>0</v>
      </c>
      <c r="BZ310" s="44">
        <v>0</v>
      </c>
      <c r="CA310" s="44">
        <f t="shared" si="311"/>
        <v>0</v>
      </c>
      <c r="CB310" s="50"/>
      <c r="CC310" s="44">
        <f t="shared" si="312"/>
        <v>0</v>
      </c>
      <c r="CD310" s="63">
        <f>BY310*Inputs!$F$35*Inputs!$H$35</f>
        <v>0</v>
      </c>
      <c r="CE310" s="44">
        <f>Inputs!$F$35*Inputs!$I$35*BZ310</f>
        <v>0</v>
      </c>
      <c r="CF310" s="56"/>
    </row>
    <row r="311" spans="1:84" x14ac:dyDescent="0.25">
      <c r="A311" s="116">
        <v>3</v>
      </c>
      <c r="B311" s="114">
        <f>Inputs!$A$36</f>
        <v>0</v>
      </c>
      <c r="C311" s="45">
        <f>Inputs!$B$36</f>
        <v>0</v>
      </c>
      <c r="D311" s="45" t="s">
        <v>57</v>
      </c>
      <c r="E311" s="45">
        <v>0</v>
      </c>
      <c r="F311" s="50"/>
      <c r="G311" s="118">
        <v>3</v>
      </c>
      <c r="H311" s="114">
        <f>Inputs!$A$36</f>
        <v>0</v>
      </c>
      <c r="I311" s="45">
        <f>Inputs!$B$36</f>
        <v>0</v>
      </c>
      <c r="J311" s="45" t="s">
        <v>58</v>
      </c>
      <c r="K311" s="45">
        <v>0</v>
      </c>
      <c r="L311" s="50"/>
      <c r="M311" s="45">
        <v>0</v>
      </c>
      <c r="N311" s="45">
        <v>0</v>
      </c>
      <c r="O311" s="45">
        <f>U311-0-E311-K311</f>
        <v>0</v>
      </c>
      <c r="P311" s="50"/>
      <c r="Q311" s="45">
        <f>E311+K311+N311-U311+0-M311</f>
        <v>0</v>
      </c>
      <c r="R311" s="64">
        <f>M311*Inputs!$F$36*Inputs!$G$36</f>
        <v>0</v>
      </c>
      <c r="S311" s="45">
        <f>Inputs!$F$36*Inputs!$I$36*N311</f>
        <v>0</v>
      </c>
      <c r="T311" s="18"/>
      <c r="U311" s="54"/>
      <c r="W311" s="116">
        <v>3</v>
      </c>
      <c r="X311" s="114">
        <f>Inputs!$A$36</f>
        <v>0</v>
      </c>
      <c r="Y311" s="45">
        <f>Inputs!$B$36</f>
        <v>0</v>
      </c>
      <c r="Z311" s="45" t="s">
        <v>57</v>
      </c>
      <c r="AA311" s="45">
        <f t="shared" si="267"/>
        <v>0</v>
      </c>
      <c r="AB311" s="50"/>
      <c r="AC311" s="118">
        <v>3</v>
      </c>
      <c r="AD311" s="114">
        <f>Inputs!$A$36</f>
        <v>0</v>
      </c>
      <c r="AE311" s="45">
        <f>Inputs!$B$36</f>
        <v>0</v>
      </c>
      <c r="AF311" s="45" t="s">
        <v>58</v>
      </c>
      <c r="AG311" s="45">
        <f t="shared" si="268"/>
        <v>0</v>
      </c>
      <c r="AH311" s="50"/>
      <c r="AI311" s="45">
        <v>0</v>
      </c>
      <c r="AJ311" s="45">
        <v>0</v>
      </c>
      <c r="AK311" s="45">
        <f>AP311-0-AA311-AG311</f>
        <v>0</v>
      </c>
      <c r="AL311" s="50"/>
      <c r="AM311" s="45">
        <f>AA311+AG311+AJ311-AP311+0-AI311</f>
        <v>0</v>
      </c>
      <c r="AN311" s="64">
        <f>AI311*Inputs!$F$36*Inputs!$G$36</f>
        <v>0</v>
      </c>
      <c r="AO311" s="45">
        <f>Inputs!$F$36*Inputs!$I$36*AJ311</f>
        <v>0</v>
      </c>
      <c r="AP311" s="54"/>
      <c r="AR311" s="116">
        <v>3</v>
      </c>
      <c r="AS311" s="114">
        <f>Inputs!$A$36</f>
        <v>0</v>
      </c>
      <c r="AT311" s="45">
        <f>Inputs!$B$36</f>
        <v>0</v>
      </c>
      <c r="AU311" s="45" t="s">
        <v>57</v>
      </c>
      <c r="AV311" s="45">
        <f t="shared" si="272"/>
        <v>0</v>
      </c>
      <c r="AW311" s="50"/>
      <c r="AX311" s="118">
        <v>3</v>
      </c>
      <c r="AY311" s="114">
        <f>Inputs!$A$36</f>
        <v>0</v>
      </c>
      <c r="AZ311" s="45">
        <f>Inputs!$B$36</f>
        <v>0</v>
      </c>
      <c r="BA311" s="45" t="s">
        <v>58</v>
      </c>
      <c r="BB311" s="45">
        <f t="shared" si="269"/>
        <v>0</v>
      </c>
      <c r="BC311" s="50"/>
      <c r="BD311" s="45">
        <v>0</v>
      </c>
      <c r="BE311" s="45">
        <v>0</v>
      </c>
      <c r="BF311" s="45">
        <f>BK311-0-AV311-BB311</f>
        <v>0</v>
      </c>
      <c r="BG311" s="50"/>
      <c r="BH311" s="45">
        <f>AV311+BB311+BE311-BK311+0-BD311</f>
        <v>0</v>
      </c>
      <c r="BI311" s="64">
        <f>BD311*Inputs!$F$36*Inputs!$G$36</f>
        <v>0</v>
      </c>
      <c r="BJ311" s="45">
        <f>Inputs!$F$36*Inputs!$I$36*BE311</f>
        <v>0</v>
      </c>
      <c r="BK311" s="54"/>
      <c r="BM311" s="116">
        <v>3</v>
      </c>
      <c r="BN311" s="114">
        <f>Inputs!$A$36</f>
        <v>0</v>
      </c>
      <c r="BO311" s="45">
        <f>Inputs!$B$36</f>
        <v>0</v>
      </c>
      <c r="BP311" s="45" t="s">
        <v>57</v>
      </c>
      <c r="BQ311" s="45">
        <f t="shared" si="270"/>
        <v>0</v>
      </c>
      <c r="BR311" s="50"/>
      <c r="BS311" s="118">
        <v>3</v>
      </c>
      <c r="BT311" s="114">
        <f>Inputs!$A$36</f>
        <v>0</v>
      </c>
      <c r="BU311" s="45">
        <f>Inputs!$B$36</f>
        <v>0</v>
      </c>
      <c r="BV311" s="45" t="s">
        <v>58</v>
      </c>
      <c r="BW311" s="45">
        <f t="shared" si="271"/>
        <v>0</v>
      </c>
      <c r="BX311" s="50"/>
      <c r="BY311" s="45">
        <v>0</v>
      </c>
      <c r="BZ311" s="45">
        <v>0</v>
      </c>
      <c r="CA311" s="45">
        <f>CF311-0-BQ311-BW311</f>
        <v>0</v>
      </c>
      <c r="CB311" s="50"/>
      <c r="CC311" s="45">
        <f>BQ311+BW311+BZ311-CF311+0-BY311</f>
        <v>0</v>
      </c>
      <c r="CD311" s="64">
        <f>BY311*Inputs!$F$36*Inputs!$G$36</f>
        <v>0</v>
      </c>
      <c r="CE311" s="45">
        <f>Inputs!$F$36*Inputs!$I$36*BZ311</f>
        <v>0</v>
      </c>
      <c r="CF311" s="54"/>
    </row>
    <row r="312" spans="1:84" x14ac:dyDescent="0.25">
      <c r="A312" s="116">
        <v>4</v>
      </c>
      <c r="B312" s="114">
        <f>Inputs!$A$36</f>
        <v>0</v>
      </c>
      <c r="C312" s="45">
        <f>Inputs!$B$36</f>
        <v>0</v>
      </c>
      <c r="D312" s="45" t="s">
        <v>57</v>
      </c>
      <c r="E312" s="45">
        <v>0</v>
      </c>
      <c r="F312" s="50"/>
      <c r="G312" s="118">
        <v>4</v>
      </c>
      <c r="H312" s="114">
        <f>Inputs!$A$36</f>
        <v>0</v>
      </c>
      <c r="I312" s="45">
        <f>Inputs!$B$36</f>
        <v>0</v>
      </c>
      <c r="J312" s="45" t="s">
        <v>58</v>
      </c>
      <c r="K312" s="45">
        <v>0</v>
      </c>
      <c r="L312" s="50"/>
      <c r="M312" s="45">
        <v>0</v>
      </c>
      <c r="N312" s="45">
        <v>0</v>
      </c>
      <c r="O312" s="45">
        <f t="shared" ref="O312:O319" si="313">U312-M311-E312-K312</f>
        <v>0</v>
      </c>
      <c r="P312" s="50"/>
      <c r="Q312" s="45">
        <f t="shared" ref="Q312:Q319" si="314">E312+K312+N312-U312+M311-M312</f>
        <v>0</v>
      </c>
      <c r="R312" s="64">
        <f>M312*Inputs!$F$36*Inputs!$G$36</f>
        <v>0</v>
      </c>
      <c r="S312" s="45">
        <f>Inputs!$F$36*Inputs!$I$36*N312</f>
        <v>0</v>
      </c>
      <c r="T312" s="18"/>
      <c r="U312" s="55"/>
      <c r="W312" s="116">
        <v>4</v>
      </c>
      <c r="X312" s="114">
        <f>Inputs!$A$36</f>
        <v>0</v>
      </c>
      <c r="Y312" s="45">
        <f>Inputs!$B$36</f>
        <v>0</v>
      </c>
      <c r="Z312" s="45" t="s">
        <v>57</v>
      </c>
      <c r="AA312" s="45">
        <f t="shared" si="267"/>
        <v>0</v>
      </c>
      <c r="AB312" s="50"/>
      <c r="AC312" s="118">
        <v>4</v>
      </c>
      <c r="AD312" s="114">
        <f>Inputs!$A$36</f>
        <v>0</v>
      </c>
      <c r="AE312" s="45">
        <f>Inputs!$B$36</f>
        <v>0</v>
      </c>
      <c r="AF312" s="45" t="s">
        <v>58</v>
      </c>
      <c r="AG312" s="45">
        <f t="shared" si="268"/>
        <v>0</v>
      </c>
      <c r="AH312" s="50"/>
      <c r="AI312" s="45">
        <v>0</v>
      </c>
      <c r="AJ312" s="45">
        <v>0</v>
      </c>
      <c r="AK312" s="45">
        <f t="shared" ref="AK312:AK319" si="315">AP312-AI311-AA312-AG312</f>
        <v>0</v>
      </c>
      <c r="AL312" s="50"/>
      <c r="AM312" s="45">
        <f t="shared" ref="AM312:AM319" si="316">AA312+AG312+AJ312-AP312+AI311-AI312</f>
        <v>0</v>
      </c>
      <c r="AN312" s="64">
        <f>AI312*Inputs!$F$36*Inputs!$G$36</f>
        <v>0</v>
      </c>
      <c r="AO312" s="45">
        <f>Inputs!$F$36*Inputs!$I$36*AJ312</f>
        <v>0</v>
      </c>
      <c r="AP312" s="55"/>
      <c r="AR312" s="116">
        <v>4</v>
      </c>
      <c r="AS312" s="114">
        <f>Inputs!$A$36</f>
        <v>0</v>
      </c>
      <c r="AT312" s="45">
        <f>Inputs!$B$36</f>
        <v>0</v>
      </c>
      <c r="AU312" s="45" t="s">
        <v>57</v>
      </c>
      <c r="AV312" s="45">
        <f t="shared" si="272"/>
        <v>0</v>
      </c>
      <c r="AW312" s="50"/>
      <c r="AX312" s="118">
        <v>4</v>
      </c>
      <c r="AY312" s="114">
        <f>Inputs!$A$36</f>
        <v>0</v>
      </c>
      <c r="AZ312" s="45">
        <f>Inputs!$B$36</f>
        <v>0</v>
      </c>
      <c r="BA312" s="45" t="s">
        <v>58</v>
      </c>
      <c r="BB312" s="45">
        <f t="shared" si="269"/>
        <v>0</v>
      </c>
      <c r="BC312" s="50"/>
      <c r="BD312" s="45">
        <v>0</v>
      </c>
      <c r="BE312" s="45">
        <v>0</v>
      </c>
      <c r="BF312" s="45">
        <f t="shared" ref="BF312:BF319" si="317">BK312-BD311-AV312-BB312</f>
        <v>0</v>
      </c>
      <c r="BG312" s="50"/>
      <c r="BH312" s="45">
        <f t="shared" ref="BH312:BH319" si="318">AV312+BB312+BE312-BK312+BD311-BD312</f>
        <v>0</v>
      </c>
      <c r="BI312" s="64">
        <f>BD312*Inputs!$F$36*Inputs!$G$36</f>
        <v>0</v>
      </c>
      <c r="BJ312" s="45">
        <f>Inputs!$F$36*Inputs!$I$36*BE312</f>
        <v>0</v>
      </c>
      <c r="BK312" s="55"/>
      <c r="BM312" s="116">
        <v>4</v>
      </c>
      <c r="BN312" s="114">
        <f>Inputs!$A$36</f>
        <v>0</v>
      </c>
      <c r="BO312" s="45">
        <f>Inputs!$B$36</f>
        <v>0</v>
      </c>
      <c r="BP312" s="45" t="s">
        <v>57</v>
      </c>
      <c r="BQ312" s="45">
        <f t="shared" si="270"/>
        <v>0</v>
      </c>
      <c r="BR312" s="50"/>
      <c r="BS312" s="118">
        <v>4</v>
      </c>
      <c r="BT312" s="114">
        <f>Inputs!$A$36</f>
        <v>0</v>
      </c>
      <c r="BU312" s="45">
        <f>Inputs!$B$36</f>
        <v>0</v>
      </c>
      <c r="BV312" s="45" t="s">
        <v>58</v>
      </c>
      <c r="BW312" s="45">
        <f t="shared" si="271"/>
        <v>0</v>
      </c>
      <c r="BX312" s="50"/>
      <c r="BY312" s="45">
        <v>0</v>
      </c>
      <c r="BZ312" s="45">
        <v>0</v>
      </c>
      <c r="CA312" s="45">
        <f t="shared" ref="CA312:CA319" si="319">CF312-BY311-BQ312-BW312</f>
        <v>0</v>
      </c>
      <c r="CB312" s="50"/>
      <c r="CC312" s="45">
        <f t="shared" ref="CC312:CC319" si="320">BQ312+BW312+BZ312-CF312+BY311-BY312</f>
        <v>0</v>
      </c>
      <c r="CD312" s="64">
        <f>BY312*Inputs!$F$36*Inputs!$G$36</f>
        <v>0</v>
      </c>
      <c r="CE312" s="45">
        <f>Inputs!$F$36*Inputs!$I$36*BZ312</f>
        <v>0</v>
      </c>
      <c r="CF312" s="55"/>
    </row>
    <row r="313" spans="1:84" x14ac:dyDescent="0.25">
      <c r="A313" s="116">
        <v>5</v>
      </c>
      <c r="B313" s="114">
        <f>Inputs!$A$36</f>
        <v>0</v>
      </c>
      <c r="C313" s="45">
        <f>Inputs!$B$36</f>
        <v>0</v>
      </c>
      <c r="D313" s="45" t="s">
        <v>57</v>
      </c>
      <c r="E313" s="45">
        <v>0</v>
      </c>
      <c r="F313" s="50"/>
      <c r="G313" s="118">
        <v>5</v>
      </c>
      <c r="H313" s="114">
        <f>Inputs!$A$36</f>
        <v>0</v>
      </c>
      <c r="I313" s="45">
        <f>Inputs!$B$36</f>
        <v>0</v>
      </c>
      <c r="J313" s="45" t="s">
        <v>58</v>
      </c>
      <c r="K313" s="45">
        <v>0</v>
      </c>
      <c r="L313" s="50"/>
      <c r="M313" s="45">
        <v>0</v>
      </c>
      <c r="N313" s="45">
        <v>0</v>
      </c>
      <c r="O313" s="45">
        <f t="shared" si="313"/>
        <v>0</v>
      </c>
      <c r="P313" s="50"/>
      <c r="Q313" s="45">
        <f t="shared" si="314"/>
        <v>0</v>
      </c>
      <c r="R313" s="64">
        <f>M313*Inputs!$F$36*Inputs!$G$36</f>
        <v>0</v>
      </c>
      <c r="S313" s="45">
        <f>Inputs!$F$36*Inputs!$I$36*N313</f>
        <v>0</v>
      </c>
      <c r="T313" s="18"/>
      <c r="U313" s="55"/>
      <c r="W313" s="116">
        <v>5</v>
      </c>
      <c r="X313" s="114">
        <f>Inputs!$A$36</f>
        <v>0</v>
      </c>
      <c r="Y313" s="45">
        <f>Inputs!$B$36</f>
        <v>0</v>
      </c>
      <c r="Z313" s="45" t="s">
        <v>57</v>
      </c>
      <c r="AA313" s="45">
        <f t="shared" si="267"/>
        <v>0</v>
      </c>
      <c r="AB313" s="50"/>
      <c r="AC313" s="118">
        <v>5</v>
      </c>
      <c r="AD313" s="114">
        <f>Inputs!$A$36</f>
        <v>0</v>
      </c>
      <c r="AE313" s="45">
        <f>Inputs!$B$36</f>
        <v>0</v>
      </c>
      <c r="AF313" s="45" t="s">
        <v>58</v>
      </c>
      <c r="AG313" s="45">
        <f t="shared" si="268"/>
        <v>0</v>
      </c>
      <c r="AH313" s="50"/>
      <c r="AI313" s="45">
        <v>0</v>
      </c>
      <c r="AJ313" s="45">
        <v>0</v>
      </c>
      <c r="AK313" s="45">
        <f t="shared" si="315"/>
        <v>0</v>
      </c>
      <c r="AL313" s="50"/>
      <c r="AM313" s="45">
        <f t="shared" si="316"/>
        <v>0</v>
      </c>
      <c r="AN313" s="64">
        <f>AI313*Inputs!$F$36*Inputs!$G$36</f>
        <v>0</v>
      </c>
      <c r="AO313" s="45">
        <f>Inputs!$F$36*Inputs!$I$36*AJ313</f>
        <v>0</v>
      </c>
      <c r="AP313" s="55"/>
      <c r="AR313" s="116">
        <v>5</v>
      </c>
      <c r="AS313" s="114">
        <f>Inputs!$A$36</f>
        <v>0</v>
      </c>
      <c r="AT313" s="45">
        <f>Inputs!$B$36</f>
        <v>0</v>
      </c>
      <c r="AU313" s="45" t="s">
        <v>57</v>
      </c>
      <c r="AV313" s="45">
        <f t="shared" si="272"/>
        <v>0</v>
      </c>
      <c r="AW313" s="50"/>
      <c r="AX313" s="118">
        <v>5</v>
      </c>
      <c r="AY313" s="114">
        <f>Inputs!$A$36</f>
        <v>0</v>
      </c>
      <c r="AZ313" s="45">
        <f>Inputs!$B$36</f>
        <v>0</v>
      </c>
      <c r="BA313" s="45" t="s">
        <v>58</v>
      </c>
      <c r="BB313" s="45">
        <f t="shared" si="269"/>
        <v>0</v>
      </c>
      <c r="BC313" s="50"/>
      <c r="BD313" s="45">
        <v>0</v>
      </c>
      <c r="BE313" s="45">
        <v>0</v>
      </c>
      <c r="BF313" s="45">
        <f t="shared" si="317"/>
        <v>0</v>
      </c>
      <c r="BG313" s="50"/>
      <c r="BH313" s="45">
        <f t="shared" si="318"/>
        <v>0</v>
      </c>
      <c r="BI313" s="64">
        <f>BD313*Inputs!$F$36*Inputs!$G$36</f>
        <v>0</v>
      </c>
      <c r="BJ313" s="45">
        <f>Inputs!$F$36*Inputs!$I$36*BE313</f>
        <v>0</v>
      </c>
      <c r="BK313" s="55"/>
      <c r="BM313" s="116">
        <v>5</v>
      </c>
      <c r="BN313" s="114">
        <f>Inputs!$A$36</f>
        <v>0</v>
      </c>
      <c r="BO313" s="45">
        <f>Inputs!$B$36</f>
        <v>0</v>
      </c>
      <c r="BP313" s="45" t="s">
        <v>57</v>
      </c>
      <c r="BQ313" s="45">
        <f t="shared" si="270"/>
        <v>0</v>
      </c>
      <c r="BR313" s="50"/>
      <c r="BS313" s="118">
        <v>5</v>
      </c>
      <c r="BT313" s="114">
        <f>Inputs!$A$36</f>
        <v>0</v>
      </c>
      <c r="BU313" s="45">
        <f>Inputs!$B$36</f>
        <v>0</v>
      </c>
      <c r="BV313" s="45" t="s">
        <v>58</v>
      </c>
      <c r="BW313" s="45">
        <f t="shared" si="271"/>
        <v>0</v>
      </c>
      <c r="BX313" s="50"/>
      <c r="BY313" s="45">
        <v>0</v>
      </c>
      <c r="BZ313" s="45">
        <v>0</v>
      </c>
      <c r="CA313" s="45">
        <f t="shared" si="319"/>
        <v>0</v>
      </c>
      <c r="CB313" s="50"/>
      <c r="CC313" s="45">
        <f t="shared" si="320"/>
        <v>0</v>
      </c>
      <c r="CD313" s="64">
        <f>BY313*Inputs!$F$36*Inputs!$G$36</f>
        <v>0</v>
      </c>
      <c r="CE313" s="45">
        <f>Inputs!$F$36*Inputs!$I$36*BZ313</f>
        <v>0</v>
      </c>
      <c r="CF313" s="55"/>
    </row>
    <row r="314" spans="1:84" x14ac:dyDescent="0.25">
      <c r="A314" s="116">
        <v>6</v>
      </c>
      <c r="B314" s="114">
        <f>Inputs!$A$36</f>
        <v>0</v>
      </c>
      <c r="C314" s="45">
        <f>Inputs!$B$36</f>
        <v>0</v>
      </c>
      <c r="D314" s="45" t="s">
        <v>57</v>
      </c>
      <c r="E314" s="45">
        <v>0</v>
      </c>
      <c r="F314" s="50"/>
      <c r="G314" s="118">
        <v>6</v>
      </c>
      <c r="H314" s="114">
        <f>Inputs!$A$36</f>
        <v>0</v>
      </c>
      <c r="I314" s="45">
        <f>Inputs!$B$36</f>
        <v>0</v>
      </c>
      <c r="J314" s="45" t="s">
        <v>58</v>
      </c>
      <c r="K314" s="45">
        <v>0</v>
      </c>
      <c r="L314" s="50"/>
      <c r="M314" s="45">
        <v>0</v>
      </c>
      <c r="N314" s="45">
        <v>0</v>
      </c>
      <c r="O314" s="45">
        <f t="shared" si="313"/>
        <v>0</v>
      </c>
      <c r="P314" s="50"/>
      <c r="Q314" s="45">
        <f t="shared" si="314"/>
        <v>0</v>
      </c>
      <c r="R314" s="64">
        <f>M314*Inputs!$F$36*Inputs!$G$36</f>
        <v>0</v>
      </c>
      <c r="S314" s="45">
        <f>Inputs!$F$36*Inputs!$I$36*N314</f>
        <v>0</v>
      </c>
      <c r="T314" s="18"/>
      <c r="U314" s="55"/>
      <c r="W314" s="116">
        <v>6</v>
      </c>
      <c r="X314" s="114">
        <f>Inputs!$A$36</f>
        <v>0</v>
      </c>
      <c r="Y314" s="45">
        <f>Inputs!$B$36</f>
        <v>0</v>
      </c>
      <c r="Z314" s="45" t="s">
        <v>57</v>
      </c>
      <c r="AA314" s="45">
        <f t="shared" si="267"/>
        <v>0</v>
      </c>
      <c r="AB314" s="50"/>
      <c r="AC314" s="118">
        <v>6</v>
      </c>
      <c r="AD314" s="114">
        <f>Inputs!$A$36</f>
        <v>0</v>
      </c>
      <c r="AE314" s="45">
        <f>Inputs!$B$36</f>
        <v>0</v>
      </c>
      <c r="AF314" s="45" t="s">
        <v>58</v>
      </c>
      <c r="AG314" s="45">
        <f t="shared" si="268"/>
        <v>0</v>
      </c>
      <c r="AH314" s="50"/>
      <c r="AI314" s="45">
        <v>0</v>
      </c>
      <c r="AJ314" s="45">
        <v>0</v>
      </c>
      <c r="AK314" s="45">
        <f t="shared" si="315"/>
        <v>0</v>
      </c>
      <c r="AL314" s="50"/>
      <c r="AM314" s="45">
        <f t="shared" si="316"/>
        <v>0</v>
      </c>
      <c r="AN314" s="64">
        <f>AI314*Inputs!$F$36*Inputs!$G$36</f>
        <v>0</v>
      </c>
      <c r="AO314" s="45">
        <f>Inputs!$F$36*Inputs!$I$36*AJ314</f>
        <v>0</v>
      </c>
      <c r="AP314" s="55"/>
      <c r="AR314" s="116">
        <v>6</v>
      </c>
      <c r="AS314" s="114">
        <f>Inputs!$A$36</f>
        <v>0</v>
      </c>
      <c r="AT314" s="45">
        <f>Inputs!$B$36</f>
        <v>0</v>
      </c>
      <c r="AU314" s="45" t="s">
        <v>57</v>
      </c>
      <c r="AV314" s="45">
        <f t="shared" si="272"/>
        <v>0</v>
      </c>
      <c r="AW314" s="50"/>
      <c r="AX314" s="118">
        <v>6</v>
      </c>
      <c r="AY314" s="114">
        <f>Inputs!$A$36</f>
        <v>0</v>
      </c>
      <c r="AZ314" s="45">
        <f>Inputs!$B$36</f>
        <v>0</v>
      </c>
      <c r="BA314" s="45" t="s">
        <v>58</v>
      </c>
      <c r="BB314" s="45">
        <f t="shared" si="269"/>
        <v>0</v>
      </c>
      <c r="BC314" s="50"/>
      <c r="BD314" s="45">
        <v>0</v>
      </c>
      <c r="BE314" s="45">
        <v>0</v>
      </c>
      <c r="BF314" s="45">
        <f t="shared" si="317"/>
        <v>0</v>
      </c>
      <c r="BG314" s="50"/>
      <c r="BH314" s="45">
        <f t="shared" si="318"/>
        <v>0</v>
      </c>
      <c r="BI314" s="64">
        <f>BD314*Inputs!$F$36*Inputs!$G$36</f>
        <v>0</v>
      </c>
      <c r="BJ314" s="45">
        <f>Inputs!$F$36*Inputs!$I$36*BE314</f>
        <v>0</v>
      </c>
      <c r="BK314" s="55"/>
      <c r="BM314" s="116">
        <v>6</v>
      </c>
      <c r="BN314" s="114">
        <f>Inputs!$A$36</f>
        <v>0</v>
      </c>
      <c r="BO314" s="45">
        <f>Inputs!$B$36</f>
        <v>0</v>
      </c>
      <c r="BP314" s="45" t="s">
        <v>57</v>
      </c>
      <c r="BQ314" s="45">
        <f t="shared" si="270"/>
        <v>0</v>
      </c>
      <c r="BR314" s="50"/>
      <c r="BS314" s="118">
        <v>6</v>
      </c>
      <c r="BT314" s="114">
        <f>Inputs!$A$36</f>
        <v>0</v>
      </c>
      <c r="BU314" s="45">
        <f>Inputs!$B$36</f>
        <v>0</v>
      </c>
      <c r="BV314" s="45" t="s">
        <v>58</v>
      </c>
      <c r="BW314" s="45">
        <f t="shared" si="271"/>
        <v>0</v>
      </c>
      <c r="BX314" s="50"/>
      <c r="BY314" s="45">
        <v>0</v>
      </c>
      <c r="BZ314" s="45">
        <v>0</v>
      </c>
      <c r="CA314" s="45">
        <f t="shared" si="319"/>
        <v>0</v>
      </c>
      <c r="CB314" s="50"/>
      <c r="CC314" s="45">
        <f t="shared" si="320"/>
        <v>0</v>
      </c>
      <c r="CD314" s="64">
        <f>BY314*Inputs!$F$36*Inputs!$G$36</f>
        <v>0</v>
      </c>
      <c r="CE314" s="45">
        <f>Inputs!$F$36*Inputs!$I$36*BZ314</f>
        <v>0</v>
      </c>
      <c r="CF314" s="55"/>
    </row>
    <row r="315" spans="1:84" x14ac:dyDescent="0.25">
      <c r="A315" s="116">
        <v>7</v>
      </c>
      <c r="B315" s="114">
        <f>Inputs!$A$36</f>
        <v>0</v>
      </c>
      <c r="C315" s="45">
        <f>Inputs!$B$36</f>
        <v>0</v>
      </c>
      <c r="D315" s="45" t="s">
        <v>57</v>
      </c>
      <c r="E315" s="45">
        <v>0</v>
      </c>
      <c r="F315" s="50"/>
      <c r="G315" s="118">
        <v>7</v>
      </c>
      <c r="H315" s="114">
        <f>Inputs!$A$36</f>
        <v>0</v>
      </c>
      <c r="I315" s="45">
        <f>Inputs!$B$36</f>
        <v>0</v>
      </c>
      <c r="J315" s="45" t="s">
        <v>58</v>
      </c>
      <c r="K315" s="45">
        <v>0</v>
      </c>
      <c r="L315" s="50"/>
      <c r="M315" s="45">
        <v>0</v>
      </c>
      <c r="N315" s="45">
        <v>0</v>
      </c>
      <c r="O315" s="45">
        <f t="shared" si="313"/>
        <v>0</v>
      </c>
      <c r="P315" s="50"/>
      <c r="Q315" s="45">
        <f t="shared" si="314"/>
        <v>0</v>
      </c>
      <c r="R315" s="64">
        <f>M315*Inputs!$F$36*Inputs!$G$36</f>
        <v>0</v>
      </c>
      <c r="S315" s="45">
        <f>Inputs!$F$36*Inputs!$I$36*N315</f>
        <v>0</v>
      </c>
      <c r="T315" s="18"/>
      <c r="U315" s="55"/>
      <c r="W315" s="116">
        <v>7</v>
      </c>
      <c r="X315" s="114">
        <f>Inputs!$A$36</f>
        <v>0</v>
      </c>
      <c r="Y315" s="45">
        <f>Inputs!$B$36</f>
        <v>0</v>
      </c>
      <c r="Z315" s="45" t="s">
        <v>57</v>
      </c>
      <c r="AA315" s="45">
        <f t="shared" si="267"/>
        <v>0</v>
      </c>
      <c r="AB315" s="50"/>
      <c r="AC315" s="118">
        <v>7</v>
      </c>
      <c r="AD315" s="114">
        <f>Inputs!$A$36</f>
        <v>0</v>
      </c>
      <c r="AE315" s="45">
        <f>Inputs!$B$36</f>
        <v>0</v>
      </c>
      <c r="AF315" s="45" t="s">
        <v>58</v>
      </c>
      <c r="AG315" s="45">
        <f t="shared" si="268"/>
        <v>0</v>
      </c>
      <c r="AH315" s="50"/>
      <c r="AI315" s="45">
        <v>0</v>
      </c>
      <c r="AJ315" s="45">
        <v>0</v>
      </c>
      <c r="AK315" s="45">
        <f t="shared" si="315"/>
        <v>0</v>
      </c>
      <c r="AL315" s="50"/>
      <c r="AM315" s="45">
        <f t="shared" si="316"/>
        <v>0</v>
      </c>
      <c r="AN315" s="64">
        <f>AI315*Inputs!$F$36*Inputs!$G$36</f>
        <v>0</v>
      </c>
      <c r="AO315" s="45">
        <f>Inputs!$F$36*Inputs!$I$36*AJ315</f>
        <v>0</v>
      </c>
      <c r="AP315" s="55"/>
      <c r="AR315" s="116">
        <v>7</v>
      </c>
      <c r="AS315" s="114">
        <f>Inputs!$A$36</f>
        <v>0</v>
      </c>
      <c r="AT315" s="45">
        <f>Inputs!$B$36</f>
        <v>0</v>
      </c>
      <c r="AU315" s="45" t="s">
        <v>57</v>
      </c>
      <c r="AV315" s="45">
        <f t="shared" si="272"/>
        <v>0</v>
      </c>
      <c r="AW315" s="50"/>
      <c r="AX315" s="118">
        <v>7</v>
      </c>
      <c r="AY315" s="114">
        <f>Inputs!$A$36</f>
        <v>0</v>
      </c>
      <c r="AZ315" s="45">
        <f>Inputs!$B$36</f>
        <v>0</v>
      </c>
      <c r="BA315" s="45" t="s">
        <v>58</v>
      </c>
      <c r="BB315" s="45">
        <f t="shared" si="269"/>
        <v>0</v>
      </c>
      <c r="BC315" s="50"/>
      <c r="BD315" s="45">
        <v>0</v>
      </c>
      <c r="BE315" s="45">
        <v>0</v>
      </c>
      <c r="BF315" s="45">
        <f t="shared" si="317"/>
        <v>0</v>
      </c>
      <c r="BG315" s="50"/>
      <c r="BH315" s="45">
        <f t="shared" si="318"/>
        <v>0</v>
      </c>
      <c r="BI315" s="64">
        <f>BD315*Inputs!$F$36*Inputs!$G$36</f>
        <v>0</v>
      </c>
      <c r="BJ315" s="45">
        <f>Inputs!$F$36*Inputs!$I$36*BE315</f>
        <v>0</v>
      </c>
      <c r="BK315" s="55"/>
      <c r="BM315" s="116">
        <v>7</v>
      </c>
      <c r="BN315" s="114">
        <f>Inputs!$A$36</f>
        <v>0</v>
      </c>
      <c r="BO315" s="45">
        <f>Inputs!$B$36</f>
        <v>0</v>
      </c>
      <c r="BP315" s="45" t="s">
        <v>57</v>
      </c>
      <c r="BQ315" s="45">
        <f t="shared" si="270"/>
        <v>0</v>
      </c>
      <c r="BR315" s="50"/>
      <c r="BS315" s="118">
        <v>7</v>
      </c>
      <c r="BT315" s="114">
        <f>Inputs!$A$36</f>
        <v>0</v>
      </c>
      <c r="BU315" s="45">
        <f>Inputs!$B$36</f>
        <v>0</v>
      </c>
      <c r="BV315" s="45" t="s">
        <v>58</v>
      </c>
      <c r="BW315" s="45">
        <f t="shared" si="271"/>
        <v>0</v>
      </c>
      <c r="BX315" s="50"/>
      <c r="BY315" s="45">
        <v>0</v>
      </c>
      <c r="BZ315" s="45">
        <v>0</v>
      </c>
      <c r="CA315" s="45">
        <f t="shared" si="319"/>
        <v>0</v>
      </c>
      <c r="CB315" s="50"/>
      <c r="CC315" s="45">
        <f t="shared" si="320"/>
        <v>0</v>
      </c>
      <c r="CD315" s="64">
        <f>BY315*Inputs!$F$36*Inputs!$G$36</f>
        <v>0</v>
      </c>
      <c r="CE315" s="45">
        <f>Inputs!$F$36*Inputs!$I$36*BZ315</f>
        <v>0</v>
      </c>
      <c r="CF315" s="55"/>
    </row>
    <row r="316" spans="1:84" x14ac:dyDescent="0.25">
      <c r="A316" s="116">
        <v>8</v>
      </c>
      <c r="B316" s="114">
        <f>Inputs!$A$36</f>
        <v>0</v>
      </c>
      <c r="C316" s="45">
        <f>Inputs!$B$36</f>
        <v>0</v>
      </c>
      <c r="D316" s="45" t="s">
        <v>57</v>
      </c>
      <c r="E316" s="45">
        <v>0</v>
      </c>
      <c r="F316" s="50"/>
      <c r="G316" s="118">
        <v>8</v>
      </c>
      <c r="H316" s="114">
        <f>Inputs!$A$36</f>
        <v>0</v>
      </c>
      <c r="I316" s="45">
        <f>Inputs!$B$36</f>
        <v>0</v>
      </c>
      <c r="J316" s="45" t="s">
        <v>58</v>
      </c>
      <c r="K316" s="45">
        <v>0</v>
      </c>
      <c r="L316" s="50"/>
      <c r="M316" s="45">
        <v>0</v>
      </c>
      <c r="N316" s="45">
        <v>0</v>
      </c>
      <c r="O316" s="45">
        <f t="shared" si="313"/>
        <v>0</v>
      </c>
      <c r="P316" s="50"/>
      <c r="Q316" s="45">
        <f t="shared" si="314"/>
        <v>0</v>
      </c>
      <c r="R316" s="64">
        <f>M316*Inputs!$F$36*Inputs!$G$36</f>
        <v>0</v>
      </c>
      <c r="S316" s="45">
        <f>Inputs!$F$36*Inputs!$I$36*N316</f>
        <v>0</v>
      </c>
      <c r="T316" s="18"/>
      <c r="U316" s="55"/>
      <c r="W316" s="116">
        <v>8</v>
      </c>
      <c r="X316" s="114">
        <f>Inputs!$A$36</f>
        <v>0</v>
      </c>
      <c r="Y316" s="45">
        <f>Inputs!$B$36</f>
        <v>0</v>
      </c>
      <c r="Z316" s="45" t="s">
        <v>57</v>
      </c>
      <c r="AA316" s="45">
        <f t="shared" si="267"/>
        <v>0</v>
      </c>
      <c r="AB316" s="50"/>
      <c r="AC316" s="118">
        <v>8</v>
      </c>
      <c r="AD316" s="114">
        <f>Inputs!$A$36</f>
        <v>0</v>
      </c>
      <c r="AE316" s="45">
        <f>Inputs!$B$36</f>
        <v>0</v>
      </c>
      <c r="AF316" s="45" t="s">
        <v>58</v>
      </c>
      <c r="AG316" s="45">
        <f t="shared" si="268"/>
        <v>0</v>
      </c>
      <c r="AH316" s="50"/>
      <c r="AI316" s="45">
        <v>0</v>
      </c>
      <c r="AJ316" s="45">
        <v>0</v>
      </c>
      <c r="AK316" s="45">
        <f t="shared" si="315"/>
        <v>0</v>
      </c>
      <c r="AL316" s="50"/>
      <c r="AM316" s="45">
        <f t="shared" si="316"/>
        <v>0</v>
      </c>
      <c r="AN316" s="64">
        <f>AI316*Inputs!$F$36*Inputs!$G$36</f>
        <v>0</v>
      </c>
      <c r="AO316" s="45">
        <f>Inputs!$F$36*Inputs!$I$36*AJ316</f>
        <v>0</v>
      </c>
      <c r="AP316" s="55"/>
      <c r="AR316" s="116">
        <v>8</v>
      </c>
      <c r="AS316" s="114">
        <f>Inputs!$A$36</f>
        <v>0</v>
      </c>
      <c r="AT316" s="45">
        <f>Inputs!$B$36</f>
        <v>0</v>
      </c>
      <c r="AU316" s="45" t="s">
        <v>57</v>
      </c>
      <c r="AV316" s="45">
        <f t="shared" si="272"/>
        <v>0</v>
      </c>
      <c r="AW316" s="50"/>
      <c r="AX316" s="118">
        <v>8</v>
      </c>
      <c r="AY316" s="114">
        <f>Inputs!$A$36</f>
        <v>0</v>
      </c>
      <c r="AZ316" s="45">
        <f>Inputs!$B$36</f>
        <v>0</v>
      </c>
      <c r="BA316" s="45" t="s">
        <v>58</v>
      </c>
      <c r="BB316" s="45">
        <f t="shared" si="269"/>
        <v>0</v>
      </c>
      <c r="BC316" s="50"/>
      <c r="BD316" s="45">
        <v>0</v>
      </c>
      <c r="BE316" s="45">
        <v>0</v>
      </c>
      <c r="BF316" s="45">
        <f t="shared" si="317"/>
        <v>0</v>
      </c>
      <c r="BG316" s="50"/>
      <c r="BH316" s="45">
        <f t="shared" si="318"/>
        <v>0</v>
      </c>
      <c r="BI316" s="64">
        <f>BD316*Inputs!$F$36*Inputs!$G$36</f>
        <v>0</v>
      </c>
      <c r="BJ316" s="45">
        <f>Inputs!$F$36*Inputs!$I$36*BE316</f>
        <v>0</v>
      </c>
      <c r="BK316" s="55"/>
      <c r="BM316" s="116">
        <v>8</v>
      </c>
      <c r="BN316" s="114">
        <f>Inputs!$A$36</f>
        <v>0</v>
      </c>
      <c r="BO316" s="45">
        <f>Inputs!$B$36</f>
        <v>0</v>
      </c>
      <c r="BP316" s="45" t="s">
        <v>57</v>
      </c>
      <c r="BQ316" s="45">
        <f t="shared" si="270"/>
        <v>0</v>
      </c>
      <c r="BR316" s="50"/>
      <c r="BS316" s="118">
        <v>8</v>
      </c>
      <c r="BT316" s="114">
        <f>Inputs!$A$36</f>
        <v>0</v>
      </c>
      <c r="BU316" s="45">
        <f>Inputs!$B$36</f>
        <v>0</v>
      </c>
      <c r="BV316" s="45" t="s">
        <v>58</v>
      </c>
      <c r="BW316" s="45">
        <f t="shared" si="271"/>
        <v>0</v>
      </c>
      <c r="BX316" s="50"/>
      <c r="BY316" s="45">
        <v>0</v>
      </c>
      <c r="BZ316" s="45">
        <v>0</v>
      </c>
      <c r="CA316" s="45">
        <f t="shared" si="319"/>
        <v>0</v>
      </c>
      <c r="CB316" s="50"/>
      <c r="CC316" s="45">
        <f t="shared" si="320"/>
        <v>0</v>
      </c>
      <c r="CD316" s="64">
        <f>BY316*Inputs!$F$36*Inputs!$G$36</f>
        <v>0</v>
      </c>
      <c r="CE316" s="45">
        <f>Inputs!$F$36*Inputs!$I$36*BZ316</f>
        <v>0</v>
      </c>
      <c r="CF316" s="55"/>
    </row>
    <row r="317" spans="1:84" x14ac:dyDescent="0.25">
      <c r="A317" s="116">
        <v>9</v>
      </c>
      <c r="B317" s="114">
        <f>Inputs!$A$36</f>
        <v>0</v>
      </c>
      <c r="C317" s="45">
        <f>Inputs!$B$36</f>
        <v>0</v>
      </c>
      <c r="D317" s="45" t="s">
        <v>57</v>
      </c>
      <c r="E317" s="45">
        <v>0</v>
      </c>
      <c r="F317" s="50"/>
      <c r="G317" s="118">
        <v>9</v>
      </c>
      <c r="H317" s="114">
        <f>Inputs!$A$36</f>
        <v>0</v>
      </c>
      <c r="I317" s="45">
        <f>Inputs!$B$36</f>
        <v>0</v>
      </c>
      <c r="J317" s="45" t="s">
        <v>58</v>
      </c>
      <c r="K317" s="45">
        <v>0</v>
      </c>
      <c r="L317" s="50"/>
      <c r="M317" s="45">
        <v>0</v>
      </c>
      <c r="N317" s="45">
        <v>0</v>
      </c>
      <c r="O317" s="45">
        <f t="shared" si="313"/>
        <v>0</v>
      </c>
      <c r="P317" s="50"/>
      <c r="Q317" s="45">
        <f t="shared" si="314"/>
        <v>0</v>
      </c>
      <c r="R317" s="64">
        <f>M317*Inputs!$F$36*Inputs!$G$36</f>
        <v>0</v>
      </c>
      <c r="S317" s="45">
        <f>Inputs!$F$36*Inputs!$I$36*N317</f>
        <v>0</v>
      </c>
      <c r="T317" s="18"/>
      <c r="U317" s="55"/>
      <c r="W317" s="116">
        <v>9</v>
      </c>
      <c r="X317" s="114">
        <f>Inputs!$A$36</f>
        <v>0</v>
      </c>
      <c r="Y317" s="45">
        <f>Inputs!$B$36</f>
        <v>0</v>
      </c>
      <c r="Z317" s="45" t="s">
        <v>57</v>
      </c>
      <c r="AA317" s="45">
        <f t="shared" si="267"/>
        <v>0</v>
      </c>
      <c r="AB317" s="50"/>
      <c r="AC317" s="118">
        <v>9</v>
      </c>
      <c r="AD317" s="114">
        <f>Inputs!$A$36</f>
        <v>0</v>
      </c>
      <c r="AE317" s="45">
        <f>Inputs!$B$36</f>
        <v>0</v>
      </c>
      <c r="AF317" s="45" t="s">
        <v>58</v>
      </c>
      <c r="AG317" s="45">
        <f t="shared" si="268"/>
        <v>0</v>
      </c>
      <c r="AH317" s="50"/>
      <c r="AI317" s="45">
        <v>0</v>
      </c>
      <c r="AJ317" s="45">
        <v>0</v>
      </c>
      <c r="AK317" s="45">
        <f t="shared" si="315"/>
        <v>0</v>
      </c>
      <c r="AL317" s="50"/>
      <c r="AM317" s="45">
        <f t="shared" si="316"/>
        <v>0</v>
      </c>
      <c r="AN317" s="64">
        <f>AI317*Inputs!$F$36*Inputs!$G$36</f>
        <v>0</v>
      </c>
      <c r="AO317" s="45">
        <f>Inputs!$F$36*Inputs!$I$36*AJ317</f>
        <v>0</v>
      </c>
      <c r="AP317" s="55"/>
      <c r="AR317" s="116">
        <v>9</v>
      </c>
      <c r="AS317" s="114">
        <f>Inputs!$A$36</f>
        <v>0</v>
      </c>
      <c r="AT317" s="45">
        <f>Inputs!$B$36</f>
        <v>0</v>
      </c>
      <c r="AU317" s="45" t="s">
        <v>57</v>
      </c>
      <c r="AV317" s="45">
        <f t="shared" si="272"/>
        <v>0</v>
      </c>
      <c r="AW317" s="50"/>
      <c r="AX317" s="118">
        <v>9</v>
      </c>
      <c r="AY317" s="114">
        <f>Inputs!$A$36</f>
        <v>0</v>
      </c>
      <c r="AZ317" s="45">
        <f>Inputs!$B$36</f>
        <v>0</v>
      </c>
      <c r="BA317" s="45" t="s">
        <v>58</v>
      </c>
      <c r="BB317" s="45">
        <f t="shared" si="269"/>
        <v>0</v>
      </c>
      <c r="BC317" s="50"/>
      <c r="BD317" s="45">
        <v>0</v>
      </c>
      <c r="BE317" s="45">
        <v>0</v>
      </c>
      <c r="BF317" s="45">
        <f t="shared" si="317"/>
        <v>0</v>
      </c>
      <c r="BG317" s="50"/>
      <c r="BH317" s="45">
        <f t="shared" si="318"/>
        <v>0</v>
      </c>
      <c r="BI317" s="64">
        <f>BD317*Inputs!$F$36*Inputs!$G$36</f>
        <v>0</v>
      </c>
      <c r="BJ317" s="45">
        <f>Inputs!$F$36*Inputs!$I$36*BE317</f>
        <v>0</v>
      </c>
      <c r="BK317" s="55"/>
      <c r="BM317" s="116">
        <v>9</v>
      </c>
      <c r="BN317" s="114">
        <f>Inputs!$A$36</f>
        <v>0</v>
      </c>
      <c r="BO317" s="45">
        <f>Inputs!$B$36</f>
        <v>0</v>
      </c>
      <c r="BP317" s="45" t="s">
        <v>57</v>
      </c>
      <c r="BQ317" s="45">
        <f t="shared" si="270"/>
        <v>0</v>
      </c>
      <c r="BR317" s="50"/>
      <c r="BS317" s="118">
        <v>9</v>
      </c>
      <c r="BT317" s="114">
        <f>Inputs!$A$36</f>
        <v>0</v>
      </c>
      <c r="BU317" s="45">
        <f>Inputs!$B$36</f>
        <v>0</v>
      </c>
      <c r="BV317" s="45" t="s">
        <v>58</v>
      </c>
      <c r="BW317" s="45">
        <f t="shared" si="271"/>
        <v>0</v>
      </c>
      <c r="BX317" s="50"/>
      <c r="BY317" s="45">
        <v>0</v>
      </c>
      <c r="BZ317" s="45">
        <v>0</v>
      </c>
      <c r="CA317" s="45">
        <f t="shared" si="319"/>
        <v>0</v>
      </c>
      <c r="CB317" s="50"/>
      <c r="CC317" s="45">
        <f t="shared" si="320"/>
        <v>0</v>
      </c>
      <c r="CD317" s="64">
        <f>BY317*Inputs!$F$36*Inputs!$G$36</f>
        <v>0</v>
      </c>
      <c r="CE317" s="45">
        <f>Inputs!$F$36*Inputs!$I$36*BZ317</f>
        <v>0</v>
      </c>
      <c r="CF317" s="55"/>
    </row>
    <row r="318" spans="1:84" x14ac:dyDescent="0.25">
      <c r="A318" s="116">
        <v>10</v>
      </c>
      <c r="B318" s="114">
        <f>Inputs!$A$36</f>
        <v>0</v>
      </c>
      <c r="C318" s="45">
        <f>Inputs!$B$36</f>
        <v>0</v>
      </c>
      <c r="D318" s="45" t="s">
        <v>57</v>
      </c>
      <c r="E318" s="45">
        <v>0</v>
      </c>
      <c r="F318" s="50"/>
      <c r="G318" s="118">
        <v>10</v>
      </c>
      <c r="H318" s="114">
        <f>Inputs!$A$36</f>
        <v>0</v>
      </c>
      <c r="I318" s="45">
        <f>Inputs!$B$36</f>
        <v>0</v>
      </c>
      <c r="J318" s="45" t="s">
        <v>58</v>
      </c>
      <c r="K318" s="45">
        <v>0</v>
      </c>
      <c r="L318" s="50"/>
      <c r="M318" s="45">
        <v>0</v>
      </c>
      <c r="N318" s="45">
        <v>0</v>
      </c>
      <c r="O318" s="45">
        <f t="shared" si="313"/>
        <v>0</v>
      </c>
      <c r="P318" s="50"/>
      <c r="Q318" s="45">
        <f t="shared" si="314"/>
        <v>0</v>
      </c>
      <c r="R318" s="64">
        <f>M318*Inputs!$F$36*Inputs!$G$36</f>
        <v>0</v>
      </c>
      <c r="S318" s="45">
        <f>Inputs!$F$36*Inputs!$I$36*N318</f>
        <v>0</v>
      </c>
      <c r="T318" s="18"/>
      <c r="U318" s="91"/>
      <c r="W318" s="116">
        <v>10</v>
      </c>
      <c r="X318" s="114">
        <f>Inputs!$A$36</f>
        <v>0</v>
      </c>
      <c r="Y318" s="45">
        <f>Inputs!$B$36</f>
        <v>0</v>
      </c>
      <c r="Z318" s="45" t="s">
        <v>57</v>
      </c>
      <c r="AA318" s="45">
        <f t="shared" si="267"/>
        <v>0</v>
      </c>
      <c r="AB318" s="50"/>
      <c r="AC318" s="118">
        <v>10</v>
      </c>
      <c r="AD318" s="114">
        <f>Inputs!$A$36</f>
        <v>0</v>
      </c>
      <c r="AE318" s="45">
        <f>Inputs!$B$36</f>
        <v>0</v>
      </c>
      <c r="AF318" s="45" t="s">
        <v>58</v>
      </c>
      <c r="AG318" s="45">
        <f t="shared" si="268"/>
        <v>0</v>
      </c>
      <c r="AH318" s="50"/>
      <c r="AI318" s="45">
        <v>0</v>
      </c>
      <c r="AJ318" s="45">
        <v>0</v>
      </c>
      <c r="AK318" s="45">
        <f t="shared" si="315"/>
        <v>0</v>
      </c>
      <c r="AL318" s="50"/>
      <c r="AM318" s="45">
        <f t="shared" si="316"/>
        <v>0</v>
      </c>
      <c r="AN318" s="64">
        <f>AI318*Inputs!$F$36*Inputs!$G$36</f>
        <v>0</v>
      </c>
      <c r="AO318" s="45">
        <f>Inputs!$F$36*Inputs!$I$36*AJ318</f>
        <v>0</v>
      </c>
      <c r="AP318" s="91"/>
      <c r="AR318" s="116">
        <v>10</v>
      </c>
      <c r="AS318" s="114">
        <f>Inputs!$A$36</f>
        <v>0</v>
      </c>
      <c r="AT318" s="45">
        <f>Inputs!$B$36</f>
        <v>0</v>
      </c>
      <c r="AU318" s="45" t="s">
        <v>57</v>
      </c>
      <c r="AV318" s="45">
        <f t="shared" si="272"/>
        <v>0</v>
      </c>
      <c r="AW318" s="50"/>
      <c r="AX318" s="118">
        <v>10</v>
      </c>
      <c r="AY318" s="114">
        <f>Inputs!$A$36</f>
        <v>0</v>
      </c>
      <c r="AZ318" s="45">
        <f>Inputs!$B$36</f>
        <v>0</v>
      </c>
      <c r="BA318" s="45" t="s">
        <v>58</v>
      </c>
      <c r="BB318" s="45">
        <f t="shared" si="269"/>
        <v>0</v>
      </c>
      <c r="BC318" s="50"/>
      <c r="BD318" s="45">
        <v>0</v>
      </c>
      <c r="BE318" s="45">
        <v>0</v>
      </c>
      <c r="BF318" s="45">
        <f t="shared" si="317"/>
        <v>0</v>
      </c>
      <c r="BG318" s="50"/>
      <c r="BH318" s="45">
        <f t="shared" si="318"/>
        <v>0</v>
      </c>
      <c r="BI318" s="64">
        <f>BD318*Inputs!$F$36*Inputs!$G$36</f>
        <v>0</v>
      </c>
      <c r="BJ318" s="45">
        <f>Inputs!$F$36*Inputs!$I$36*BE318</f>
        <v>0</v>
      </c>
      <c r="BK318" s="91"/>
      <c r="BM318" s="116">
        <v>10</v>
      </c>
      <c r="BN318" s="114">
        <f>Inputs!$A$36</f>
        <v>0</v>
      </c>
      <c r="BO318" s="45">
        <f>Inputs!$B$36</f>
        <v>0</v>
      </c>
      <c r="BP318" s="45" t="s">
        <v>57</v>
      </c>
      <c r="BQ318" s="45">
        <f t="shared" si="270"/>
        <v>0</v>
      </c>
      <c r="BR318" s="50"/>
      <c r="BS318" s="118">
        <v>10</v>
      </c>
      <c r="BT318" s="114">
        <f>Inputs!$A$36</f>
        <v>0</v>
      </c>
      <c r="BU318" s="45">
        <f>Inputs!$B$36</f>
        <v>0</v>
      </c>
      <c r="BV318" s="45" t="s">
        <v>58</v>
      </c>
      <c r="BW318" s="45">
        <f t="shared" si="271"/>
        <v>0</v>
      </c>
      <c r="BX318" s="50"/>
      <c r="BY318" s="45">
        <v>0</v>
      </c>
      <c r="BZ318" s="45">
        <v>0</v>
      </c>
      <c r="CA318" s="45">
        <f t="shared" si="319"/>
        <v>0</v>
      </c>
      <c r="CB318" s="50"/>
      <c r="CC318" s="45">
        <f t="shared" si="320"/>
        <v>0</v>
      </c>
      <c r="CD318" s="64">
        <f>BY318*Inputs!$F$36*Inputs!$G$36</f>
        <v>0</v>
      </c>
      <c r="CE318" s="45">
        <f>Inputs!$F$36*Inputs!$I$36*BZ318</f>
        <v>0</v>
      </c>
      <c r="CF318" s="91"/>
    </row>
    <row r="319" spans="1:84" x14ac:dyDescent="0.25">
      <c r="A319" s="116">
        <v>11</v>
      </c>
      <c r="B319" s="114">
        <f>Inputs!$A$36</f>
        <v>0</v>
      </c>
      <c r="C319" s="45">
        <f>Inputs!$B$36</f>
        <v>0</v>
      </c>
      <c r="D319" s="45" t="s">
        <v>57</v>
      </c>
      <c r="E319" s="45">
        <v>0</v>
      </c>
      <c r="F319" s="50"/>
      <c r="G319" s="118">
        <v>11</v>
      </c>
      <c r="H319" s="114">
        <f>Inputs!$A$36</f>
        <v>0</v>
      </c>
      <c r="I319" s="45">
        <f>Inputs!$B$36</f>
        <v>0</v>
      </c>
      <c r="J319" s="45" t="s">
        <v>58</v>
      </c>
      <c r="K319" s="45">
        <v>0</v>
      </c>
      <c r="L319" s="50"/>
      <c r="M319" s="45">
        <v>0</v>
      </c>
      <c r="N319" s="45">
        <v>0</v>
      </c>
      <c r="O319" s="45">
        <f t="shared" si="313"/>
        <v>0</v>
      </c>
      <c r="P319" s="50"/>
      <c r="Q319" s="45">
        <f t="shared" si="314"/>
        <v>0</v>
      </c>
      <c r="R319" s="64">
        <f>M319*Inputs!$F$36*Inputs!$H$36</f>
        <v>0</v>
      </c>
      <c r="S319" s="45">
        <f>Inputs!$F$36*Inputs!$I$36*N319</f>
        <v>0</v>
      </c>
      <c r="T319" s="18"/>
      <c r="U319" s="56"/>
      <c r="W319" s="116">
        <v>11</v>
      </c>
      <c r="X319" s="114">
        <f>Inputs!$A$36</f>
        <v>0</v>
      </c>
      <c r="Y319" s="45">
        <f>Inputs!$B$36</f>
        <v>0</v>
      </c>
      <c r="Z319" s="45" t="s">
        <v>57</v>
      </c>
      <c r="AA319" s="45">
        <f t="shared" si="267"/>
        <v>0</v>
      </c>
      <c r="AB319" s="50"/>
      <c r="AC319" s="118">
        <v>11</v>
      </c>
      <c r="AD319" s="114">
        <f>Inputs!$A$36</f>
        <v>0</v>
      </c>
      <c r="AE319" s="45">
        <f>Inputs!$B$36</f>
        <v>0</v>
      </c>
      <c r="AF319" s="45" t="s">
        <v>58</v>
      </c>
      <c r="AG319" s="45">
        <f t="shared" si="268"/>
        <v>0</v>
      </c>
      <c r="AH319" s="50"/>
      <c r="AI319" s="45">
        <v>0</v>
      </c>
      <c r="AJ319" s="45">
        <v>0</v>
      </c>
      <c r="AK319" s="45">
        <f t="shared" si="315"/>
        <v>0</v>
      </c>
      <c r="AL319" s="50"/>
      <c r="AM319" s="45">
        <f t="shared" si="316"/>
        <v>0</v>
      </c>
      <c r="AN319" s="64">
        <f>AI319*Inputs!$F$36*Inputs!$H$36</f>
        <v>0</v>
      </c>
      <c r="AO319" s="45">
        <f>Inputs!$F$36*Inputs!$I$36*AJ319</f>
        <v>0</v>
      </c>
      <c r="AP319" s="56"/>
      <c r="AR319" s="116">
        <v>11</v>
      </c>
      <c r="AS319" s="114">
        <f>Inputs!$A$36</f>
        <v>0</v>
      </c>
      <c r="AT319" s="45">
        <f>Inputs!$B$36</f>
        <v>0</v>
      </c>
      <c r="AU319" s="45" t="s">
        <v>57</v>
      </c>
      <c r="AV319" s="45">
        <f t="shared" si="272"/>
        <v>0</v>
      </c>
      <c r="AW319" s="50"/>
      <c r="AX319" s="118">
        <v>11</v>
      </c>
      <c r="AY319" s="114">
        <f>Inputs!$A$36</f>
        <v>0</v>
      </c>
      <c r="AZ319" s="45">
        <f>Inputs!$B$36</f>
        <v>0</v>
      </c>
      <c r="BA319" s="45" t="s">
        <v>58</v>
      </c>
      <c r="BB319" s="45">
        <f t="shared" si="269"/>
        <v>0</v>
      </c>
      <c r="BC319" s="50"/>
      <c r="BD319" s="45">
        <v>0</v>
      </c>
      <c r="BE319" s="45">
        <v>0</v>
      </c>
      <c r="BF319" s="45">
        <f t="shared" si="317"/>
        <v>0</v>
      </c>
      <c r="BG319" s="50"/>
      <c r="BH319" s="45">
        <f t="shared" si="318"/>
        <v>0</v>
      </c>
      <c r="BI319" s="64">
        <f>BD319*Inputs!$F$36*Inputs!$H$36</f>
        <v>0</v>
      </c>
      <c r="BJ319" s="45">
        <f>Inputs!$F$36*Inputs!$I$36*BE319</f>
        <v>0</v>
      </c>
      <c r="BK319" s="56"/>
      <c r="BM319" s="116">
        <v>11</v>
      </c>
      <c r="BN319" s="114">
        <f>Inputs!$A$36</f>
        <v>0</v>
      </c>
      <c r="BO319" s="45">
        <f>Inputs!$B$36</f>
        <v>0</v>
      </c>
      <c r="BP319" s="45" t="s">
        <v>57</v>
      </c>
      <c r="BQ319" s="45">
        <f t="shared" si="270"/>
        <v>0</v>
      </c>
      <c r="BR319" s="50"/>
      <c r="BS319" s="118">
        <v>11</v>
      </c>
      <c r="BT319" s="114">
        <f>Inputs!$A$36</f>
        <v>0</v>
      </c>
      <c r="BU319" s="45">
        <f>Inputs!$B$36</f>
        <v>0</v>
      </c>
      <c r="BV319" s="45" t="s">
        <v>58</v>
      </c>
      <c r="BW319" s="45">
        <f t="shared" si="271"/>
        <v>0</v>
      </c>
      <c r="BX319" s="50"/>
      <c r="BY319" s="45">
        <v>0</v>
      </c>
      <c r="BZ319" s="45">
        <v>0</v>
      </c>
      <c r="CA319" s="45">
        <f t="shared" si="319"/>
        <v>0</v>
      </c>
      <c r="CB319" s="50"/>
      <c r="CC319" s="45">
        <f t="shared" si="320"/>
        <v>0</v>
      </c>
      <c r="CD319" s="64">
        <f>BY319*Inputs!$F$36*Inputs!$H$36</f>
        <v>0</v>
      </c>
      <c r="CE319" s="45">
        <f>Inputs!$F$36*Inputs!$I$36*BZ319</f>
        <v>0</v>
      </c>
      <c r="CF319" s="56"/>
    </row>
    <row r="320" spans="1:84" x14ac:dyDescent="0.25">
      <c r="A320" s="117">
        <v>3</v>
      </c>
      <c r="B320" s="115">
        <f>Inputs!$A$37</f>
        <v>0</v>
      </c>
      <c r="C320" s="44">
        <f>Inputs!$B$37</f>
        <v>0</v>
      </c>
      <c r="D320" s="44" t="s">
        <v>57</v>
      </c>
      <c r="E320" s="44">
        <v>0</v>
      </c>
      <c r="F320" s="50"/>
      <c r="G320" s="119">
        <v>3</v>
      </c>
      <c r="H320" s="115">
        <f>Inputs!$A$37</f>
        <v>0</v>
      </c>
      <c r="I320" s="44">
        <f>Inputs!$B$37</f>
        <v>0</v>
      </c>
      <c r="J320" s="44" t="s">
        <v>58</v>
      </c>
      <c r="K320" s="44">
        <v>0</v>
      </c>
      <c r="L320" s="50"/>
      <c r="M320" s="44">
        <v>0</v>
      </c>
      <c r="N320" s="44">
        <v>0</v>
      </c>
      <c r="O320" s="44">
        <f>U320-0-E320-K320</f>
        <v>0</v>
      </c>
      <c r="P320" s="50"/>
      <c r="Q320" s="44">
        <f>E320+K320+N320-U320+0-M320</f>
        <v>0</v>
      </c>
      <c r="R320" s="63">
        <f>M320*Inputs!$F$37*Inputs!$G$37</f>
        <v>0</v>
      </c>
      <c r="S320" s="44">
        <f>Inputs!$F$37*Inputs!$I$37*N320</f>
        <v>0</v>
      </c>
      <c r="T320" s="18"/>
      <c r="U320" s="54"/>
      <c r="W320" s="117">
        <v>3</v>
      </c>
      <c r="X320" s="115">
        <f>Inputs!$A$37</f>
        <v>0</v>
      </c>
      <c r="Y320" s="44">
        <f>Inputs!$B$37</f>
        <v>0</v>
      </c>
      <c r="Z320" s="44" t="s">
        <v>57</v>
      </c>
      <c r="AA320" s="44">
        <f t="shared" si="267"/>
        <v>0</v>
      </c>
      <c r="AB320" s="50"/>
      <c r="AC320" s="119">
        <v>3</v>
      </c>
      <c r="AD320" s="115">
        <f>Inputs!$A$37</f>
        <v>0</v>
      </c>
      <c r="AE320" s="44">
        <f>Inputs!$B$37</f>
        <v>0</v>
      </c>
      <c r="AF320" s="44" t="s">
        <v>58</v>
      </c>
      <c r="AG320" s="44">
        <f t="shared" si="268"/>
        <v>0</v>
      </c>
      <c r="AH320" s="50"/>
      <c r="AI320" s="44">
        <v>0</v>
      </c>
      <c r="AJ320" s="44">
        <v>0</v>
      </c>
      <c r="AK320" s="44">
        <f>AP320-0-AA320-AG320</f>
        <v>0</v>
      </c>
      <c r="AL320" s="50"/>
      <c r="AM320" s="44">
        <f>AA320+AG320+AJ320-AP320+0-AI320</f>
        <v>0</v>
      </c>
      <c r="AN320" s="63">
        <f>AI320*Inputs!$F$37*Inputs!$G$37</f>
        <v>0</v>
      </c>
      <c r="AO320" s="44">
        <f>Inputs!$F$37*Inputs!$I$37*AJ320</f>
        <v>0</v>
      </c>
      <c r="AP320" s="54"/>
      <c r="AR320" s="117">
        <v>3</v>
      </c>
      <c r="AS320" s="115">
        <f>Inputs!$A$37</f>
        <v>0</v>
      </c>
      <c r="AT320" s="44">
        <f>Inputs!$B$37</f>
        <v>0</v>
      </c>
      <c r="AU320" s="44" t="s">
        <v>57</v>
      </c>
      <c r="AV320" s="44">
        <f t="shared" si="272"/>
        <v>0</v>
      </c>
      <c r="AW320" s="50"/>
      <c r="AX320" s="119">
        <v>3</v>
      </c>
      <c r="AY320" s="115">
        <f>Inputs!$A$37</f>
        <v>0</v>
      </c>
      <c r="AZ320" s="44">
        <f>Inputs!$B$37</f>
        <v>0</v>
      </c>
      <c r="BA320" s="44" t="s">
        <v>58</v>
      </c>
      <c r="BB320" s="44">
        <f t="shared" si="269"/>
        <v>0</v>
      </c>
      <c r="BC320" s="50"/>
      <c r="BD320" s="44">
        <v>0</v>
      </c>
      <c r="BE320" s="44">
        <v>0</v>
      </c>
      <c r="BF320" s="44">
        <f>BK320-0-AV320-BB320</f>
        <v>0</v>
      </c>
      <c r="BG320" s="50"/>
      <c r="BH320" s="44">
        <f>AV320+BB320+BE320-BK320+0-BD320</f>
        <v>0</v>
      </c>
      <c r="BI320" s="63">
        <f>BD320*Inputs!$F$37*Inputs!$G$37</f>
        <v>0</v>
      </c>
      <c r="BJ320" s="44">
        <f>Inputs!$F$37*Inputs!$I$37*BE320</f>
        <v>0</v>
      </c>
      <c r="BK320" s="54"/>
      <c r="BM320" s="117">
        <v>3</v>
      </c>
      <c r="BN320" s="115">
        <f>Inputs!$A$37</f>
        <v>0</v>
      </c>
      <c r="BO320" s="44">
        <f>Inputs!$B$37</f>
        <v>0</v>
      </c>
      <c r="BP320" s="44" t="s">
        <v>57</v>
      </c>
      <c r="BQ320" s="44">
        <f t="shared" si="270"/>
        <v>0</v>
      </c>
      <c r="BR320" s="50"/>
      <c r="BS320" s="119">
        <v>3</v>
      </c>
      <c r="BT320" s="115">
        <f>Inputs!$A$37</f>
        <v>0</v>
      </c>
      <c r="BU320" s="44">
        <f>Inputs!$B$37</f>
        <v>0</v>
      </c>
      <c r="BV320" s="44" t="s">
        <v>58</v>
      </c>
      <c r="BW320" s="44">
        <f t="shared" si="271"/>
        <v>0</v>
      </c>
      <c r="BX320" s="50"/>
      <c r="BY320" s="44">
        <v>0</v>
      </c>
      <c r="BZ320" s="44">
        <v>0</v>
      </c>
      <c r="CA320" s="44">
        <f>CF320-0-BQ320-BW320</f>
        <v>0</v>
      </c>
      <c r="CB320" s="50"/>
      <c r="CC320" s="44">
        <f>BQ320+BW320+BZ320-CF320+0-BY320</f>
        <v>0</v>
      </c>
      <c r="CD320" s="63">
        <f>BY320*Inputs!$F$37*Inputs!$G$37</f>
        <v>0</v>
      </c>
      <c r="CE320" s="44">
        <f>Inputs!$F$37*Inputs!$I$37*BZ320</f>
        <v>0</v>
      </c>
      <c r="CF320" s="54"/>
    </row>
    <row r="321" spans="1:84" x14ac:dyDescent="0.25">
      <c r="A321" s="117">
        <v>4</v>
      </c>
      <c r="B321" s="115">
        <f>Inputs!$A$37</f>
        <v>0</v>
      </c>
      <c r="C321" s="44">
        <f>Inputs!$B$37</f>
        <v>0</v>
      </c>
      <c r="D321" s="44" t="s">
        <v>57</v>
      </c>
      <c r="E321" s="44">
        <v>0</v>
      </c>
      <c r="F321" s="50"/>
      <c r="G321" s="119">
        <v>4</v>
      </c>
      <c r="H321" s="115">
        <f>Inputs!$A$37</f>
        <v>0</v>
      </c>
      <c r="I321" s="44">
        <f>Inputs!$B$37</f>
        <v>0</v>
      </c>
      <c r="J321" s="44" t="s">
        <v>58</v>
      </c>
      <c r="K321" s="44">
        <v>0</v>
      </c>
      <c r="L321" s="50"/>
      <c r="M321" s="44">
        <v>0</v>
      </c>
      <c r="N321" s="44">
        <v>0</v>
      </c>
      <c r="O321" s="44">
        <f t="shared" ref="O321:O328" si="321">U321-M320-E321-K321</f>
        <v>0</v>
      </c>
      <c r="P321" s="50"/>
      <c r="Q321" s="44">
        <f t="shared" ref="Q321:Q328" si="322">E321+K321+N321-U321+M320-M321</f>
        <v>0</v>
      </c>
      <c r="R321" s="63">
        <f>M321*Inputs!$F$37*Inputs!$G$37</f>
        <v>0</v>
      </c>
      <c r="S321" s="44">
        <f>Inputs!$F$37*Inputs!$I$37*N321</f>
        <v>0</v>
      </c>
      <c r="T321" s="18"/>
      <c r="U321" s="55"/>
      <c r="W321" s="117">
        <v>4</v>
      </c>
      <c r="X321" s="115">
        <f>Inputs!$A$37</f>
        <v>0</v>
      </c>
      <c r="Y321" s="44">
        <f>Inputs!$B$37</f>
        <v>0</v>
      </c>
      <c r="Z321" s="44" t="s">
        <v>57</v>
      </c>
      <c r="AA321" s="44">
        <f t="shared" si="267"/>
        <v>0</v>
      </c>
      <c r="AB321" s="50"/>
      <c r="AC321" s="119">
        <v>4</v>
      </c>
      <c r="AD321" s="115">
        <f>Inputs!$A$37</f>
        <v>0</v>
      </c>
      <c r="AE321" s="44">
        <f>Inputs!$B$37</f>
        <v>0</v>
      </c>
      <c r="AF321" s="44" t="s">
        <v>58</v>
      </c>
      <c r="AG321" s="44">
        <f t="shared" si="268"/>
        <v>0</v>
      </c>
      <c r="AH321" s="50"/>
      <c r="AI321" s="44">
        <v>0</v>
      </c>
      <c r="AJ321" s="44">
        <v>0</v>
      </c>
      <c r="AK321" s="44">
        <f t="shared" ref="AK321:AK328" si="323">AP321-AI320-AA321-AG321</f>
        <v>0</v>
      </c>
      <c r="AL321" s="50"/>
      <c r="AM321" s="44">
        <f t="shared" ref="AM321:AM328" si="324">AA321+AG321+AJ321-AP321+AI320-AI321</f>
        <v>0</v>
      </c>
      <c r="AN321" s="63">
        <f>AI321*Inputs!$F$37*Inputs!$G$37</f>
        <v>0</v>
      </c>
      <c r="AO321" s="44">
        <f>Inputs!$F$37*Inputs!$I$37*AJ321</f>
        <v>0</v>
      </c>
      <c r="AP321" s="55"/>
      <c r="AR321" s="117">
        <v>4</v>
      </c>
      <c r="AS321" s="115">
        <f>Inputs!$A$37</f>
        <v>0</v>
      </c>
      <c r="AT321" s="44">
        <f>Inputs!$B$37</f>
        <v>0</v>
      </c>
      <c r="AU321" s="44" t="s">
        <v>57</v>
      </c>
      <c r="AV321" s="44">
        <f t="shared" si="272"/>
        <v>0</v>
      </c>
      <c r="AW321" s="50"/>
      <c r="AX321" s="119">
        <v>4</v>
      </c>
      <c r="AY321" s="115">
        <f>Inputs!$A$37</f>
        <v>0</v>
      </c>
      <c r="AZ321" s="44">
        <f>Inputs!$B$37</f>
        <v>0</v>
      </c>
      <c r="BA321" s="44" t="s">
        <v>58</v>
      </c>
      <c r="BB321" s="44">
        <f t="shared" si="269"/>
        <v>0</v>
      </c>
      <c r="BC321" s="50"/>
      <c r="BD321" s="44">
        <v>0</v>
      </c>
      <c r="BE321" s="44">
        <v>0</v>
      </c>
      <c r="BF321" s="44">
        <f t="shared" ref="BF321:BF328" si="325">BK321-BD320-AV321-BB321</f>
        <v>0</v>
      </c>
      <c r="BG321" s="50"/>
      <c r="BH321" s="44">
        <f t="shared" ref="BH321:BH328" si="326">AV321+BB321+BE321-BK321+BD320-BD321</f>
        <v>0</v>
      </c>
      <c r="BI321" s="63">
        <f>BD321*Inputs!$F$37*Inputs!$G$37</f>
        <v>0</v>
      </c>
      <c r="BJ321" s="44">
        <f>Inputs!$F$37*Inputs!$I$37*BE321</f>
        <v>0</v>
      </c>
      <c r="BK321" s="55"/>
      <c r="BM321" s="117">
        <v>4</v>
      </c>
      <c r="BN321" s="115">
        <f>Inputs!$A$37</f>
        <v>0</v>
      </c>
      <c r="BO321" s="44">
        <f>Inputs!$B$37</f>
        <v>0</v>
      </c>
      <c r="BP321" s="44" t="s">
        <v>57</v>
      </c>
      <c r="BQ321" s="44">
        <f t="shared" si="270"/>
        <v>0</v>
      </c>
      <c r="BR321" s="50"/>
      <c r="BS321" s="119">
        <v>4</v>
      </c>
      <c r="BT321" s="115">
        <f>Inputs!$A$37</f>
        <v>0</v>
      </c>
      <c r="BU321" s="44">
        <f>Inputs!$B$37</f>
        <v>0</v>
      </c>
      <c r="BV321" s="44" t="s">
        <v>58</v>
      </c>
      <c r="BW321" s="44">
        <f t="shared" si="271"/>
        <v>0</v>
      </c>
      <c r="BX321" s="50"/>
      <c r="BY321" s="44">
        <v>0</v>
      </c>
      <c r="BZ321" s="44">
        <v>0</v>
      </c>
      <c r="CA321" s="44">
        <f t="shared" ref="CA321:CA328" si="327">CF321-BY320-BQ321-BW321</f>
        <v>0</v>
      </c>
      <c r="CB321" s="50"/>
      <c r="CC321" s="44">
        <f t="shared" ref="CC321:CC328" si="328">BQ321+BW321+BZ321-CF321+BY320-BY321</f>
        <v>0</v>
      </c>
      <c r="CD321" s="63">
        <f>BY321*Inputs!$F$37*Inputs!$G$37</f>
        <v>0</v>
      </c>
      <c r="CE321" s="44">
        <f>Inputs!$F$37*Inputs!$I$37*BZ321</f>
        <v>0</v>
      </c>
      <c r="CF321" s="55"/>
    </row>
    <row r="322" spans="1:84" x14ac:dyDescent="0.25">
      <c r="A322" s="117">
        <v>5</v>
      </c>
      <c r="B322" s="115">
        <f>Inputs!$A$37</f>
        <v>0</v>
      </c>
      <c r="C322" s="44">
        <f>Inputs!$B$37</f>
        <v>0</v>
      </c>
      <c r="D322" s="44" t="s">
        <v>57</v>
      </c>
      <c r="E322" s="44">
        <v>0</v>
      </c>
      <c r="F322" s="50"/>
      <c r="G322" s="119">
        <v>5</v>
      </c>
      <c r="H322" s="115">
        <f>Inputs!$A$37</f>
        <v>0</v>
      </c>
      <c r="I322" s="44">
        <f>Inputs!$B$37</f>
        <v>0</v>
      </c>
      <c r="J322" s="44" t="s">
        <v>58</v>
      </c>
      <c r="K322" s="44">
        <v>0</v>
      </c>
      <c r="L322" s="50"/>
      <c r="M322" s="44">
        <v>0</v>
      </c>
      <c r="N322" s="44">
        <v>0</v>
      </c>
      <c r="O322" s="44">
        <f t="shared" si="321"/>
        <v>0</v>
      </c>
      <c r="P322" s="50"/>
      <c r="Q322" s="44">
        <f t="shared" si="322"/>
        <v>0</v>
      </c>
      <c r="R322" s="63">
        <f>M322*Inputs!$F$37*Inputs!$G$37</f>
        <v>0</v>
      </c>
      <c r="S322" s="44">
        <f>Inputs!$F$37*Inputs!$I$37*N322</f>
        <v>0</v>
      </c>
      <c r="T322" s="18"/>
      <c r="U322" s="55"/>
      <c r="W322" s="117">
        <v>5</v>
      </c>
      <c r="X322" s="115">
        <f>Inputs!$A$37</f>
        <v>0</v>
      </c>
      <c r="Y322" s="44">
        <f>Inputs!$B$37</f>
        <v>0</v>
      </c>
      <c r="Z322" s="44" t="s">
        <v>57</v>
      </c>
      <c r="AA322" s="44">
        <f t="shared" si="267"/>
        <v>0</v>
      </c>
      <c r="AB322" s="50"/>
      <c r="AC322" s="119">
        <v>5</v>
      </c>
      <c r="AD322" s="115">
        <f>Inputs!$A$37</f>
        <v>0</v>
      </c>
      <c r="AE322" s="44">
        <f>Inputs!$B$37</f>
        <v>0</v>
      </c>
      <c r="AF322" s="44" t="s">
        <v>58</v>
      </c>
      <c r="AG322" s="44">
        <f t="shared" si="268"/>
        <v>0</v>
      </c>
      <c r="AH322" s="50"/>
      <c r="AI322" s="44">
        <v>0</v>
      </c>
      <c r="AJ322" s="44">
        <v>0</v>
      </c>
      <c r="AK322" s="44">
        <f t="shared" si="323"/>
        <v>0</v>
      </c>
      <c r="AL322" s="50"/>
      <c r="AM322" s="44">
        <f t="shared" si="324"/>
        <v>0</v>
      </c>
      <c r="AN322" s="63">
        <f>AI322*Inputs!$F$37*Inputs!$G$37</f>
        <v>0</v>
      </c>
      <c r="AO322" s="44">
        <f>Inputs!$F$37*Inputs!$I$37*AJ322</f>
        <v>0</v>
      </c>
      <c r="AP322" s="55"/>
      <c r="AR322" s="117">
        <v>5</v>
      </c>
      <c r="AS322" s="115">
        <f>Inputs!$A$37</f>
        <v>0</v>
      </c>
      <c r="AT322" s="44">
        <f>Inputs!$B$37</f>
        <v>0</v>
      </c>
      <c r="AU322" s="44" t="s">
        <v>57</v>
      </c>
      <c r="AV322" s="44">
        <f t="shared" si="272"/>
        <v>0</v>
      </c>
      <c r="AW322" s="50"/>
      <c r="AX322" s="119">
        <v>5</v>
      </c>
      <c r="AY322" s="115">
        <f>Inputs!$A$37</f>
        <v>0</v>
      </c>
      <c r="AZ322" s="44">
        <f>Inputs!$B$37</f>
        <v>0</v>
      </c>
      <c r="BA322" s="44" t="s">
        <v>58</v>
      </c>
      <c r="BB322" s="44">
        <f t="shared" si="269"/>
        <v>0</v>
      </c>
      <c r="BC322" s="50"/>
      <c r="BD322" s="44">
        <v>0</v>
      </c>
      <c r="BE322" s="44">
        <v>0</v>
      </c>
      <c r="BF322" s="44">
        <f t="shared" si="325"/>
        <v>0</v>
      </c>
      <c r="BG322" s="50"/>
      <c r="BH322" s="44">
        <f t="shared" si="326"/>
        <v>0</v>
      </c>
      <c r="BI322" s="63">
        <f>BD322*Inputs!$F$37*Inputs!$G$37</f>
        <v>0</v>
      </c>
      <c r="BJ322" s="44">
        <f>Inputs!$F$37*Inputs!$I$37*BE322</f>
        <v>0</v>
      </c>
      <c r="BK322" s="55"/>
      <c r="BM322" s="117">
        <v>5</v>
      </c>
      <c r="BN322" s="115">
        <f>Inputs!$A$37</f>
        <v>0</v>
      </c>
      <c r="BO322" s="44">
        <f>Inputs!$B$37</f>
        <v>0</v>
      </c>
      <c r="BP322" s="44" t="s">
        <v>57</v>
      </c>
      <c r="BQ322" s="44">
        <f t="shared" si="270"/>
        <v>0</v>
      </c>
      <c r="BR322" s="50"/>
      <c r="BS322" s="119">
        <v>5</v>
      </c>
      <c r="BT322" s="115">
        <f>Inputs!$A$37</f>
        <v>0</v>
      </c>
      <c r="BU322" s="44">
        <f>Inputs!$B$37</f>
        <v>0</v>
      </c>
      <c r="BV322" s="44" t="s">
        <v>58</v>
      </c>
      <c r="BW322" s="44">
        <f t="shared" si="271"/>
        <v>0</v>
      </c>
      <c r="BX322" s="50"/>
      <c r="BY322" s="44">
        <v>0</v>
      </c>
      <c r="BZ322" s="44">
        <v>0</v>
      </c>
      <c r="CA322" s="44">
        <f t="shared" si="327"/>
        <v>0</v>
      </c>
      <c r="CB322" s="50"/>
      <c r="CC322" s="44">
        <f t="shared" si="328"/>
        <v>0</v>
      </c>
      <c r="CD322" s="63">
        <f>BY322*Inputs!$F$37*Inputs!$G$37</f>
        <v>0</v>
      </c>
      <c r="CE322" s="44">
        <f>Inputs!$F$37*Inputs!$I$37*BZ322</f>
        <v>0</v>
      </c>
      <c r="CF322" s="55"/>
    </row>
    <row r="323" spans="1:84" x14ac:dyDescent="0.25">
      <c r="A323" s="117">
        <v>6</v>
      </c>
      <c r="B323" s="115">
        <f>Inputs!$A$37</f>
        <v>0</v>
      </c>
      <c r="C323" s="44">
        <f>Inputs!$B$37</f>
        <v>0</v>
      </c>
      <c r="D323" s="44" t="s">
        <v>57</v>
      </c>
      <c r="E323" s="44">
        <v>0</v>
      </c>
      <c r="F323" s="50"/>
      <c r="G323" s="119">
        <v>6</v>
      </c>
      <c r="H323" s="115">
        <f>Inputs!$A$37</f>
        <v>0</v>
      </c>
      <c r="I323" s="44">
        <f>Inputs!$B$37</f>
        <v>0</v>
      </c>
      <c r="J323" s="44" t="s">
        <v>58</v>
      </c>
      <c r="K323" s="44">
        <v>0</v>
      </c>
      <c r="L323" s="50"/>
      <c r="M323" s="44">
        <v>0</v>
      </c>
      <c r="N323" s="44">
        <v>0</v>
      </c>
      <c r="O323" s="44">
        <f t="shared" si="321"/>
        <v>0</v>
      </c>
      <c r="P323" s="50"/>
      <c r="Q323" s="44">
        <f t="shared" si="322"/>
        <v>0</v>
      </c>
      <c r="R323" s="63">
        <f>M323*Inputs!$F$37*Inputs!$G$37</f>
        <v>0</v>
      </c>
      <c r="S323" s="44">
        <f>Inputs!$F$37*Inputs!$I$37*N323</f>
        <v>0</v>
      </c>
      <c r="T323" s="18"/>
      <c r="U323" s="55"/>
      <c r="W323" s="117">
        <v>6</v>
      </c>
      <c r="X323" s="115">
        <f>Inputs!$A$37</f>
        <v>0</v>
      </c>
      <c r="Y323" s="44">
        <f>Inputs!$B$37</f>
        <v>0</v>
      </c>
      <c r="Z323" s="44" t="s">
        <v>57</v>
      </c>
      <c r="AA323" s="44">
        <f t="shared" si="267"/>
        <v>0</v>
      </c>
      <c r="AB323" s="50"/>
      <c r="AC323" s="119">
        <v>6</v>
      </c>
      <c r="AD323" s="115">
        <f>Inputs!$A$37</f>
        <v>0</v>
      </c>
      <c r="AE323" s="44">
        <f>Inputs!$B$37</f>
        <v>0</v>
      </c>
      <c r="AF323" s="44" t="s">
        <v>58</v>
      </c>
      <c r="AG323" s="44">
        <f t="shared" si="268"/>
        <v>0</v>
      </c>
      <c r="AH323" s="50"/>
      <c r="AI323" s="44">
        <v>0</v>
      </c>
      <c r="AJ323" s="44">
        <v>0</v>
      </c>
      <c r="AK323" s="44">
        <f t="shared" si="323"/>
        <v>0</v>
      </c>
      <c r="AL323" s="50"/>
      <c r="AM323" s="44">
        <f t="shared" si="324"/>
        <v>0</v>
      </c>
      <c r="AN323" s="63">
        <f>AI323*Inputs!$F$37*Inputs!$G$37</f>
        <v>0</v>
      </c>
      <c r="AO323" s="44">
        <f>Inputs!$F$37*Inputs!$I$37*AJ323</f>
        <v>0</v>
      </c>
      <c r="AP323" s="55"/>
      <c r="AR323" s="117">
        <v>6</v>
      </c>
      <c r="AS323" s="115">
        <f>Inputs!$A$37</f>
        <v>0</v>
      </c>
      <c r="AT323" s="44">
        <f>Inputs!$B$37</f>
        <v>0</v>
      </c>
      <c r="AU323" s="44" t="s">
        <v>57</v>
      </c>
      <c r="AV323" s="44">
        <f t="shared" si="272"/>
        <v>0</v>
      </c>
      <c r="AW323" s="50"/>
      <c r="AX323" s="119">
        <v>6</v>
      </c>
      <c r="AY323" s="115">
        <f>Inputs!$A$37</f>
        <v>0</v>
      </c>
      <c r="AZ323" s="44">
        <f>Inputs!$B$37</f>
        <v>0</v>
      </c>
      <c r="BA323" s="44" t="s">
        <v>58</v>
      </c>
      <c r="BB323" s="44">
        <f t="shared" si="269"/>
        <v>0</v>
      </c>
      <c r="BC323" s="50"/>
      <c r="BD323" s="44">
        <v>0</v>
      </c>
      <c r="BE323" s="44">
        <v>0</v>
      </c>
      <c r="BF323" s="44">
        <f t="shared" si="325"/>
        <v>0</v>
      </c>
      <c r="BG323" s="50"/>
      <c r="BH323" s="44">
        <f t="shared" si="326"/>
        <v>0</v>
      </c>
      <c r="BI323" s="63">
        <f>BD323*Inputs!$F$37*Inputs!$G$37</f>
        <v>0</v>
      </c>
      <c r="BJ323" s="44">
        <f>Inputs!$F$37*Inputs!$I$37*BE323</f>
        <v>0</v>
      </c>
      <c r="BK323" s="55"/>
      <c r="BM323" s="117">
        <v>6</v>
      </c>
      <c r="BN323" s="115">
        <f>Inputs!$A$37</f>
        <v>0</v>
      </c>
      <c r="BO323" s="44">
        <f>Inputs!$B$37</f>
        <v>0</v>
      </c>
      <c r="BP323" s="44" t="s">
        <v>57</v>
      </c>
      <c r="BQ323" s="44">
        <f t="shared" si="270"/>
        <v>0</v>
      </c>
      <c r="BR323" s="50"/>
      <c r="BS323" s="119">
        <v>6</v>
      </c>
      <c r="BT323" s="115">
        <f>Inputs!$A$37</f>
        <v>0</v>
      </c>
      <c r="BU323" s="44">
        <f>Inputs!$B$37</f>
        <v>0</v>
      </c>
      <c r="BV323" s="44" t="s">
        <v>58</v>
      </c>
      <c r="BW323" s="44">
        <f t="shared" si="271"/>
        <v>0</v>
      </c>
      <c r="BX323" s="50"/>
      <c r="BY323" s="44">
        <v>0</v>
      </c>
      <c r="BZ323" s="44">
        <v>0</v>
      </c>
      <c r="CA323" s="44">
        <f t="shared" si="327"/>
        <v>0</v>
      </c>
      <c r="CB323" s="50"/>
      <c r="CC323" s="44">
        <f t="shared" si="328"/>
        <v>0</v>
      </c>
      <c r="CD323" s="63">
        <f>BY323*Inputs!$F$37*Inputs!$G$37</f>
        <v>0</v>
      </c>
      <c r="CE323" s="44">
        <f>Inputs!$F$37*Inputs!$I$37*BZ323</f>
        <v>0</v>
      </c>
      <c r="CF323" s="55"/>
    </row>
    <row r="324" spans="1:84" x14ac:dyDescent="0.25">
      <c r="A324" s="117">
        <v>7</v>
      </c>
      <c r="B324" s="115">
        <f>Inputs!$A$37</f>
        <v>0</v>
      </c>
      <c r="C324" s="44">
        <f>Inputs!$B$37</f>
        <v>0</v>
      </c>
      <c r="D324" s="44" t="s">
        <v>57</v>
      </c>
      <c r="E324" s="44">
        <v>0</v>
      </c>
      <c r="F324" s="50"/>
      <c r="G324" s="119">
        <v>7</v>
      </c>
      <c r="H324" s="115">
        <f>Inputs!$A$37</f>
        <v>0</v>
      </c>
      <c r="I324" s="44">
        <f>Inputs!$B$37</f>
        <v>0</v>
      </c>
      <c r="J324" s="44" t="s">
        <v>58</v>
      </c>
      <c r="K324" s="44">
        <v>0</v>
      </c>
      <c r="L324" s="50"/>
      <c r="M324" s="44">
        <v>0</v>
      </c>
      <c r="N324" s="44">
        <v>0</v>
      </c>
      <c r="O324" s="44">
        <f t="shared" si="321"/>
        <v>0</v>
      </c>
      <c r="P324" s="50"/>
      <c r="Q324" s="44">
        <f t="shared" si="322"/>
        <v>0</v>
      </c>
      <c r="R324" s="63">
        <f>M324*Inputs!$F$37*Inputs!$G$37</f>
        <v>0</v>
      </c>
      <c r="S324" s="44">
        <f>Inputs!$F$37*Inputs!$I$37*N324</f>
        <v>0</v>
      </c>
      <c r="T324" s="18"/>
      <c r="U324" s="55"/>
      <c r="W324" s="117">
        <v>7</v>
      </c>
      <c r="X324" s="115">
        <f>Inputs!$A$37</f>
        <v>0</v>
      </c>
      <c r="Y324" s="44">
        <f>Inputs!$B$37</f>
        <v>0</v>
      </c>
      <c r="Z324" s="44" t="s">
        <v>57</v>
      </c>
      <c r="AA324" s="44">
        <f t="shared" si="267"/>
        <v>0</v>
      </c>
      <c r="AB324" s="50"/>
      <c r="AC324" s="119">
        <v>7</v>
      </c>
      <c r="AD324" s="115">
        <f>Inputs!$A$37</f>
        <v>0</v>
      </c>
      <c r="AE324" s="44">
        <f>Inputs!$B$37</f>
        <v>0</v>
      </c>
      <c r="AF324" s="44" t="s">
        <v>58</v>
      </c>
      <c r="AG324" s="44">
        <f t="shared" si="268"/>
        <v>0</v>
      </c>
      <c r="AH324" s="50"/>
      <c r="AI324" s="44">
        <v>0</v>
      </c>
      <c r="AJ324" s="44">
        <v>0</v>
      </c>
      <c r="AK324" s="44">
        <f t="shared" si="323"/>
        <v>0</v>
      </c>
      <c r="AL324" s="50"/>
      <c r="AM324" s="44">
        <f t="shared" si="324"/>
        <v>0</v>
      </c>
      <c r="AN324" s="63">
        <f>AI324*Inputs!$F$37*Inputs!$G$37</f>
        <v>0</v>
      </c>
      <c r="AO324" s="44">
        <f>Inputs!$F$37*Inputs!$I$37*AJ324</f>
        <v>0</v>
      </c>
      <c r="AP324" s="55"/>
      <c r="AR324" s="117">
        <v>7</v>
      </c>
      <c r="AS324" s="115">
        <f>Inputs!$A$37</f>
        <v>0</v>
      </c>
      <c r="AT324" s="44">
        <f>Inputs!$B$37</f>
        <v>0</v>
      </c>
      <c r="AU324" s="44" t="s">
        <v>57</v>
      </c>
      <c r="AV324" s="44">
        <f t="shared" si="272"/>
        <v>0</v>
      </c>
      <c r="AW324" s="50"/>
      <c r="AX324" s="119">
        <v>7</v>
      </c>
      <c r="AY324" s="115">
        <f>Inputs!$A$37</f>
        <v>0</v>
      </c>
      <c r="AZ324" s="44">
        <f>Inputs!$B$37</f>
        <v>0</v>
      </c>
      <c r="BA324" s="44" t="s">
        <v>58</v>
      </c>
      <c r="BB324" s="44">
        <f t="shared" si="269"/>
        <v>0</v>
      </c>
      <c r="BC324" s="50"/>
      <c r="BD324" s="44">
        <v>0</v>
      </c>
      <c r="BE324" s="44">
        <v>0</v>
      </c>
      <c r="BF324" s="44">
        <f t="shared" si="325"/>
        <v>0</v>
      </c>
      <c r="BG324" s="50"/>
      <c r="BH324" s="44">
        <f t="shared" si="326"/>
        <v>0</v>
      </c>
      <c r="BI324" s="63">
        <f>BD324*Inputs!$F$37*Inputs!$G$37</f>
        <v>0</v>
      </c>
      <c r="BJ324" s="44">
        <f>Inputs!$F$37*Inputs!$I$37*BE324</f>
        <v>0</v>
      </c>
      <c r="BK324" s="55"/>
      <c r="BM324" s="117">
        <v>7</v>
      </c>
      <c r="BN324" s="115">
        <f>Inputs!$A$37</f>
        <v>0</v>
      </c>
      <c r="BO324" s="44">
        <f>Inputs!$B$37</f>
        <v>0</v>
      </c>
      <c r="BP324" s="44" t="s">
        <v>57</v>
      </c>
      <c r="BQ324" s="44">
        <f t="shared" si="270"/>
        <v>0</v>
      </c>
      <c r="BR324" s="50"/>
      <c r="BS324" s="119">
        <v>7</v>
      </c>
      <c r="BT324" s="115">
        <f>Inputs!$A$37</f>
        <v>0</v>
      </c>
      <c r="BU324" s="44">
        <f>Inputs!$B$37</f>
        <v>0</v>
      </c>
      <c r="BV324" s="44" t="s">
        <v>58</v>
      </c>
      <c r="BW324" s="44">
        <f t="shared" si="271"/>
        <v>0</v>
      </c>
      <c r="BX324" s="50"/>
      <c r="BY324" s="44">
        <v>0</v>
      </c>
      <c r="BZ324" s="44">
        <v>0</v>
      </c>
      <c r="CA324" s="44">
        <f t="shared" si="327"/>
        <v>0</v>
      </c>
      <c r="CB324" s="50"/>
      <c r="CC324" s="44">
        <f t="shared" si="328"/>
        <v>0</v>
      </c>
      <c r="CD324" s="63">
        <f>BY324*Inputs!$F$37*Inputs!$G$37</f>
        <v>0</v>
      </c>
      <c r="CE324" s="44">
        <f>Inputs!$F$37*Inputs!$I$37*BZ324</f>
        <v>0</v>
      </c>
      <c r="CF324" s="55"/>
    </row>
    <row r="325" spans="1:84" x14ac:dyDescent="0.25">
      <c r="A325" s="117">
        <v>8</v>
      </c>
      <c r="B325" s="115">
        <f>Inputs!$A$37</f>
        <v>0</v>
      </c>
      <c r="C325" s="44">
        <f>Inputs!$B$37</f>
        <v>0</v>
      </c>
      <c r="D325" s="44" t="s">
        <v>57</v>
      </c>
      <c r="E325" s="44">
        <v>0</v>
      </c>
      <c r="F325" s="50"/>
      <c r="G325" s="119">
        <v>8</v>
      </c>
      <c r="H325" s="115">
        <f>Inputs!$A$37</f>
        <v>0</v>
      </c>
      <c r="I325" s="44">
        <f>Inputs!$B$37</f>
        <v>0</v>
      </c>
      <c r="J325" s="44" t="s">
        <v>58</v>
      </c>
      <c r="K325" s="44">
        <v>0</v>
      </c>
      <c r="L325" s="50"/>
      <c r="M325" s="44">
        <v>0</v>
      </c>
      <c r="N325" s="44">
        <v>0</v>
      </c>
      <c r="O325" s="44">
        <f t="shared" si="321"/>
        <v>0</v>
      </c>
      <c r="P325" s="50"/>
      <c r="Q325" s="44">
        <f t="shared" si="322"/>
        <v>0</v>
      </c>
      <c r="R325" s="63">
        <f>M325*Inputs!$F$37*Inputs!$G$37</f>
        <v>0</v>
      </c>
      <c r="S325" s="44">
        <f>Inputs!$F$37*Inputs!$I$37*N325</f>
        <v>0</v>
      </c>
      <c r="T325" s="18"/>
      <c r="U325" s="55"/>
      <c r="W325" s="117">
        <v>8</v>
      </c>
      <c r="X325" s="115">
        <f>Inputs!$A$37</f>
        <v>0</v>
      </c>
      <c r="Y325" s="44">
        <f>Inputs!$B$37</f>
        <v>0</v>
      </c>
      <c r="Z325" s="44" t="s">
        <v>57</v>
      </c>
      <c r="AA325" s="44">
        <f t="shared" ref="AA325:AA388" si="329">E325</f>
        <v>0</v>
      </c>
      <c r="AB325" s="50"/>
      <c r="AC325" s="119">
        <v>8</v>
      </c>
      <c r="AD325" s="115">
        <f>Inputs!$A$37</f>
        <v>0</v>
      </c>
      <c r="AE325" s="44">
        <f>Inputs!$B$37</f>
        <v>0</v>
      </c>
      <c r="AF325" s="44" t="s">
        <v>58</v>
      </c>
      <c r="AG325" s="44">
        <f t="shared" ref="AG325:AG388" si="330">K325</f>
        <v>0</v>
      </c>
      <c r="AH325" s="50"/>
      <c r="AI325" s="44">
        <v>0</v>
      </c>
      <c r="AJ325" s="44">
        <v>0</v>
      </c>
      <c r="AK325" s="44">
        <f t="shared" si="323"/>
        <v>0</v>
      </c>
      <c r="AL325" s="50"/>
      <c r="AM325" s="44">
        <f t="shared" si="324"/>
        <v>0</v>
      </c>
      <c r="AN325" s="63">
        <f>AI325*Inputs!$F$37*Inputs!$G$37</f>
        <v>0</v>
      </c>
      <c r="AO325" s="44">
        <f>Inputs!$F$37*Inputs!$I$37*AJ325</f>
        <v>0</v>
      </c>
      <c r="AP325" s="55"/>
      <c r="AR325" s="117">
        <v>8</v>
      </c>
      <c r="AS325" s="115">
        <f>Inputs!$A$37</f>
        <v>0</v>
      </c>
      <c r="AT325" s="44">
        <f>Inputs!$B$37</f>
        <v>0</v>
      </c>
      <c r="AU325" s="44" t="s">
        <v>57</v>
      </c>
      <c r="AV325" s="44">
        <f t="shared" si="272"/>
        <v>0</v>
      </c>
      <c r="AW325" s="50"/>
      <c r="AX325" s="119">
        <v>8</v>
      </c>
      <c r="AY325" s="115">
        <f>Inputs!$A$37</f>
        <v>0</v>
      </c>
      <c r="AZ325" s="44">
        <f>Inputs!$B$37</f>
        <v>0</v>
      </c>
      <c r="BA325" s="44" t="s">
        <v>58</v>
      </c>
      <c r="BB325" s="44">
        <f t="shared" ref="BB325:BB388" si="331">K325</f>
        <v>0</v>
      </c>
      <c r="BC325" s="50"/>
      <c r="BD325" s="44">
        <v>0</v>
      </c>
      <c r="BE325" s="44">
        <v>0</v>
      </c>
      <c r="BF325" s="44">
        <f t="shared" si="325"/>
        <v>0</v>
      </c>
      <c r="BG325" s="50"/>
      <c r="BH325" s="44">
        <f t="shared" si="326"/>
        <v>0</v>
      </c>
      <c r="BI325" s="63">
        <f>BD325*Inputs!$F$37*Inputs!$G$37</f>
        <v>0</v>
      </c>
      <c r="BJ325" s="44">
        <f>Inputs!$F$37*Inputs!$I$37*BE325</f>
        <v>0</v>
      </c>
      <c r="BK325" s="55"/>
      <c r="BM325" s="117">
        <v>8</v>
      </c>
      <c r="BN325" s="115">
        <f>Inputs!$A$37</f>
        <v>0</v>
      </c>
      <c r="BO325" s="44">
        <f>Inputs!$B$37</f>
        <v>0</v>
      </c>
      <c r="BP325" s="44" t="s">
        <v>57</v>
      </c>
      <c r="BQ325" s="44">
        <f t="shared" ref="BQ325:BQ388" si="332">E325</f>
        <v>0</v>
      </c>
      <c r="BR325" s="50"/>
      <c r="BS325" s="119">
        <v>8</v>
      </c>
      <c r="BT325" s="115">
        <f>Inputs!$A$37</f>
        <v>0</v>
      </c>
      <c r="BU325" s="44">
        <f>Inputs!$B$37</f>
        <v>0</v>
      </c>
      <c r="BV325" s="44" t="s">
        <v>58</v>
      </c>
      <c r="BW325" s="44">
        <f t="shared" ref="BW325:BW388" si="333">K325</f>
        <v>0</v>
      </c>
      <c r="BX325" s="50"/>
      <c r="BY325" s="44">
        <v>0</v>
      </c>
      <c r="BZ325" s="44">
        <v>0</v>
      </c>
      <c r="CA325" s="44">
        <f t="shared" si="327"/>
        <v>0</v>
      </c>
      <c r="CB325" s="50"/>
      <c r="CC325" s="44">
        <f t="shared" si="328"/>
        <v>0</v>
      </c>
      <c r="CD325" s="63">
        <f>BY325*Inputs!$F$37*Inputs!$G$37</f>
        <v>0</v>
      </c>
      <c r="CE325" s="44">
        <f>Inputs!$F$37*Inputs!$I$37*BZ325</f>
        <v>0</v>
      </c>
      <c r="CF325" s="55"/>
    </row>
    <row r="326" spans="1:84" x14ac:dyDescent="0.25">
      <c r="A326" s="117">
        <v>9</v>
      </c>
      <c r="B326" s="115">
        <f>Inputs!$A$37</f>
        <v>0</v>
      </c>
      <c r="C326" s="44">
        <f>Inputs!$B$37</f>
        <v>0</v>
      </c>
      <c r="D326" s="44" t="s">
        <v>57</v>
      </c>
      <c r="E326" s="44">
        <v>0</v>
      </c>
      <c r="F326" s="50"/>
      <c r="G326" s="119">
        <v>9</v>
      </c>
      <c r="H326" s="115">
        <f>Inputs!$A$37</f>
        <v>0</v>
      </c>
      <c r="I326" s="44">
        <f>Inputs!$B$37</f>
        <v>0</v>
      </c>
      <c r="J326" s="44" t="s">
        <v>58</v>
      </c>
      <c r="K326" s="44">
        <v>0</v>
      </c>
      <c r="L326" s="50"/>
      <c r="M326" s="44">
        <v>0</v>
      </c>
      <c r="N326" s="44">
        <v>0</v>
      </c>
      <c r="O326" s="44">
        <f t="shared" si="321"/>
        <v>0</v>
      </c>
      <c r="P326" s="50"/>
      <c r="Q326" s="44">
        <f t="shared" si="322"/>
        <v>0</v>
      </c>
      <c r="R326" s="63">
        <f>M326*Inputs!$F$37*Inputs!$G$37</f>
        <v>0</v>
      </c>
      <c r="S326" s="44">
        <f>Inputs!$F$37*Inputs!$I$37*N326</f>
        <v>0</v>
      </c>
      <c r="T326" s="18"/>
      <c r="U326" s="55"/>
      <c r="W326" s="117">
        <v>9</v>
      </c>
      <c r="X326" s="115">
        <f>Inputs!$A$37</f>
        <v>0</v>
      </c>
      <c r="Y326" s="44">
        <f>Inputs!$B$37</f>
        <v>0</v>
      </c>
      <c r="Z326" s="44" t="s">
        <v>57</v>
      </c>
      <c r="AA326" s="44">
        <f t="shared" si="329"/>
        <v>0</v>
      </c>
      <c r="AB326" s="50"/>
      <c r="AC326" s="119">
        <v>9</v>
      </c>
      <c r="AD326" s="115">
        <f>Inputs!$A$37</f>
        <v>0</v>
      </c>
      <c r="AE326" s="44">
        <f>Inputs!$B$37</f>
        <v>0</v>
      </c>
      <c r="AF326" s="44" t="s">
        <v>58</v>
      </c>
      <c r="AG326" s="44">
        <f t="shared" si="330"/>
        <v>0</v>
      </c>
      <c r="AH326" s="50"/>
      <c r="AI326" s="44">
        <v>0</v>
      </c>
      <c r="AJ326" s="44">
        <v>0</v>
      </c>
      <c r="AK326" s="44">
        <f t="shared" si="323"/>
        <v>0</v>
      </c>
      <c r="AL326" s="50"/>
      <c r="AM326" s="44">
        <f t="shared" si="324"/>
        <v>0</v>
      </c>
      <c r="AN326" s="63">
        <f>AI326*Inputs!$F$37*Inputs!$G$37</f>
        <v>0</v>
      </c>
      <c r="AO326" s="44">
        <f>Inputs!$F$37*Inputs!$I$37*AJ326</f>
        <v>0</v>
      </c>
      <c r="AP326" s="55"/>
      <c r="AR326" s="117">
        <v>9</v>
      </c>
      <c r="AS326" s="115">
        <f>Inputs!$A$37</f>
        <v>0</v>
      </c>
      <c r="AT326" s="44">
        <f>Inputs!$B$37</f>
        <v>0</v>
      </c>
      <c r="AU326" s="44" t="s">
        <v>57</v>
      </c>
      <c r="AV326" s="44">
        <f t="shared" ref="AV326:AV389" si="334">E326</f>
        <v>0</v>
      </c>
      <c r="AW326" s="50"/>
      <c r="AX326" s="119">
        <v>9</v>
      </c>
      <c r="AY326" s="115">
        <f>Inputs!$A$37</f>
        <v>0</v>
      </c>
      <c r="AZ326" s="44">
        <f>Inputs!$B$37</f>
        <v>0</v>
      </c>
      <c r="BA326" s="44" t="s">
        <v>58</v>
      </c>
      <c r="BB326" s="44">
        <f t="shared" si="331"/>
        <v>0</v>
      </c>
      <c r="BC326" s="50"/>
      <c r="BD326" s="44">
        <v>0</v>
      </c>
      <c r="BE326" s="44">
        <v>0</v>
      </c>
      <c r="BF326" s="44">
        <f t="shared" si="325"/>
        <v>0</v>
      </c>
      <c r="BG326" s="50"/>
      <c r="BH326" s="44">
        <f t="shared" si="326"/>
        <v>0</v>
      </c>
      <c r="BI326" s="63">
        <f>BD326*Inputs!$F$37*Inputs!$G$37</f>
        <v>0</v>
      </c>
      <c r="BJ326" s="44">
        <f>Inputs!$F$37*Inputs!$I$37*BE326</f>
        <v>0</v>
      </c>
      <c r="BK326" s="55"/>
      <c r="BM326" s="117">
        <v>9</v>
      </c>
      <c r="BN326" s="115">
        <f>Inputs!$A$37</f>
        <v>0</v>
      </c>
      <c r="BO326" s="44">
        <f>Inputs!$B$37</f>
        <v>0</v>
      </c>
      <c r="BP326" s="44" t="s">
        <v>57</v>
      </c>
      <c r="BQ326" s="44">
        <f t="shared" si="332"/>
        <v>0</v>
      </c>
      <c r="BR326" s="50"/>
      <c r="BS326" s="119">
        <v>9</v>
      </c>
      <c r="BT326" s="115">
        <f>Inputs!$A$37</f>
        <v>0</v>
      </c>
      <c r="BU326" s="44">
        <f>Inputs!$B$37</f>
        <v>0</v>
      </c>
      <c r="BV326" s="44" t="s">
        <v>58</v>
      </c>
      <c r="BW326" s="44">
        <f t="shared" si="333"/>
        <v>0</v>
      </c>
      <c r="BX326" s="50"/>
      <c r="BY326" s="44">
        <v>0</v>
      </c>
      <c r="BZ326" s="44">
        <v>0</v>
      </c>
      <c r="CA326" s="44">
        <f t="shared" si="327"/>
        <v>0</v>
      </c>
      <c r="CB326" s="50"/>
      <c r="CC326" s="44">
        <f t="shared" si="328"/>
        <v>0</v>
      </c>
      <c r="CD326" s="63">
        <f>BY326*Inputs!$F$37*Inputs!$G$37</f>
        <v>0</v>
      </c>
      <c r="CE326" s="44">
        <f>Inputs!$F$37*Inputs!$I$37*BZ326</f>
        <v>0</v>
      </c>
      <c r="CF326" s="55"/>
    </row>
    <row r="327" spans="1:84" x14ac:dyDescent="0.25">
      <c r="A327" s="117">
        <v>10</v>
      </c>
      <c r="B327" s="115">
        <f>Inputs!$A$37</f>
        <v>0</v>
      </c>
      <c r="C327" s="44">
        <f>Inputs!$B$37</f>
        <v>0</v>
      </c>
      <c r="D327" s="44" t="s">
        <v>57</v>
      </c>
      <c r="E327" s="44">
        <v>0</v>
      </c>
      <c r="F327" s="50"/>
      <c r="G327" s="119">
        <v>10</v>
      </c>
      <c r="H327" s="115">
        <f>Inputs!$A$37</f>
        <v>0</v>
      </c>
      <c r="I327" s="44">
        <f>Inputs!$B$37</f>
        <v>0</v>
      </c>
      <c r="J327" s="44" t="s">
        <v>58</v>
      </c>
      <c r="K327" s="44">
        <v>0</v>
      </c>
      <c r="L327" s="50"/>
      <c r="M327" s="44">
        <v>0</v>
      </c>
      <c r="N327" s="44">
        <v>0</v>
      </c>
      <c r="O327" s="44">
        <f t="shared" si="321"/>
        <v>0</v>
      </c>
      <c r="P327" s="50"/>
      <c r="Q327" s="44">
        <f t="shared" si="322"/>
        <v>0</v>
      </c>
      <c r="R327" s="63">
        <f>M327*Inputs!$F$37*Inputs!$G$37</f>
        <v>0</v>
      </c>
      <c r="S327" s="44">
        <f>Inputs!$F$37*Inputs!$I$37*N327</f>
        <v>0</v>
      </c>
      <c r="T327" s="18"/>
      <c r="U327" s="91"/>
      <c r="W327" s="117">
        <v>10</v>
      </c>
      <c r="X327" s="115">
        <f>Inputs!$A$37</f>
        <v>0</v>
      </c>
      <c r="Y327" s="44">
        <f>Inputs!$B$37</f>
        <v>0</v>
      </c>
      <c r="Z327" s="44" t="s">
        <v>57</v>
      </c>
      <c r="AA327" s="44">
        <f t="shared" si="329"/>
        <v>0</v>
      </c>
      <c r="AB327" s="50"/>
      <c r="AC327" s="119">
        <v>10</v>
      </c>
      <c r="AD327" s="115">
        <f>Inputs!$A$37</f>
        <v>0</v>
      </c>
      <c r="AE327" s="44">
        <f>Inputs!$B$37</f>
        <v>0</v>
      </c>
      <c r="AF327" s="44" t="s">
        <v>58</v>
      </c>
      <c r="AG327" s="44">
        <f t="shared" si="330"/>
        <v>0</v>
      </c>
      <c r="AH327" s="50"/>
      <c r="AI327" s="44">
        <v>0</v>
      </c>
      <c r="AJ327" s="44">
        <v>0</v>
      </c>
      <c r="AK327" s="44">
        <f t="shared" si="323"/>
        <v>0</v>
      </c>
      <c r="AL327" s="50"/>
      <c r="AM327" s="44">
        <f t="shared" si="324"/>
        <v>0</v>
      </c>
      <c r="AN327" s="63">
        <f>AI327*Inputs!$F$37*Inputs!$G$37</f>
        <v>0</v>
      </c>
      <c r="AO327" s="44">
        <f>Inputs!$F$37*Inputs!$I$37*AJ327</f>
        <v>0</v>
      </c>
      <c r="AP327" s="91"/>
      <c r="AR327" s="117">
        <v>10</v>
      </c>
      <c r="AS327" s="115">
        <f>Inputs!$A$37</f>
        <v>0</v>
      </c>
      <c r="AT327" s="44">
        <f>Inputs!$B$37</f>
        <v>0</v>
      </c>
      <c r="AU327" s="44" t="s">
        <v>57</v>
      </c>
      <c r="AV327" s="44">
        <f t="shared" si="334"/>
        <v>0</v>
      </c>
      <c r="AW327" s="50"/>
      <c r="AX327" s="119">
        <v>10</v>
      </c>
      <c r="AY327" s="115">
        <f>Inputs!$A$37</f>
        <v>0</v>
      </c>
      <c r="AZ327" s="44">
        <f>Inputs!$B$37</f>
        <v>0</v>
      </c>
      <c r="BA327" s="44" t="s">
        <v>58</v>
      </c>
      <c r="BB327" s="44">
        <f t="shared" si="331"/>
        <v>0</v>
      </c>
      <c r="BC327" s="50"/>
      <c r="BD327" s="44">
        <v>0</v>
      </c>
      <c r="BE327" s="44">
        <v>0</v>
      </c>
      <c r="BF327" s="44">
        <f t="shared" si="325"/>
        <v>0</v>
      </c>
      <c r="BG327" s="50"/>
      <c r="BH327" s="44">
        <f t="shared" si="326"/>
        <v>0</v>
      </c>
      <c r="BI327" s="63">
        <f>BD327*Inputs!$F$37*Inputs!$G$37</f>
        <v>0</v>
      </c>
      <c r="BJ327" s="44">
        <f>Inputs!$F$37*Inputs!$I$37*BE327</f>
        <v>0</v>
      </c>
      <c r="BK327" s="91"/>
      <c r="BM327" s="117">
        <v>10</v>
      </c>
      <c r="BN327" s="115">
        <f>Inputs!$A$37</f>
        <v>0</v>
      </c>
      <c r="BO327" s="44">
        <f>Inputs!$B$37</f>
        <v>0</v>
      </c>
      <c r="BP327" s="44" t="s">
        <v>57</v>
      </c>
      <c r="BQ327" s="44">
        <f t="shared" si="332"/>
        <v>0</v>
      </c>
      <c r="BR327" s="50"/>
      <c r="BS327" s="119">
        <v>10</v>
      </c>
      <c r="BT327" s="115">
        <f>Inputs!$A$37</f>
        <v>0</v>
      </c>
      <c r="BU327" s="44">
        <f>Inputs!$B$37</f>
        <v>0</v>
      </c>
      <c r="BV327" s="44" t="s">
        <v>58</v>
      </c>
      <c r="BW327" s="44">
        <f t="shared" si="333"/>
        <v>0</v>
      </c>
      <c r="BX327" s="50"/>
      <c r="BY327" s="44">
        <v>0</v>
      </c>
      <c r="BZ327" s="44">
        <v>0</v>
      </c>
      <c r="CA327" s="44">
        <f t="shared" si="327"/>
        <v>0</v>
      </c>
      <c r="CB327" s="50"/>
      <c r="CC327" s="44">
        <f t="shared" si="328"/>
        <v>0</v>
      </c>
      <c r="CD327" s="63">
        <f>BY327*Inputs!$F$37*Inputs!$G$37</f>
        <v>0</v>
      </c>
      <c r="CE327" s="44">
        <f>Inputs!$F$37*Inputs!$I$37*BZ327</f>
        <v>0</v>
      </c>
      <c r="CF327" s="91"/>
    </row>
    <row r="328" spans="1:84" x14ac:dyDescent="0.25">
      <c r="A328" s="117">
        <v>11</v>
      </c>
      <c r="B328" s="115">
        <f>Inputs!$A$37</f>
        <v>0</v>
      </c>
      <c r="C328" s="44">
        <f>Inputs!$B$37</f>
        <v>0</v>
      </c>
      <c r="D328" s="44" t="s">
        <v>57</v>
      </c>
      <c r="E328" s="44">
        <v>0</v>
      </c>
      <c r="F328" s="50"/>
      <c r="G328" s="119">
        <v>11</v>
      </c>
      <c r="H328" s="115">
        <f>Inputs!$A$37</f>
        <v>0</v>
      </c>
      <c r="I328" s="44">
        <f>Inputs!$B$37</f>
        <v>0</v>
      </c>
      <c r="J328" s="44" t="s">
        <v>58</v>
      </c>
      <c r="K328" s="44">
        <v>0</v>
      </c>
      <c r="L328" s="50"/>
      <c r="M328" s="44">
        <v>0</v>
      </c>
      <c r="N328" s="44">
        <v>0</v>
      </c>
      <c r="O328" s="44">
        <f t="shared" si="321"/>
        <v>0</v>
      </c>
      <c r="P328" s="50"/>
      <c r="Q328" s="44">
        <f t="shared" si="322"/>
        <v>0</v>
      </c>
      <c r="R328" s="63">
        <f>M328*Inputs!$F$37*Inputs!$H$37</f>
        <v>0</v>
      </c>
      <c r="S328" s="44">
        <f>Inputs!$F$37*Inputs!$I$37*N328</f>
        <v>0</v>
      </c>
      <c r="T328" s="18"/>
      <c r="U328" s="56"/>
      <c r="W328" s="117">
        <v>11</v>
      </c>
      <c r="X328" s="115">
        <f>Inputs!$A$37</f>
        <v>0</v>
      </c>
      <c r="Y328" s="44">
        <f>Inputs!$B$37</f>
        <v>0</v>
      </c>
      <c r="Z328" s="44" t="s">
        <v>57</v>
      </c>
      <c r="AA328" s="44">
        <f t="shared" si="329"/>
        <v>0</v>
      </c>
      <c r="AB328" s="50"/>
      <c r="AC328" s="119">
        <v>11</v>
      </c>
      <c r="AD328" s="115">
        <f>Inputs!$A$37</f>
        <v>0</v>
      </c>
      <c r="AE328" s="44">
        <f>Inputs!$B$37</f>
        <v>0</v>
      </c>
      <c r="AF328" s="44" t="s">
        <v>58</v>
      </c>
      <c r="AG328" s="44">
        <f t="shared" si="330"/>
        <v>0</v>
      </c>
      <c r="AH328" s="50"/>
      <c r="AI328" s="44">
        <v>0</v>
      </c>
      <c r="AJ328" s="44">
        <v>0</v>
      </c>
      <c r="AK328" s="44">
        <f t="shared" si="323"/>
        <v>0</v>
      </c>
      <c r="AL328" s="50"/>
      <c r="AM328" s="44">
        <f t="shared" si="324"/>
        <v>0</v>
      </c>
      <c r="AN328" s="63">
        <f>AI328*Inputs!$F$37*Inputs!$H$37</f>
        <v>0</v>
      </c>
      <c r="AO328" s="44">
        <f>Inputs!$F$37*Inputs!$I$37*AJ328</f>
        <v>0</v>
      </c>
      <c r="AP328" s="56"/>
      <c r="AR328" s="117">
        <v>11</v>
      </c>
      <c r="AS328" s="115">
        <f>Inputs!$A$37</f>
        <v>0</v>
      </c>
      <c r="AT328" s="44">
        <f>Inputs!$B$37</f>
        <v>0</v>
      </c>
      <c r="AU328" s="44" t="s">
        <v>57</v>
      </c>
      <c r="AV328" s="44">
        <f t="shared" si="334"/>
        <v>0</v>
      </c>
      <c r="AW328" s="50"/>
      <c r="AX328" s="119">
        <v>11</v>
      </c>
      <c r="AY328" s="115">
        <f>Inputs!$A$37</f>
        <v>0</v>
      </c>
      <c r="AZ328" s="44">
        <f>Inputs!$B$37</f>
        <v>0</v>
      </c>
      <c r="BA328" s="44" t="s">
        <v>58</v>
      </c>
      <c r="BB328" s="44">
        <f t="shared" si="331"/>
        <v>0</v>
      </c>
      <c r="BC328" s="50"/>
      <c r="BD328" s="44">
        <v>0</v>
      </c>
      <c r="BE328" s="44">
        <v>0</v>
      </c>
      <c r="BF328" s="44">
        <f t="shared" si="325"/>
        <v>0</v>
      </c>
      <c r="BG328" s="50"/>
      <c r="BH328" s="44">
        <f t="shared" si="326"/>
        <v>0</v>
      </c>
      <c r="BI328" s="63">
        <f>BD328*Inputs!$F$37*Inputs!$H$37</f>
        <v>0</v>
      </c>
      <c r="BJ328" s="44">
        <f>Inputs!$F$37*Inputs!$I$37*BE328</f>
        <v>0</v>
      </c>
      <c r="BK328" s="56"/>
      <c r="BM328" s="117">
        <v>11</v>
      </c>
      <c r="BN328" s="115">
        <f>Inputs!$A$37</f>
        <v>0</v>
      </c>
      <c r="BO328" s="44">
        <f>Inputs!$B$37</f>
        <v>0</v>
      </c>
      <c r="BP328" s="44" t="s">
        <v>57</v>
      </c>
      <c r="BQ328" s="44">
        <f t="shared" si="332"/>
        <v>0</v>
      </c>
      <c r="BR328" s="50"/>
      <c r="BS328" s="119">
        <v>11</v>
      </c>
      <c r="BT328" s="115">
        <f>Inputs!$A$37</f>
        <v>0</v>
      </c>
      <c r="BU328" s="44">
        <f>Inputs!$B$37</f>
        <v>0</v>
      </c>
      <c r="BV328" s="44" t="s">
        <v>58</v>
      </c>
      <c r="BW328" s="44">
        <f t="shared" si="333"/>
        <v>0</v>
      </c>
      <c r="BX328" s="50"/>
      <c r="BY328" s="44">
        <v>0</v>
      </c>
      <c r="BZ328" s="44">
        <v>0</v>
      </c>
      <c r="CA328" s="44">
        <f t="shared" si="327"/>
        <v>0</v>
      </c>
      <c r="CB328" s="50"/>
      <c r="CC328" s="44">
        <f t="shared" si="328"/>
        <v>0</v>
      </c>
      <c r="CD328" s="63">
        <f>BY328*Inputs!$F$37*Inputs!$H$37</f>
        <v>0</v>
      </c>
      <c r="CE328" s="44">
        <f>Inputs!$F$37*Inputs!$I$37*BZ328</f>
        <v>0</v>
      </c>
      <c r="CF328" s="56"/>
    </row>
    <row r="329" spans="1:84" x14ac:dyDescent="0.25">
      <c r="A329" s="116">
        <v>3</v>
      </c>
      <c r="B329" s="114">
        <f>Inputs!$A$38</f>
        <v>0</v>
      </c>
      <c r="C329" s="45">
        <f>Inputs!$B$38</f>
        <v>0</v>
      </c>
      <c r="D329" s="45" t="s">
        <v>57</v>
      </c>
      <c r="E329" s="45">
        <v>0</v>
      </c>
      <c r="F329" s="50"/>
      <c r="G329" s="118">
        <v>3</v>
      </c>
      <c r="H329" s="114">
        <f>Inputs!$A$38</f>
        <v>0</v>
      </c>
      <c r="I329" s="45">
        <f>Inputs!$B$38</f>
        <v>0</v>
      </c>
      <c r="J329" s="45" t="s">
        <v>58</v>
      </c>
      <c r="K329" s="45">
        <v>0</v>
      </c>
      <c r="L329" s="50"/>
      <c r="M329" s="45">
        <v>0</v>
      </c>
      <c r="N329" s="45">
        <v>0</v>
      </c>
      <c r="O329" s="45">
        <f>U329-0-E329-K329</f>
        <v>0</v>
      </c>
      <c r="P329" s="50"/>
      <c r="Q329" s="45">
        <f>E329+K329+N329-U329+0-M329</f>
        <v>0</v>
      </c>
      <c r="R329" s="64">
        <f>M329*Inputs!$F$38*Inputs!$G$38</f>
        <v>0</v>
      </c>
      <c r="S329" s="45">
        <f>Inputs!$F$38*Inputs!$I$38*N329</f>
        <v>0</v>
      </c>
      <c r="T329" s="18"/>
      <c r="U329" s="54"/>
      <c r="W329" s="116">
        <v>3</v>
      </c>
      <c r="X329" s="114">
        <f>Inputs!$A$38</f>
        <v>0</v>
      </c>
      <c r="Y329" s="45">
        <f>Inputs!$B$38</f>
        <v>0</v>
      </c>
      <c r="Z329" s="45" t="s">
        <v>57</v>
      </c>
      <c r="AA329" s="45">
        <f t="shared" si="329"/>
        <v>0</v>
      </c>
      <c r="AB329" s="50"/>
      <c r="AC329" s="118">
        <v>3</v>
      </c>
      <c r="AD329" s="114">
        <f>Inputs!$A$38</f>
        <v>0</v>
      </c>
      <c r="AE329" s="45">
        <f>Inputs!$B$38</f>
        <v>0</v>
      </c>
      <c r="AF329" s="45" t="s">
        <v>58</v>
      </c>
      <c r="AG329" s="45">
        <f t="shared" si="330"/>
        <v>0</v>
      </c>
      <c r="AH329" s="50"/>
      <c r="AI329" s="45">
        <v>0</v>
      </c>
      <c r="AJ329" s="45">
        <v>0</v>
      </c>
      <c r="AK329" s="45">
        <f>AP329-0-AA329-AG329</f>
        <v>0</v>
      </c>
      <c r="AL329" s="50"/>
      <c r="AM329" s="45">
        <f>AA329+AG329+AJ329-AP329+0-AI329</f>
        <v>0</v>
      </c>
      <c r="AN329" s="64">
        <f>AI329*Inputs!$F$38*Inputs!$G$38</f>
        <v>0</v>
      </c>
      <c r="AO329" s="45">
        <f>Inputs!$F$38*Inputs!$I$38*AJ329</f>
        <v>0</v>
      </c>
      <c r="AP329" s="54"/>
      <c r="AR329" s="116">
        <v>3</v>
      </c>
      <c r="AS329" s="114">
        <f>Inputs!$A$38</f>
        <v>0</v>
      </c>
      <c r="AT329" s="45">
        <f>Inputs!$B$38</f>
        <v>0</v>
      </c>
      <c r="AU329" s="45" t="s">
        <v>57</v>
      </c>
      <c r="AV329" s="45">
        <f t="shared" si="334"/>
        <v>0</v>
      </c>
      <c r="AW329" s="50"/>
      <c r="AX329" s="118">
        <v>3</v>
      </c>
      <c r="AY329" s="114">
        <f>Inputs!$A$38</f>
        <v>0</v>
      </c>
      <c r="AZ329" s="45">
        <f>Inputs!$B$38</f>
        <v>0</v>
      </c>
      <c r="BA329" s="45" t="s">
        <v>58</v>
      </c>
      <c r="BB329" s="45">
        <f t="shared" si="331"/>
        <v>0</v>
      </c>
      <c r="BC329" s="50"/>
      <c r="BD329" s="45">
        <v>0</v>
      </c>
      <c r="BE329" s="45">
        <v>0</v>
      </c>
      <c r="BF329" s="45">
        <f>BK329-0-AV329-BB329</f>
        <v>0</v>
      </c>
      <c r="BG329" s="50"/>
      <c r="BH329" s="45">
        <f>AV329+BB329+BE329-BK329+0-BD329</f>
        <v>0</v>
      </c>
      <c r="BI329" s="64">
        <f>BD329*Inputs!$F$38*Inputs!$G$38</f>
        <v>0</v>
      </c>
      <c r="BJ329" s="45">
        <f>Inputs!$F$38*Inputs!$I$38*BE329</f>
        <v>0</v>
      </c>
      <c r="BK329" s="54"/>
      <c r="BM329" s="116">
        <v>3</v>
      </c>
      <c r="BN329" s="114">
        <f>Inputs!$A$38</f>
        <v>0</v>
      </c>
      <c r="BO329" s="45">
        <f>Inputs!$B$38</f>
        <v>0</v>
      </c>
      <c r="BP329" s="45" t="s">
        <v>57</v>
      </c>
      <c r="BQ329" s="45">
        <f t="shared" si="332"/>
        <v>0</v>
      </c>
      <c r="BR329" s="50"/>
      <c r="BS329" s="118">
        <v>3</v>
      </c>
      <c r="BT329" s="114">
        <f>Inputs!$A$38</f>
        <v>0</v>
      </c>
      <c r="BU329" s="45">
        <f>Inputs!$B$38</f>
        <v>0</v>
      </c>
      <c r="BV329" s="45" t="s">
        <v>58</v>
      </c>
      <c r="BW329" s="45">
        <f t="shared" si="333"/>
        <v>0</v>
      </c>
      <c r="BX329" s="50"/>
      <c r="BY329" s="45">
        <v>0</v>
      </c>
      <c r="BZ329" s="45">
        <v>0</v>
      </c>
      <c r="CA329" s="45">
        <f>CF329-0-BQ329-BW329</f>
        <v>0</v>
      </c>
      <c r="CB329" s="50"/>
      <c r="CC329" s="45">
        <f>BQ329+BW329+BZ329-CF329+0-BY329</f>
        <v>0</v>
      </c>
      <c r="CD329" s="64">
        <f>BY329*Inputs!$F$38*Inputs!$G$38</f>
        <v>0</v>
      </c>
      <c r="CE329" s="45">
        <f>Inputs!$F$38*Inputs!$I$38*BZ329</f>
        <v>0</v>
      </c>
      <c r="CF329" s="54"/>
    </row>
    <row r="330" spans="1:84" x14ac:dyDescent="0.25">
      <c r="A330" s="116">
        <v>4</v>
      </c>
      <c r="B330" s="114">
        <f>Inputs!$A$38</f>
        <v>0</v>
      </c>
      <c r="C330" s="45">
        <f>Inputs!$B$38</f>
        <v>0</v>
      </c>
      <c r="D330" s="45" t="s">
        <v>57</v>
      </c>
      <c r="E330" s="45">
        <v>0</v>
      </c>
      <c r="F330" s="50"/>
      <c r="G330" s="118">
        <v>4</v>
      </c>
      <c r="H330" s="114">
        <f>Inputs!$A$38</f>
        <v>0</v>
      </c>
      <c r="I330" s="45">
        <f>Inputs!$B$38</f>
        <v>0</v>
      </c>
      <c r="J330" s="45" t="s">
        <v>58</v>
      </c>
      <c r="K330" s="45">
        <v>0</v>
      </c>
      <c r="L330" s="50"/>
      <c r="M330" s="45">
        <v>0</v>
      </c>
      <c r="N330" s="45">
        <v>0</v>
      </c>
      <c r="O330" s="45">
        <f t="shared" ref="O330:O337" si="335">U330-M329-E330-K330</f>
        <v>0</v>
      </c>
      <c r="P330" s="50"/>
      <c r="Q330" s="45">
        <f t="shared" ref="Q330:Q337" si="336">E330+K330+N330-U330+M329-M330</f>
        <v>0</v>
      </c>
      <c r="R330" s="64">
        <f>M330*Inputs!$F$38*Inputs!$G$38</f>
        <v>0</v>
      </c>
      <c r="S330" s="45">
        <f>Inputs!$F$38*Inputs!$I$38*N330</f>
        <v>0</v>
      </c>
      <c r="T330" s="18"/>
      <c r="U330" s="55"/>
      <c r="W330" s="116">
        <v>4</v>
      </c>
      <c r="X330" s="114">
        <f>Inputs!$A$38</f>
        <v>0</v>
      </c>
      <c r="Y330" s="45">
        <f>Inputs!$B$38</f>
        <v>0</v>
      </c>
      <c r="Z330" s="45" t="s">
        <v>57</v>
      </c>
      <c r="AA330" s="45">
        <f t="shared" si="329"/>
        <v>0</v>
      </c>
      <c r="AB330" s="50"/>
      <c r="AC330" s="118">
        <v>4</v>
      </c>
      <c r="AD330" s="114">
        <f>Inputs!$A$38</f>
        <v>0</v>
      </c>
      <c r="AE330" s="45">
        <f>Inputs!$B$38</f>
        <v>0</v>
      </c>
      <c r="AF330" s="45" t="s">
        <v>58</v>
      </c>
      <c r="AG330" s="45">
        <f t="shared" si="330"/>
        <v>0</v>
      </c>
      <c r="AH330" s="50"/>
      <c r="AI330" s="45">
        <v>0</v>
      </c>
      <c r="AJ330" s="45">
        <v>0</v>
      </c>
      <c r="AK330" s="45">
        <f t="shared" ref="AK330:AK337" si="337">AP330-AI329-AA330-AG330</f>
        <v>0</v>
      </c>
      <c r="AL330" s="50"/>
      <c r="AM330" s="45">
        <f t="shared" ref="AM330:AM337" si="338">AA330+AG330+AJ330-AP330+AI329-AI330</f>
        <v>0</v>
      </c>
      <c r="AN330" s="64">
        <f>AI330*Inputs!$F$38*Inputs!$G$38</f>
        <v>0</v>
      </c>
      <c r="AO330" s="45">
        <f>Inputs!$F$38*Inputs!$I$38*AJ330</f>
        <v>0</v>
      </c>
      <c r="AP330" s="55"/>
      <c r="AR330" s="116">
        <v>4</v>
      </c>
      <c r="AS330" s="114">
        <f>Inputs!$A$38</f>
        <v>0</v>
      </c>
      <c r="AT330" s="45">
        <f>Inputs!$B$38</f>
        <v>0</v>
      </c>
      <c r="AU330" s="45" t="s">
        <v>57</v>
      </c>
      <c r="AV330" s="45">
        <f t="shared" si="334"/>
        <v>0</v>
      </c>
      <c r="AW330" s="50"/>
      <c r="AX330" s="118">
        <v>4</v>
      </c>
      <c r="AY330" s="114">
        <f>Inputs!$A$38</f>
        <v>0</v>
      </c>
      <c r="AZ330" s="45">
        <f>Inputs!$B$38</f>
        <v>0</v>
      </c>
      <c r="BA330" s="45" t="s">
        <v>58</v>
      </c>
      <c r="BB330" s="45">
        <f t="shared" si="331"/>
        <v>0</v>
      </c>
      <c r="BC330" s="50"/>
      <c r="BD330" s="45">
        <v>0</v>
      </c>
      <c r="BE330" s="45">
        <v>0</v>
      </c>
      <c r="BF330" s="45">
        <f t="shared" ref="BF330:BF337" si="339">BK330-BD329-AV330-BB330</f>
        <v>0</v>
      </c>
      <c r="BG330" s="50"/>
      <c r="BH330" s="45">
        <f t="shared" ref="BH330:BH337" si="340">AV330+BB330+BE330-BK330+BD329-BD330</f>
        <v>0</v>
      </c>
      <c r="BI330" s="64">
        <f>BD330*Inputs!$F$38*Inputs!$G$38</f>
        <v>0</v>
      </c>
      <c r="BJ330" s="45">
        <f>Inputs!$F$38*Inputs!$I$38*BE330</f>
        <v>0</v>
      </c>
      <c r="BK330" s="55"/>
      <c r="BM330" s="116">
        <v>4</v>
      </c>
      <c r="BN330" s="114">
        <f>Inputs!$A$38</f>
        <v>0</v>
      </c>
      <c r="BO330" s="45">
        <f>Inputs!$B$38</f>
        <v>0</v>
      </c>
      <c r="BP330" s="45" t="s">
        <v>57</v>
      </c>
      <c r="BQ330" s="45">
        <f t="shared" si="332"/>
        <v>0</v>
      </c>
      <c r="BR330" s="50"/>
      <c r="BS330" s="118">
        <v>4</v>
      </c>
      <c r="BT330" s="114">
        <f>Inputs!$A$38</f>
        <v>0</v>
      </c>
      <c r="BU330" s="45">
        <f>Inputs!$B$38</f>
        <v>0</v>
      </c>
      <c r="BV330" s="45" t="s">
        <v>58</v>
      </c>
      <c r="BW330" s="45">
        <f t="shared" si="333"/>
        <v>0</v>
      </c>
      <c r="BX330" s="50"/>
      <c r="BY330" s="45">
        <v>0</v>
      </c>
      <c r="BZ330" s="45">
        <v>0</v>
      </c>
      <c r="CA330" s="45">
        <f t="shared" ref="CA330:CA337" si="341">CF330-BY329-BQ330-BW330</f>
        <v>0</v>
      </c>
      <c r="CB330" s="50"/>
      <c r="CC330" s="45">
        <f t="shared" ref="CC330:CC337" si="342">BQ330+BW330+BZ330-CF330+BY329-BY330</f>
        <v>0</v>
      </c>
      <c r="CD330" s="64">
        <f>BY330*Inputs!$F$38*Inputs!$G$38</f>
        <v>0</v>
      </c>
      <c r="CE330" s="45">
        <f>Inputs!$F$38*Inputs!$I$38*BZ330</f>
        <v>0</v>
      </c>
      <c r="CF330" s="55"/>
    </row>
    <row r="331" spans="1:84" x14ac:dyDescent="0.25">
      <c r="A331" s="116">
        <v>5</v>
      </c>
      <c r="B331" s="114">
        <f>Inputs!$A$38</f>
        <v>0</v>
      </c>
      <c r="C331" s="45">
        <f>Inputs!$B$38</f>
        <v>0</v>
      </c>
      <c r="D331" s="45" t="s">
        <v>57</v>
      </c>
      <c r="E331" s="45">
        <v>0</v>
      </c>
      <c r="F331" s="50"/>
      <c r="G331" s="118">
        <v>5</v>
      </c>
      <c r="H331" s="114">
        <f>Inputs!$A$38</f>
        <v>0</v>
      </c>
      <c r="I331" s="45">
        <f>Inputs!$B$38</f>
        <v>0</v>
      </c>
      <c r="J331" s="45" t="s">
        <v>58</v>
      </c>
      <c r="K331" s="45">
        <v>0</v>
      </c>
      <c r="L331" s="50"/>
      <c r="M331" s="45">
        <v>0</v>
      </c>
      <c r="N331" s="45">
        <v>0</v>
      </c>
      <c r="O331" s="45">
        <f t="shared" si="335"/>
        <v>0</v>
      </c>
      <c r="P331" s="50"/>
      <c r="Q331" s="45">
        <f t="shared" si="336"/>
        <v>0</v>
      </c>
      <c r="R331" s="64">
        <f>M331*Inputs!$F$38*Inputs!$G$38</f>
        <v>0</v>
      </c>
      <c r="S331" s="45">
        <f>Inputs!$F$38*Inputs!$I$38*N331</f>
        <v>0</v>
      </c>
      <c r="T331" s="18"/>
      <c r="U331" s="55"/>
      <c r="W331" s="116">
        <v>5</v>
      </c>
      <c r="X331" s="114">
        <f>Inputs!$A$38</f>
        <v>0</v>
      </c>
      <c r="Y331" s="45">
        <f>Inputs!$B$38</f>
        <v>0</v>
      </c>
      <c r="Z331" s="45" t="s">
        <v>57</v>
      </c>
      <c r="AA331" s="45">
        <f t="shared" si="329"/>
        <v>0</v>
      </c>
      <c r="AB331" s="50"/>
      <c r="AC331" s="118">
        <v>5</v>
      </c>
      <c r="AD331" s="114">
        <f>Inputs!$A$38</f>
        <v>0</v>
      </c>
      <c r="AE331" s="45">
        <f>Inputs!$B$38</f>
        <v>0</v>
      </c>
      <c r="AF331" s="45" t="s">
        <v>58</v>
      </c>
      <c r="AG331" s="45">
        <f t="shared" si="330"/>
        <v>0</v>
      </c>
      <c r="AH331" s="50"/>
      <c r="AI331" s="45">
        <v>0</v>
      </c>
      <c r="AJ331" s="45">
        <v>0</v>
      </c>
      <c r="AK331" s="45">
        <f t="shared" si="337"/>
        <v>0</v>
      </c>
      <c r="AL331" s="50"/>
      <c r="AM331" s="45">
        <f t="shared" si="338"/>
        <v>0</v>
      </c>
      <c r="AN331" s="64">
        <f>AI331*Inputs!$F$38*Inputs!$G$38</f>
        <v>0</v>
      </c>
      <c r="AO331" s="45">
        <f>Inputs!$F$38*Inputs!$I$38*AJ331</f>
        <v>0</v>
      </c>
      <c r="AP331" s="55"/>
      <c r="AR331" s="116">
        <v>5</v>
      </c>
      <c r="AS331" s="114">
        <f>Inputs!$A$38</f>
        <v>0</v>
      </c>
      <c r="AT331" s="45">
        <f>Inputs!$B$38</f>
        <v>0</v>
      </c>
      <c r="AU331" s="45" t="s">
        <v>57</v>
      </c>
      <c r="AV331" s="45">
        <f t="shared" si="334"/>
        <v>0</v>
      </c>
      <c r="AW331" s="50"/>
      <c r="AX331" s="118">
        <v>5</v>
      </c>
      <c r="AY331" s="114">
        <f>Inputs!$A$38</f>
        <v>0</v>
      </c>
      <c r="AZ331" s="45">
        <f>Inputs!$B$38</f>
        <v>0</v>
      </c>
      <c r="BA331" s="45" t="s">
        <v>58</v>
      </c>
      <c r="BB331" s="45">
        <f t="shared" si="331"/>
        <v>0</v>
      </c>
      <c r="BC331" s="50"/>
      <c r="BD331" s="45">
        <v>0</v>
      </c>
      <c r="BE331" s="45">
        <v>0</v>
      </c>
      <c r="BF331" s="45">
        <f t="shared" si="339"/>
        <v>0</v>
      </c>
      <c r="BG331" s="50"/>
      <c r="BH331" s="45">
        <f t="shared" si="340"/>
        <v>0</v>
      </c>
      <c r="BI331" s="64">
        <f>BD331*Inputs!$F$38*Inputs!$G$38</f>
        <v>0</v>
      </c>
      <c r="BJ331" s="45">
        <f>Inputs!$F$38*Inputs!$I$38*BE331</f>
        <v>0</v>
      </c>
      <c r="BK331" s="55"/>
      <c r="BM331" s="116">
        <v>5</v>
      </c>
      <c r="BN331" s="114">
        <f>Inputs!$A$38</f>
        <v>0</v>
      </c>
      <c r="BO331" s="45">
        <f>Inputs!$B$38</f>
        <v>0</v>
      </c>
      <c r="BP331" s="45" t="s">
        <v>57</v>
      </c>
      <c r="BQ331" s="45">
        <f t="shared" si="332"/>
        <v>0</v>
      </c>
      <c r="BR331" s="50"/>
      <c r="BS331" s="118">
        <v>5</v>
      </c>
      <c r="BT331" s="114">
        <f>Inputs!$A$38</f>
        <v>0</v>
      </c>
      <c r="BU331" s="45">
        <f>Inputs!$B$38</f>
        <v>0</v>
      </c>
      <c r="BV331" s="45" t="s">
        <v>58</v>
      </c>
      <c r="BW331" s="45">
        <f t="shared" si="333"/>
        <v>0</v>
      </c>
      <c r="BX331" s="50"/>
      <c r="BY331" s="45">
        <v>0</v>
      </c>
      <c r="BZ331" s="45">
        <v>0</v>
      </c>
      <c r="CA331" s="45">
        <f t="shared" si="341"/>
        <v>0</v>
      </c>
      <c r="CB331" s="50"/>
      <c r="CC331" s="45">
        <f t="shared" si="342"/>
        <v>0</v>
      </c>
      <c r="CD331" s="64">
        <f>BY331*Inputs!$F$38*Inputs!$G$38</f>
        <v>0</v>
      </c>
      <c r="CE331" s="45">
        <f>Inputs!$F$38*Inputs!$I$38*BZ331</f>
        <v>0</v>
      </c>
      <c r="CF331" s="55"/>
    </row>
    <row r="332" spans="1:84" x14ac:dyDescent="0.25">
      <c r="A332" s="116">
        <v>6</v>
      </c>
      <c r="B332" s="114">
        <f>Inputs!$A$38</f>
        <v>0</v>
      </c>
      <c r="C332" s="45">
        <f>Inputs!$B$38</f>
        <v>0</v>
      </c>
      <c r="D332" s="45" t="s">
        <v>57</v>
      </c>
      <c r="E332" s="45">
        <v>0</v>
      </c>
      <c r="F332" s="50"/>
      <c r="G332" s="118">
        <v>6</v>
      </c>
      <c r="H332" s="114">
        <f>Inputs!$A$38</f>
        <v>0</v>
      </c>
      <c r="I332" s="45">
        <f>Inputs!$B$38</f>
        <v>0</v>
      </c>
      <c r="J332" s="45" t="s">
        <v>58</v>
      </c>
      <c r="K332" s="45">
        <v>0</v>
      </c>
      <c r="L332" s="50"/>
      <c r="M332" s="45">
        <v>0</v>
      </c>
      <c r="N332" s="45">
        <v>0</v>
      </c>
      <c r="O332" s="45">
        <f t="shared" si="335"/>
        <v>0</v>
      </c>
      <c r="P332" s="50"/>
      <c r="Q332" s="45">
        <f t="shared" si="336"/>
        <v>0</v>
      </c>
      <c r="R332" s="64">
        <f>M332*Inputs!$F$38*Inputs!$G$38</f>
        <v>0</v>
      </c>
      <c r="S332" s="45">
        <f>Inputs!$F$38*Inputs!$I$38*N332</f>
        <v>0</v>
      </c>
      <c r="T332" s="18"/>
      <c r="U332" s="55"/>
      <c r="W332" s="116">
        <v>6</v>
      </c>
      <c r="X332" s="114">
        <f>Inputs!$A$38</f>
        <v>0</v>
      </c>
      <c r="Y332" s="45">
        <f>Inputs!$B$38</f>
        <v>0</v>
      </c>
      <c r="Z332" s="45" t="s">
        <v>57</v>
      </c>
      <c r="AA332" s="45">
        <f t="shared" si="329"/>
        <v>0</v>
      </c>
      <c r="AB332" s="50"/>
      <c r="AC332" s="118">
        <v>6</v>
      </c>
      <c r="AD332" s="114">
        <f>Inputs!$A$38</f>
        <v>0</v>
      </c>
      <c r="AE332" s="45">
        <f>Inputs!$B$38</f>
        <v>0</v>
      </c>
      <c r="AF332" s="45" t="s">
        <v>58</v>
      </c>
      <c r="AG332" s="45">
        <f t="shared" si="330"/>
        <v>0</v>
      </c>
      <c r="AH332" s="50"/>
      <c r="AI332" s="45">
        <v>0</v>
      </c>
      <c r="AJ332" s="45">
        <v>0</v>
      </c>
      <c r="AK332" s="45">
        <f t="shared" si="337"/>
        <v>0</v>
      </c>
      <c r="AL332" s="50"/>
      <c r="AM332" s="45">
        <f t="shared" si="338"/>
        <v>0</v>
      </c>
      <c r="AN332" s="64">
        <f>AI332*Inputs!$F$38*Inputs!$G$38</f>
        <v>0</v>
      </c>
      <c r="AO332" s="45">
        <f>Inputs!$F$38*Inputs!$I$38*AJ332</f>
        <v>0</v>
      </c>
      <c r="AP332" s="55"/>
      <c r="AR332" s="116">
        <v>6</v>
      </c>
      <c r="AS332" s="114">
        <f>Inputs!$A$38</f>
        <v>0</v>
      </c>
      <c r="AT332" s="45">
        <f>Inputs!$B$38</f>
        <v>0</v>
      </c>
      <c r="AU332" s="45" t="s">
        <v>57</v>
      </c>
      <c r="AV332" s="45">
        <f t="shared" si="334"/>
        <v>0</v>
      </c>
      <c r="AW332" s="50"/>
      <c r="AX332" s="118">
        <v>6</v>
      </c>
      <c r="AY332" s="114">
        <f>Inputs!$A$38</f>
        <v>0</v>
      </c>
      <c r="AZ332" s="45">
        <f>Inputs!$B$38</f>
        <v>0</v>
      </c>
      <c r="BA332" s="45" t="s">
        <v>58</v>
      </c>
      <c r="BB332" s="45">
        <f t="shared" si="331"/>
        <v>0</v>
      </c>
      <c r="BC332" s="50"/>
      <c r="BD332" s="45">
        <v>0</v>
      </c>
      <c r="BE332" s="45">
        <v>0</v>
      </c>
      <c r="BF332" s="45">
        <f t="shared" si="339"/>
        <v>0</v>
      </c>
      <c r="BG332" s="50"/>
      <c r="BH332" s="45">
        <f t="shared" si="340"/>
        <v>0</v>
      </c>
      <c r="BI332" s="64">
        <f>BD332*Inputs!$F$38*Inputs!$G$38</f>
        <v>0</v>
      </c>
      <c r="BJ332" s="45">
        <f>Inputs!$F$38*Inputs!$I$38*BE332</f>
        <v>0</v>
      </c>
      <c r="BK332" s="55"/>
      <c r="BM332" s="116">
        <v>6</v>
      </c>
      <c r="BN332" s="114">
        <f>Inputs!$A$38</f>
        <v>0</v>
      </c>
      <c r="BO332" s="45">
        <f>Inputs!$B$38</f>
        <v>0</v>
      </c>
      <c r="BP332" s="45" t="s">
        <v>57</v>
      </c>
      <c r="BQ332" s="45">
        <f t="shared" si="332"/>
        <v>0</v>
      </c>
      <c r="BR332" s="50"/>
      <c r="BS332" s="118">
        <v>6</v>
      </c>
      <c r="BT332" s="114">
        <f>Inputs!$A$38</f>
        <v>0</v>
      </c>
      <c r="BU332" s="45">
        <f>Inputs!$B$38</f>
        <v>0</v>
      </c>
      <c r="BV332" s="45" t="s">
        <v>58</v>
      </c>
      <c r="BW332" s="45">
        <f t="shared" si="333"/>
        <v>0</v>
      </c>
      <c r="BX332" s="50"/>
      <c r="BY332" s="45">
        <v>0</v>
      </c>
      <c r="BZ332" s="45">
        <v>0</v>
      </c>
      <c r="CA332" s="45">
        <f t="shared" si="341"/>
        <v>0</v>
      </c>
      <c r="CB332" s="50"/>
      <c r="CC332" s="45">
        <f t="shared" si="342"/>
        <v>0</v>
      </c>
      <c r="CD332" s="64">
        <f>BY332*Inputs!$F$38*Inputs!$G$38</f>
        <v>0</v>
      </c>
      <c r="CE332" s="45">
        <f>Inputs!$F$38*Inputs!$I$38*BZ332</f>
        <v>0</v>
      </c>
      <c r="CF332" s="55"/>
    </row>
    <row r="333" spans="1:84" x14ac:dyDescent="0.25">
      <c r="A333" s="116">
        <v>7</v>
      </c>
      <c r="B333" s="114">
        <f>Inputs!$A$38</f>
        <v>0</v>
      </c>
      <c r="C333" s="45">
        <f>Inputs!$B$38</f>
        <v>0</v>
      </c>
      <c r="D333" s="45" t="s">
        <v>57</v>
      </c>
      <c r="E333" s="45">
        <v>0</v>
      </c>
      <c r="F333" s="50"/>
      <c r="G333" s="118">
        <v>7</v>
      </c>
      <c r="H333" s="114">
        <f>Inputs!$A$38</f>
        <v>0</v>
      </c>
      <c r="I333" s="45">
        <f>Inputs!$B$38</f>
        <v>0</v>
      </c>
      <c r="J333" s="45" t="s">
        <v>58</v>
      </c>
      <c r="K333" s="45">
        <v>0</v>
      </c>
      <c r="L333" s="50"/>
      <c r="M333" s="45">
        <v>0</v>
      </c>
      <c r="N333" s="45">
        <v>0</v>
      </c>
      <c r="O333" s="45">
        <f t="shared" si="335"/>
        <v>0</v>
      </c>
      <c r="P333" s="50"/>
      <c r="Q333" s="45">
        <f t="shared" si="336"/>
        <v>0</v>
      </c>
      <c r="R333" s="64">
        <f>M333*Inputs!$F$38*Inputs!$G$38</f>
        <v>0</v>
      </c>
      <c r="S333" s="45">
        <f>Inputs!$F$38*Inputs!$I$38*N333</f>
        <v>0</v>
      </c>
      <c r="T333" s="18"/>
      <c r="U333" s="55"/>
      <c r="W333" s="116">
        <v>7</v>
      </c>
      <c r="X333" s="114">
        <f>Inputs!$A$38</f>
        <v>0</v>
      </c>
      <c r="Y333" s="45">
        <f>Inputs!$B$38</f>
        <v>0</v>
      </c>
      <c r="Z333" s="45" t="s">
        <v>57</v>
      </c>
      <c r="AA333" s="45">
        <f t="shared" si="329"/>
        <v>0</v>
      </c>
      <c r="AB333" s="50"/>
      <c r="AC333" s="118">
        <v>7</v>
      </c>
      <c r="AD333" s="114">
        <f>Inputs!$A$38</f>
        <v>0</v>
      </c>
      <c r="AE333" s="45">
        <f>Inputs!$B$38</f>
        <v>0</v>
      </c>
      <c r="AF333" s="45" t="s">
        <v>58</v>
      </c>
      <c r="AG333" s="45">
        <f t="shared" si="330"/>
        <v>0</v>
      </c>
      <c r="AH333" s="50"/>
      <c r="AI333" s="45">
        <v>0</v>
      </c>
      <c r="AJ333" s="45">
        <v>0</v>
      </c>
      <c r="AK333" s="45">
        <f t="shared" si="337"/>
        <v>0</v>
      </c>
      <c r="AL333" s="50"/>
      <c r="AM333" s="45">
        <f t="shared" si="338"/>
        <v>0</v>
      </c>
      <c r="AN333" s="64">
        <f>AI333*Inputs!$F$38*Inputs!$G$38</f>
        <v>0</v>
      </c>
      <c r="AO333" s="45">
        <f>Inputs!$F$38*Inputs!$I$38*AJ333</f>
        <v>0</v>
      </c>
      <c r="AP333" s="55"/>
      <c r="AR333" s="116">
        <v>7</v>
      </c>
      <c r="AS333" s="114">
        <f>Inputs!$A$38</f>
        <v>0</v>
      </c>
      <c r="AT333" s="45">
        <f>Inputs!$B$38</f>
        <v>0</v>
      </c>
      <c r="AU333" s="45" t="s">
        <v>57</v>
      </c>
      <c r="AV333" s="45">
        <f t="shared" si="334"/>
        <v>0</v>
      </c>
      <c r="AW333" s="50"/>
      <c r="AX333" s="118">
        <v>7</v>
      </c>
      <c r="AY333" s="114">
        <f>Inputs!$A$38</f>
        <v>0</v>
      </c>
      <c r="AZ333" s="45">
        <f>Inputs!$B$38</f>
        <v>0</v>
      </c>
      <c r="BA333" s="45" t="s">
        <v>58</v>
      </c>
      <c r="BB333" s="45">
        <f t="shared" si="331"/>
        <v>0</v>
      </c>
      <c r="BC333" s="50"/>
      <c r="BD333" s="45">
        <v>0</v>
      </c>
      <c r="BE333" s="45">
        <v>0</v>
      </c>
      <c r="BF333" s="45">
        <f t="shared" si="339"/>
        <v>0</v>
      </c>
      <c r="BG333" s="50"/>
      <c r="BH333" s="45">
        <f t="shared" si="340"/>
        <v>0</v>
      </c>
      <c r="BI333" s="64">
        <f>BD333*Inputs!$F$38*Inputs!$G$38</f>
        <v>0</v>
      </c>
      <c r="BJ333" s="45">
        <f>Inputs!$F$38*Inputs!$I$38*BE333</f>
        <v>0</v>
      </c>
      <c r="BK333" s="55"/>
      <c r="BM333" s="116">
        <v>7</v>
      </c>
      <c r="BN333" s="114">
        <f>Inputs!$A$38</f>
        <v>0</v>
      </c>
      <c r="BO333" s="45">
        <f>Inputs!$B$38</f>
        <v>0</v>
      </c>
      <c r="BP333" s="45" t="s">
        <v>57</v>
      </c>
      <c r="BQ333" s="45">
        <f t="shared" si="332"/>
        <v>0</v>
      </c>
      <c r="BR333" s="50"/>
      <c r="BS333" s="118">
        <v>7</v>
      </c>
      <c r="BT333" s="114">
        <f>Inputs!$A$38</f>
        <v>0</v>
      </c>
      <c r="BU333" s="45">
        <f>Inputs!$B$38</f>
        <v>0</v>
      </c>
      <c r="BV333" s="45" t="s">
        <v>58</v>
      </c>
      <c r="BW333" s="45">
        <f t="shared" si="333"/>
        <v>0</v>
      </c>
      <c r="BX333" s="50"/>
      <c r="BY333" s="45">
        <v>0</v>
      </c>
      <c r="BZ333" s="45">
        <v>0</v>
      </c>
      <c r="CA333" s="45">
        <f t="shared" si="341"/>
        <v>0</v>
      </c>
      <c r="CB333" s="50"/>
      <c r="CC333" s="45">
        <f t="shared" si="342"/>
        <v>0</v>
      </c>
      <c r="CD333" s="64">
        <f>BY333*Inputs!$F$38*Inputs!$G$38</f>
        <v>0</v>
      </c>
      <c r="CE333" s="45">
        <f>Inputs!$F$38*Inputs!$I$38*BZ333</f>
        <v>0</v>
      </c>
      <c r="CF333" s="55"/>
    </row>
    <row r="334" spans="1:84" x14ac:dyDescent="0.25">
      <c r="A334" s="116">
        <v>8</v>
      </c>
      <c r="B334" s="114">
        <f>Inputs!$A$38</f>
        <v>0</v>
      </c>
      <c r="C334" s="45">
        <f>Inputs!$B$38</f>
        <v>0</v>
      </c>
      <c r="D334" s="45" t="s">
        <v>57</v>
      </c>
      <c r="E334" s="45">
        <v>0</v>
      </c>
      <c r="F334" s="50"/>
      <c r="G334" s="118">
        <v>8</v>
      </c>
      <c r="H334" s="114">
        <f>Inputs!$A$38</f>
        <v>0</v>
      </c>
      <c r="I334" s="45">
        <f>Inputs!$B$38</f>
        <v>0</v>
      </c>
      <c r="J334" s="45" t="s">
        <v>58</v>
      </c>
      <c r="K334" s="45">
        <v>0</v>
      </c>
      <c r="L334" s="50"/>
      <c r="M334" s="45">
        <v>0</v>
      </c>
      <c r="N334" s="45">
        <v>0</v>
      </c>
      <c r="O334" s="45">
        <f t="shared" si="335"/>
        <v>0</v>
      </c>
      <c r="P334" s="50"/>
      <c r="Q334" s="45">
        <f t="shared" si="336"/>
        <v>0</v>
      </c>
      <c r="R334" s="64">
        <f>M334*Inputs!$F$38*Inputs!$G$38</f>
        <v>0</v>
      </c>
      <c r="S334" s="45">
        <f>Inputs!$F$38*Inputs!$I$38*N334</f>
        <v>0</v>
      </c>
      <c r="T334" s="18"/>
      <c r="U334" s="55"/>
      <c r="W334" s="116">
        <v>8</v>
      </c>
      <c r="X334" s="114">
        <f>Inputs!$A$38</f>
        <v>0</v>
      </c>
      <c r="Y334" s="45">
        <f>Inputs!$B$38</f>
        <v>0</v>
      </c>
      <c r="Z334" s="45" t="s">
        <v>57</v>
      </c>
      <c r="AA334" s="45">
        <f t="shared" si="329"/>
        <v>0</v>
      </c>
      <c r="AB334" s="50"/>
      <c r="AC334" s="118">
        <v>8</v>
      </c>
      <c r="AD334" s="114">
        <f>Inputs!$A$38</f>
        <v>0</v>
      </c>
      <c r="AE334" s="45">
        <f>Inputs!$B$38</f>
        <v>0</v>
      </c>
      <c r="AF334" s="45" t="s">
        <v>58</v>
      </c>
      <c r="AG334" s="45">
        <f t="shared" si="330"/>
        <v>0</v>
      </c>
      <c r="AH334" s="50"/>
      <c r="AI334" s="45">
        <v>0</v>
      </c>
      <c r="AJ334" s="45">
        <v>0</v>
      </c>
      <c r="AK334" s="45">
        <f t="shared" si="337"/>
        <v>0</v>
      </c>
      <c r="AL334" s="50"/>
      <c r="AM334" s="45">
        <f t="shared" si="338"/>
        <v>0</v>
      </c>
      <c r="AN334" s="64">
        <f>AI334*Inputs!$F$38*Inputs!$G$38</f>
        <v>0</v>
      </c>
      <c r="AO334" s="45">
        <f>Inputs!$F$38*Inputs!$I$38*AJ334</f>
        <v>0</v>
      </c>
      <c r="AP334" s="55"/>
      <c r="AR334" s="116">
        <v>8</v>
      </c>
      <c r="AS334" s="114">
        <f>Inputs!$A$38</f>
        <v>0</v>
      </c>
      <c r="AT334" s="45">
        <f>Inputs!$B$38</f>
        <v>0</v>
      </c>
      <c r="AU334" s="45" t="s">
        <v>57</v>
      </c>
      <c r="AV334" s="45">
        <f t="shared" si="334"/>
        <v>0</v>
      </c>
      <c r="AW334" s="50"/>
      <c r="AX334" s="118">
        <v>8</v>
      </c>
      <c r="AY334" s="114">
        <f>Inputs!$A$38</f>
        <v>0</v>
      </c>
      <c r="AZ334" s="45">
        <f>Inputs!$B$38</f>
        <v>0</v>
      </c>
      <c r="BA334" s="45" t="s">
        <v>58</v>
      </c>
      <c r="BB334" s="45">
        <f t="shared" si="331"/>
        <v>0</v>
      </c>
      <c r="BC334" s="50"/>
      <c r="BD334" s="45">
        <v>0</v>
      </c>
      <c r="BE334" s="45">
        <v>0</v>
      </c>
      <c r="BF334" s="45">
        <f t="shared" si="339"/>
        <v>0</v>
      </c>
      <c r="BG334" s="50"/>
      <c r="BH334" s="45">
        <f t="shared" si="340"/>
        <v>0</v>
      </c>
      <c r="BI334" s="64">
        <f>BD334*Inputs!$F$38*Inputs!$G$38</f>
        <v>0</v>
      </c>
      <c r="BJ334" s="45">
        <f>Inputs!$F$38*Inputs!$I$38*BE334</f>
        <v>0</v>
      </c>
      <c r="BK334" s="55"/>
      <c r="BM334" s="116">
        <v>8</v>
      </c>
      <c r="BN334" s="114">
        <f>Inputs!$A$38</f>
        <v>0</v>
      </c>
      <c r="BO334" s="45">
        <f>Inputs!$B$38</f>
        <v>0</v>
      </c>
      <c r="BP334" s="45" t="s">
        <v>57</v>
      </c>
      <c r="BQ334" s="45">
        <f t="shared" si="332"/>
        <v>0</v>
      </c>
      <c r="BR334" s="50"/>
      <c r="BS334" s="118">
        <v>8</v>
      </c>
      <c r="BT334" s="114">
        <f>Inputs!$A$38</f>
        <v>0</v>
      </c>
      <c r="BU334" s="45">
        <f>Inputs!$B$38</f>
        <v>0</v>
      </c>
      <c r="BV334" s="45" t="s">
        <v>58</v>
      </c>
      <c r="BW334" s="45">
        <f t="shared" si="333"/>
        <v>0</v>
      </c>
      <c r="BX334" s="50"/>
      <c r="BY334" s="45">
        <v>0</v>
      </c>
      <c r="BZ334" s="45">
        <v>0</v>
      </c>
      <c r="CA334" s="45">
        <f t="shared" si="341"/>
        <v>0</v>
      </c>
      <c r="CB334" s="50"/>
      <c r="CC334" s="45">
        <f t="shared" si="342"/>
        <v>0</v>
      </c>
      <c r="CD334" s="64">
        <f>BY334*Inputs!$F$38*Inputs!$G$38</f>
        <v>0</v>
      </c>
      <c r="CE334" s="45">
        <f>Inputs!$F$38*Inputs!$I$38*BZ334</f>
        <v>0</v>
      </c>
      <c r="CF334" s="55"/>
    </row>
    <row r="335" spans="1:84" x14ac:dyDescent="0.25">
      <c r="A335" s="116">
        <v>9</v>
      </c>
      <c r="B335" s="114">
        <f>Inputs!$A$38</f>
        <v>0</v>
      </c>
      <c r="C335" s="45">
        <f>Inputs!$B$38</f>
        <v>0</v>
      </c>
      <c r="D335" s="45" t="s">
        <v>57</v>
      </c>
      <c r="E335" s="45">
        <v>0</v>
      </c>
      <c r="F335" s="50"/>
      <c r="G335" s="118">
        <v>9</v>
      </c>
      <c r="H335" s="114">
        <f>Inputs!$A$38</f>
        <v>0</v>
      </c>
      <c r="I335" s="45">
        <f>Inputs!$B$38</f>
        <v>0</v>
      </c>
      <c r="J335" s="45" t="s">
        <v>58</v>
      </c>
      <c r="K335" s="45">
        <v>0</v>
      </c>
      <c r="L335" s="50"/>
      <c r="M335" s="45">
        <v>0</v>
      </c>
      <c r="N335" s="45">
        <v>0</v>
      </c>
      <c r="O335" s="45">
        <f t="shared" si="335"/>
        <v>0</v>
      </c>
      <c r="P335" s="50"/>
      <c r="Q335" s="45">
        <f t="shared" si="336"/>
        <v>0</v>
      </c>
      <c r="R335" s="64">
        <f>M335*Inputs!$F$38*Inputs!$G$38</f>
        <v>0</v>
      </c>
      <c r="S335" s="45">
        <f>Inputs!$F$38*Inputs!$I$38*N335</f>
        <v>0</v>
      </c>
      <c r="T335" s="18"/>
      <c r="U335" s="55"/>
      <c r="W335" s="116">
        <v>9</v>
      </c>
      <c r="X335" s="114">
        <f>Inputs!$A$38</f>
        <v>0</v>
      </c>
      <c r="Y335" s="45">
        <f>Inputs!$B$38</f>
        <v>0</v>
      </c>
      <c r="Z335" s="45" t="s">
        <v>57</v>
      </c>
      <c r="AA335" s="45">
        <f t="shared" si="329"/>
        <v>0</v>
      </c>
      <c r="AB335" s="50"/>
      <c r="AC335" s="118">
        <v>9</v>
      </c>
      <c r="AD335" s="114">
        <f>Inputs!$A$38</f>
        <v>0</v>
      </c>
      <c r="AE335" s="45">
        <f>Inputs!$B$38</f>
        <v>0</v>
      </c>
      <c r="AF335" s="45" t="s">
        <v>58</v>
      </c>
      <c r="AG335" s="45">
        <f t="shared" si="330"/>
        <v>0</v>
      </c>
      <c r="AH335" s="50"/>
      <c r="AI335" s="45">
        <v>0</v>
      </c>
      <c r="AJ335" s="45">
        <v>0</v>
      </c>
      <c r="AK335" s="45">
        <f t="shared" si="337"/>
        <v>0</v>
      </c>
      <c r="AL335" s="50"/>
      <c r="AM335" s="45">
        <f t="shared" si="338"/>
        <v>0</v>
      </c>
      <c r="AN335" s="64">
        <f>AI335*Inputs!$F$38*Inputs!$G$38</f>
        <v>0</v>
      </c>
      <c r="AO335" s="45">
        <f>Inputs!$F$38*Inputs!$I$38*AJ335</f>
        <v>0</v>
      </c>
      <c r="AP335" s="55"/>
      <c r="AR335" s="116">
        <v>9</v>
      </c>
      <c r="AS335" s="114">
        <f>Inputs!$A$38</f>
        <v>0</v>
      </c>
      <c r="AT335" s="45">
        <f>Inputs!$B$38</f>
        <v>0</v>
      </c>
      <c r="AU335" s="45" t="s">
        <v>57</v>
      </c>
      <c r="AV335" s="45">
        <f t="shared" si="334"/>
        <v>0</v>
      </c>
      <c r="AW335" s="50"/>
      <c r="AX335" s="118">
        <v>9</v>
      </c>
      <c r="AY335" s="114">
        <f>Inputs!$A$38</f>
        <v>0</v>
      </c>
      <c r="AZ335" s="45">
        <f>Inputs!$B$38</f>
        <v>0</v>
      </c>
      <c r="BA335" s="45" t="s">
        <v>58</v>
      </c>
      <c r="BB335" s="45">
        <f t="shared" si="331"/>
        <v>0</v>
      </c>
      <c r="BC335" s="50"/>
      <c r="BD335" s="45">
        <v>0</v>
      </c>
      <c r="BE335" s="45">
        <v>0</v>
      </c>
      <c r="BF335" s="45">
        <f t="shared" si="339"/>
        <v>0</v>
      </c>
      <c r="BG335" s="50"/>
      <c r="BH335" s="45">
        <f t="shared" si="340"/>
        <v>0</v>
      </c>
      <c r="BI335" s="64">
        <f>BD335*Inputs!$F$38*Inputs!$G$38</f>
        <v>0</v>
      </c>
      <c r="BJ335" s="45">
        <f>Inputs!$F$38*Inputs!$I$38*BE335</f>
        <v>0</v>
      </c>
      <c r="BK335" s="55"/>
      <c r="BM335" s="116">
        <v>9</v>
      </c>
      <c r="BN335" s="114">
        <f>Inputs!$A$38</f>
        <v>0</v>
      </c>
      <c r="BO335" s="45">
        <f>Inputs!$B$38</f>
        <v>0</v>
      </c>
      <c r="BP335" s="45" t="s">
        <v>57</v>
      </c>
      <c r="BQ335" s="45">
        <f t="shared" si="332"/>
        <v>0</v>
      </c>
      <c r="BR335" s="50"/>
      <c r="BS335" s="118">
        <v>9</v>
      </c>
      <c r="BT335" s="114">
        <f>Inputs!$A$38</f>
        <v>0</v>
      </c>
      <c r="BU335" s="45">
        <f>Inputs!$B$38</f>
        <v>0</v>
      </c>
      <c r="BV335" s="45" t="s">
        <v>58</v>
      </c>
      <c r="BW335" s="45">
        <f t="shared" si="333"/>
        <v>0</v>
      </c>
      <c r="BX335" s="50"/>
      <c r="BY335" s="45">
        <v>0</v>
      </c>
      <c r="BZ335" s="45">
        <v>0</v>
      </c>
      <c r="CA335" s="45">
        <f t="shared" si="341"/>
        <v>0</v>
      </c>
      <c r="CB335" s="50"/>
      <c r="CC335" s="45">
        <f t="shared" si="342"/>
        <v>0</v>
      </c>
      <c r="CD335" s="64">
        <f>BY335*Inputs!$F$38*Inputs!$G$38</f>
        <v>0</v>
      </c>
      <c r="CE335" s="45">
        <f>Inputs!$F$38*Inputs!$I$38*BZ335</f>
        <v>0</v>
      </c>
      <c r="CF335" s="55"/>
    </row>
    <row r="336" spans="1:84" x14ac:dyDescent="0.25">
      <c r="A336" s="116">
        <v>10</v>
      </c>
      <c r="B336" s="114">
        <f>Inputs!$A$38</f>
        <v>0</v>
      </c>
      <c r="C336" s="45">
        <f>Inputs!$B$38</f>
        <v>0</v>
      </c>
      <c r="D336" s="45" t="s">
        <v>57</v>
      </c>
      <c r="E336" s="45">
        <v>0</v>
      </c>
      <c r="F336" s="50"/>
      <c r="G336" s="118">
        <v>10</v>
      </c>
      <c r="H336" s="114">
        <f>Inputs!$A$38</f>
        <v>0</v>
      </c>
      <c r="I336" s="45">
        <f>Inputs!$B$38</f>
        <v>0</v>
      </c>
      <c r="J336" s="45" t="s">
        <v>58</v>
      </c>
      <c r="K336" s="45">
        <v>0</v>
      </c>
      <c r="L336" s="50"/>
      <c r="M336" s="45">
        <v>0</v>
      </c>
      <c r="N336" s="45">
        <v>0</v>
      </c>
      <c r="O336" s="45">
        <f t="shared" si="335"/>
        <v>0</v>
      </c>
      <c r="P336" s="50"/>
      <c r="Q336" s="45">
        <f t="shared" si="336"/>
        <v>0</v>
      </c>
      <c r="R336" s="64">
        <f>M336*Inputs!$F$38*Inputs!$G$38</f>
        <v>0</v>
      </c>
      <c r="S336" s="45">
        <f>Inputs!$F$38*Inputs!$I$38*N336</f>
        <v>0</v>
      </c>
      <c r="T336" s="18"/>
      <c r="U336" s="91"/>
      <c r="W336" s="116">
        <v>10</v>
      </c>
      <c r="X336" s="114">
        <f>Inputs!$A$38</f>
        <v>0</v>
      </c>
      <c r="Y336" s="45">
        <f>Inputs!$B$38</f>
        <v>0</v>
      </c>
      <c r="Z336" s="45" t="s">
        <v>57</v>
      </c>
      <c r="AA336" s="45">
        <f t="shared" si="329"/>
        <v>0</v>
      </c>
      <c r="AB336" s="50"/>
      <c r="AC336" s="118">
        <v>10</v>
      </c>
      <c r="AD336" s="114">
        <f>Inputs!$A$38</f>
        <v>0</v>
      </c>
      <c r="AE336" s="45">
        <f>Inputs!$B$38</f>
        <v>0</v>
      </c>
      <c r="AF336" s="45" t="s">
        <v>58</v>
      </c>
      <c r="AG336" s="45">
        <f t="shared" si="330"/>
        <v>0</v>
      </c>
      <c r="AH336" s="50"/>
      <c r="AI336" s="45">
        <v>0</v>
      </c>
      <c r="AJ336" s="45">
        <v>0</v>
      </c>
      <c r="AK336" s="45">
        <f t="shared" si="337"/>
        <v>0</v>
      </c>
      <c r="AL336" s="50"/>
      <c r="AM336" s="45">
        <f t="shared" si="338"/>
        <v>0</v>
      </c>
      <c r="AN336" s="64">
        <f>AI336*Inputs!$F$38*Inputs!$G$38</f>
        <v>0</v>
      </c>
      <c r="AO336" s="45">
        <f>Inputs!$F$38*Inputs!$I$38*AJ336</f>
        <v>0</v>
      </c>
      <c r="AP336" s="91"/>
      <c r="AR336" s="116">
        <v>10</v>
      </c>
      <c r="AS336" s="114">
        <f>Inputs!$A$38</f>
        <v>0</v>
      </c>
      <c r="AT336" s="45">
        <f>Inputs!$B$38</f>
        <v>0</v>
      </c>
      <c r="AU336" s="45" t="s">
        <v>57</v>
      </c>
      <c r="AV336" s="45">
        <f t="shared" si="334"/>
        <v>0</v>
      </c>
      <c r="AW336" s="50"/>
      <c r="AX336" s="118">
        <v>10</v>
      </c>
      <c r="AY336" s="114">
        <f>Inputs!$A$38</f>
        <v>0</v>
      </c>
      <c r="AZ336" s="45">
        <f>Inputs!$B$38</f>
        <v>0</v>
      </c>
      <c r="BA336" s="45" t="s">
        <v>58</v>
      </c>
      <c r="BB336" s="45">
        <f t="shared" si="331"/>
        <v>0</v>
      </c>
      <c r="BC336" s="50"/>
      <c r="BD336" s="45">
        <v>0</v>
      </c>
      <c r="BE336" s="45">
        <v>0</v>
      </c>
      <c r="BF336" s="45">
        <f t="shared" si="339"/>
        <v>0</v>
      </c>
      <c r="BG336" s="50"/>
      <c r="BH336" s="45">
        <f t="shared" si="340"/>
        <v>0</v>
      </c>
      <c r="BI336" s="64">
        <f>BD336*Inputs!$F$38*Inputs!$G$38</f>
        <v>0</v>
      </c>
      <c r="BJ336" s="45">
        <f>Inputs!$F$38*Inputs!$I$38*BE336</f>
        <v>0</v>
      </c>
      <c r="BK336" s="91"/>
      <c r="BM336" s="116">
        <v>10</v>
      </c>
      <c r="BN336" s="114">
        <f>Inputs!$A$38</f>
        <v>0</v>
      </c>
      <c r="BO336" s="45">
        <f>Inputs!$B$38</f>
        <v>0</v>
      </c>
      <c r="BP336" s="45" t="s">
        <v>57</v>
      </c>
      <c r="BQ336" s="45">
        <f t="shared" si="332"/>
        <v>0</v>
      </c>
      <c r="BR336" s="50"/>
      <c r="BS336" s="118">
        <v>10</v>
      </c>
      <c r="BT336" s="114">
        <f>Inputs!$A$38</f>
        <v>0</v>
      </c>
      <c r="BU336" s="45">
        <f>Inputs!$B$38</f>
        <v>0</v>
      </c>
      <c r="BV336" s="45" t="s">
        <v>58</v>
      </c>
      <c r="BW336" s="45">
        <f t="shared" si="333"/>
        <v>0</v>
      </c>
      <c r="BX336" s="50"/>
      <c r="BY336" s="45">
        <v>0</v>
      </c>
      <c r="BZ336" s="45">
        <v>0</v>
      </c>
      <c r="CA336" s="45">
        <f t="shared" si="341"/>
        <v>0</v>
      </c>
      <c r="CB336" s="50"/>
      <c r="CC336" s="45">
        <f t="shared" si="342"/>
        <v>0</v>
      </c>
      <c r="CD336" s="64">
        <f>BY336*Inputs!$F$38*Inputs!$G$38</f>
        <v>0</v>
      </c>
      <c r="CE336" s="45">
        <f>Inputs!$F$38*Inputs!$I$38*BZ336</f>
        <v>0</v>
      </c>
      <c r="CF336" s="91"/>
    </row>
    <row r="337" spans="1:84" x14ac:dyDescent="0.25">
      <c r="A337" s="116">
        <v>11</v>
      </c>
      <c r="B337" s="114">
        <f>Inputs!$A$38</f>
        <v>0</v>
      </c>
      <c r="C337" s="45">
        <f>Inputs!$B$38</f>
        <v>0</v>
      </c>
      <c r="D337" s="45" t="s">
        <v>57</v>
      </c>
      <c r="E337" s="45">
        <v>0</v>
      </c>
      <c r="F337" s="50"/>
      <c r="G337" s="118">
        <v>11</v>
      </c>
      <c r="H337" s="114">
        <f>Inputs!$A$38</f>
        <v>0</v>
      </c>
      <c r="I337" s="45">
        <f>Inputs!$B$38</f>
        <v>0</v>
      </c>
      <c r="J337" s="45" t="s">
        <v>58</v>
      </c>
      <c r="K337" s="45">
        <v>0</v>
      </c>
      <c r="L337" s="50"/>
      <c r="M337" s="45">
        <v>0</v>
      </c>
      <c r="N337" s="45">
        <v>0</v>
      </c>
      <c r="O337" s="45">
        <f t="shared" si="335"/>
        <v>0</v>
      </c>
      <c r="P337" s="50"/>
      <c r="Q337" s="45">
        <f t="shared" si="336"/>
        <v>0</v>
      </c>
      <c r="R337" s="64">
        <f>M337*Inputs!$F$38*Inputs!$H$38</f>
        <v>0</v>
      </c>
      <c r="S337" s="45">
        <f>Inputs!$F$38*Inputs!$I$38*N337</f>
        <v>0</v>
      </c>
      <c r="T337" s="18"/>
      <c r="U337" s="56"/>
      <c r="W337" s="116">
        <v>11</v>
      </c>
      <c r="X337" s="114">
        <f>Inputs!$A$38</f>
        <v>0</v>
      </c>
      <c r="Y337" s="45">
        <f>Inputs!$B$38</f>
        <v>0</v>
      </c>
      <c r="Z337" s="45" t="s">
        <v>57</v>
      </c>
      <c r="AA337" s="45">
        <f t="shared" si="329"/>
        <v>0</v>
      </c>
      <c r="AB337" s="50"/>
      <c r="AC337" s="118">
        <v>11</v>
      </c>
      <c r="AD337" s="114">
        <f>Inputs!$A$38</f>
        <v>0</v>
      </c>
      <c r="AE337" s="45">
        <f>Inputs!$B$38</f>
        <v>0</v>
      </c>
      <c r="AF337" s="45" t="s">
        <v>58</v>
      </c>
      <c r="AG337" s="45">
        <f t="shared" si="330"/>
        <v>0</v>
      </c>
      <c r="AH337" s="50"/>
      <c r="AI337" s="45">
        <v>0</v>
      </c>
      <c r="AJ337" s="45">
        <v>0</v>
      </c>
      <c r="AK337" s="45">
        <f t="shared" si="337"/>
        <v>0</v>
      </c>
      <c r="AL337" s="50"/>
      <c r="AM337" s="45">
        <f t="shared" si="338"/>
        <v>0</v>
      </c>
      <c r="AN337" s="64">
        <f>AI337*Inputs!$F$38*Inputs!$H$38</f>
        <v>0</v>
      </c>
      <c r="AO337" s="45">
        <f>Inputs!$F$38*Inputs!$I$38*AJ337</f>
        <v>0</v>
      </c>
      <c r="AP337" s="56"/>
      <c r="AR337" s="116">
        <v>11</v>
      </c>
      <c r="AS337" s="114">
        <f>Inputs!$A$38</f>
        <v>0</v>
      </c>
      <c r="AT337" s="45">
        <f>Inputs!$B$38</f>
        <v>0</v>
      </c>
      <c r="AU337" s="45" t="s">
        <v>57</v>
      </c>
      <c r="AV337" s="45">
        <f t="shared" si="334"/>
        <v>0</v>
      </c>
      <c r="AW337" s="50"/>
      <c r="AX337" s="118">
        <v>11</v>
      </c>
      <c r="AY337" s="114">
        <f>Inputs!$A$38</f>
        <v>0</v>
      </c>
      <c r="AZ337" s="45">
        <f>Inputs!$B$38</f>
        <v>0</v>
      </c>
      <c r="BA337" s="45" t="s">
        <v>58</v>
      </c>
      <c r="BB337" s="45">
        <f t="shared" si="331"/>
        <v>0</v>
      </c>
      <c r="BC337" s="50"/>
      <c r="BD337" s="45">
        <v>0</v>
      </c>
      <c r="BE337" s="45">
        <v>0</v>
      </c>
      <c r="BF337" s="45">
        <f t="shared" si="339"/>
        <v>0</v>
      </c>
      <c r="BG337" s="50"/>
      <c r="BH337" s="45">
        <f t="shared" si="340"/>
        <v>0</v>
      </c>
      <c r="BI337" s="64">
        <f>BD337*Inputs!$F$38*Inputs!$H$38</f>
        <v>0</v>
      </c>
      <c r="BJ337" s="45">
        <f>Inputs!$F$38*Inputs!$I$38*BE337</f>
        <v>0</v>
      </c>
      <c r="BK337" s="56"/>
      <c r="BM337" s="116">
        <v>11</v>
      </c>
      <c r="BN337" s="114">
        <f>Inputs!$A$38</f>
        <v>0</v>
      </c>
      <c r="BO337" s="45">
        <f>Inputs!$B$38</f>
        <v>0</v>
      </c>
      <c r="BP337" s="45" t="s">
        <v>57</v>
      </c>
      <c r="BQ337" s="45">
        <f t="shared" si="332"/>
        <v>0</v>
      </c>
      <c r="BR337" s="50"/>
      <c r="BS337" s="118">
        <v>11</v>
      </c>
      <c r="BT337" s="114">
        <f>Inputs!$A$38</f>
        <v>0</v>
      </c>
      <c r="BU337" s="45">
        <f>Inputs!$B$38</f>
        <v>0</v>
      </c>
      <c r="BV337" s="45" t="s">
        <v>58</v>
      </c>
      <c r="BW337" s="45">
        <f t="shared" si="333"/>
        <v>0</v>
      </c>
      <c r="BX337" s="50"/>
      <c r="BY337" s="45">
        <v>0</v>
      </c>
      <c r="BZ337" s="45">
        <v>0</v>
      </c>
      <c r="CA337" s="45">
        <f t="shared" si="341"/>
        <v>0</v>
      </c>
      <c r="CB337" s="50"/>
      <c r="CC337" s="45">
        <f t="shared" si="342"/>
        <v>0</v>
      </c>
      <c r="CD337" s="64">
        <f>BY337*Inputs!$F$38*Inputs!$H$38</f>
        <v>0</v>
      </c>
      <c r="CE337" s="45">
        <f>Inputs!$F$38*Inputs!$I$38*BZ337</f>
        <v>0</v>
      </c>
      <c r="CF337" s="56"/>
    </row>
    <row r="338" spans="1:84" x14ac:dyDescent="0.25">
      <c r="A338" s="117">
        <v>3</v>
      </c>
      <c r="B338" s="115">
        <f>Inputs!$A$39</f>
        <v>0</v>
      </c>
      <c r="C338" s="44">
        <f>Inputs!$B$39</f>
        <v>0</v>
      </c>
      <c r="D338" s="44" t="s">
        <v>57</v>
      </c>
      <c r="E338" s="44">
        <v>0</v>
      </c>
      <c r="F338" s="50"/>
      <c r="G338" s="119">
        <v>3</v>
      </c>
      <c r="H338" s="115">
        <f>Inputs!$A$39</f>
        <v>0</v>
      </c>
      <c r="I338" s="44">
        <f>Inputs!$B$39</f>
        <v>0</v>
      </c>
      <c r="J338" s="44" t="s">
        <v>58</v>
      </c>
      <c r="K338" s="44">
        <v>0</v>
      </c>
      <c r="L338" s="50"/>
      <c r="M338" s="44">
        <v>0</v>
      </c>
      <c r="N338" s="44">
        <v>0</v>
      </c>
      <c r="O338" s="44">
        <f>U338-0-E338-K338</f>
        <v>0</v>
      </c>
      <c r="P338" s="50"/>
      <c r="Q338" s="44">
        <f>E338+K338+N338-U338+0-M338</f>
        <v>0</v>
      </c>
      <c r="R338" s="63">
        <f>M338*Inputs!$F$39*Inputs!$G$39</f>
        <v>0</v>
      </c>
      <c r="S338" s="44">
        <f>Inputs!$F$39*Inputs!$I$39*N338</f>
        <v>0</v>
      </c>
      <c r="T338" s="18"/>
      <c r="U338" s="54"/>
      <c r="W338" s="117">
        <v>3</v>
      </c>
      <c r="X338" s="115">
        <f>Inputs!$A$39</f>
        <v>0</v>
      </c>
      <c r="Y338" s="44">
        <f>Inputs!$B$39</f>
        <v>0</v>
      </c>
      <c r="Z338" s="44" t="s">
        <v>57</v>
      </c>
      <c r="AA338" s="44">
        <f t="shared" si="329"/>
        <v>0</v>
      </c>
      <c r="AB338" s="50"/>
      <c r="AC338" s="119">
        <v>3</v>
      </c>
      <c r="AD338" s="115">
        <f>Inputs!$A$39</f>
        <v>0</v>
      </c>
      <c r="AE338" s="44">
        <f>Inputs!$B$39</f>
        <v>0</v>
      </c>
      <c r="AF338" s="44" t="s">
        <v>58</v>
      </c>
      <c r="AG338" s="44">
        <f t="shared" si="330"/>
        <v>0</v>
      </c>
      <c r="AH338" s="50"/>
      <c r="AI338" s="44">
        <v>0</v>
      </c>
      <c r="AJ338" s="44">
        <v>0</v>
      </c>
      <c r="AK338" s="44">
        <f>AP338-0-AA338-AG338</f>
        <v>0</v>
      </c>
      <c r="AL338" s="50"/>
      <c r="AM338" s="44">
        <f>AA338+AG338+AJ338-AP338+0-AI338</f>
        <v>0</v>
      </c>
      <c r="AN338" s="63">
        <f>AI338*Inputs!$F$39*Inputs!$G$39</f>
        <v>0</v>
      </c>
      <c r="AO338" s="44">
        <f>Inputs!$F$39*Inputs!$I$39*AJ338</f>
        <v>0</v>
      </c>
      <c r="AP338" s="54"/>
      <c r="AR338" s="117">
        <v>3</v>
      </c>
      <c r="AS338" s="115">
        <f>Inputs!$A$39</f>
        <v>0</v>
      </c>
      <c r="AT338" s="44">
        <f>Inputs!$B$39</f>
        <v>0</v>
      </c>
      <c r="AU338" s="44" t="s">
        <v>57</v>
      </c>
      <c r="AV338" s="44">
        <f t="shared" si="334"/>
        <v>0</v>
      </c>
      <c r="AW338" s="50"/>
      <c r="AX338" s="119">
        <v>3</v>
      </c>
      <c r="AY338" s="115">
        <f>Inputs!$A$39</f>
        <v>0</v>
      </c>
      <c r="AZ338" s="44">
        <f>Inputs!$B$39</f>
        <v>0</v>
      </c>
      <c r="BA338" s="44" t="s">
        <v>58</v>
      </c>
      <c r="BB338" s="44">
        <f t="shared" si="331"/>
        <v>0</v>
      </c>
      <c r="BC338" s="50"/>
      <c r="BD338" s="44">
        <v>0</v>
      </c>
      <c r="BE338" s="44">
        <v>0</v>
      </c>
      <c r="BF338" s="44">
        <f>BK338-0-AV338-BB338</f>
        <v>0</v>
      </c>
      <c r="BG338" s="50"/>
      <c r="BH338" s="44">
        <f>AV338+BB338+BE338-BK338+0-BD338</f>
        <v>0</v>
      </c>
      <c r="BI338" s="63">
        <f>BD338*Inputs!$F$39*Inputs!$G$39</f>
        <v>0</v>
      </c>
      <c r="BJ338" s="44">
        <f>Inputs!$F$39*Inputs!$I$39*BE338</f>
        <v>0</v>
      </c>
      <c r="BK338" s="54"/>
      <c r="BM338" s="117">
        <v>3</v>
      </c>
      <c r="BN338" s="115">
        <f>Inputs!$A$39</f>
        <v>0</v>
      </c>
      <c r="BO338" s="44">
        <f>Inputs!$B$39</f>
        <v>0</v>
      </c>
      <c r="BP338" s="44" t="s">
        <v>57</v>
      </c>
      <c r="BQ338" s="44">
        <f t="shared" si="332"/>
        <v>0</v>
      </c>
      <c r="BR338" s="50"/>
      <c r="BS338" s="119">
        <v>3</v>
      </c>
      <c r="BT338" s="115">
        <f>Inputs!$A$39</f>
        <v>0</v>
      </c>
      <c r="BU338" s="44">
        <f>Inputs!$B$39</f>
        <v>0</v>
      </c>
      <c r="BV338" s="44" t="s">
        <v>58</v>
      </c>
      <c r="BW338" s="44">
        <f t="shared" si="333"/>
        <v>0</v>
      </c>
      <c r="BX338" s="50"/>
      <c r="BY338" s="44">
        <v>0</v>
      </c>
      <c r="BZ338" s="44">
        <v>0</v>
      </c>
      <c r="CA338" s="44">
        <f>CF338-0-BQ338-BW338</f>
        <v>0</v>
      </c>
      <c r="CB338" s="50"/>
      <c r="CC338" s="44">
        <f>BQ338+BW338+BZ338-CF338+0-BY338</f>
        <v>0</v>
      </c>
      <c r="CD338" s="63">
        <f>BY338*Inputs!$F$39*Inputs!$G$39</f>
        <v>0</v>
      </c>
      <c r="CE338" s="44">
        <f>Inputs!$F$39*Inputs!$I$39*BZ338</f>
        <v>0</v>
      </c>
      <c r="CF338" s="54"/>
    </row>
    <row r="339" spans="1:84" x14ac:dyDescent="0.25">
      <c r="A339" s="117">
        <v>4</v>
      </c>
      <c r="B339" s="115">
        <f>Inputs!$A$39</f>
        <v>0</v>
      </c>
      <c r="C339" s="44">
        <f>Inputs!$B$39</f>
        <v>0</v>
      </c>
      <c r="D339" s="44" t="s">
        <v>57</v>
      </c>
      <c r="E339" s="44">
        <v>0</v>
      </c>
      <c r="F339" s="50"/>
      <c r="G339" s="119">
        <v>4</v>
      </c>
      <c r="H339" s="115">
        <f>Inputs!$A$39</f>
        <v>0</v>
      </c>
      <c r="I339" s="44">
        <f>Inputs!$B$39</f>
        <v>0</v>
      </c>
      <c r="J339" s="44" t="s">
        <v>58</v>
      </c>
      <c r="K339" s="44">
        <v>0</v>
      </c>
      <c r="L339" s="50"/>
      <c r="M339" s="44">
        <v>0</v>
      </c>
      <c r="N339" s="44">
        <v>0</v>
      </c>
      <c r="O339" s="44">
        <f t="shared" ref="O339:O346" si="343">U339-M338-E339-K339</f>
        <v>0</v>
      </c>
      <c r="P339" s="50"/>
      <c r="Q339" s="44">
        <f t="shared" ref="Q339:Q346" si="344">E339+K339+N339-U339+M338-M339</f>
        <v>0</v>
      </c>
      <c r="R339" s="63">
        <f>M339*Inputs!$F$39*Inputs!$G$39</f>
        <v>0</v>
      </c>
      <c r="S339" s="44">
        <f>Inputs!$F$39*Inputs!$I$39*N339</f>
        <v>0</v>
      </c>
      <c r="T339" s="18"/>
      <c r="U339" s="55"/>
      <c r="W339" s="117">
        <v>4</v>
      </c>
      <c r="X339" s="115">
        <f>Inputs!$A$39</f>
        <v>0</v>
      </c>
      <c r="Y339" s="44">
        <f>Inputs!$B$39</f>
        <v>0</v>
      </c>
      <c r="Z339" s="44" t="s">
        <v>57</v>
      </c>
      <c r="AA339" s="44">
        <f t="shared" si="329"/>
        <v>0</v>
      </c>
      <c r="AB339" s="50"/>
      <c r="AC339" s="119">
        <v>4</v>
      </c>
      <c r="AD339" s="115">
        <f>Inputs!$A$39</f>
        <v>0</v>
      </c>
      <c r="AE339" s="44">
        <f>Inputs!$B$39</f>
        <v>0</v>
      </c>
      <c r="AF339" s="44" t="s">
        <v>58</v>
      </c>
      <c r="AG339" s="44">
        <f t="shared" si="330"/>
        <v>0</v>
      </c>
      <c r="AH339" s="50"/>
      <c r="AI339" s="44">
        <v>0</v>
      </c>
      <c r="AJ339" s="44">
        <v>0</v>
      </c>
      <c r="AK339" s="44">
        <f t="shared" ref="AK339:AK346" si="345">AP339-AI338-AA339-AG339</f>
        <v>0</v>
      </c>
      <c r="AL339" s="50"/>
      <c r="AM339" s="44">
        <f t="shared" ref="AM339:AM346" si="346">AA339+AG339+AJ339-AP339+AI338-AI339</f>
        <v>0</v>
      </c>
      <c r="AN339" s="63">
        <f>AI339*Inputs!$F$39*Inputs!$G$39</f>
        <v>0</v>
      </c>
      <c r="AO339" s="44">
        <f>Inputs!$F$39*Inputs!$I$39*AJ339</f>
        <v>0</v>
      </c>
      <c r="AP339" s="55"/>
      <c r="AR339" s="117">
        <v>4</v>
      </c>
      <c r="AS339" s="115">
        <f>Inputs!$A$39</f>
        <v>0</v>
      </c>
      <c r="AT339" s="44">
        <f>Inputs!$B$39</f>
        <v>0</v>
      </c>
      <c r="AU339" s="44" t="s">
        <v>57</v>
      </c>
      <c r="AV339" s="44">
        <f t="shared" si="334"/>
        <v>0</v>
      </c>
      <c r="AW339" s="50"/>
      <c r="AX339" s="119">
        <v>4</v>
      </c>
      <c r="AY339" s="115">
        <f>Inputs!$A$39</f>
        <v>0</v>
      </c>
      <c r="AZ339" s="44">
        <f>Inputs!$B$39</f>
        <v>0</v>
      </c>
      <c r="BA339" s="44" t="s">
        <v>58</v>
      </c>
      <c r="BB339" s="44">
        <f t="shared" si="331"/>
        <v>0</v>
      </c>
      <c r="BC339" s="50"/>
      <c r="BD339" s="44">
        <v>0</v>
      </c>
      <c r="BE339" s="44">
        <v>0</v>
      </c>
      <c r="BF339" s="44">
        <f t="shared" ref="BF339:BF346" si="347">BK339-BD338-AV339-BB339</f>
        <v>0</v>
      </c>
      <c r="BG339" s="50"/>
      <c r="BH339" s="44">
        <f t="shared" ref="BH339:BH346" si="348">AV339+BB339+BE339-BK339+BD338-BD339</f>
        <v>0</v>
      </c>
      <c r="BI339" s="63">
        <f>BD339*Inputs!$F$39*Inputs!$G$39</f>
        <v>0</v>
      </c>
      <c r="BJ339" s="44">
        <f>Inputs!$F$39*Inputs!$I$39*BE339</f>
        <v>0</v>
      </c>
      <c r="BK339" s="55"/>
      <c r="BM339" s="117">
        <v>4</v>
      </c>
      <c r="BN339" s="115">
        <f>Inputs!$A$39</f>
        <v>0</v>
      </c>
      <c r="BO339" s="44">
        <f>Inputs!$B$39</f>
        <v>0</v>
      </c>
      <c r="BP339" s="44" t="s">
        <v>57</v>
      </c>
      <c r="BQ339" s="44">
        <f t="shared" si="332"/>
        <v>0</v>
      </c>
      <c r="BR339" s="50"/>
      <c r="BS339" s="119">
        <v>4</v>
      </c>
      <c r="BT339" s="115">
        <f>Inputs!$A$39</f>
        <v>0</v>
      </c>
      <c r="BU339" s="44">
        <f>Inputs!$B$39</f>
        <v>0</v>
      </c>
      <c r="BV339" s="44" t="s">
        <v>58</v>
      </c>
      <c r="BW339" s="44">
        <f t="shared" si="333"/>
        <v>0</v>
      </c>
      <c r="BX339" s="50"/>
      <c r="BY339" s="44">
        <v>0</v>
      </c>
      <c r="BZ339" s="44">
        <v>0</v>
      </c>
      <c r="CA339" s="44">
        <f t="shared" ref="CA339:CA346" si="349">CF339-BY338-BQ339-BW339</f>
        <v>0</v>
      </c>
      <c r="CB339" s="50"/>
      <c r="CC339" s="44">
        <f t="shared" ref="CC339:CC346" si="350">BQ339+BW339+BZ339-CF339+BY338-BY339</f>
        <v>0</v>
      </c>
      <c r="CD339" s="63">
        <f>BY339*Inputs!$F$39*Inputs!$G$39</f>
        <v>0</v>
      </c>
      <c r="CE339" s="44">
        <f>Inputs!$F$39*Inputs!$I$39*BZ339</f>
        <v>0</v>
      </c>
      <c r="CF339" s="55"/>
    </row>
    <row r="340" spans="1:84" x14ac:dyDescent="0.25">
      <c r="A340" s="117">
        <v>5</v>
      </c>
      <c r="B340" s="115">
        <f>Inputs!$A$39</f>
        <v>0</v>
      </c>
      <c r="C340" s="44">
        <f>Inputs!$B$39</f>
        <v>0</v>
      </c>
      <c r="D340" s="44" t="s">
        <v>57</v>
      </c>
      <c r="E340" s="44">
        <v>0</v>
      </c>
      <c r="F340" s="50"/>
      <c r="G340" s="119">
        <v>5</v>
      </c>
      <c r="H340" s="115">
        <f>Inputs!$A$39</f>
        <v>0</v>
      </c>
      <c r="I340" s="44">
        <f>Inputs!$B$39</f>
        <v>0</v>
      </c>
      <c r="J340" s="44" t="s">
        <v>58</v>
      </c>
      <c r="K340" s="44">
        <v>0</v>
      </c>
      <c r="L340" s="50"/>
      <c r="M340" s="44">
        <v>0</v>
      </c>
      <c r="N340" s="44">
        <v>0</v>
      </c>
      <c r="O340" s="44">
        <f t="shared" si="343"/>
        <v>0</v>
      </c>
      <c r="P340" s="50"/>
      <c r="Q340" s="44">
        <f t="shared" si="344"/>
        <v>0</v>
      </c>
      <c r="R340" s="63">
        <f>M340*Inputs!$F$39*Inputs!$G$39</f>
        <v>0</v>
      </c>
      <c r="S340" s="44">
        <f>Inputs!$F$39*Inputs!$I$39*N340</f>
        <v>0</v>
      </c>
      <c r="T340" s="18"/>
      <c r="U340" s="55"/>
      <c r="W340" s="117">
        <v>5</v>
      </c>
      <c r="X340" s="115">
        <f>Inputs!$A$39</f>
        <v>0</v>
      </c>
      <c r="Y340" s="44">
        <f>Inputs!$B$39</f>
        <v>0</v>
      </c>
      <c r="Z340" s="44" t="s">
        <v>57</v>
      </c>
      <c r="AA340" s="44">
        <f t="shared" si="329"/>
        <v>0</v>
      </c>
      <c r="AB340" s="50"/>
      <c r="AC340" s="119">
        <v>5</v>
      </c>
      <c r="AD340" s="115">
        <f>Inputs!$A$39</f>
        <v>0</v>
      </c>
      <c r="AE340" s="44">
        <f>Inputs!$B$39</f>
        <v>0</v>
      </c>
      <c r="AF340" s="44" t="s">
        <v>58</v>
      </c>
      <c r="AG340" s="44">
        <f t="shared" si="330"/>
        <v>0</v>
      </c>
      <c r="AH340" s="50"/>
      <c r="AI340" s="44">
        <v>0</v>
      </c>
      <c r="AJ340" s="44">
        <v>0</v>
      </c>
      <c r="AK340" s="44">
        <f t="shared" si="345"/>
        <v>0</v>
      </c>
      <c r="AL340" s="50"/>
      <c r="AM340" s="44">
        <f t="shared" si="346"/>
        <v>0</v>
      </c>
      <c r="AN340" s="63">
        <f>AI340*Inputs!$F$39*Inputs!$G$39</f>
        <v>0</v>
      </c>
      <c r="AO340" s="44">
        <f>Inputs!$F$39*Inputs!$I$39*AJ340</f>
        <v>0</v>
      </c>
      <c r="AP340" s="55"/>
      <c r="AR340" s="117">
        <v>5</v>
      </c>
      <c r="AS340" s="115">
        <f>Inputs!$A$39</f>
        <v>0</v>
      </c>
      <c r="AT340" s="44">
        <f>Inputs!$B$39</f>
        <v>0</v>
      </c>
      <c r="AU340" s="44" t="s">
        <v>57</v>
      </c>
      <c r="AV340" s="44">
        <f t="shared" si="334"/>
        <v>0</v>
      </c>
      <c r="AW340" s="50"/>
      <c r="AX340" s="119">
        <v>5</v>
      </c>
      <c r="AY340" s="115">
        <f>Inputs!$A$39</f>
        <v>0</v>
      </c>
      <c r="AZ340" s="44">
        <f>Inputs!$B$39</f>
        <v>0</v>
      </c>
      <c r="BA340" s="44" t="s">
        <v>58</v>
      </c>
      <c r="BB340" s="44">
        <f t="shared" si="331"/>
        <v>0</v>
      </c>
      <c r="BC340" s="50"/>
      <c r="BD340" s="44">
        <v>0</v>
      </c>
      <c r="BE340" s="44">
        <v>0</v>
      </c>
      <c r="BF340" s="44">
        <f t="shared" si="347"/>
        <v>0</v>
      </c>
      <c r="BG340" s="50"/>
      <c r="BH340" s="44">
        <f t="shared" si="348"/>
        <v>0</v>
      </c>
      <c r="BI340" s="63">
        <f>BD340*Inputs!$F$39*Inputs!$G$39</f>
        <v>0</v>
      </c>
      <c r="BJ340" s="44">
        <f>Inputs!$F$39*Inputs!$I$39*BE340</f>
        <v>0</v>
      </c>
      <c r="BK340" s="55"/>
      <c r="BM340" s="117">
        <v>5</v>
      </c>
      <c r="BN340" s="115">
        <f>Inputs!$A$39</f>
        <v>0</v>
      </c>
      <c r="BO340" s="44">
        <f>Inputs!$B$39</f>
        <v>0</v>
      </c>
      <c r="BP340" s="44" t="s">
        <v>57</v>
      </c>
      <c r="BQ340" s="44">
        <f t="shared" si="332"/>
        <v>0</v>
      </c>
      <c r="BR340" s="50"/>
      <c r="BS340" s="119">
        <v>5</v>
      </c>
      <c r="BT340" s="115">
        <f>Inputs!$A$39</f>
        <v>0</v>
      </c>
      <c r="BU340" s="44">
        <f>Inputs!$B$39</f>
        <v>0</v>
      </c>
      <c r="BV340" s="44" t="s">
        <v>58</v>
      </c>
      <c r="BW340" s="44">
        <f t="shared" si="333"/>
        <v>0</v>
      </c>
      <c r="BX340" s="50"/>
      <c r="BY340" s="44">
        <v>0</v>
      </c>
      <c r="BZ340" s="44">
        <v>0</v>
      </c>
      <c r="CA340" s="44">
        <f t="shared" si="349"/>
        <v>0</v>
      </c>
      <c r="CB340" s="50"/>
      <c r="CC340" s="44">
        <f t="shared" si="350"/>
        <v>0</v>
      </c>
      <c r="CD340" s="63">
        <f>BY340*Inputs!$F$39*Inputs!$G$39</f>
        <v>0</v>
      </c>
      <c r="CE340" s="44">
        <f>Inputs!$F$39*Inputs!$I$39*BZ340</f>
        <v>0</v>
      </c>
      <c r="CF340" s="55"/>
    </row>
    <row r="341" spans="1:84" x14ac:dyDescent="0.25">
      <c r="A341" s="117">
        <v>6</v>
      </c>
      <c r="B341" s="115">
        <f>Inputs!$A$39</f>
        <v>0</v>
      </c>
      <c r="C341" s="44">
        <f>Inputs!$B$39</f>
        <v>0</v>
      </c>
      <c r="D341" s="44" t="s">
        <v>57</v>
      </c>
      <c r="E341" s="44">
        <v>0</v>
      </c>
      <c r="F341" s="50"/>
      <c r="G341" s="119">
        <v>6</v>
      </c>
      <c r="H341" s="115">
        <f>Inputs!$A$39</f>
        <v>0</v>
      </c>
      <c r="I341" s="44">
        <f>Inputs!$B$39</f>
        <v>0</v>
      </c>
      <c r="J341" s="44" t="s">
        <v>58</v>
      </c>
      <c r="K341" s="44">
        <v>0</v>
      </c>
      <c r="L341" s="50"/>
      <c r="M341" s="44">
        <v>0</v>
      </c>
      <c r="N341" s="44">
        <v>0</v>
      </c>
      <c r="O341" s="44">
        <f t="shared" si="343"/>
        <v>0</v>
      </c>
      <c r="P341" s="50"/>
      <c r="Q341" s="44">
        <f t="shared" si="344"/>
        <v>0</v>
      </c>
      <c r="R341" s="63">
        <f>M341*Inputs!$F$39*Inputs!$G$39</f>
        <v>0</v>
      </c>
      <c r="S341" s="44">
        <f>Inputs!$F$39*Inputs!$I$39*N341</f>
        <v>0</v>
      </c>
      <c r="T341" s="18"/>
      <c r="U341" s="55"/>
      <c r="W341" s="117">
        <v>6</v>
      </c>
      <c r="X341" s="115">
        <f>Inputs!$A$39</f>
        <v>0</v>
      </c>
      <c r="Y341" s="44">
        <f>Inputs!$B$39</f>
        <v>0</v>
      </c>
      <c r="Z341" s="44" t="s">
        <v>57</v>
      </c>
      <c r="AA341" s="44">
        <f t="shared" si="329"/>
        <v>0</v>
      </c>
      <c r="AB341" s="50"/>
      <c r="AC341" s="119">
        <v>6</v>
      </c>
      <c r="AD341" s="115">
        <f>Inputs!$A$39</f>
        <v>0</v>
      </c>
      <c r="AE341" s="44">
        <f>Inputs!$B$39</f>
        <v>0</v>
      </c>
      <c r="AF341" s="44" t="s">
        <v>58</v>
      </c>
      <c r="AG341" s="44">
        <f t="shared" si="330"/>
        <v>0</v>
      </c>
      <c r="AH341" s="50"/>
      <c r="AI341" s="44">
        <v>0</v>
      </c>
      <c r="AJ341" s="44">
        <v>0</v>
      </c>
      <c r="AK341" s="44">
        <f t="shared" si="345"/>
        <v>0</v>
      </c>
      <c r="AL341" s="50"/>
      <c r="AM341" s="44">
        <f t="shared" si="346"/>
        <v>0</v>
      </c>
      <c r="AN341" s="63">
        <f>AI341*Inputs!$F$39*Inputs!$G$39</f>
        <v>0</v>
      </c>
      <c r="AO341" s="44">
        <f>Inputs!$F$39*Inputs!$I$39*AJ341</f>
        <v>0</v>
      </c>
      <c r="AP341" s="55"/>
      <c r="AR341" s="117">
        <v>6</v>
      </c>
      <c r="AS341" s="115">
        <f>Inputs!$A$39</f>
        <v>0</v>
      </c>
      <c r="AT341" s="44">
        <f>Inputs!$B$39</f>
        <v>0</v>
      </c>
      <c r="AU341" s="44" t="s">
        <v>57</v>
      </c>
      <c r="AV341" s="44">
        <f t="shared" si="334"/>
        <v>0</v>
      </c>
      <c r="AW341" s="50"/>
      <c r="AX341" s="119">
        <v>6</v>
      </c>
      <c r="AY341" s="115">
        <f>Inputs!$A$39</f>
        <v>0</v>
      </c>
      <c r="AZ341" s="44">
        <f>Inputs!$B$39</f>
        <v>0</v>
      </c>
      <c r="BA341" s="44" t="s">
        <v>58</v>
      </c>
      <c r="BB341" s="44">
        <f t="shared" si="331"/>
        <v>0</v>
      </c>
      <c r="BC341" s="50"/>
      <c r="BD341" s="44">
        <v>0</v>
      </c>
      <c r="BE341" s="44">
        <v>0</v>
      </c>
      <c r="BF341" s="44">
        <f t="shared" si="347"/>
        <v>0</v>
      </c>
      <c r="BG341" s="50"/>
      <c r="BH341" s="44">
        <f t="shared" si="348"/>
        <v>0</v>
      </c>
      <c r="BI341" s="63">
        <f>BD341*Inputs!$F$39*Inputs!$G$39</f>
        <v>0</v>
      </c>
      <c r="BJ341" s="44">
        <f>Inputs!$F$39*Inputs!$I$39*BE341</f>
        <v>0</v>
      </c>
      <c r="BK341" s="55"/>
      <c r="BM341" s="117">
        <v>6</v>
      </c>
      <c r="BN341" s="115">
        <f>Inputs!$A$39</f>
        <v>0</v>
      </c>
      <c r="BO341" s="44">
        <f>Inputs!$B$39</f>
        <v>0</v>
      </c>
      <c r="BP341" s="44" t="s">
        <v>57</v>
      </c>
      <c r="BQ341" s="44">
        <f t="shared" si="332"/>
        <v>0</v>
      </c>
      <c r="BR341" s="50"/>
      <c r="BS341" s="119">
        <v>6</v>
      </c>
      <c r="BT341" s="115">
        <f>Inputs!$A$39</f>
        <v>0</v>
      </c>
      <c r="BU341" s="44">
        <f>Inputs!$B$39</f>
        <v>0</v>
      </c>
      <c r="BV341" s="44" t="s">
        <v>58</v>
      </c>
      <c r="BW341" s="44">
        <f t="shared" si="333"/>
        <v>0</v>
      </c>
      <c r="BX341" s="50"/>
      <c r="BY341" s="44">
        <v>0</v>
      </c>
      <c r="BZ341" s="44">
        <v>0</v>
      </c>
      <c r="CA341" s="44">
        <f t="shared" si="349"/>
        <v>0</v>
      </c>
      <c r="CB341" s="50"/>
      <c r="CC341" s="44">
        <f t="shared" si="350"/>
        <v>0</v>
      </c>
      <c r="CD341" s="63">
        <f>BY341*Inputs!$F$39*Inputs!$G$39</f>
        <v>0</v>
      </c>
      <c r="CE341" s="44">
        <f>Inputs!$F$39*Inputs!$I$39*BZ341</f>
        <v>0</v>
      </c>
      <c r="CF341" s="55"/>
    </row>
    <row r="342" spans="1:84" x14ac:dyDescent="0.25">
      <c r="A342" s="117">
        <v>7</v>
      </c>
      <c r="B342" s="115">
        <f>Inputs!$A$39</f>
        <v>0</v>
      </c>
      <c r="C342" s="44">
        <f>Inputs!$B$39</f>
        <v>0</v>
      </c>
      <c r="D342" s="44" t="s">
        <v>57</v>
      </c>
      <c r="E342" s="44">
        <v>0</v>
      </c>
      <c r="F342" s="50"/>
      <c r="G342" s="119">
        <v>7</v>
      </c>
      <c r="H342" s="115">
        <f>Inputs!$A$39</f>
        <v>0</v>
      </c>
      <c r="I342" s="44">
        <f>Inputs!$B$39</f>
        <v>0</v>
      </c>
      <c r="J342" s="44" t="s">
        <v>58</v>
      </c>
      <c r="K342" s="44">
        <v>0</v>
      </c>
      <c r="L342" s="50"/>
      <c r="M342" s="44">
        <v>0</v>
      </c>
      <c r="N342" s="44">
        <v>0</v>
      </c>
      <c r="O342" s="44">
        <f t="shared" si="343"/>
        <v>0</v>
      </c>
      <c r="P342" s="50"/>
      <c r="Q342" s="44">
        <f t="shared" si="344"/>
        <v>0</v>
      </c>
      <c r="R342" s="63">
        <f>M342*Inputs!$F$39*Inputs!$G$39</f>
        <v>0</v>
      </c>
      <c r="S342" s="44">
        <f>Inputs!$F$39*Inputs!$I$39*N342</f>
        <v>0</v>
      </c>
      <c r="T342" s="18"/>
      <c r="U342" s="55"/>
      <c r="W342" s="117">
        <v>7</v>
      </c>
      <c r="X342" s="115">
        <f>Inputs!$A$39</f>
        <v>0</v>
      </c>
      <c r="Y342" s="44">
        <f>Inputs!$B$39</f>
        <v>0</v>
      </c>
      <c r="Z342" s="44" t="s">
        <v>57</v>
      </c>
      <c r="AA342" s="44">
        <f t="shared" si="329"/>
        <v>0</v>
      </c>
      <c r="AB342" s="50"/>
      <c r="AC342" s="119">
        <v>7</v>
      </c>
      <c r="AD342" s="115">
        <f>Inputs!$A$39</f>
        <v>0</v>
      </c>
      <c r="AE342" s="44">
        <f>Inputs!$B$39</f>
        <v>0</v>
      </c>
      <c r="AF342" s="44" t="s">
        <v>58</v>
      </c>
      <c r="AG342" s="44">
        <f t="shared" si="330"/>
        <v>0</v>
      </c>
      <c r="AH342" s="50"/>
      <c r="AI342" s="44">
        <v>0</v>
      </c>
      <c r="AJ342" s="44">
        <v>0</v>
      </c>
      <c r="AK342" s="44">
        <f t="shared" si="345"/>
        <v>0</v>
      </c>
      <c r="AL342" s="50"/>
      <c r="AM342" s="44">
        <f t="shared" si="346"/>
        <v>0</v>
      </c>
      <c r="AN342" s="63">
        <f>AI342*Inputs!$F$39*Inputs!$G$39</f>
        <v>0</v>
      </c>
      <c r="AO342" s="44">
        <f>Inputs!$F$39*Inputs!$I$39*AJ342</f>
        <v>0</v>
      </c>
      <c r="AP342" s="55"/>
      <c r="AR342" s="117">
        <v>7</v>
      </c>
      <c r="AS342" s="115">
        <f>Inputs!$A$39</f>
        <v>0</v>
      </c>
      <c r="AT342" s="44">
        <f>Inputs!$B$39</f>
        <v>0</v>
      </c>
      <c r="AU342" s="44" t="s">
        <v>57</v>
      </c>
      <c r="AV342" s="44">
        <f t="shared" si="334"/>
        <v>0</v>
      </c>
      <c r="AW342" s="50"/>
      <c r="AX342" s="119">
        <v>7</v>
      </c>
      <c r="AY342" s="115">
        <f>Inputs!$A$39</f>
        <v>0</v>
      </c>
      <c r="AZ342" s="44">
        <f>Inputs!$B$39</f>
        <v>0</v>
      </c>
      <c r="BA342" s="44" t="s">
        <v>58</v>
      </c>
      <c r="BB342" s="44">
        <f t="shared" si="331"/>
        <v>0</v>
      </c>
      <c r="BC342" s="50"/>
      <c r="BD342" s="44">
        <v>0</v>
      </c>
      <c r="BE342" s="44">
        <v>0</v>
      </c>
      <c r="BF342" s="44">
        <f t="shared" si="347"/>
        <v>0</v>
      </c>
      <c r="BG342" s="50"/>
      <c r="BH342" s="44">
        <f t="shared" si="348"/>
        <v>0</v>
      </c>
      <c r="BI342" s="63">
        <f>BD342*Inputs!$F$39*Inputs!$G$39</f>
        <v>0</v>
      </c>
      <c r="BJ342" s="44">
        <f>Inputs!$F$39*Inputs!$I$39*BE342</f>
        <v>0</v>
      </c>
      <c r="BK342" s="55"/>
      <c r="BM342" s="117">
        <v>7</v>
      </c>
      <c r="BN342" s="115">
        <f>Inputs!$A$39</f>
        <v>0</v>
      </c>
      <c r="BO342" s="44">
        <f>Inputs!$B$39</f>
        <v>0</v>
      </c>
      <c r="BP342" s="44" t="s">
        <v>57</v>
      </c>
      <c r="BQ342" s="44">
        <f t="shared" si="332"/>
        <v>0</v>
      </c>
      <c r="BR342" s="50"/>
      <c r="BS342" s="119">
        <v>7</v>
      </c>
      <c r="BT342" s="115">
        <f>Inputs!$A$39</f>
        <v>0</v>
      </c>
      <c r="BU342" s="44">
        <f>Inputs!$B$39</f>
        <v>0</v>
      </c>
      <c r="BV342" s="44" t="s">
        <v>58</v>
      </c>
      <c r="BW342" s="44">
        <f t="shared" si="333"/>
        <v>0</v>
      </c>
      <c r="BX342" s="50"/>
      <c r="BY342" s="44">
        <v>0</v>
      </c>
      <c r="BZ342" s="44">
        <v>0</v>
      </c>
      <c r="CA342" s="44">
        <f t="shared" si="349"/>
        <v>0</v>
      </c>
      <c r="CB342" s="50"/>
      <c r="CC342" s="44">
        <f t="shared" si="350"/>
        <v>0</v>
      </c>
      <c r="CD342" s="63">
        <f>BY342*Inputs!$F$39*Inputs!$G$39</f>
        <v>0</v>
      </c>
      <c r="CE342" s="44">
        <f>Inputs!$F$39*Inputs!$I$39*BZ342</f>
        <v>0</v>
      </c>
      <c r="CF342" s="55"/>
    </row>
    <row r="343" spans="1:84" x14ac:dyDescent="0.25">
      <c r="A343" s="117">
        <v>8</v>
      </c>
      <c r="B343" s="115">
        <f>Inputs!$A$39</f>
        <v>0</v>
      </c>
      <c r="C343" s="44">
        <f>Inputs!$B$39</f>
        <v>0</v>
      </c>
      <c r="D343" s="44" t="s">
        <v>57</v>
      </c>
      <c r="E343" s="44">
        <v>0</v>
      </c>
      <c r="F343" s="50"/>
      <c r="G343" s="119">
        <v>8</v>
      </c>
      <c r="H343" s="115">
        <f>Inputs!$A$39</f>
        <v>0</v>
      </c>
      <c r="I343" s="44">
        <f>Inputs!$B$39</f>
        <v>0</v>
      </c>
      <c r="J343" s="44" t="s">
        <v>58</v>
      </c>
      <c r="K343" s="44">
        <v>0</v>
      </c>
      <c r="L343" s="50"/>
      <c r="M343" s="44">
        <v>0</v>
      </c>
      <c r="N343" s="44">
        <v>0</v>
      </c>
      <c r="O343" s="44">
        <f t="shared" si="343"/>
        <v>0</v>
      </c>
      <c r="P343" s="50"/>
      <c r="Q343" s="44">
        <f t="shared" si="344"/>
        <v>0</v>
      </c>
      <c r="R343" s="63">
        <f>M343*Inputs!$F$39*Inputs!$G$39</f>
        <v>0</v>
      </c>
      <c r="S343" s="44">
        <f>Inputs!$F$39*Inputs!$I$39*N343</f>
        <v>0</v>
      </c>
      <c r="T343" s="18"/>
      <c r="U343" s="55"/>
      <c r="W343" s="117">
        <v>8</v>
      </c>
      <c r="X343" s="115">
        <f>Inputs!$A$39</f>
        <v>0</v>
      </c>
      <c r="Y343" s="44">
        <f>Inputs!$B$39</f>
        <v>0</v>
      </c>
      <c r="Z343" s="44" t="s">
        <v>57</v>
      </c>
      <c r="AA343" s="44">
        <f t="shared" si="329"/>
        <v>0</v>
      </c>
      <c r="AB343" s="50"/>
      <c r="AC343" s="119">
        <v>8</v>
      </c>
      <c r="AD343" s="115">
        <f>Inputs!$A$39</f>
        <v>0</v>
      </c>
      <c r="AE343" s="44">
        <f>Inputs!$B$39</f>
        <v>0</v>
      </c>
      <c r="AF343" s="44" t="s">
        <v>58</v>
      </c>
      <c r="AG343" s="44">
        <f t="shared" si="330"/>
        <v>0</v>
      </c>
      <c r="AH343" s="50"/>
      <c r="AI343" s="44">
        <v>0</v>
      </c>
      <c r="AJ343" s="44">
        <v>0</v>
      </c>
      <c r="AK343" s="44">
        <f t="shared" si="345"/>
        <v>0</v>
      </c>
      <c r="AL343" s="50"/>
      <c r="AM343" s="44">
        <f t="shared" si="346"/>
        <v>0</v>
      </c>
      <c r="AN343" s="63">
        <f>AI343*Inputs!$F$39*Inputs!$G$39</f>
        <v>0</v>
      </c>
      <c r="AO343" s="44">
        <f>Inputs!$F$39*Inputs!$I$39*AJ343</f>
        <v>0</v>
      </c>
      <c r="AP343" s="55"/>
      <c r="AR343" s="117">
        <v>8</v>
      </c>
      <c r="AS343" s="115">
        <f>Inputs!$A$39</f>
        <v>0</v>
      </c>
      <c r="AT343" s="44">
        <f>Inputs!$B$39</f>
        <v>0</v>
      </c>
      <c r="AU343" s="44" t="s">
        <v>57</v>
      </c>
      <c r="AV343" s="44">
        <f t="shared" si="334"/>
        <v>0</v>
      </c>
      <c r="AW343" s="50"/>
      <c r="AX343" s="119">
        <v>8</v>
      </c>
      <c r="AY343" s="115">
        <f>Inputs!$A$39</f>
        <v>0</v>
      </c>
      <c r="AZ343" s="44">
        <f>Inputs!$B$39</f>
        <v>0</v>
      </c>
      <c r="BA343" s="44" t="s">
        <v>58</v>
      </c>
      <c r="BB343" s="44">
        <f t="shared" si="331"/>
        <v>0</v>
      </c>
      <c r="BC343" s="50"/>
      <c r="BD343" s="44">
        <v>0</v>
      </c>
      <c r="BE343" s="44">
        <v>0</v>
      </c>
      <c r="BF343" s="44">
        <f t="shared" si="347"/>
        <v>0</v>
      </c>
      <c r="BG343" s="50"/>
      <c r="BH343" s="44">
        <f t="shared" si="348"/>
        <v>0</v>
      </c>
      <c r="BI343" s="63">
        <f>BD343*Inputs!$F$39*Inputs!$G$39</f>
        <v>0</v>
      </c>
      <c r="BJ343" s="44">
        <f>Inputs!$F$39*Inputs!$I$39*BE343</f>
        <v>0</v>
      </c>
      <c r="BK343" s="55"/>
      <c r="BM343" s="117">
        <v>8</v>
      </c>
      <c r="BN343" s="115">
        <f>Inputs!$A$39</f>
        <v>0</v>
      </c>
      <c r="BO343" s="44">
        <f>Inputs!$B$39</f>
        <v>0</v>
      </c>
      <c r="BP343" s="44" t="s">
        <v>57</v>
      </c>
      <c r="BQ343" s="44">
        <f t="shared" si="332"/>
        <v>0</v>
      </c>
      <c r="BR343" s="50"/>
      <c r="BS343" s="119">
        <v>8</v>
      </c>
      <c r="BT343" s="115">
        <f>Inputs!$A$39</f>
        <v>0</v>
      </c>
      <c r="BU343" s="44">
        <f>Inputs!$B$39</f>
        <v>0</v>
      </c>
      <c r="BV343" s="44" t="s">
        <v>58</v>
      </c>
      <c r="BW343" s="44">
        <f t="shared" si="333"/>
        <v>0</v>
      </c>
      <c r="BX343" s="50"/>
      <c r="BY343" s="44">
        <v>0</v>
      </c>
      <c r="BZ343" s="44">
        <v>0</v>
      </c>
      <c r="CA343" s="44">
        <f t="shared" si="349"/>
        <v>0</v>
      </c>
      <c r="CB343" s="50"/>
      <c r="CC343" s="44">
        <f t="shared" si="350"/>
        <v>0</v>
      </c>
      <c r="CD343" s="63">
        <f>BY343*Inputs!$F$39*Inputs!$G$39</f>
        <v>0</v>
      </c>
      <c r="CE343" s="44">
        <f>Inputs!$F$39*Inputs!$I$39*BZ343</f>
        <v>0</v>
      </c>
      <c r="CF343" s="55"/>
    </row>
    <row r="344" spans="1:84" x14ac:dyDescent="0.25">
      <c r="A344" s="117">
        <v>9</v>
      </c>
      <c r="B344" s="115">
        <f>Inputs!$A$39</f>
        <v>0</v>
      </c>
      <c r="C344" s="44">
        <f>Inputs!$B$39</f>
        <v>0</v>
      </c>
      <c r="D344" s="44" t="s">
        <v>57</v>
      </c>
      <c r="E344" s="44">
        <v>0</v>
      </c>
      <c r="F344" s="50"/>
      <c r="G344" s="119">
        <v>9</v>
      </c>
      <c r="H344" s="115">
        <f>Inputs!$A$39</f>
        <v>0</v>
      </c>
      <c r="I344" s="44">
        <f>Inputs!$B$39</f>
        <v>0</v>
      </c>
      <c r="J344" s="44" t="s">
        <v>58</v>
      </c>
      <c r="K344" s="44">
        <v>0</v>
      </c>
      <c r="L344" s="50"/>
      <c r="M344" s="44">
        <v>0</v>
      </c>
      <c r="N344" s="44">
        <v>0</v>
      </c>
      <c r="O344" s="44">
        <f t="shared" si="343"/>
        <v>0</v>
      </c>
      <c r="P344" s="50"/>
      <c r="Q344" s="44">
        <f t="shared" si="344"/>
        <v>0</v>
      </c>
      <c r="R344" s="63">
        <f>M344*Inputs!$F$39*Inputs!$G$39</f>
        <v>0</v>
      </c>
      <c r="S344" s="44">
        <f>Inputs!$F$39*Inputs!$I$39*N344</f>
        <v>0</v>
      </c>
      <c r="T344" s="18"/>
      <c r="U344" s="55"/>
      <c r="W344" s="117">
        <v>9</v>
      </c>
      <c r="X344" s="115">
        <f>Inputs!$A$39</f>
        <v>0</v>
      </c>
      <c r="Y344" s="44">
        <f>Inputs!$B$39</f>
        <v>0</v>
      </c>
      <c r="Z344" s="44" t="s">
        <v>57</v>
      </c>
      <c r="AA344" s="44">
        <f t="shared" si="329"/>
        <v>0</v>
      </c>
      <c r="AB344" s="50"/>
      <c r="AC344" s="119">
        <v>9</v>
      </c>
      <c r="AD344" s="115">
        <f>Inputs!$A$39</f>
        <v>0</v>
      </c>
      <c r="AE344" s="44">
        <f>Inputs!$B$39</f>
        <v>0</v>
      </c>
      <c r="AF344" s="44" t="s">
        <v>58</v>
      </c>
      <c r="AG344" s="44">
        <f t="shared" si="330"/>
        <v>0</v>
      </c>
      <c r="AH344" s="50"/>
      <c r="AI344" s="44">
        <v>0</v>
      </c>
      <c r="AJ344" s="44">
        <v>0</v>
      </c>
      <c r="AK344" s="44">
        <f t="shared" si="345"/>
        <v>0</v>
      </c>
      <c r="AL344" s="50"/>
      <c r="AM344" s="44">
        <f t="shared" si="346"/>
        <v>0</v>
      </c>
      <c r="AN344" s="63">
        <f>AI344*Inputs!$F$39*Inputs!$G$39</f>
        <v>0</v>
      </c>
      <c r="AO344" s="44">
        <f>Inputs!$F$39*Inputs!$I$39*AJ344</f>
        <v>0</v>
      </c>
      <c r="AP344" s="55"/>
      <c r="AR344" s="117">
        <v>9</v>
      </c>
      <c r="AS344" s="115">
        <f>Inputs!$A$39</f>
        <v>0</v>
      </c>
      <c r="AT344" s="44">
        <f>Inputs!$B$39</f>
        <v>0</v>
      </c>
      <c r="AU344" s="44" t="s">
        <v>57</v>
      </c>
      <c r="AV344" s="44">
        <f t="shared" si="334"/>
        <v>0</v>
      </c>
      <c r="AW344" s="50"/>
      <c r="AX344" s="119">
        <v>9</v>
      </c>
      <c r="AY344" s="115">
        <f>Inputs!$A$39</f>
        <v>0</v>
      </c>
      <c r="AZ344" s="44">
        <f>Inputs!$B$39</f>
        <v>0</v>
      </c>
      <c r="BA344" s="44" t="s">
        <v>58</v>
      </c>
      <c r="BB344" s="44">
        <f t="shared" si="331"/>
        <v>0</v>
      </c>
      <c r="BC344" s="50"/>
      <c r="BD344" s="44">
        <v>0</v>
      </c>
      <c r="BE344" s="44">
        <v>0</v>
      </c>
      <c r="BF344" s="44">
        <f t="shared" si="347"/>
        <v>0</v>
      </c>
      <c r="BG344" s="50"/>
      <c r="BH344" s="44">
        <f t="shared" si="348"/>
        <v>0</v>
      </c>
      <c r="BI344" s="63">
        <f>BD344*Inputs!$F$39*Inputs!$G$39</f>
        <v>0</v>
      </c>
      <c r="BJ344" s="44">
        <f>Inputs!$F$39*Inputs!$I$39*BE344</f>
        <v>0</v>
      </c>
      <c r="BK344" s="55"/>
      <c r="BM344" s="117">
        <v>9</v>
      </c>
      <c r="BN344" s="115">
        <f>Inputs!$A$39</f>
        <v>0</v>
      </c>
      <c r="BO344" s="44">
        <f>Inputs!$B$39</f>
        <v>0</v>
      </c>
      <c r="BP344" s="44" t="s">
        <v>57</v>
      </c>
      <c r="BQ344" s="44">
        <f t="shared" si="332"/>
        <v>0</v>
      </c>
      <c r="BR344" s="50"/>
      <c r="BS344" s="119">
        <v>9</v>
      </c>
      <c r="BT344" s="115">
        <f>Inputs!$A$39</f>
        <v>0</v>
      </c>
      <c r="BU344" s="44">
        <f>Inputs!$B$39</f>
        <v>0</v>
      </c>
      <c r="BV344" s="44" t="s">
        <v>58</v>
      </c>
      <c r="BW344" s="44">
        <f t="shared" si="333"/>
        <v>0</v>
      </c>
      <c r="BX344" s="50"/>
      <c r="BY344" s="44">
        <v>0</v>
      </c>
      <c r="BZ344" s="44">
        <v>0</v>
      </c>
      <c r="CA344" s="44">
        <f t="shared" si="349"/>
        <v>0</v>
      </c>
      <c r="CB344" s="50"/>
      <c r="CC344" s="44">
        <f t="shared" si="350"/>
        <v>0</v>
      </c>
      <c r="CD344" s="63">
        <f>BY344*Inputs!$F$39*Inputs!$G$39</f>
        <v>0</v>
      </c>
      <c r="CE344" s="44">
        <f>Inputs!$F$39*Inputs!$I$39*BZ344</f>
        <v>0</v>
      </c>
      <c r="CF344" s="55"/>
    </row>
    <row r="345" spans="1:84" x14ac:dyDescent="0.25">
      <c r="A345" s="117">
        <v>10</v>
      </c>
      <c r="B345" s="115">
        <f>Inputs!$A$39</f>
        <v>0</v>
      </c>
      <c r="C345" s="44">
        <f>Inputs!$B$39</f>
        <v>0</v>
      </c>
      <c r="D345" s="44" t="s">
        <v>57</v>
      </c>
      <c r="E345" s="44">
        <v>0</v>
      </c>
      <c r="F345" s="50"/>
      <c r="G345" s="119">
        <v>10</v>
      </c>
      <c r="H345" s="115">
        <f>Inputs!$A$39</f>
        <v>0</v>
      </c>
      <c r="I345" s="44">
        <f>Inputs!$B$39</f>
        <v>0</v>
      </c>
      <c r="J345" s="44" t="s">
        <v>58</v>
      </c>
      <c r="K345" s="44">
        <v>0</v>
      </c>
      <c r="L345" s="50"/>
      <c r="M345" s="44">
        <v>0</v>
      </c>
      <c r="N345" s="44">
        <v>0</v>
      </c>
      <c r="O345" s="44">
        <f t="shared" si="343"/>
        <v>0</v>
      </c>
      <c r="P345" s="50"/>
      <c r="Q345" s="44">
        <f t="shared" si="344"/>
        <v>0</v>
      </c>
      <c r="R345" s="63">
        <f>M345*Inputs!$F$39*Inputs!$G$39</f>
        <v>0</v>
      </c>
      <c r="S345" s="44">
        <f>Inputs!$F$39*Inputs!$I$39*N345</f>
        <v>0</v>
      </c>
      <c r="T345" s="18"/>
      <c r="U345" s="91"/>
      <c r="W345" s="117">
        <v>10</v>
      </c>
      <c r="X345" s="115">
        <f>Inputs!$A$39</f>
        <v>0</v>
      </c>
      <c r="Y345" s="44">
        <f>Inputs!$B$39</f>
        <v>0</v>
      </c>
      <c r="Z345" s="44" t="s">
        <v>57</v>
      </c>
      <c r="AA345" s="44">
        <f t="shared" si="329"/>
        <v>0</v>
      </c>
      <c r="AB345" s="50"/>
      <c r="AC345" s="119">
        <v>10</v>
      </c>
      <c r="AD345" s="115">
        <f>Inputs!$A$39</f>
        <v>0</v>
      </c>
      <c r="AE345" s="44">
        <f>Inputs!$B$39</f>
        <v>0</v>
      </c>
      <c r="AF345" s="44" t="s">
        <v>58</v>
      </c>
      <c r="AG345" s="44">
        <f t="shared" si="330"/>
        <v>0</v>
      </c>
      <c r="AH345" s="50"/>
      <c r="AI345" s="44">
        <v>0</v>
      </c>
      <c r="AJ345" s="44">
        <v>0</v>
      </c>
      <c r="AK345" s="44">
        <f t="shared" si="345"/>
        <v>0</v>
      </c>
      <c r="AL345" s="50"/>
      <c r="AM345" s="44">
        <f t="shared" si="346"/>
        <v>0</v>
      </c>
      <c r="AN345" s="63">
        <f>AI345*Inputs!$F$39*Inputs!$G$39</f>
        <v>0</v>
      </c>
      <c r="AO345" s="44">
        <f>Inputs!$F$39*Inputs!$I$39*AJ345</f>
        <v>0</v>
      </c>
      <c r="AP345" s="91"/>
      <c r="AR345" s="117">
        <v>10</v>
      </c>
      <c r="AS345" s="115">
        <f>Inputs!$A$39</f>
        <v>0</v>
      </c>
      <c r="AT345" s="44">
        <f>Inputs!$B$39</f>
        <v>0</v>
      </c>
      <c r="AU345" s="44" t="s">
        <v>57</v>
      </c>
      <c r="AV345" s="44">
        <f t="shared" si="334"/>
        <v>0</v>
      </c>
      <c r="AW345" s="50"/>
      <c r="AX345" s="119">
        <v>10</v>
      </c>
      <c r="AY345" s="115">
        <f>Inputs!$A$39</f>
        <v>0</v>
      </c>
      <c r="AZ345" s="44">
        <f>Inputs!$B$39</f>
        <v>0</v>
      </c>
      <c r="BA345" s="44" t="s">
        <v>58</v>
      </c>
      <c r="BB345" s="44">
        <f t="shared" si="331"/>
        <v>0</v>
      </c>
      <c r="BC345" s="50"/>
      <c r="BD345" s="44">
        <v>0</v>
      </c>
      <c r="BE345" s="44">
        <v>0</v>
      </c>
      <c r="BF345" s="44">
        <f t="shared" si="347"/>
        <v>0</v>
      </c>
      <c r="BG345" s="50"/>
      <c r="BH345" s="44">
        <f t="shared" si="348"/>
        <v>0</v>
      </c>
      <c r="BI345" s="63">
        <f>BD345*Inputs!$F$39*Inputs!$G$39</f>
        <v>0</v>
      </c>
      <c r="BJ345" s="44">
        <f>Inputs!$F$39*Inputs!$I$39*BE345</f>
        <v>0</v>
      </c>
      <c r="BK345" s="91"/>
      <c r="BM345" s="117">
        <v>10</v>
      </c>
      <c r="BN345" s="115">
        <f>Inputs!$A$39</f>
        <v>0</v>
      </c>
      <c r="BO345" s="44">
        <f>Inputs!$B$39</f>
        <v>0</v>
      </c>
      <c r="BP345" s="44" t="s">
        <v>57</v>
      </c>
      <c r="BQ345" s="44">
        <f t="shared" si="332"/>
        <v>0</v>
      </c>
      <c r="BR345" s="50"/>
      <c r="BS345" s="119">
        <v>10</v>
      </c>
      <c r="BT345" s="115">
        <f>Inputs!$A$39</f>
        <v>0</v>
      </c>
      <c r="BU345" s="44">
        <f>Inputs!$B$39</f>
        <v>0</v>
      </c>
      <c r="BV345" s="44" t="s">
        <v>58</v>
      </c>
      <c r="BW345" s="44">
        <f t="shared" si="333"/>
        <v>0</v>
      </c>
      <c r="BX345" s="50"/>
      <c r="BY345" s="44">
        <v>0</v>
      </c>
      <c r="BZ345" s="44">
        <v>0</v>
      </c>
      <c r="CA345" s="44">
        <f t="shared" si="349"/>
        <v>0</v>
      </c>
      <c r="CB345" s="50"/>
      <c r="CC345" s="44">
        <f t="shared" si="350"/>
        <v>0</v>
      </c>
      <c r="CD345" s="63">
        <f>BY345*Inputs!$F$39*Inputs!$G$39</f>
        <v>0</v>
      </c>
      <c r="CE345" s="44">
        <f>Inputs!$F$39*Inputs!$I$39*BZ345</f>
        <v>0</v>
      </c>
      <c r="CF345" s="91"/>
    </row>
    <row r="346" spans="1:84" x14ac:dyDescent="0.25">
      <c r="A346" s="117">
        <v>11</v>
      </c>
      <c r="B346" s="115">
        <f>Inputs!$A$39</f>
        <v>0</v>
      </c>
      <c r="C346" s="44">
        <f>Inputs!$B$39</f>
        <v>0</v>
      </c>
      <c r="D346" s="44" t="s">
        <v>57</v>
      </c>
      <c r="E346" s="44">
        <v>0</v>
      </c>
      <c r="F346" s="50"/>
      <c r="G346" s="119">
        <v>11</v>
      </c>
      <c r="H346" s="115">
        <f>Inputs!$A$39</f>
        <v>0</v>
      </c>
      <c r="I346" s="44">
        <f>Inputs!$B$39</f>
        <v>0</v>
      </c>
      <c r="J346" s="44" t="s">
        <v>58</v>
      </c>
      <c r="K346" s="44">
        <v>0</v>
      </c>
      <c r="L346" s="50"/>
      <c r="M346" s="44">
        <v>0</v>
      </c>
      <c r="N346" s="44">
        <v>0</v>
      </c>
      <c r="O346" s="44">
        <f t="shared" si="343"/>
        <v>0</v>
      </c>
      <c r="P346" s="50"/>
      <c r="Q346" s="44">
        <f t="shared" si="344"/>
        <v>0</v>
      </c>
      <c r="R346" s="63">
        <f>M346*Inputs!$F$39*Inputs!$H$39</f>
        <v>0</v>
      </c>
      <c r="S346" s="44">
        <f>Inputs!$F$39*Inputs!$I$39*N346</f>
        <v>0</v>
      </c>
      <c r="T346" s="18"/>
      <c r="U346" s="56"/>
      <c r="W346" s="117">
        <v>11</v>
      </c>
      <c r="X346" s="115">
        <f>Inputs!$A$39</f>
        <v>0</v>
      </c>
      <c r="Y346" s="44">
        <f>Inputs!$B$39</f>
        <v>0</v>
      </c>
      <c r="Z346" s="44" t="s">
        <v>57</v>
      </c>
      <c r="AA346" s="44">
        <f t="shared" si="329"/>
        <v>0</v>
      </c>
      <c r="AB346" s="50"/>
      <c r="AC346" s="119">
        <v>11</v>
      </c>
      <c r="AD346" s="115">
        <f>Inputs!$A$39</f>
        <v>0</v>
      </c>
      <c r="AE346" s="44">
        <f>Inputs!$B$39</f>
        <v>0</v>
      </c>
      <c r="AF346" s="44" t="s">
        <v>58</v>
      </c>
      <c r="AG346" s="44">
        <f t="shared" si="330"/>
        <v>0</v>
      </c>
      <c r="AH346" s="50"/>
      <c r="AI346" s="44">
        <v>0</v>
      </c>
      <c r="AJ346" s="44">
        <v>0</v>
      </c>
      <c r="AK346" s="44">
        <f t="shared" si="345"/>
        <v>0</v>
      </c>
      <c r="AL346" s="50"/>
      <c r="AM346" s="44">
        <f t="shared" si="346"/>
        <v>0</v>
      </c>
      <c r="AN346" s="63">
        <f>AI346*Inputs!$F$39*Inputs!$H$39</f>
        <v>0</v>
      </c>
      <c r="AO346" s="44">
        <f>Inputs!$F$39*Inputs!$I$39*AJ346</f>
        <v>0</v>
      </c>
      <c r="AP346" s="56"/>
      <c r="AR346" s="117">
        <v>11</v>
      </c>
      <c r="AS346" s="115">
        <f>Inputs!$A$39</f>
        <v>0</v>
      </c>
      <c r="AT346" s="44">
        <f>Inputs!$B$39</f>
        <v>0</v>
      </c>
      <c r="AU346" s="44" t="s">
        <v>57</v>
      </c>
      <c r="AV346" s="44">
        <f t="shared" si="334"/>
        <v>0</v>
      </c>
      <c r="AW346" s="50"/>
      <c r="AX346" s="119">
        <v>11</v>
      </c>
      <c r="AY346" s="115">
        <f>Inputs!$A$39</f>
        <v>0</v>
      </c>
      <c r="AZ346" s="44">
        <f>Inputs!$B$39</f>
        <v>0</v>
      </c>
      <c r="BA346" s="44" t="s">
        <v>58</v>
      </c>
      <c r="BB346" s="44">
        <f t="shared" si="331"/>
        <v>0</v>
      </c>
      <c r="BC346" s="50"/>
      <c r="BD346" s="44">
        <v>0</v>
      </c>
      <c r="BE346" s="44">
        <v>0</v>
      </c>
      <c r="BF346" s="44">
        <f t="shared" si="347"/>
        <v>0</v>
      </c>
      <c r="BG346" s="50"/>
      <c r="BH346" s="44">
        <f t="shared" si="348"/>
        <v>0</v>
      </c>
      <c r="BI346" s="63">
        <f>BD346*Inputs!$F$39*Inputs!$H$39</f>
        <v>0</v>
      </c>
      <c r="BJ346" s="44">
        <f>Inputs!$F$39*Inputs!$I$39*BE346</f>
        <v>0</v>
      </c>
      <c r="BK346" s="56"/>
      <c r="BM346" s="117">
        <v>11</v>
      </c>
      <c r="BN346" s="115">
        <f>Inputs!$A$39</f>
        <v>0</v>
      </c>
      <c r="BO346" s="44">
        <f>Inputs!$B$39</f>
        <v>0</v>
      </c>
      <c r="BP346" s="44" t="s">
        <v>57</v>
      </c>
      <c r="BQ346" s="44">
        <f t="shared" si="332"/>
        <v>0</v>
      </c>
      <c r="BR346" s="50"/>
      <c r="BS346" s="119">
        <v>11</v>
      </c>
      <c r="BT346" s="115">
        <f>Inputs!$A$39</f>
        <v>0</v>
      </c>
      <c r="BU346" s="44">
        <f>Inputs!$B$39</f>
        <v>0</v>
      </c>
      <c r="BV346" s="44" t="s">
        <v>58</v>
      </c>
      <c r="BW346" s="44">
        <f t="shared" si="333"/>
        <v>0</v>
      </c>
      <c r="BX346" s="50"/>
      <c r="BY346" s="44">
        <v>0</v>
      </c>
      <c r="BZ346" s="44">
        <v>0</v>
      </c>
      <c r="CA346" s="44">
        <f t="shared" si="349"/>
        <v>0</v>
      </c>
      <c r="CB346" s="50"/>
      <c r="CC346" s="44">
        <f t="shared" si="350"/>
        <v>0</v>
      </c>
      <c r="CD346" s="63">
        <f>BY346*Inputs!$F$39*Inputs!$H$39</f>
        <v>0</v>
      </c>
      <c r="CE346" s="44">
        <f>Inputs!$F$39*Inputs!$I$39*BZ346</f>
        <v>0</v>
      </c>
      <c r="CF346" s="56"/>
    </row>
    <row r="347" spans="1:84" x14ac:dyDescent="0.25">
      <c r="A347" s="116">
        <v>3</v>
      </c>
      <c r="B347" s="114">
        <f>Inputs!$A$40</f>
        <v>0</v>
      </c>
      <c r="C347" s="45">
        <f>Inputs!$B$40</f>
        <v>0</v>
      </c>
      <c r="D347" s="45" t="s">
        <v>57</v>
      </c>
      <c r="E347" s="45">
        <v>0</v>
      </c>
      <c r="F347" s="50"/>
      <c r="G347" s="118">
        <v>3</v>
      </c>
      <c r="H347" s="114">
        <f>Inputs!$A$40</f>
        <v>0</v>
      </c>
      <c r="I347" s="45">
        <f>Inputs!$B$40</f>
        <v>0</v>
      </c>
      <c r="J347" s="45" t="s">
        <v>58</v>
      </c>
      <c r="K347" s="45">
        <v>0</v>
      </c>
      <c r="L347" s="50"/>
      <c r="M347" s="45">
        <v>0</v>
      </c>
      <c r="N347" s="45">
        <v>0</v>
      </c>
      <c r="O347" s="45">
        <f>U347-0-E347-K347</f>
        <v>0</v>
      </c>
      <c r="P347" s="50"/>
      <c r="Q347" s="45">
        <f>E347+K347+N347-U347+0-M347</f>
        <v>0</v>
      </c>
      <c r="R347" s="64">
        <f>M347*Inputs!$F$40*Inputs!$G$40</f>
        <v>0</v>
      </c>
      <c r="S347" s="45">
        <f>Inputs!$F$40*Inputs!$I$40*N347</f>
        <v>0</v>
      </c>
      <c r="T347" s="18"/>
      <c r="U347" s="54"/>
      <c r="W347" s="116">
        <v>3</v>
      </c>
      <c r="X347" s="114">
        <f>Inputs!$A$40</f>
        <v>0</v>
      </c>
      <c r="Y347" s="45">
        <f>Inputs!$B$40</f>
        <v>0</v>
      </c>
      <c r="Z347" s="45" t="s">
        <v>57</v>
      </c>
      <c r="AA347" s="45">
        <f t="shared" si="329"/>
        <v>0</v>
      </c>
      <c r="AB347" s="50"/>
      <c r="AC347" s="118">
        <v>3</v>
      </c>
      <c r="AD347" s="114">
        <f>Inputs!$A$40</f>
        <v>0</v>
      </c>
      <c r="AE347" s="45">
        <f>Inputs!$B$40</f>
        <v>0</v>
      </c>
      <c r="AF347" s="45" t="s">
        <v>58</v>
      </c>
      <c r="AG347" s="45">
        <f t="shared" si="330"/>
        <v>0</v>
      </c>
      <c r="AH347" s="50"/>
      <c r="AI347" s="45">
        <v>0</v>
      </c>
      <c r="AJ347" s="45">
        <v>0</v>
      </c>
      <c r="AK347" s="45">
        <f>AP347-0-AA347-AG347</f>
        <v>0</v>
      </c>
      <c r="AL347" s="50"/>
      <c r="AM347" s="45">
        <f>AA347+AG347+AJ347-AP347+0-AI347</f>
        <v>0</v>
      </c>
      <c r="AN347" s="64">
        <f>AI347*Inputs!$F$40*Inputs!$G$40</f>
        <v>0</v>
      </c>
      <c r="AO347" s="45">
        <f>Inputs!$F$40*Inputs!$I$40*AJ347</f>
        <v>0</v>
      </c>
      <c r="AP347" s="54"/>
      <c r="AR347" s="116">
        <v>3</v>
      </c>
      <c r="AS347" s="114">
        <f>Inputs!$A$40</f>
        <v>0</v>
      </c>
      <c r="AT347" s="45">
        <f>Inputs!$B$40</f>
        <v>0</v>
      </c>
      <c r="AU347" s="45" t="s">
        <v>57</v>
      </c>
      <c r="AV347" s="45">
        <f t="shared" si="334"/>
        <v>0</v>
      </c>
      <c r="AW347" s="50"/>
      <c r="AX347" s="118">
        <v>3</v>
      </c>
      <c r="AY347" s="114">
        <f>Inputs!$A$40</f>
        <v>0</v>
      </c>
      <c r="AZ347" s="45">
        <f>Inputs!$B$40</f>
        <v>0</v>
      </c>
      <c r="BA347" s="45" t="s">
        <v>58</v>
      </c>
      <c r="BB347" s="45">
        <f t="shared" si="331"/>
        <v>0</v>
      </c>
      <c r="BC347" s="50"/>
      <c r="BD347" s="45">
        <v>0</v>
      </c>
      <c r="BE347" s="45">
        <v>0</v>
      </c>
      <c r="BF347" s="45">
        <f>BK347-0-AV347-BB347</f>
        <v>0</v>
      </c>
      <c r="BG347" s="50"/>
      <c r="BH347" s="45">
        <f>AV347+BB347+BE347-BK347+0-BD347</f>
        <v>0</v>
      </c>
      <c r="BI347" s="64">
        <f>BD347*Inputs!$F$40*Inputs!$G$40</f>
        <v>0</v>
      </c>
      <c r="BJ347" s="45">
        <f>Inputs!$F$40*Inputs!$I$40*BE347</f>
        <v>0</v>
      </c>
      <c r="BK347" s="54"/>
      <c r="BM347" s="116">
        <v>3</v>
      </c>
      <c r="BN347" s="114">
        <f>Inputs!$A$40</f>
        <v>0</v>
      </c>
      <c r="BO347" s="45">
        <f>Inputs!$B$40</f>
        <v>0</v>
      </c>
      <c r="BP347" s="45" t="s">
        <v>57</v>
      </c>
      <c r="BQ347" s="45">
        <f t="shared" si="332"/>
        <v>0</v>
      </c>
      <c r="BR347" s="50"/>
      <c r="BS347" s="118">
        <v>3</v>
      </c>
      <c r="BT347" s="114">
        <f>Inputs!$A$40</f>
        <v>0</v>
      </c>
      <c r="BU347" s="45">
        <f>Inputs!$B$40</f>
        <v>0</v>
      </c>
      <c r="BV347" s="45" t="s">
        <v>58</v>
      </c>
      <c r="BW347" s="45">
        <f t="shared" si="333"/>
        <v>0</v>
      </c>
      <c r="BX347" s="50"/>
      <c r="BY347" s="45">
        <v>0</v>
      </c>
      <c r="BZ347" s="45">
        <v>0</v>
      </c>
      <c r="CA347" s="45">
        <f>CF347-0-BQ347-BW347</f>
        <v>0</v>
      </c>
      <c r="CB347" s="50"/>
      <c r="CC347" s="45">
        <f>BQ347+BW347+BZ347-CF347+0-BY347</f>
        <v>0</v>
      </c>
      <c r="CD347" s="64">
        <f>BY347*Inputs!$F$40*Inputs!$G$40</f>
        <v>0</v>
      </c>
      <c r="CE347" s="45">
        <f>Inputs!$F$40*Inputs!$I$40*BZ347</f>
        <v>0</v>
      </c>
      <c r="CF347" s="54"/>
    </row>
    <row r="348" spans="1:84" x14ac:dyDescent="0.25">
      <c r="A348" s="116">
        <v>4</v>
      </c>
      <c r="B348" s="114">
        <f>Inputs!$A$40</f>
        <v>0</v>
      </c>
      <c r="C348" s="45">
        <f>Inputs!$B$40</f>
        <v>0</v>
      </c>
      <c r="D348" s="45" t="s">
        <v>57</v>
      </c>
      <c r="E348" s="45">
        <v>0</v>
      </c>
      <c r="F348" s="50"/>
      <c r="G348" s="118">
        <v>4</v>
      </c>
      <c r="H348" s="114">
        <f>Inputs!$A$40</f>
        <v>0</v>
      </c>
      <c r="I348" s="45">
        <f>Inputs!$B$40</f>
        <v>0</v>
      </c>
      <c r="J348" s="45" t="s">
        <v>58</v>
      </c>
      <c r="K348" s="45">
        <v>0</v>
      </c>
      <c r="L348" s="50"/>
      <c r="M348" s="45">
        <v>0</v>
      </c>
      <c r="N348" s="45">
        <v>0</v>
      </c>
      <c r="O348" s="45">
        <f t="shared" ref="O348:O355" si="351">U348-M347-E348-K348</f>
        <v>0</v>
      </c>
      <c r="P348" s="50"/>
      <c r="Q348" s="45">
        <f t="shared" ref="Q348:Q355" si="352">E348+K348+N348-U348+M347-M348</f>
        <v>0</v>
      </c>
      <c r="R348" s="64">
        <f>M348*Inputs!$F$40*Inputs!$G$40</f>
        <v>0</v>
      </c>
      <c r="S348" s="45">
        <f>Inputs!$F$40*Inputs!$I$40*N348</f>
        <v>0</v>
      </c>
      <c r="T348" s="18"/>
      <c r="U348" s="55"/>
      <c r="W348" s="116">
        <v>4</v>
      </c>
      <c r="X348" s="114">
        <f>Inputs!$A$40</f>
        <v>0</v>
      </c>
      <c r="Y348" s="45">
        <f>Inputs!$B$40</f>
        <v>0</v>
      </c>
      <c r="Z348" s="45" t="s">
        <v>57</v>
      </c>
      <c r="AA348" s="45">
        <f t="shared" si="329"/>
        <v>0</v>
      </c>
      <c r="AB348" s="50"/>
      <c r="AC348" s="118">
        <v>4</v>
      </c>
      <c r="AD348" s="114">
        <f>Inputs!$A$40</f>
        <v>0</v>
      </c>
      <c r="AE348" s="45">
        <f>Inputs!$B$40</f>
        <v>0</v>
      </c>
      <c r="AF348" s="45" t="s">
        <v>58</v>
      </c>
      <c r="AG348" s="45">
        <f t="shared" si="330"/>
        <v>0</v>
      </c>
      <c r="AH348" s="50"/>
      <c r="AI348" s="45">
        <v>0</v>
      </c>
      <c r="AJ348" s="45">
        <v>0</v>
      </c>
      <c r="AK348" s="45">
        <f t="shared" ref="AK348:AK355" si="353">AP348-AI347-AA348-AG348</f>
        <v>0</v>
      </c>
      <c r="AL348" s="50"/>
      <c r="AM348" s="45">
        <f t="shared" ref="AM348:AM355" si="354">AA348+AG348+AJ348-AP348+AI347-AI348</f>
        <v>0</v>
      </c>
      <c r="AN348" s="64">
        <f>AI348*Inputs!$F$40*Inputs!$G$40</f>
        <v>0</v>
      </c>
      <c r="AO348" s="45">
        <f>Inputs!$F$40*Inputs!$I$40*AJ348</f>
        <v>0</v>
      </c>
      <c r="AP348" s="55"/>
      <c r="AR348" s="116">
        <v>4</v>
      </c>
      <c r="AS348" s="114">
        <f>Inputs!$A$40</f>
        <v>0</v>
      </c>
      <c r="AT348" s="45">
        <f>Inputs!$B$40</f>
        <v>0</v>
      </c>
      <c r="AU348" s="45" t="s">
        <v>57</v>
      </c>
      <c r="AV348" s="45">
        <f t="shared" si="334"/>
        <v>0</v>
      </c>
      <c r="AW348" s="50"/>
      <c r="AX348" s="118">
        <v>4</v>
      </c>
      <c r="AY348" s="114">
        <f>Inputs!$A$40</f>
        <v>0</v>
      </c>
      <c r="AZ348" s="45">
        <f>Inputs!$B$40</f>
        <v>0</v>
      </c>
      <c r="BA348" s="45" t="s">
        <v>58</v>
      </c>
      <c r="BB348" s="45">
        <f t="shared" si="331"/>
        <v>0</v>
      </c>
      <c r="BC348" s="50"/>
      <c r="BD348" s="45">
        <v>0</v>
      </c>
      <c r="BE348" s="45">
        <v>0</v>
      </c>
      <c r="BF348" s="45">
        <f t="shared" ref="BF348:BF355" si="355">BK348-BD347-AV348-BB348</f>
        <v>0</v>
      </c>
      <c r="BG348" s="50"/>
      <c r="BH348" s="45">
        <f t="shared" ref="BH348:BH355" si="356">AV348+BB348+BE348-BK348+BD347-BD348</f>
        <v>0</v>
      </c>
      <c r="BI348" s="64">
        <f>BD348*Inputs!$F$40*Inputs!$G$40</f>
        <v>0</v>
      </c>
      <c r="BJ348" s="45">
        <f>Inputs!$F$40*Inputs!$I$40*BE348</f>
        <v>0</v>
      </c>
      <c r="BK348" s="55"/>
      <c r="BM348" s="116">
        <v>4</v>
      </c>
      <c r="BN348" s="114">
        <f>Inputs!$A$40</f>
        <v>0</v>
      </c>
      <c r="BO348" s="45">
        <f>Inputs!$B$40</f>
        <v>0</v>
      </c>
      <c r="BP348" s="45" t="s">
        <v>57</v>
      </c>
      <c r="BQ348" s="45">
        <f t="shared" si="332"/>
        <v>0</v>
      </c>
      <c r="BR348" s="50"/>
      <c r="BS348" s="118">
        <v>4</v>
      </c>
      <c r="BT348" s="114">
        <f>Inputs!$A$40</f>
        <v>0</v>
      </c>
      <c r="BU348" s="45">
        <f>Inputs!$B$40</f>
        <v>0</v>
      </c>
      <c r="BV348" s="45" t="s">
        <v>58</v>
      </c>
      <c r="BW348" s="45">
        <f t="shared" si="333"/>
        <v>0</v>
      </c>
      <c r="BX348" s="50"/>
      <c r="BY348" s="45">
        <v>0</v>
      </c>
      <c r="BZ348" s="45">
        <v>0</v>
      </c>
      <c r="CA348" s="45">
        <f t="shared" ref="CA348:CA355" si="357">CF348-BY347-BQ348-BW348</f>
        <v>0</v>
      </c>
      <c r="CB348" s="50"/>
      <c r="CC348" s="45">
        <f t="shared" ref="CC348:CC355" si="358">BQ348+BW348+BZ348-CF348+BY347-BY348</f>
        <v>0</v>
      </c>
      <c r="CD348" s="64">
        <f>BY348*Inputs!$F$40*Inputs!$G$40</f>
        <v>0</v>
      </c>
      <c r="CE348" s="45">
        <f>Inputs!$F$40*Inputs!$I$40*BZ348</f>
        <v>0</v>
      </c>
      <c r="CF348" s="55"/>
    </row>
    <row r="349" spans="1:84" x14ac:dyDescent="0.25">
      <c r="A349" s="116">
        <v>5</v>
      </c>
      <c r="B349" s="114">
        <f>Inputs!$A$40</f>
        <v>0</v>
      </c>
      <c r="C349" s="45">
        <f>Inputs!$B$40</f>
        <v>0</v>
      </c>
      <c r="D349" s="45" t="s">
        <v>57</v>
      </c>
      <c r="E349" s="45">
        <v>0</v>
      </c>
      <c r="F349" s="50"/>
      <c r="G349" s="118">
        <v>5</v>
      </c>
      <c r="H349" s="114">
        <f>Inputs!$A$40</f>
        <v>0</v>
      </c>
      <c r="I349" s="45">
        <f>Inputs!$B$40</f>
        <v>0</v>
      </c>
      <c r="J349" s="45" t="s">
        <v>58</v>
      </c>
      <c r="K349" s="45">
        <v>0</v>
      </c>
      <c r="L349" s="50"/>
      <c r="M349" s="45">
        <v>0</v>
      </c>
      <c r="N349" s="45">
        <v>0</v>
      </c>
      <c r="O349" s="45">
        <f t="shared" si="351"/>
        <v>0</v>
      </c>
      <c r="P349" s="50"/>
      <c r="Q349" s="45">
        <f t="shared" si="352"/>
        <v>0</v>
      </c>
      <c r="R349" s="64">
        <f>M349*Inputs!$F$40*Inputs!$G$40</f>
        <v>0</v>
      </c>
      <c r="S349" s="45">
        <f>Inputs!$F$40*Inputs!$I$40*N349</f>
        <v>0</v>
      </c>
      <c r="T349" s="18"/>
      <c r="U349" s="55"/>
      <c r="W349" s="116">
        <v>5</v>
      </c>
      <c r="X349" s="114">
        <f>Inputs!$A$40</f>
        <v>0</v>
      </c>
      <c r="Y349" s="45">
        <f>Inputs!$B$40</f>
        <v>0</v>
      </c>
      <c r="Z349" s="45" t="s">
        <v>57</v>
      </c>
      <c r="AA349" s="45">
        <f t="shared" si="329"/>
        <v>0</v>
      </c>
      <c r="AB349" s="50"/>
      <c r="AC349" s="118">
        <v>5</v>
      </c>
      <c r="AD349" s="114">
        <f>Inputs!$A$40</f>
        <v>0</v>
      </c>
      <c r="AE349" s="45">
        <f>Inputs!$B$40</f>
        <v>0</v>
      </c>
      <c r="AF349" s="45" t="s">
        <v>58</v>
      </c>
      <c r="AG349" s="45">
        <f t="shared" si="330"/>
        <v>0</v>
      </c>
      <c r="AH349" s="50"/>
      <c r="AI349" s="45">
        <v>0</v>
      </c>
      <c r="AJ349" s="45">
        <v>0</v>
      </c>
      <c r="AK349" s="45">
        <f t="shared" si="353"/>
        <v>0</v>
      </c>
      <c r="AL349" s="50"/>
      <c r="AM349" s="45">
        <f t="shared" si="354"/>
        <v>0</v>
      </c>
      <c r="AN349" s="64">
        <f>AI349*Inputs!$F$40*Inputs!$G$40</f>
        <v>0</v>
      </c>
      <c r="AO349" s="45">
        <f>Inputs!$F$40*Inputs!$I$40*AJ349</f>
        <v>0</v>
      </c>
      <c r="AP349" s="55"/>
      <c r="AR349" s="116">
        <v>5</v>
      </c>
      <c r="AS349" s="114">
        <f>Inputs!$A$40</f>
        <v>0</v>
      </c>
      <c r="AT349" s="45">
        <f>Inputs!$B$40</f>
        <v>0</v>
      </c>
      <c r="AU349" s="45" t="s">
        <v>57</v>
      </c>
      <c r="AV349" s="45">
        <f t="shared" si="334"/>
        <v>0</v>
      </c>
      <c r="AW349" s="50"/>
      <c r="AX349" s="118">
        <v>5</v>
      </c>
      <c r="AY349" s="114">
        <f>Inputs!$A$40</f>
        <v>0</v>
      </c>
      <c r="AZ349" s="45">
        <f>Inputs!$B$40</f>
        <v>0</v>
      </c>
      <c r="BA349" s="45" t="s">
        <v>58</v>
      </c>
      <c r="BB349" s="45">
        <f t="shared" si="331"/>
        <v>0</v>
      </c>
      <c r="BC349" s="50"/>
      <c r="BD349" s="45">
        <v>0</v>
      </c>
      <c r="BE349" s="45">
        <v>0</v>
      </c>
      <c r="BF349" s="45">
        <f t="shared" si="355"/>
        <v>0</v>
      </c>
      <c r="BG349" s="50"/>
      <c r="BH349" s="45">
        <f t="shared" si="356"/>
        <v>0</v>
      </c>
      <c r="BI349" s="64">
        <f>BD349*Inputs!$F$40*Inputs!$G$40</f>
        <v>0</v>
      </c>
      <c r="BJ349" s="45">
        <f>Inputs!$F$40*Inputs!$I$40*BE349</f>
        <v>0</v>
      </c>
      <c r="BK349" s="55"/>
      <c r="BM349" s="116">
        <v>5</v>
      </c>
      <c r="BN349" s="114">
        <f>Inputs!$A$40</f>
        <v>0</v>
      </c>
      <c r="BO349" s="45">
        <f>Inputs!$B$40</f>
        <v>0</v>
      </c>
      <c r="BP349" s="45" t="s">
        <v>57</v>
      </c>
      <c r="BQ349" s="45">
        <f t="shared" si="332"/>
        <v>0</v>
      </c>
      <c r="BR349" s="50"/>
      <c r="BS349" s="118">
        <v>5</v>
      </c>
      <c r="BT349" s="114">
        <f>Inputs!$A$40</f>
        <v>0</v>
      </c>
      <c r="BU349" s="45">
        <f>Inputs!$B$40</f>
        <v>0</v>
      </c>
      <c r="BV349" s="45" t="s">
        <v>58</v>
      </c>
      <c r="BW349" s="45">
        <f t="shared" si="333"/>
        <v>0</v>
      </c>
      <c r="BX349" s="50"/>
      <c r="BY349" s="45">
        <v>0</v>
      </c>
      <c r="BZ349" s="45">
        <v>0</v>
      </c>
      <c r="CA349" s="45">
        <f t="shared" si="357"/>
        <v>0</v>
      </c>
      <c r="CB349" s="50"/>
      <c r="CC349" s="45">
        <f t="shared" si="358"/>
        <v>0</v>
      </c>
      <c r="CD349" s="64">
        <f>BY349*Inputs!$F$40*Inputs!$G$40</f>
        <v>0</v>
      </c>
      <c r="CE349" s="45">
        <f>Inputs!$F$40*Inputs!$I$40*BZ349</f>
        <v>0</v>
      </c>
      <c r="CF349" s="55"/>
    </row>
    <row r="350" spans="1:84" x14ac:dyDescent="0.25">
      <c r="A350" s="116">
        <v>6</v>
      </c>
      <c r="B350" s="114">
        <f>Inputs!$A$40</f>
        <v>0</v>
      </c>
      <c r="C350" s="45">
        <f>Inputs!$B$40</f>
        <v>0</v>
      </c>
      <c r="D350" s="45" t="s">
        <v>57</v>
      </c>
      <c r="E350" s="45">
        <v>0</v>
      </c>
      <c r="F350" s="50"/>
      <c r="G350" s="118">
        <v>6</v>
      </c>
      <c r="H350" s="114">
        <f>Inputs!$A$40</f>
        <v>0</v>
      </c>
      <c r="I350" s="45">
        <f>Inputs!$B$40</f>
        <v>0</v>
      </c>
      <c r="J350" s="45" t="s">
        <v>58</v>
      </c>
      <c r="K350" s="45">
        <v>0</v>
      </c>
      <c r="L350" s="50"/>
      <c r="M350" s="45">
        <v>0</v>
      </c>
      <c r="N350" s="45">
        <v>0</v>
      </c>
      <c r="O350" s="45">
        <f t="shared" si="351"/>
        <v>0</v>
      </c>
      <c r="P350" s="50"/>
      <c r="Q350" s="45">
        <f t="shared" si="352"/>
        <v>0</v>
      </c>
      <c r="R350" s="64">
        <f>M350*Inputs!$F$40*Inputs!$G$40</f>
        <v>0</v>
      </c>
      <c r="S350" s="45">
        <f>Inputs!$F$40*Inputs!$I$40*N350</f>
        <v>0</v>
      </c>
      <c r="T350" s="18"/>
      <c r="U350" s="55"/>
      <c r="W350" s="116">
        <v>6</v>
      </c>
      <c r="X350" s="114">
        <f>Inputs!$A$40</f>
        <v>0</v>
      </c>
      <c r="Y350" s="45">
        <f>Inputs!$B$40</f>
        <v>0</v>
      </c>
      <c r="Z350" s="45" t="s">
        <v>57</v>
      </c>
      <c r="AA350" s="45">
        <f t="shared" si="329"/>
        <v>0</v>
      </c>
      <c r="AB350" s="50"/>
      <c r="AC350" s="118">
        <v>6</v>
      </c>
      <c r="AD350" s="114">
        <f>Inputs!$A$40</f>
        <v>0</v>
      </c>
      <c r="AE350" s="45">
        <f>Inputs!$B$40</f>
        <v>0</v>
      </c>
      <c r="AF350" s="45" t="s">
        <v>58</v>
      </c>
      <c r="AG350" s="45">
        <f t="shared" si="330"/>
        <v>0</v>
      </c>
      <c r="AH350" s="50"/>
      <c r="AI350" s="45">
        <v>0</v>
      </c>
      <c r="AJ350" s="45">
        <v>0</v>
      </c>
      <c r="AK350" s="45">
        <f t="shared" si="353"/>
        <v>0</v>
      </c>
      <c r="AL350" s="50"/>
      <c r="AM350" s="45">
        <f t="shared" si="354"/>
        <v>0</v>
      </c>
      <c r="AN350" s="64">
        <f>AI350*Inputs!$F$40*Inputs!$G$40</f>
        <v>0</v>
      </c>
      <c r="AO350" s="45">
        <f>Inputs!$F$40*Inputs!$I$40*AJ350</f>
        <v>0</v>
      </c>
      <c r="AP350" s="55"/>
      <c r="AR350" s="116">
        <v>6</v>
      </c>
      <c r="AS350" s="114">
        <f>Inputs!$A$40</f>
        <v>0</v>
      </c>
      <c r="AT350" s="45">
        <f>Inputs!$B$40</f>
        <v>0</v>
      </c>
      <c r="AU350" s="45" t="s">
        <v>57</v>
      </c>
      <c r="AV350" s="45">
        <f t="shared" si="334"/>
        <v>0</v>
      </c>
      <c r="AW350" s="50"/>
      <c r="AX350" s="118">
        <v>6</v>
      </c>
      <c r="AY350" s="114">
        <f>Inputs!$A$40</f>
        <v>0</v>
      </c>
      <c r="AZ350" s="45">
        <f>Inputs!$B$40</f>
        <v>0</v>
      </c>
      <c r="BA350" s="45" t="s">
        <v>58</v>
      </c>
      <c r="BB350" s="45">
        <f t="shared" si="331"/>
        <v>0</v>
      </c>
      <c r="BC350" s="50"/>
      <c r="BD350" s="45">
        <v>0</v>
      </c>
      <c r="BE350" s="45">
        <v>0</v>
      </c>
      <c r="BF350" s="45">
        <f t="shared" si="355"/>
        <v>0</v>
      </c>
      <c r="BG350" s="50"/>
      <c r="BH350" s="45">
        <f t="shared" si="356"/>
        <v>0</v>
      </c>
      <c r="BI350" s="64">
        <f>BD350*Inputs!$F$40*Inputs!$G$40</f>
        <v>0</v>
      </c>
      <c r="BJ350" s="45">
        <f>Inputs!$F$40*Inputs!$I$40*BE350</f>
        <v>0</v>
      </c>
      <c r="BK350" s="55"/>
      <c r="BM350" s="116">
        <v>6</v>
      </c>
      <c r="BN350" s="114">
        <f>Inputs!$A$40</f>
        <v>0</v>
      </c>
      <c r="BO350" s="45">
        <f>Inputs!$B$40</f>
        <v>0</v>
      </c>
      <c r="BP350" s="45" t="s">
        <v>57</v>
      </c>
      <c r="BQ350" s="45">
        <f t="shared" si="332"/>
        <v>0</v>
      </c>
      <c r="BR350" s="50"/>
      <c r="BS350" s="118">
        <v>6</v>
      </c>
      <c r="BT350" s="114">
        <f>Inputs!$A$40</f>
        <v>0</v>
      </c>
      <c r="BU350" s="45">
        <f>Inputs!$B$40</f>
        <v>0</v>
      </c>
      <c r="BV350" s="45" t="s">
        <v>58</v>
      </c>
      <c r="BW350" s="45">
        <f t="shared" si="333"/>
        <v>0</v>
      </c>
      <c r="BX350" s="50"/>
      <c r="BY350" s="45">
        <v>0</v>
      </c>
      <c r="BZ350" s="45">
        <v>0</v>
      </c>
      <c r="CA350" s="45">
        <f t="shared" si="357"/>
        <v>0</v>
      </c>
      <c r="CB350" s="50"/>
      <c r="CC350" s="45">
        <f t="shared" si="358"/>
        <v>0</v>
      </c>
      <c r="CD350" s="64">
        <f>BY350*Inputs!$F$40*Inputs!$G$40</f>
        <v>0</v>
      </c>
      <c r="CE350" s="45">
        <f>Inputs!$F$40*Inputs!$I$40*BZ350</f>
        <v>0</v>
      </c>
      <c r="CF350" s="55"/>
    </row>
    <row r="351" spans="1:84" x14ac:dyDescent="0.25">
      <c r="A351" s="116">
        <v>7</v>
      </c>
      <c r="B351" s="114">
        <f>Inputs!$A$40</f>
        <v>0</v>
      </c>
      <c r="C351" s="45">
        <f>Inputs!$B$40</f>
        <v>0</v>
      </c>
      <c r="D351" s="45" t="s">
        <v>57</v>
      </c>
      <c r="E351" s="45">
        <v>0</v>
      </c>
      <c r="F351" s="50"/>
      <c r="G351" s="118">
        <v>7</v>
      </c>
      <c r="H351" s="114">
        <f>Inputs!$A$40</f>
        <v>0</v>
      </c>
      <c r="I351" s="45">
        <f>Inputs!$B$40</f>
        <v>0</v>
      </c>
      <c r="J351" s="45" t="s">
        <v>58</v>
      </c>
      <c r="K351" s="45">
        <v>0</v>
      </c>
      <c r="L351" s="50"/>
      <c r="M351" s="45">
        <v>0</v>
      </c>
      <c r="N351" s="45">
        <v>0</v>
      </c>
      <c r="O351" s="45">
        <f t="shared" si="351"/>
        <v>0</v>
      </c>
      <c r="P351" s="50"/>
      <c r="Q351" s="45">
        <f t="shared" si="352"/>
        <v>0</v>
      </c>
      <c r="R351" s="64">
        <f>M351*Inputs!$F$40*Inputs!$G$40</f>
        <v>0</v>
      </c>
      <c r="S351" s="45">
        <f>Inputs!$F$40*Inputs!$I$40*N351</f>
        <v>0</v>
      </c>
      <c r="T351" s="18"/>
      <c r="U351" s="55"/>
      <c r="W351" s="116">
        <v>7</v>
      </c>
      <c r="X351" s="114">
        <f>Inputs!$A$40</f>
        <v>0</v>
      </c>
      <c r="Y351" s="45">
        <f>Inputs!$B$40</f>
        <v>0</v>
      </c>
      <c r="Z351" s="45" t="s">
        <v>57</v>
      </c>
      <c r="AA351" s="45">
        <f t="shared" si="329"/>
        <v>0</v>
      </c>
      <c r="AB351" s="50"/>
      <c r="AC351" s="118">
        <v>7</v>
      </c>
      <c r="AD351" s="114">
        <f>Inputs!$A$40</f>
        <v>0</v>
      </c>
      <c r="AE351" s="45">
        <f>Inputs!$B$40</f>
        <v>0</v>
      </c>
      <c r="AF351" s="45" t="s">
        <v>58</v>
      </c>
      <c r="AG351" s="45">
        <f t="shared" si="330"/>
        <v>0</v>
      </c>
      <c r="AH351" s="50"/>
      <c r="AI351" s="45">
        <v>0</v>
      </c>
      <c r="AJ351" s="45">
        <v>0</v>
      </c>
      <c r="AK351" s="45">
        <f t="shared" si="353"/>
        <v>0</v>
      </c>
      <c r="AL351" s="50"/>
      <c r="AM351" s="45">
        <f t="shared" si="354"/>
        <v>0</v>
      </c>
      <c r="AN351" s="64">
        <f>AI351*Inputs!$F$40*Inputs!$G$40</f>
        <v>0</v>
      </c>
      <c r="AO351" s="45">
        <f>Inputs!$F$40*Inputs!$I$40*AJ351</f>
        <v>0</v>
      </c>
      <c r="AP351" s="55"/>
      <c r="AR351" s="116">
        <v>7</v>
      </c>
      <c r="AS351" s="114">
        <f>Inputs!$A$40</f>
        <v>0</v>
      </c>
      <c r="AT351" s="45">
        <f>Inputs!$B$40</f>
        <v>0</v>
      </c>
      <c r="AU351" s="45" t="s">
        <v>57</v>
      </c>
      <c r="AV351" s="45">
        <f t="shared" si="334"/>
        <v>0</v>
      </c>
      <c r="AW351" s="50"/>
      <c r="AX351" s="118">
        <v>7</v>
      </c>
      <c r="AY351" s="114">
        <f>Inputs!$A$40</f>
        <v>0</v>
      </c>
      <c r="AZ351" s="45">
        <f>Inputs!$B$40</f>
        <v>0</v>
      </c>
      <c r="BA351" s="45" t="s">
        <v>58</v>
      </c>
      <c r="BB351" s="45">
        <f t="shared" si="331"/>
        <v>0</v>
      </c>
      <c r="BC351" s="50"/>
      <c r="BD351" s="45">
        <v>0</v>
      </c>
      <c r="BE351" s="45">
        <v>0</v>
      </c>
      <c r="BF351" s="45">
        <f t="shared" si="355"/>
        <v>0</v>
      </c>
      <c r="BG351" s="50"/>
      <c r="BH351" s="45">
        <f t="shared" si="356"/>
        <v>0</v>
      </c>
      <c r="BI351" s="64">
        <f>BD351*Inputs!$F$40*Inputs!$G$40</f>
        <v>0</v>
      </c>
      <c r="BJ351" s="45">
        <f>Inputs!$F$40*Inputs!$I$40*BE351</f>
        <v>0</v>
      </c>
      <c r="BK351" s="55"/>
      <c r="BM351" s="116">
        <v>7</v>
      </c>
      <c r="BN351" s="114">
        <f>Inputs!$A$40</f>
        <v>0</v>
      </c>
      <c r="BO351" s="45">
        <f>Inputs!$B$40</f>
        <v>0</v>
      </c>
      <c r="BP351" s="45" t="s">
        <v>57</v>
      </c>
      <c r="BQ351" s="45">
        <f t="shared" si="332"/>
        <v>0</v>
      </c>
      <c r="BR351" s="50"/>
      <c r="BS351" s="118">
        <v>7</v>
      </c>
      <c r="BT351" s="114">
        <f>Inputs!$A$40</f>
        <v>0</v>
      </c>
      <c r="BU351" s="45">
        <f>Inputs!$B$40</f>
        <v>0</v>
      </c>
      <c r="BV351" s="45" t="s">
        <v>58</v>
      </c>
      <c r="BW351" s="45">
        <f t="shared" si="333"/>
        <v>0</v>
      </c>
      <c r="BX351" s="50"/>
      <c r="BY351" s="45">
        <v>0</v>
      </c>
      <c r="BZ351" s="45">
        <v>0</v>
      </c>
      <c r="CA351" s="45">
        <f t="shared" si="357"/>
        <v>0</v>
      </c>
      <c r="CB351" s="50"/>
      <c r="CC351" s="45">
        <f t="shared" si="358"/>
        <v>0</v>
      </c>
      <c r="CD351" s="64">
        <f>BY351*Inputs!$F$40*Inputs!$G$40</f>
        <v>0</v>
      </c>
      <c r="CE351" s="45">
        <f>Inputs!$F$40*Inputs!$I$40*BZ351</f>
        <v>0</v>
      </c>
      <c r="CF351" s="55"/>
    </row>
    <row r="352" spans="1:84" x14ac:dyDescent="0.25">
      <c r="A352" s="116">
        <v>8</v>
      </c>
      <c r="B352" s="114">
        <f>Inputs!$A$40</f>
        <v>0</v>
      </c>
      <c r="C352" s="45">
        <f>Inputs!$B$40</f>
        <v>0</v>
      </c>
      <c r="D352" s="45" t="s">
        <v>57</v>
      </c>
      <c r="E352" s="45">
        <v>0</v>
      </c>
      <c r="F352" s="50"/>
      <c r="G352" s="118">
        <v>8</v>
      </c>
      <c r="H352" s="114">
        <f>Inputs!$A$40</f>
        <v>0</v>
      </c>
      <c r="I352" s="45">
        <f>Inputs!$B$40</f>
        <v>0</v>
      </c>
      <c r="J352" s="45" t="s">
        <v>58</v>
      </c>
      <c r="K352" s="45">
        <v>0</v>
      </c>
      <c r="L352" s="50"/>
      <c r="M352" s="45">
        <v>0</v>
      </c>
      <c r="N352" s="45">
        <v>0</v>
      </c>
      <c r="O352" s="45">
        <f t="shared" si="351"/>
        <v>0</v>
      </c>
      <c r="P352" s="50"/>
      <c r="Q352" s="45">
        <f t="shared" si="352"/>
        <v>0</v>
      </c>
      <c r="R352" s="64">
        <f>M352*Inputs!$F$40*Inputs!$G$40</f>
        <v>0</v>
      </c>
      <c r="S352" s="45">
        <f>Inputs!$F$40*Inputs!$I$40*N352</f>
        <v>0</v>
      </c>
      <c r="T352" s="18"/>
      <c r="U352" s="55"/>
      <c r="W352" s="116">
        <v>8</v>
      </c>
      <c r="X352" s="114">
        <f>Inputs!$A$40</f>
        <v>0</v>
      </c>
      <c r="Y352" s="45">
        <f>Inputs!$B$40</f>
        <v>0</v>
      </c>
      <c r="Z352" s="45" t="s">
        <v>57</v>
      </c>
      <c r="AA352" s="45">
        <f t="shared" si="329"/>
        <v>0</v>
      </c>
      <c r="AB352" s="50"/>
      <c r="AC352" s="118">
        <v>8</v>
      </c>
      <c r="AD352" s="114">
        <f>Inputs!$A$40</f>
        <v>0</v>
      </c>
      <c r="AE352" s="45">
        <f>Inputs!$B$40</f>
        <v>0</v>
      </c>
      <c r="AF352" s="45" t="s">
        <v>58</v>
      </c>
      <c r="AG352" s="45">
        <f t="shared" si="330"/>
        <v>0</v>
      </c>
      <c r="AH352" s="50"/>
      <c r="AI352" s="45">
        <v>0</v>
      </c>
      <c r="AJ352" s="45">
        <v>0</v>
      </c>
      <c r="AK352" s="45">
        <f t="shared" si="353"/>
        <v>0</v>
      </c>
      <c r="AL352" s="50"/>
      <c r="AM352" s="45">
        <f t="shared" si="354"/>
        <v>0</v>
      </c>
      <c r="AN352" s="64">
        <f>AI352*Inputs!$F$40*Inputs!$G$40</f>
        <v>0</v>
      </c>
      <c r="AO352" s="45">
        <f>Inputs!$F$40*Inputs!$I$40*AJ352</f>
        <v>0</v>
      </c>
      <c r="AP352" s="55"/>
      <c r="AR352" s="116">
        <v>8</v>
      </c>
      <c r="AS352" s="114">
        <f>Inputs!$A$40</f>
        <v>0</v>
      </c>
      <c r="AT352" s="45">
        <f>Inputs!$B$40</f>
        <v>0</v>
      </c>
      <c r="AU352" s="45" t="s">
        <v>57</v>
      </c>
      <c r="AV352" s="45">
        <f t="shared" si="334"/>
        <v>0</v>
      </c>
      <c r="AW352" s="50"/>
      <c r="AX352" s="118">
        <v>8</v>
      </c>
      <c r="AY352" s="114">
        <f>Inputs!$A$40</f>
        <v>0</v>
      </c>
      <c r="AZ352" s="45">
        <f>Inputs!$B$40</f>
        <v>0</v>
      </c>
      <c r="BA352" s="45" t="s">
        <v>58</v>
      </c>
      <c r="BB352" s="45">
        <f t="shared" si="331"/>
        <v>0</v>
      </c>
      <c r="BC352" s="50"/>
      <c r="BD352" s="45">
        <v>0</v>
      </c>
      <c r="BE352" s="45">
        <v>0</v>
      </c>
      <c r="BF352" s="45">
        <f t="shared" si="355"/>
        <v>0</v>
      </c>
      <c r="BG352" s="50"/>
      <c r="BH352" s="45">
        <f t="shared" si="356"/>
        <v>0</v>
      </c>
      <c r="BI352" s="64">
        <f>BD352*Inputs!$F$40*Inputs!$G$40</f>
        <v>0</v>
      </c>
      <c r="BJ352" s="45">
        <f>Inputs!$F$40*Inputs!$I$40*BE352</f>
        <v>0</v>
      </c>
      <c r="BK352" s="55"/>
      <c r="BM352" s="116">
        <v>8</v>
      </c>
      <c r="BN352" s="114">
        <f>Inputs!$A$40</f>
        <v>0</v>
      </c>
      <c r="BO352" s="45">
        <f>Inputs!$B$40</f>
        <v>0</v>
      </c>
      <c r="BP352" s="45" t="s">
        <v>57</v>
      </c>
      <c r="BQ352" s="45">
        <f t="shared" si="332"/>
        <v>0</v>
      </c>
      <c r="BR352" s="50"/>
      <c r="BS352" s="118">
        <v>8</v>
      </c>
      <c r="BT352" s="114">
        <f>Inputs!$A$40</f>
        <v>0</v>
      </c>
      <c r="BU352" s="45">
        <f>Inputs!$B$40</f>
        <v>0</v>
      </c>
      <c r="BV352" s="45" t="s">
        <v>58</v>
      </c>
      <c r="BW352" s="45">
        <f t="shared" si="333"/>
        <v>0</v>
      </c>
      <c r="BX352" s="50"/>
      <c r="BY352" s="45">
        <v>0</v>
      </c>
      <c r="BZ352" s="45">
        <v>0</v>
      </c>
      <c r="CA352" s="45">
        <f t="shared" si="357"/>
        <v>0</v>
      </c>
      <c r="CB352" s="50"/>
      <c r="CC352" s="45">
        <f t="shared" si="358"/>
        <v>0</v>
      </c>
      <c r="CD352" s="64">
        <f>BY352*Inputs!$F$40*Inputs!$G$40</f>
        <v>0</v>
      </c>
      <c r="CE352" s="45">
        <f>Inputs!$F$40*Inputs!$I$40*BZ352</f>
        <v>0</v>
      </c>
      <c r="CF352" s="55"/>
    </row>
    <row r="353" spans="1:84" x14ac:dyDescent="0.25">
      <c r="A353" s="116">
        <v>9</v>
      </c>
      <c r="B353" s="114">
        <f>Inputs!$A$40</f>
        <v>0</v>
      </c>
      <c r="C353" s="45">
        <f>Inputs!$B$40</f>
        <v>0</v>
      </c>
      <c r="D353" s="45" t="s">
        <v>57</v>
      </c>
      <c r="E353" s="45">
        <v>0</v>
      </c>
      <c r="F353" s="50"/>
      <c r="G353" s="118">
        <v>9</v>
      </c>
      <c r="H353" s="114">
        <f>Inputs!$A$40</f>
        <v>0</v>
      </c>
      <c r="I353" s="45">
        <f>Inputs!$B$40</f>
        <v>0</v>
      </c>
      <c r="J353" s="45" t="s">
        <v>58</v>
      </c>
      <c r="K353" s="45">
        <v>0</v>
      </c>
      <c r="L353" s="50"/>
      <c r="M353" s="45">
        <v>0</v>
      </c>
      <c r="N353" s="45">
        <v>0</v>
      </c>
      <c r="O353" s="45">
        <f t="shared" si="351"/>
        <v>0</v>
      </c>
      <c r="P353" s="50"/>
      <c r="Q353" s="45">
        <f t="shared" si="352"/>
        <v>0</v>
      </c>
      <c r="R353" s="64">
        <f>M353*Inputs!$F$40*Inputs!$G$40</f>
        <v>0</v>
      </c>
      <c r="S353" s="45">
        <f>Inputs!$F$40*Inputs!$I$40*N353</f>
        <v>0</v>
      </c>
      <c r="T353" s="18"/>
      <c r="U353" s="55"/>
      <c r="W353" s="116">
        <v>9</v>
      </c>
      <c r="X353" s="114">
        <f>Inputs!$A$40</f>
        <v>0</v>
      </c>
      <c r="Y353" s="45">
        <f>Inputs!$B$40</f>
        <v>0</v>
      </c>
      <c r="Z353" s="45" t="s">
        <v>57</v>
      </c>
      <c r="AA353" s="45">
        <f t="shared" si="329"/>
        <v>0</v>
      </c>
      <c r="AB353" s="50"/>
      <c r="AC353" s="118">
        <v>9</v>
      </c>
      <c r="AD353" s="114">
        <f>Inputs!$A$40</f>
        <v>0</v>
      </c>
      <c r="AE353" s="45">
        <f>Inputs!$B$40</f>
        <v>0</v>
      </c>
      <c r="AF353" s="45" t="s">
        <v>58</v>
      </c>
      <c r="AG353" s="45">
        <f t="shared" si="330"/>
        <v>0</v>
      </c>
      <c r="AH353" s="50"/>
      <c r="AI353" s="45">
        <v>0</v>
      </c>
      <c r="AJ353" s="45">
        <v>0</v>
      </c>
      <c r="AK353" s="45">
        <f t="shared" si="353"/>
        <v>0</v>
      </c>
      <c r="AL353" s="50"/>
      <c r="AM353" s="45">
        <f t="shared" si="354"/>
        <v>0</v>
      </c>
      <c r="AN353" s="64">
        <f>AI353*Inputs!$F$40*Inputs!$G$40</f>
        <v>0</v>
      </c>
      <c r="AO353" s="45">
        <f>Inputs!$F$40*Inputs!$I$40*AJ353</f>
        <v>0</v>
      </c>
      <c r="AP353" s="55"/>
      <c r="AR353" s="116">
        <v>9</v>
      </c>
      <c r="AS353" s="114">
        <f>Inputs!$A$40</f>
        <v>0</v>
      </c>
      <c r="AT353" s="45">
        <f>Inputs!$B$40</f>
        <v>0</v>
      </c>
      <c r="AU353" s="45" t="s">
        <v>57</v>
      </c>
      <c r="AV353" s="45">
        <f t="shared" si="334"/>
        <v>0</v>
      </c>
      <c r="AW353" s="50"/>
      <c r="AX353" s="118">
        <v>9</v>
      </c>
      <c r="AY353" s="114">
        <f>Inputs!$A$40</f>
        <v>0</v>
      </c>
      <c r="AZ353" s="45">
        <f>Inputs!$B$40</f>
        <v>0</v>
      </c>
      <c r="BA353" s="45" t="s">
        <v>58</v>
      </c>
      <c r="BB353" s="45">
        <f t="shared" si="331"/>
        <v>0</v>
      </c>
      <c r="BC353" s="50"/>
      <c r="BD353" s="45">
        <v>0</v>
      </c>
      <c r="BE353" s="45">
        <v>0</v>
      </c>
      <c r="BF353" s="45">
        <f t="shared" si="355"/>
        <v>0</v>
      </c>
      <c r="BG353" s="50"/>
      <c r="BH353" s="45">
        <f t="shared" si="356"/>
        <v>0</v>
      </c>
      <c r="BI353" s="64">
        <f>BD353*Inputs!$F$40*Inputs!$G$40</f>
        <v>0</v>
      </c>
      <c r="BJ353" s="45">
        <f>Inputs!$F$40*Inputs!$I$40*BE353</f>
        <v>0</v>
      </c>
      <c r="BK353" s="55"/>
      <c r="BM353" s="116">
        <v>9</v>
      </c>
      <c r="BN353" s="114">
        <f>Inputs!$A$40</f>
        <v>0</v>
      </c>
      <c r="BO353" s="45">
        <f>Inputs!$B$40</f>
        <v>0</v>
      </c>
      <c r="BP353" s="45" t="s">
        <v>57</v>
      </c>
      <c r="BQ353" s="45">
        <f t="shared" si="332"/>
        <v>0</v>
      </c>
      <c r="BR353" s="50"/>
      <c r="BS353" s="118">
        <v>9</v>
      </c>
      <c r="BT353" s="114">
        <f>Inputs!$A$40</f>
        <v>0</v>
      </c>
      <c r="BU353" s="45">
        <f>Inputs!$B$40</f>
        <v>0</v>
      </c>
      <c r="BV353" s="45" t="s">
        <v>58</v>
      </c>
      <c r="BW353" s="45">
        <f t="shared" si="333"/>
        <v>0</v>
      </c>
      <c r="BX353" s="50"/>
      <c r="BY353" s="45">
        <v>0</v>
      </c>
      <c r="BZ353" s="45">
        <v>0</v>
      </c>
      <c r="CA353" s="45">
        <f t="shared" si="357"/>
        <v>0</v>
      </c>
      <c r="CB353" s="50"/>
      <c r="CC353" s="45">
        <f t="shared" si="358"/>
        <v>0</v>
      </c>
      <c r="CD353" s="64">
        <f>BY353*Inputs!$F$40*Inputs!$G$40</f>
        <v>0</v>
      </c>
      <c r="CE353" s="45">
        <f>Inputs!$F$40*Inputs!$I$40*BZ353</f>
        <v>0</v>
      </c>
      <c r="CF353" s="55"/>
    </row>
    <row r="354" spans="1:84" x14ac:dyDescent="0.25">
      <c r="A354" s="116">
        <v>10</v>
      </c>
      <c r="B354" s="114">
        <f>Inputs!$A$40</f>
        <v>0</v>
      </c>
      <c r="C354" s="45">
        <f>Inputs!$B$40</f>
        <v>0</v>
      </c>
      <c r="D354" s="45" t="s">
        <v>57</v>
      </c>
      <c r="E354" s="45">
        <v>0</v>
      </c>
      <c r="F354" s="50"/>
      <c r="G354" s="118">
        <v>10</v>
      </c>
      <c r="H354" s="114">
        <f>Inputs!$A$40</f>
        <v>0</v>
      </c>
      <c r="I354" s="45">
        <f>Inputs!$B$40</f>
        <v>0</v>
      </c>
      <c r="J354" s="45" t="s">
        <v>58</v>
      </c>
      <c r="K354" s="45">
        <v>0</v>
      </c>
      <c r="L354" s="50"/>
      <c r="M354" s="45">
        <v>0</v>
      </c>
      <c r="N354" s="45">
        <v>0</v>
      </c>
      <c r="O354" s="45">
        <f t="shared" si="351"/>
        <v>0</v>
      </c>
      <c r="P354" s="50"/>
      <c r="Q354" s="45">
        <f t="shared" si="352"/>
        <v>0</v>
      </c>
      <c r="R354" s="64">
        <f>M354*Inputs!$F$40*Inputs!$G$40</f>
        <v>0</v>
      </c>
      <c r="S354" s="45">
        <f>Inputs!$F$40*Inputs!$I$40*N354</f>
        <v>0</v>
      </c>
      <c r="T354" s="18"/>
      <c r="U354" s="91"/>
      <c r="W354" s="116">
        <v>10</v>
      </c>
      <c r="X354" s="114">
        <f>Inputs!$A$40</f>
        <v>0</v>
      </c>
      <c r="Y354" s="45">
        <f>Inputs!$B$40</f>
        <v>0</v>
      </c>
      <c r="Z354" s="45" t="s">
        <v>57</v>
      </c>
      <c r="AA354" s="45">
        <f t="shared" si="329"/>
        <v>0</v>
      </c>
      <c r="AB354" s="50"/>
      <c r="AC354" s="118">
        <v>10</v>
      </c>
      <c r="AD354" s="114">
        <f>Inputs!$A$40</f>
        <v>0</v>
      </c>
      <c r="AE354" s="45">
        <f>Inputs!$B$40</f>
        <v>0</v>
      </c>
      <c r="AF354" s="45" t="s">
        <v>58</v>
      </c>
      <c r="AG354" s="45">
        <f t="shared" si="330"/>
        <v>0</v>
      </c>
      <c r="AH354" s="50"/>
      <c r="AI354" s="45">
        <v>0</v>
      </c>
      <c r="AJ354" s="45">
        <v>0</v>
      </c>
      <c r="AK354" s="45">
        <f t="shared" si="353"/>
        <v>0</v>
      </c>
      <c r="AL354" s="50"/>
      <c r="AM354" s="45">
        <f t="shared" si="354"/>
        <v>0</v>
      </c>
      <c r="AN354" s="64">
        <f>AI354*Inputs!$F$40*Inputs!$G$40</f>
        <v>0</v>
      </c>
      <c r="AO354" s="45">
        <f>Inputs!$F$40*Inputs!$I$40*AJ354</f>
        <v>0</v>
      </c>
      <c r="AP354" s="91"/>
      <c r="AR354" s="116">
        <v>10</v>
      </c>
      <c r="AS354" s="114">
        <f>Inputs!$A$40</f>
        <v>0</v>
      </c>
      <c r="AT354" s="45">
        <f>Inputs!$B$40</f>
        <v>0</v>
      </c>
      <c r="AU354" s="45" t="s">
        <v>57</v>
      </c>
      <c r="AV354" s="45">
        <f t="shared" si="334"/>
        <v>0</v>
      </c>
      <c r="AW354" s="50"/>
      <c r="AX354" s="118">
        <v>10</v>
      </c>
      <c r="AY354" s="114">
        <f>Inputs!$A$40</f>
        <v>0</v>
      </c>
      <c r="AZ354" s="45">
        <f>Inputs!$B$40</f>
        <v>0</v>
      </c>
      <c r="BA354" s="45" t="s">
        <v>58</v>
      </c>
      <c r="BB354" s="45">
        <f t="shared" si="331"/>
        <v>0</v>
      </c>
      <c r="BC354" s="50"/>
      <c r="BD354" s="45">
        <v>0</v>
      </c>
      <c r="BE354" s="45">
        <v>0</v>
      </c>
      <c r="BF354" s="45">
        <f t="shared" si="355"/>
        <v>0</v>
      </c>
      <c r="BG354" s="50"/>
      <c r="BH354" s="45">
        <f t="shared" si="356"/>
        <v>0</v>
      </c>
      <c r="BI354" s="64">
        <f>BD354*Inputs!$F$40*Inputs!$G$40</f>
        <v>0</v>
      </c>
      <c r="BJ354" s="45">
        <f>Inputs!$F$40*Inputs!$I$40*BE354</f>
        <v>0</v>
      </c>
      <c r="BK354" s="91"/>
      <c r="BM354" s="116">
        <v>10</v>
      </c>
      <c r="BN354" s="114">
        <f>Inputs!$A$40</f>
        <v>0</v>
      </c>
      <c r="BO354" s="45">
        <f>Inputs!$B$40</f>
        <v>0</v>
      </c>
      <c r="BP354" s="45" t="s">
        <v>57</v>
      </c>
      <c r="BQ354" s="45">
        <f t="shared" si="332"/>
        <v>0</v>
      </c>
      <c r="BR354" s="50"/>
      <c r="BS354" s="118">
        <v>10</v>
      </c>
      <c r="BT354" s="114">
        <f>Inputs!$A$40</f>
        <v>0</v>
      </c>
      <c r="BU354" s="45">
        <f>Inputs!$B$40</f>
        <v>0</v>
      </c>
      <c r="BV354" s="45" t="s">
        <v>58</v>
      </c>
      <c r="BW354" s="45">
        <f t="shared" si="333"/>
        <v>0</v>
      </c>
      <c r="BX354" s="50"/>
      <c r="BY354" s="45">
        <v>0</v>
      </c>
      <c r="BZ354" s="45">
        <v>0</v>
      </c>
      <c r="CA354" s="45">
        <f t="shared" si="357"/>
        <v>0</v>
      </c>
      <c r="CB354" s="50"/>
      <c r="CC354" s="45">
        <f t="shared" si="358"/>
        <v>0</v>
      </c>
      <c r="CD354" s="64">
        <f>BY354*Inputs!$F$40*Inputs!$G$40</f>
        <v>0</v>
      </c>
      <c r="CE354" s="45">
        <f>Inputs!$F$40*Inputs!$I$40*BZ354</f>
        <v>0</v>
      </c>
      <c r="CF354" s="91"/>
    </row>
    <row r="355" spans="1:84" x14ac:dyDescent="0.25">
      <c r="A355" s="116">
        <v>11</v>
      </c>
      <c r="B355" s="114">
        <f>Inputs!$A$40</f>
        <v>0</v>
      </c>
      <c r="C355" s="45">
        <f>Inputs!$B$40</f>
        <v>0</v>
      </c>
      <c r="D355" s="45" t="s">
        <v>57</v>
      </c>
      <c r="E355" s="45">
        <v>0</v>
      </c>
      <c r="F355" s="50"/>
      <c r="G355" s="118">
        <v>11</v>
      </c>
      <c r="H355" s="114">
        <f>Inputs!$A$40</f>
        <v>0</v>
      </c>
      <c r="I355" s="45">
        <f>Inputs!$B$40</f>
        <v>0</v>
      </c>
      <c r="J355" s="45" t="s">
        <v>58</v>
      </c>
      <c r="K355" s="45">
        <v>0</v>
      </c>
      <c r="L355" s="50"/>
      <c r="M355" s="45">
        <v>0</v>
      </c>
      <c r="N355" s="45">
        <v>0</v>
      </c>
      <c r="O355" s="45">
        <f t="shared" si="351"/>
        <v>0</v>
      </c>
      <c r="P355" s="50"/>
      <c r="Q355" s="45">
        <f t="shared" si="352"/>
        <v>0</v>
      </c>
      <c r="R355" s="64">
        <f>M355*Inputs!$F$40*Inputs!$H$40</f>
        <v>0</v>
      </c>
      <c r="S355" s="45">
        <f>Inputs!$F$40*Inputs!$I$40*N355</f>
        <v>0</v>
      </c>
      <c r="T355" s="18"/>
      <c r="U355" s="56"/>
      <c r="W355" s="116">
        <v>11</v>
      </c>
      <c r="X355" s="114">
        <f>Inputs!$A$40</f>
        <v>0</v>
      </c>
      <c r="Y355" s="45">
        <f>Inputs!$B$40</f>
        <v>0</v>
      </c>
      <c r="Z355" s="45" t="s">
        <v>57</v>
      </c>
      <c r="AA355" s="45">
        <f t="shared" si="329"/>
        <v>0</v>
      </c>
      <c r="AB355" s="50"/>
      <c r="AC355" s="118">
        <v>11</v>
      </c>
      <c r="AD355" s="114">
        <f>Inputs!$A$40</f>
        <v>0</v>
      </c>
      <c r="AE355" s="45">
        <f>Inputs!$B$40</f>
        <v>0</v>
      </c>
      <c r="AF355" s="45" t="s">
        <v>58</v>
      </c>
      <c r="AG355" s="45">
        <f t="shared" si="330"/>
        <v>0</v>
      </c>
      <c r="AH355" s="50"/>
      <c r="AI355" s="45">
        <v>0</v>
      </c>
      <c r="AJ355" s="45">
        <v>0</v>
      </c>
      <c r="AK355" s="45">
        <f t="shared" si="353"/>
        <v>0</v>
      </c>
      <c r="AL355" s="50"/>
      <c r="AM355" s="45">
        <f t="shared" si="354"/>
        <v>0</v>
      </c>
      <c r="AN355" s="64">
        <f>AI355*Inputs!$F$40*Inputs!$H$40</f>
        <v>0</v>
      </c>
      <c r="AO355" s="45">
        <f>Inputs!$F$40*Inputs!$I$40*AJ355</f>
        <v>0</v>
      </c>
      <c r="AP355" s="56"/>
      <c r="AR355" s="116">
        <v>11</v>
      </c>
      <c r="AS355" s="114">
        <f>Inputs!$A$40</f>
        <v>0</v>
      </c>
      <c r="AT355" s="45">
        <f>Inputs!$B$40</f>
        <v>0</v>
      </c>
      <c r="AU355" s="45" t="s">
        <v>57</v>
      </c>
      <c r="AV355" s="45">
        <f t="shared" si="334"/>
        <v>0</v>
      </c>
      <c r="AW355" s="50"/>
      <c r="AX355" s="118">
        <v>11</v>
      </c>
      <c r="AY355" s="114">
        <f>Inputs!$A$40</f>
        <v>0</v>
      </c>
      <c r="AZ355" s="45">
        <f>Inputs!$B$40</f>
        <v>0</v>
      </c>
      <c r="BA355" s="45" t="s">
        <v>58</v>
      </c>
      <c r="BB355" s="45">
        <f t="shared" si="331"/>
        <v>0</v>
      </c>
      <c r="BC355" s="50"/>
      <c r="BD355" s="45">
        <v>0</v>
      </c>
      <c r="BE355" s="45">
        <v>0</v>
      </c>
      <c r="BF355" s="45">
        <f t="shared" si="355"/>
        <v>0</v>
      </c>
      <c r="BG355" s="50"/>
      <c r="BH355" s="45">
        <f t="shared" si="356"/>
        <v>0</v>
      </c>
      <c r="BI355" s="64">
        <f>BD355*Inputs!$F$40*Inputs!$H$40</f>
        <v>0</v>
      </c>
      <c r="BJ355" s="45">
        <f>Inputs!$F$40*Inputs!$I$40*BE355</f>
        <v>0</v>
      </c>
      <c r="BK355" s="56"/>
      <c r="BM355" s="116">
        <v>11</v>
      </c>
      <c r="BN355" s="114">
        <f>Inputs!$A$40</f>
        <v>0</v>
      </c>
      <c r="BO355" s="45">
        <f>Inputs!$B$40</f>
        <v>0</v>
      </c>
      <c r="BP355" s="45" t="s">
        <v>57</v>
      </c>
      <c r="BQ355" s="45">
        <f t="shared" si="332"/>
        <v>0</v>
      </c>
      <c r="BR355" s="50"/>
      <c r="BS355" s="118">
        <v>11</v>
      </c>
      <c r="BT355" s="114">
        <f>Inputs!$A$40</f>
        <v>0</v>
      </c>
      <c r="BU355" s="45">
        <f>Inputs!$B$40</f>
        <v>0</v>
      </c>
      <c r="BV355" s="45" t="s">
        <v>58</v>
      </c>
      <c r="BW355" s="45">
        <f t="shared" si="333"/>
        <v>0</v>
      </c>
      <c r="BX355" s="50"/>
      <c r="BY355" s="45">
        <v>0</v>
      </c>
      <c r="BZ355" s="45">
        <v>0</v>
      </c>
      <c r="CA355" s="45">
        <f t="shared" si="357"/>
        <v>0</v>
      </c>
      <c r="CB355" s="50"/>
      <c r="CC355" s="45">
        <f t="shared" si="358"/>
        <v>0</v>
      </c>
      <c r="CD355" s="64">
        <f>BY355*Inputs!$F$40*Inputs!$H$40</f>
        <v>0</v>
      </c>
      <c r="CE355" s="45">
        <f>Inputs!$F$40*Inputs!$I$40*BZ355</f>
        <v>0</v>
      </c>
      <c r="CF355" s="56"/>
    </row>
    <row r="356" spans="1:84" x14ac:dyDescent="0.25">
      <c r="A356" s="117">
        <v>3</v>
      </c>
      <c r="B356" s="115">
        <f>Inputs!$A$41</f>
        <v>0</v>
      </c>
      <c r="C356" s="44">
        <f>Inputs!$B$41</f>
        <v>0</v>
      </c>
      <c r="D356" s="44" t="s">
        <v>57</v>
      </c>
      <c r="E356" s="44">
        <v>0</v>
      </c>
      <c r="F356" s="50"/>
      <c r="G356" s="119">
        <v>3</v>
      </c>
      <c r="H356" s="115">
        <f>Inputs!$A$41</f>
        <v>0</v>
      </c>
      <c r="I356" s="44">
        <f>Inputs!$B$41</f>
        <v>0</v>
      </c>
      <c r="J356" s="44" t="s">
        <v>58</v>
      </c>
      <c r="K356" s="44">
        <v>0</v>
      </c>
      <c r="L356" s="50"/>
      <c r="M356" s="44">
        <v>0</v>
      </c>
      <c r="N356" s="44">
        <v>0</v>
      </c>
      <c r="O356" s="44">
        <f>U356-0-E356-K356</f>
        <v>0</v>
      </c>
      <c r="P356" s="50"/>
      <c r="Q356" s="44">
        <f>E356+K356+N356-U356+0-M356</f>
        <v>0</v>
      </c>
      <c r="R356" s="63">
        <f>M356*Inputs!$F$41*Inputs!$G$41</f>
        <v>0</v>
      </c>
      <c r="S356" s="44">
        <f>Inputs!$F$41*Inputs!$I$41*N356</f>
        <v>0</v>
      </c>
      <c r="T356" s="18"/>
      <c r="U356" s="54"/>
      <c r="W356" s="117">
        <v>3</v>
      </c>
      <c r="X356" s="115">
        <f>Inputs!$A$41</f>
        <v>0</v>
      </c>
      <c r="Y356" s="44">
        <f>Inputs!$B$41</f>
        <v>0</v>
      </c>
      <c r="Z356" s="44" t="s">
        <v>57</v>
      </c>
      <c r="AA356" s="44">
        <f t="shared" si="329"/>
        <v>0</v>
      </c>
      <c r="AB356" s="50"/>
      <c r="AC356" s="119">
        <v>3</v>
      </c>
      <c r="AD356" s="115">
        <f>Inputs!$A$41</f>
        <v>0</v>
      </c>
      <c r="AE356" s="44">
        <f>Inputs!$B$41</f>
        <v>0</v>
      </c>
      <c r="AF356" s="44" t="s">
        <v>58</v>
      </c>
      <c r="AG356" s="44">
        <f t="shared" si="330"/>
        <v>0</v>
      </c>
      <c r="AH356" s="50"/>
      <c r="AI356" s="44">
        <v>0</v>
      </c>
      <c r="AJ356" s="44">
        <v>0</v>
      </c>
      <c r="AK356" s="44">
        <f>AP356-0-AA356-AG356</f>
        <v>0</v>
      </c>
      <c r="AL356" s="50"/>
      <c r="AM356" s="44">
        <f>AA356+AG356+AJ356-AP356+0-AI356</f>
        <v>0</v>
      </c>
      <c r="AN356" s="63">
        <f>AI356*Inputs!$F$41*Inputs!$G$41</f>
        <v>0</v>
      </c>
      <c r="AO356" s="44">
        <f>Inputs!$F$41*Inputs!$I$41*AJ356</f>
        <v>0</v>
      </c>
      <c r="AP356" s="54"/>
      <c r="AR356" s="117">
        <v>3</v>
      </c>
      <c r="AS356" s="115">
        <f>Inputs!$A$41</f>
        <v>0</v>
      </c>
      <c r="AT356" s="44">
        <f>Inputs!$B$41</f>
        <v>0</v>
      </c>
      <c r="AU356" s="44" t="s">
        <v>57</v>
      </c>
      <c r="AV356" s="44">
        <f t="shared" si="334"/>
        <v>0</v>
      </c>
      <c r="AW356" s="50"/>
      <c r="AX356" s="119">
        <v>3</v>
      </c>
      <c r="AY356" s="115">
        <f>Inputs!$A$41</f>
        <v>0</v>
      </c>
      <c r="AZ356" s="44">
        <f>Inputs!$B$41</f>
        <v>0</v>
      </c>
      <c r="BA356" s="44" t="s">
        <v>58</v>
      </c>
      <c r="BB356" s="44">
        <f t="shared" si="331"/>
        <v>0</v>
      </c>
      <c r="BC356" s="50"/>
      <c r="BD356" s="44">
        <v>0</v>
      </c>
      <c r="BE356" s="44">
        <v>0</v>
      </c>
      <c r="BF356" s="44">
        <f>BK356-0-AV356-BB356</f>
        <v>0</v>
      </c>
      <c r="BG356" s="50"/>
      <c r="BH356" s="44">
        <f>AV356+BB356+BE356-BK356+0-BD356</f>
        <v>0</v>
      </c>
      <c r="BI356" s="63">
        <f>BD356*Inputs!$F$41*Inputs!$G$41</f>
        <v>0</v>
      </c>
      <c r="BJ356" s="44">
        <f>Inputs!$F$41*Inputs!$I$41*BE356</f>
        <v>0</v>
      </c>
      <c r="BK356" s="54"/>
      <c r="BM356" s="117">
        <v>3</v>
      </c>
      <c r="BN356" s="115">
        <f>Inputs!$A$41</f>
        <v>0</v>
      </c>
      <c r="BO356" s="44">
        <f>Inputs!$B$41</f>
        <v>0</v>
      </c>
      <c r="BP356" s="44" t="s">
        <v>57</v>
      </c>
      <c r="BQ356" s="44">
        <f t="shared" si="332"/>
        <v>0</v>
      </c>
      <c r="BR356" s="50"/>
      <c r="BS356" s="119">
        <v>3</v>
      </c>
      <c r="BT356" s="115">
        <f>Inputs!$A$41</f>
        <v>0</v>
      </c>
      <c r="BU356" s="44">
        <f>Inputs!$B$41</f>
        <v>0</v>
      </c>
      <c r="BV356" s="44" t="s">
        <v>58</v>
      </c>
      <c r="BW356" s="44">
        <f t="shared" si="333"/>
        <v>0</v>
      </c>
      <c r="BX356" s="50"/>
      <c r="BY356" s="44">
        <v>0</v>
      </c>
      <c r="BZ356" s="44">
        <v>0</v>
      </c>
      <c r="CA356" s="44">
        <f>CF356-0-BQ356-BW356</f>
        <v>0</v>
      </c>
      <c r="CB356" s="50"/>
      <c r="CC356" s="44">
        <f>BQ356+BW356+BZ356-CF356+0-BY356</f>
        <v>0</v>
      </c>
      <c r="CD356" s="63">
        <f>BY356*Inputs!$F$41*Inputs!$G$41</f>
        <v>0</v>
      </c>
      <c r="CE356" s="44">
        <f>Inputs!$F$41*Inputs!$I$41*BZ356</f>
        <v>0</v>
      </c>
      <c r="CF356" s="54"/>
    </row>
    <row r="357" spans="1:84" x14ac:dyDescent="0.25">
      <c r="A357" s="117">
        <v>4</v>
      </c>
      <c r="B357" s="115">
        <f>Inputs!$A$41</f>
        <v>0</v>
      </c>
      <c r="C357" s="44">
        <f>Inputs!$B$41</f>
        <v>0</v>
      </c>
      <c r="D357" s="44" t="s">
        <v>57</v>
      </c>
      <c r="E357" s="44">
        <v>0</v>
      </c>
      <c r="F357" s="50"/>
      <c r="G357" s="119">
        <v>4</v>
      </c>
      <c r="H357" s="115">
        <f>Inputs!$A$41</f>
        <v>0</v>
      </c>
      <c r="I357" s="44">
        <f>Inputs!$B$41</f>
        <v>0</v>
      </c>
      <c r="J357" s="44" t="s">
        <v>58</v>
      </c>
      <c r="K357" s="44">
        <v>0</v>
      </c>
      <c r="L357" s="50"/>
      <c r="M357" s="44">
        <v>0</v>
      </c>
      <c r="N357" s="44">
        <v>0</v>
      </c>
      <c r="O357" s="44">
        <f t="shared" ref="O357:O364" si="359">U357-M356-E357-K357</f>
        <v>0</v>
      </c>
      <c r="P357" s="50"/>
      <c r="Q357" s="44">
        <f t="shared" ref="Q357:Q364" si="360">E357+K357+N357-U357+M356-M357</f>
        <v>0</v>
      </c>
      <c r="R357" s="63">
        <f>M357*Inputs!$F$41*Inputs!$G$41</f>
        <v>0</v>
      </c>
      <c r="S357" s="44">
        <f>Inputs!$F$41*Inputs!$I$41*N357</f>
        <v>0</v>
      </c>
      <c r="T357" s="18"/>
      <c r="U357" s="55"/>
      <c r="W357" s="117">
        <v>4</v>
      </c>
      <c r="X357" s="115">
        <f>Inputs!$A$41</f>
        <v>0</v>
      </c>
      <c r="Y357" s="44">
        <f>Inputs!$B$41</f>
        <v>0</v>
      </c>
      <c r="Z357" s="44" t="s">
        <v>57</v>
      </c>
      <c r="AA357" s="44">
        <f t="shared" si="329"/>
        <v>0</v>
      </c>
      <c r="AB357" s="50"/>
      <c r="AC357" s="119">
        <v>4</v>
      </c>
      <c r="AD357" s="115">
        <f>Inputs!$A$41</f>
        <v>0</v>
      </c>
      <c r="AE357" s="44">
        <f>Inputs!$B$41</f>
        <v>0</v>
      </c>
      <c r="AF357" s="44" t="s">
        <v>58</v>
      </c>
      <c r="AG357" s="44">
        <f t="shared" si="330"/>
        <v>0</v>
      </c>
      <c r="AH357" s="50"/>
      <c r="AI357" s="44">
        <v>0</v>
      </c>
      <c r="AJ357" s="44">
        <v>0</v>
      </c>
      <c r="AK357" s="44">
        <f t="shared" ref="AK357:AK364" si="361">AP357-AI356-AA357-AG357</f>
        <v>0</v>
      </c>
      <c r="AL357" s="50"/>
      <c r="AM357" s="44">
        <f t="shared" ref="AM357:AM364" si="362">AA357+AG357+AJ357-AP357+AI356-AI357</f>
        <v>0</v>
      </c>
      <c r="AN357" s="63">
        <f>AI357*Inputs!$F$41*Inputs!$G$41</f>
        <v>0</v>
      </c>
      <c r="AO357" s="44">
        <f>Inputs!$F$41*Inputs!$I$41*AJ357</f>
        <v>0</v>
      </c>
      <c r="AP357" s="55"/>
      <c r="AR357" s="117">
        <v>4</v>
      </c>
      <c r="AS357" s="115">
        <f>Inputs!$A$41</f>
        <v>0</v>
      </c>
      <c r="AT357" s="44">
        <f>Inputs!$B$41</f>
        <v>0</v>
      </c>
      <c r="AU357" s="44" t="s">
        <v>57</v>
      </c>
      <c r="AV357" s="44">
        <f t="shared" si="334"/>
        <v>0</v>
      </c>
      <c r="AW357" s="50"/>
      <c r="AX357" s="119">
        <v>4</v>
      </c>
      <c r="AY357" s="115">
        <f>Inputs!$A$41</f>
        <v>0</v>
      </c>
      <c r="AZ357" s="44">
        <f>Inputs!$B$41</f>
        <v>0</v>
      </c>
      <c r="BA357" s="44" t="s">
        <v>58</v>
      </c>
      <c r="BB357" s="44">
        <f t="shared" si="331"/>
        <v>0</v>
      </c>
      <c r="BC357" s="50"/>
      <c r="BD357" s="44">
        <v>0</v>
      </c>
      <c r="BE357" s="44">
        <v>0</v>
      </c>
      <c r="BF357" s="44">
        <f t="shared" ref="BF357:BF364" si="363">BK357-BD356-AV357-BB357</f>
        <v>0</v>
      </c>
      <c r="BG357" s="50"/>
      <c r="BH357" s="44">
        <f t="shared" ref="BH357:BH364" si="364">AV357+BB357+BE357-BK357+BD356-BD357</f>
        <v>0</v>
      </c>
      <c r="BI357" s="63">
        <f>BD357*Inputs!$F$41*Inputs!$G$41</f>
        <v>0</v>
      </c>
      <c r="BJ357" s="44">
        <f>Inputs!$F$41*Inputs!$I$41*BE357</f>
        <v>0</v>
      </c>
      <c r="BK357" s="55"/>
      <c r="BM357" s="117">
        <v>4</v>
      </c>
      <c r="BN357" s="115">
        <f>Inputs!$A$41</f>
        <v>0</v>
      </c>
      <c r="BO357" s="44">
        <f>Inputs!$B$41</f>
        <v>0</v>
      </c>
      <c r="BP357" s="44" t="s">
        <v>57</v>
      </c>
      <c r="BQ357" s="44">
        <f t="shared" si="332"/>
        <v>0</v>
      </c>
      <c r="BR357" s="50"/>
      <c r="BS357" s="119">
        <v>4</v>
      </c>
      <c r="BT357" s="115">
        <f>Inputs!$A$41</f>
        <v>0</v>
      </c>
      <c r="BU357" s="44">
        <f>Inputs!$B$41</f>
        <v>0</v>
      </c>
      <c r="BV357" s="44" t="s">
        <v>58</v>
      </c>
      <c r="BW357" s="44">
        <f t="shared" si="333"/>
        <v>0</v>
      </c>
      <c r="BX357" s="50"/>
      <c r="BY357" s="44">
        <v>0</v>
      </c>
      <c r="BZ357" s="44">
        <v>0</v>
      </c>
      <c r="CA357" s="44">
        <f t="shared" ref="CA357:CA364" si="365">CF357-BY356-BQ357-BW357</f>
        <v>0</v>
      </c>
      <c r="CB357" s="50"/>
      <c r="CC357" s="44">
        <f t="shared" ref="CC357:CC364" si="366">BQ357+BW357+BZ357-CF357+BY356-BY357</f>
        <v>0</v>
      </c>
      <c r="CD357" s="63">
        <f>BY357*Inputs!$F$41*Inputs!$G$41</f>
        <v>0</v>
      </c>
      <c r="CE357" s="44">
        <f>Inputs!$F$41*Inputs!$I$41*BZ357</f>
        <v>0</v>
      </c>
      <c r="CF357" s="55"/>
    </row>
    <row r="358" spans="1:84" x14ac:dyDescent="0.25">
      <c r="A358" s="117">
        <v>5</v>
      </c>
      <c r="B358" s="115">
        <f>Inputs!$A$41</f>
        <v>0</v>
      </c>
      <c r="C358" s="44">
        <f>Inputs!$B$41</f>
        <v>0</v>
      </c>
      <c r="D358" s="44" t="s">
        <v>57</v>
      </c>
      <c r="E358" s="44">
        <v>0</v>
      </c>
      <c r="F358" s="50"/>
      <c r="G358" s="119">
        <v>5</v>
      </c>
      <c r="H358" s="115">
        <f>Inputs!$A$41</f>
        <v>0</v>
      </c>
      <c r="I358" s="44">
        <f>Inputs!$B$41</f>
        <v>0</v>
      </c>
      <c r="J358" s="44" t="s">
        <v>58</v>
      </c>
      <c r="K358" s="44">
        <v>0</v>
      </c>
      <c r="L358" s="50"/>
      <c r="M358" s="44">
        <v>0</v>
      </c>
      <c r="N358" s="44">
        <v>0</v>
      </c>
      <c r="O358" s="44">
        <f t="shared" si="359"/>
        <v>0</v>
      </c>
      <c r="P358" s="50"/>
      <c r="Q358" s="44">
        <f t="shared" si="360"/>
        <v>0</v>
      </c>
      <c r="R358" s="63">
        <f>M358*Inputs!$F$41*Inputs!$G$41</f>
        <v>0</v>
      </c>
      <c r="S358" s="44">
        <f>Inputs!$F$41*Inputs!$I$41*N358</f>
        <v>0</v>
      </c>
      <c r="T358" s="18"/>
      <c r="U358" s="55"/>
      <c r="W358" s="117">
        <v>5</v>
      </c>
      <c r="X358" s="115">
        <f>Inputs!$A$41</f>
        <v>0</v>
      </c>
      <c r="Y358" s="44">
        <f>Inputs!$B$41</f>
        <v>0</v>
      </c>
      <c r="Z358" s="44" t="s">
        <v>57</v>
      </c>
      <c r="AA358" s="44">
        <f t="shared" si="329"/>
        <v>0</v>
      </c>
      <c r="AB358" s="50"/>
      <c r="AC358" s="119">
        <v>5</v>
      </c>
      <c r="AD358" s="115">
        <f>Inputs!$A$41</f>
        <v>0</v>
      </c>
      <c r="AE358" s="44">
        <f>Inputs!$B$41</f>
        <v>0</v>
      </c>
      <c r="AF358" s="44" t="s">
        <v>58</v>
      </c>
      <c r="AG358" s="44">
        <f t="shared" si="330"/>
        <v>0</v>
      </c>
      <c r="AH358" s="50"/>
      <c r="AI358" s="44">
        <v>0</v>
      </c>
      <c r="AJ358" s="44">
        <v>0</v>
      </c>
      <c r="AK358" s="44">
        <f t="shared" si="361"/>
        <v>0</v>
      </c>
      <c r="AL358" s="50"/>
      <c r="AM358" s="44">
        <f t="shared" si="362"/>
        <v>0</v>
      </c>
      <c r="AN358" s="63">
        <f>AI358*Inputs!$F$41*Inputs!$G$41</f>
        <v>0</v>
      </c>
      <c r="AO358" s="44">
        <f>Inputs!$F$41*Inputs!$I$41*AJ358</f>
        <v>0</v>
      </c>
      <c r="AP358" s="55"/>
      <c r="AR358" s="117">
        <v>5</v>
      </c>
      <c r="AS358" s="115">
        <f>Inputs!$A$41</f>
        <v>0</v>
      </c>
      <c r="AT358" s="44">
        <f>Inputs!$B$41</f>
        <v>0</v>
      </c>
      <c r="AU358" s="44" t="s">
        <v>57</v>
      </c>
      <c r="AV358" s="44">
        <f t="shared" si="334"/>
        <v>0</v>
      </c>
      <c r="AW358" s="50"/>
      <c r="AX358" s="119">
        <v>5</v>
      </c>
      <c r="AY358" s="115">
        <f>Inputs!$A$41</f>
        <v>0</v>
      </c>
      <c r="AZ358" s="44">
        <f>Inputs!$B$41</f>
        <v>0</v>
      </c>
      <c r="BA358" s="44" t="s">
        <v>58</v>
      </c>
      <c r="BB358" s="44">
        <f t="shared" si="331"/>
        <v>0</v>
      </c>
      <c r="BC358" s="50"/>
      <c r="BD358" s="44">
        <v>0</v>
      </c>
      <c r="BE358" s="44">
        <v>0</v>
      </c>
      <c r="BF358" s="44">
        <f t="shared" si="363"/>
        <v>0</v>
      </c>
      <c r="BG358" s="50"/>
      <c r="BH358" s="44">
        <f t="shared" si="364"/>
        <v>0</v>
      </c>
      <c r="BI358" s="63">
        <f>BD358*Inputs!$F$41*Inputs!$G$41</f>
        <v>0</v>
      </c>
      <c r="BJ358" s="44">
        <f>Inputs!$F$41*Inputs!$I$41*BE358</f>
        <v>0</v>
      </c>
      <c r="BK358" s="55"/>
      <c r="BM358" s="117">
        <v>5</v>
      </c>
      <c r="BN358" s="115">
        <f>Inputs!$A$41</f>
        <v>0</v>
      </c>
      <c r="BO358" s="44">
        <f>Inputs!$B$41</f>
        <v>0</v>
      </c>
      <c r="BP358" s="44" t="s">
        <v>57</v>
      </c>
      <c r="BQ358" s="44">
        <f t="shared" si="332"/>
        <v>0</v>
      </c>
      <c r="BR358" s="50"/>
      <c r="BS358" s="119">
        <v>5</v>
      </c>
      <c r="BT358" s="115">
        <f>Inputs!$A$41</f>
        <v>0</v>
      </c>
      <c r="BU358" s="44">
        <f>Inputs!$B$41</f>
        <v>0</v>
      </c>
      <c r="BV358" s="44" t="s">
        <v>58</v>
      </c>
      <c r="BW358" s="44">
        <f t="shared" si="333"/>
        <v>0</v>
      </c>
      <c r="BX358" s="50"/>
      <c r="BY358" s="44">
        <v>0</v>
      </c>
      <c r="BZ358" s="44">
        <v>0</v>
      </c>
      <c r="CA358" s="44">
        <f t="shared" si="365"/>
        <v>0</v>
      </c>
      <c r="CB358" s="50"/>
      <c r="CC358" s="44">
        <f t="shared" si="366"/>
        <v>0</v>
      </c>
      <c r="CD358" s="63">
        <f>BY358*Inputs!$F$41*Inputs!$G$41</f>
        <v>0</v>
      </c>
      <c r="CE358" s="44">
        <f>Inputs!$F$41*Inputs!$I$41*BZ358</f>
        <v>0</v>
      </c>
      <c r="CF358" s="55"/>
    </row>
    <row r="359" spans="1:84" x14ac:dyDescent="0.25">
      <c r="A359" s="117">
        <v>6</v>
      </c>
      <c r="B359" s="115">
        <f>Inputs!$A$41</f>
        <v>0</v>
      </c>
      <c r="C359" s="44">
        <f>Inputs!$B$41</f>
        <v>0</v>
      </c>
      <c r="D359" s="44" t="s">
        <v>57</v>
      </c>
      <c r="E359" s="44">
        <v>0</v>
      </c>
      <c r="F359" s="50"/>
      <c r="G359" s="119">
        <v>6</v>
      </c>
      <c r="H359" s="115">
        <f>Inputs!$A$41</f>
        <v>0</v>
      </c>
      <c r="I359" s="44">
        <f>Inputs!$B$41</f>
        <v>0</v>
      </c>
      <c r="J359" s="44" t="s">
        <v>58</v>
      </c>
      <c r="K359" s="44">
        <v>0</v>
      </c>
      <c r="L359" s="50"/>
      <c r="M359" s="44">
        <v>0</v>
      </c>
      <c r="N359" s="44">
        <v>0</v>
      </c>
      <c r="O359" s="44">
        <f t="shared" si="359"/>
        <v>0</v>
      </c>
      <c r="P359" s="50"/>
      <c r="Q359" s="44">
        <f t="shared" si="360"/>
        <v>0</v>
      </c>
      <c r="R359" s="63">
        <f>M359*Inputs!$F$41*Inputs!$G$41</f>
        <v>0</v>
      </c>
      <c r="S359" s="44">
        <f>Inputs!$F$41*Inputs!$I$41*N359</f>
        <v>0</v>
      </c>
      <c r="T359" s="18"/>
      <c r="U359" s="55"/>
      <c r="W359" s="117">
        <v>6</v>
      </c>
      <c r="X359" s="115">
        <f>Inputs!$A$41</f>
        <v>0</v>
      </c>
      <c r="Y359" s="44">
        <f>Inputs!$B$41</f>
        <v>0</v>
      </c>
      <c r="Z359" s="44" t="s">
        <v>57</v>
      </c>
      <c r="AA359" s="44">
        <f t="shared" si="329"/>
        <v>0</v>
      </c>
      <c r="AB359" s="50"/>
      <c r="AC359" s="119">
        <v>6</v>
      </c>
      <c r="AD359" s="115">
        <f>Inputs!$A$41</f>
        <v>0</v>
      </c>
      <c r="AE359" s="44">
        <f>Inputs!$B$41</f>
        <v>0</v>
      </c>
      <c r="AF359" s="44" t="s">
        <v>58</v>
      </c>
      <c r="AG359" s="44">
        <f t="shared" si="330"/>
        <v>0</v>
      </c>
      <c r="AH359" s="50"/>
      <c r="AI359" s="44">
        <v>0</v>
      </c>
      <c r="AJ359" s="44">
        <v>0</v>
      </c>
      <c r="AK359" s="44">
        <f t="shared" si="361"/>
        <v>0</v>
      </c>
      <c r="AL359" s="50"/>
      <c r="AM359" s="44">
        <f t="shared" si="362"/>
        <v>0</v>
      </c>
      <c r="AN359" s="63">
        <f>AI359*Inputs!$F$41*Inputs!$G$41</f>
        <v>0</v>
      </c>
      <c r="AO359" s="44">
        <f>Inputs!$F$41*Inputs!$I$41*AJ359</f>
        <v>0</v>
      </c>
      <c r="AP359" s="55"/>
      <c r="AR359" s="117">
        <v>6</v>
      </c>
      <c r="AS359" s="115">
        <f>Inputs!$A$41</f>
        <v>0</v>
      </c>
      <c r="AT359" s="44">
        <f>Inputs!$B$41</f>
        <v>0</v>
      </c>
      <c r="AU359" s="44" t="s">
        <v>57</v>
      </c>
      <c r="AV359" s="44">
        <f t="shared" si="334"/>
        <v>0</v>
      </c>
      <c r="AW359" s="50"/>
      <c r="AX359" s="119">
        <v>6</v>
      </c>
      <c r="AY359" s="115">
        <f>Inputs!$A$41</f>
        <v>0</v>
      </c>
      <c r="AZ359" s="44">
        <f>Inputs!$B$41</f>
        <v>0</v>
      </c>
      <c r="BA359" s="44" t="s">
        <v>58</v>
      </c>
      <c r="BB359" s="44">
        <f t="shared" si="331"/>
        <v>0</v>
      </c>
      <c r="BC359" s="50"/>
      <c r="BD359" s="44">
        <v>0</v>
      </c>
      <c r="BE359" s="44">
        <v>0</v>
      </c>
      <c r="BF359" s="44">
        <f t="shared" si="363"/>
        <v>0</v>
      </c>
      <c r="BG359" s="50"/>
      <c r="BH359" s="44">
        <f t="shared" si="364"/>
        <v>0</v>
      </c>
      <c r="BI359" s="63">
        <f>BD359*Inputs!$F$41*Inputs!$G$41</f>
        <v>0</v>
      </c>
      <c r="BJ359" s="44">
        <f>Inputs!$F$41*Inputs!$I$41*BE359</f>
        <v>0</v>
      </c>
      <c r="BK359" s="55"/>
      <c r="BM359" s="117">
        <v>6</v>
      </c>
      <c r="BN359" s="115">
        <f>Inputs!$A$41</f>
        <v>0</v>
      </c>
      <c r="BO359" s="44">
        <f>Inputs!$B$41</f>
        <v>0</v>
      </c>
      <c r="BP359" s="44" t="s">
        <v>57</v>
      </c>
      <c r="BQ359" s="44">
        <f t="shared" si="332"/>
        <v>0</v>
      </c>
      <c r="BR359" s="50"/>
      <c r="BS359" s="119">
        <v>6</v>
      </c>
      <c r="BT359" s="115">
        <f>Inputs!$A$41</f>
        <v>0</v>
      </c>
      <c r="BU359" s="44">
        <f>Inputs!$B$41</f>
        <v>0</v>
      </c>
      <c r="BV359" s="44" t="s">
        <v>58</v>
      </c>
      <c r="BW359" s="44">
        <f t="shared" si="333"/>
        <v>0</v>
      </c>
      <c r="BX359" s="50"/>
      <c r="BY359" s="44">
        <v>0</v>
      </c>
      <c r="BZ359" s="44">
        <v>0</v>
      </c>
      <c r="CA359" s="44">
        <f t="shared" si="365"/>
        <v>0</v>
      </c>
      <c r="CB359" s="50"/>
      <c r="CC359" s="44">
        <f t="shared" si="366"/>
        <v>0</v>
      </c>
      <c r="CD359" s="63">
        <f>BY359*Inputs!$F$41*Inputs!$G$41</f>
        <v>0</v>
      </c>
      <c r="CE359" s="44">
        <f>Inputs!$F$41*Inputs!$I$41*BZ359</f>
        <v>0</v>
      </c>
      <c r="CF359" s="55"/>
    </row>
    <row r="360" spans="1:84" x14ac:dyDescent="0.25">
      <c r="A360" s="117">
        <v>7</v>
      </c>
      <c r="B360" s="115">
        <f>Inputs!$A$41</f>
        <v>0</v>
      </c>
      <c r="C360" s="44">
        <f>Inputs!$B$41</f>
        <v>0</v>
      </c>
      <c r="D360" s="44" t="s">
        <v>57</v>
      </c>
      <c r="E360" s="44">
        <v>0</v>
      </c>
      <c r="F360" s="50"/>
      <c r="G360" s="119">
        <v>7</v>
      </c>
      <c r="H360" s="115">
        <f>Inputs!$A$41</f>
        <v>0</v>
      </c>
      <c r="I360" s="44">
        <f>Inputs!$B$41</f>
        <v>0</v>
      </c>
      <c r="J360" s="44" t="s">
        <v>58</v>
      </c>
      <c r="K360" s="44">
        <v>0</v>
      </c>
      <c r="L360" s="50"/>
      <c r="M360" s="44">
        <v>0</v>
      </c>
      <c r="N360" s="44">
        <v>0</v>
      </c>
      <c r="O360" s="44">
        <f t="shared" si="359"/>
        <v>0</v>
      </c>
      <c r="P360" s="50"/>
      <c r="Q360" s="44">
        <f t="shared" si="360"/>
        <v>0</v>
      </c>
      <c r="R360" s="63">
        <f>M360*Inputs!$F$41*Inputs!$G$41</f>
        <v>0</v>
      </c>
      <c r="S360" s="44">
        <f>Inputs!$F$41*Inputs!$I$41*N360</f>
        <v>0</v>
      </c>
      <c r="T360" s="18"/>
      <c r="U360" s="55"/>
      <c r="W360" s="117">
        <v>7</v>
      </c>
      <c r="X360" s="115">
        <f>Inputs!$A$41</f>
        <v>0</v>
      </c>
      <c r="Y360" s="44">
        <f>Inputs!$B$41</f>
        <v>0</v>
      </c>
      <c r="Z360" s="44" t="s">
        <v>57</v>
      </c>
      <c r="AA360" s="44">
        <f t="shared" si="329"/>
        <v>0</v>
      </c>
      <c r="AB360" s="50"/>
      <c r="AC360" s="119">
        <v>7</v>
      </c>
      <c r="AD360" s="115">
        <f>Inputs!$A$41</f>
        <v>0</v>
      </c>
      <c r="AE360" s="44">
        <f>Inputs!$B$41</f>
        <v>0</v>
      </c>
      <c r="AF360" s="44" t="s">
        <v>58</v>
      </c>
      <c r="AG360" s="44">
        <f t="shared" si="330"/>
        <v>0</v>
      </c>
      <c r="AH360" s="50"/>
      <c r="AI360" s="44">
        <v>0</v>
      </c>
      <c r="AJ360" s="44">
        <v>0</v>
      </c>
      <c r="AK360" s="44">
        <f t="shared" si="361"/>
        <v>0</v>
      </c>
      <c r="AL360" s="50"/>
      <c r="AM360" s="44">
        <f t="shared" si="362"/>
        <v>0</v>
      </c>
      <c r="AN360" s="63">
        <f>AI360*Inputs!$F$41*Inputs!$G$41</f>
        <v>0</v>
      </c>
      <c r="AO360" s="44">
        <f>Inputs!$F$41*Inputs!$I$41*AJ360</f>
        <v>0</v>
      </c>
      <c r="AP360" s="55"/>
      <c r="AR360" s="117">
        <v>7</v>
      </c>
      <c r="AS360" s="115">
        <f>Inputs!$A$41</f>
        <v>0</v>
      </c>
      <c r="AT360" s="44">
        <f>Inputs!$B$41</f>
        <v>0</v>
      </c>
      <c r="AU360" s="44" t="s">
        <v>57</v>
      </c>
      <c r="AV360" s="44">
        <f t="shared" si="334"/>
        <v>0</v>
      </c>
      <c r="AW360" s="50"/>
      <c r="AX360" s="119">
        <v>7</v>
      </c>
      <c r="AY360" s="115">
        <f>Inputs!$A$41</f>
        <v>0</v>
      </c>
      <c r="AZ360" s="44">
        <f>Inputs!$B$41</f>
        <v>0</v>
      </c>
      <c r="BA360" s="44" t="s">
        <v>58</v>
      </c>
      <c r="BB360" s="44">
        <f t="shared" si="331"/>
        <v>0</v>
      </c>
      <c r="BC360" s="50"/>
      <c r="BD360" s="44">
        <v>0</v>
      </c>
      <c r="BE360" s="44">
        <v>0</v>
      </c>
      <c r="BF360" s="44">
        <f t="shared" si="363"/>
        <v>0</v>
      </c>
      <c r="BG360" s="50"/>
      <c r="BH360" s="44">
        <f t="shared" si="364"/>
        <v>0</v>
      </c>
      <c r="BI360" s="63">
        <f>BD360*Inputs!$F$41*Inputs!$G$41</f>
        <v>0</v>
      </c>
      <c r="BJ360" s="44">
        <f>Inputs!$F$41*Inputs!$I$41*BE360</f>
        <v>0</v>
      </c>
      <c r="BK360" s="55"/>
      <c r="BM360" s="117">
        <v>7</v>
      </c>
      <c r="BN360" s="115">
        <f>Inputs!$A$41</f>
        <v>0</v>
      </c>
      <c r="BO360" s="44">
        <f>Inputs!$B$41</f>
        <v>0</v>
      </c>
      <c r="BP360" s="44" t="s">
        <v>57</v>
      </c>
      <c r="BQ360" s="44">
        <f t="shared" si="332"/>
        <v>0</v>
      </c>
      <c r="BR360" s="50"/>
      <c r="BS360" s="119">
        <v>7</v>
      </c>
      <c r="BT360" s="115">
        <f>Inputs!$A$41</f>
        <v>0</v>
      </c>
      <c r="BU360" s="44">
        <f>Inputs!$B$41</f>
        <v>0</v>
      </c>
      <c r="BV360" s="44" t="s">
        <v>58</v>
      </c>
      <c r="BW360" s="44">
        <f t="shared" si="333"/>
        <v>0</v>
      </c>
      <c r="BX360" s="50"/>
      <c r="BY360" s="44">
        <v>0</v>
      </c>
      <c r="BZ360" s="44">
        <v>0</v>
      </c>
      <c r="CA360" s="44">
        <f t="shared" si="365"/>
        <v>0</v>
      </c>
      <c r="CB360" s="50"/>
      <c r="CC360" s="44">
        <f t="shared" si="366"/>
        <v>0</v>
      </c>
      <c r="CD360" s="63">
        <f>BY360*Inputs!$F$41*Inputs!$G$41</f>
        <v>0</v>
      </c>
      <c r="CE360" s="44">
        <f>Inputs!$F$41*Inputs!$I$41*BZ360</f>
        <v>0</v>
      </c>
      <c r="CF360" s="55"/>
    </row>
    <row r="361" spans="1:84" x14ac:dyDescent="0.25">
      <c r="A361" s="117">
        <v>8</v>
      </c>
      <c r="B361" s="115">
        <f>Inputs!$A$41</f>
        <v>0</v>
      </c>
      <c r="C361" s="44">
        <f>Inputs!$B$41</f>
        <v>0</v>
      </c>
      <c r="D361" s="44" t="s">
        <v>57</v>
      </c>
      <c r="E361" s="44">
        <v>0</v>
      </c>
      <c r="F361" s="50"/>
      <c r="G361" s="119">
        <v>8</v>
      </c>
      <c r="H361" s="115">
        <f>Inputs!$A$41</f>
        <v>0</v>
      </c>
      <c r="I361" s="44">
        <f>Inputs!$B$41</f>
        <v>0</v>
      </c>
      <c r="J361" s="44" t="s">
        <v>58</v>
      </c>
      <c r="K361" s="44">
        <v>0</v>
      </c>
      <c r="L361" s="50"/>
      <c r="M361" s="44">
        <v>0</v>
      </c>
      <c r="N361" s="44">
        <v>0</v>
      </c>
      <c r="O361" s="44">
        <f t="shared" si="359"/>
        <v>0</v>
      </c>
      <c r="P361" s="50"/>
      <c r="Q361" s="44">
        <f t="shared" si="360"/>
        <v>0</v>
      </c>
      <c r="R361" s="63">
        <f>M361*Inputs!$F$41*Inputs!$G$41</f>
        <v>0</v>
      </c>
      <c r="S361" s="44">
        <f>Inputs!$F$41*Inputs!$I$41*N361</f>
        <v>0</v>
      </c>
      <c r="T361" s="18"/>
      <c r="U361" s="55"/>
      <c r="W361" s="117">
        <v>8</v>
      </c>
      <c r="X361" s="115">
        <f>Inputs!$A$41</f>
        <v>0</v>
      </c>
      <c r="Y361" s="44">
        <f>Inputs!$B$41</f>
        <v>0</v>
      </c>
      <c r="Z361" s="44" t="s">
        <v>57</v>
      </c>
      <c r="AA361" s="44">
        <f t="shared" si="329"/>
        <v>0</v>
      </c>
      <c r="AB361" s="50"/>
      <c r="AC361" s="119">
        <v>8</v>
      </c>
      <c r="AD361" s="115">
        <f>Inputs!$A$41</f>
        <v>0</v>
      </c>
      <c r="AE361" s="44">
        <f>Inputs!$B$41</f>
        <v>0</v>
      </c>
      <c r="AF361" s="44" t="s">
        <v>58</v>
      </c>
      <c r="AG361" s="44">
        <f t="shared" si="330"/>
        <v>0</v>
      </c>
      <c r="AH361" s="50"/>
      <c r="AI361" s="44">
        <v>0</v>
      </c>
      <c r="AJ361" s="44">
        <v>0</v>
      </c>
      <c r="AK361" s="44">
        <f t="shared" si="361"/>
        <v>0</v>
      </c>
      <c r="AL361" s="50"/>
      <c r="AM361" s="44">
        <f t="shared" si="362"/>
        <v>0</v>
      </c>
      <c r="AN361" s="63">
        <f>AI361*Inputs!$F$41*Inputs!$G$41</f>
        <v>0</v>
      </c>
      <c r="AO361" s="44">
        <f>Inputs!$F$41*Inputs!$I$41*AJ361</f>
        <v>0</v>
      </c>
      <c r="AP361" s="55"/>
      <c r="AR361" s="117">
        <v>8</v>
      </c>
      <c r="AS361" s="115">
        <f>Inputs!$A$41</f>
        <v>0</v>
      </c>
      <c r="AT361" s="44">
        <f>Inputs!$B$41</f>
        <v>0</v>
      </c>
      <c r="AU361" s="44" t="s">
        <v>57</v>
      </c>
      <c r="AV361" s="44">
        <f t="shared" si="334"/>
        <v>0</v>
      </c>
      <c r="AW361" s="50"/>
      <c r="AX361" s="119">
        <v>8</v>
      </c>
      <c r="AY361" s="115">
        <f>Inputs!$A$41</f>
        <v>0</v>
      </c>
      <c r="AZ361" s="44">
        <f>Inputs!$B$41</f>
        <v>0</v>
      </c>
      <c r="BA361" s="44" t="s">
        <v>58</v>
      </c>
      <c r="BB361" s="44">
        <f t="shared" si="331"/>
        <v>0</v>
      </c>
      <c r="BC361" s="50"/>
      <c r="BD361" s="44">
        <v>0</v>
      </c>
      <c r="BE361" s="44">
        <v>0</v>
      </c>
      <c r="BF361" s="44">
        <f t="shared" si="363"/>
        <v>0</v>
      </c>
      <c r="BG361" s="50"/>
      <c r="BH361" s="44">
        <f t="shared" si="364"/>
        <v>0</v>
      </c>
      <c r="BI361" s="63">
        <f>BD361*Inputs!$F$41*Inputs!$G$41</f>
        <v>0</v>
      </c>
      <c r="BJ361" s="44">
        <f>Inputs!$F$41*Inputs!$I$41*BE361</f>
        <v>0</v>
      </c>
      <c r="BK361" s="55"/>
      <c r="BM361" s="117">
        <v>8</v>
      </c>
      <c r="BN361" s="115">
        <f>Inputs!$A$41</f>
        <v>0</v>
      </c>
      <c r="BO361" s="44">
        <f>Inputs!$B$41</f>
        <v>0</v>
      </c>
      <c r="BP361" s="44" t="s">
        <v>57</v>
      </c>
      <c r="BQ361" s="44">
        <f t="shared" si="332"/>
        <v>0</v>
      </c>
      <c r="BR361" s="50"/>
      <c r="BS361" s="119">
        <v>8</v>
      </c>
      <c r="BT361" s="115">
        <f>Inputs!$A$41</f>
        <v>0</v>
      </c>
      <c r="BU361" s="44">
        <f>Inputs!$B$41</f>
        <v>0</v>
      </c>
      <c r="BV361" s="44" t="s">
        <v>58</v>
      </c>
      <c r="BW361" s="44">
        <f t="shared" si="333"/>
        <v>0</v>
      </c>
      <c r="BX361" s="50"/>
      <c r="BY361" s="44">
        <v>0</v>
      </c>
      <c r="BZ361" s="44">
        <v>0</v>
      </c>
      <c r="CA361" s="44">
        <f t="shared" si="365"/>
        <v>0</v>
      </c>
      <c r="CB361" s="50"/>
      <c r="CC361" s="44">
        <f t="shared" si="366"/>
        <v>0</v>
      </c>
      <c r="CD361" s="63">
        <f>BY361*Inputs!$F$41*Inputs!$G$41</f>
        <v>0</v>
      </c>
      <c r="CE361" s="44">
        <f>Inputs!$F$41*Inputs!$I$41*BZ361</f>
        <v>0</v>
      </c>
      <c r="CF361" s="55"/>
    </row>
    <row r="362" spans="1:84" x14ac:dyDescent="0.25">
      <c r="A362" s="117">
        <v>9</v>
      </c>
      <c r="B362" s="115">
        <f>Inputs!$A$41</f>
        <v>0</v>
      </c>
      <c r="C362" s="44">
        <f>Inputs!$B$41</f>
        <v>0</v>
      </c>
      <c r="D362" s="44" t="s">
        <v>57</v>
      </c>
      <c r="E362" s="44">
        <v>0</v>
      </c>
      <c r="F362" s="50"/>
      <c r="G362" s="119">
        <v>9</v>
      </c>
      <c r="H362" s="115">
        <f>Inputs!$A$41</f>
        <v>0</v>
      </c>
      <c r="I362" s="44">
        <f>Inputs!$B$41</f>
        <v>0</v>
      </c>
      <c r="J362" s="44" t="s">
        <v>58</v>
      </c>
      <c r="K362" s="44">
        <v>0</v>
      </c>
      <c r="L362" s="50"/>
      <c r="M362" s="44">
        <v>0</v>
      </c>
      <c r="N362" s="44">
        <v>0</v>
      </c>
      <c r="O362" s="44">
        <f t="shared" si="359"/>
        <v>0</v>
      </c>
      <c r="P362" s="50"/>
      <c r="Q362" s="44">
        <f t="shared" si="360"/>
        <v>0</v>
      </c>
      <c r="R362" s="63">
        <f>M362*Inputs!$F$41*Inputs!$G$41</f>
        <v>0</v>
      </c>
      <c r="S362" s="44">
        <f>Inputs!$F$41*Inputs!$I$41*N362</f>
        <v>0</v>
      </c>
      <c r="T362" s="18"/>
      <c r="U362" s="55"/>
      <c r="W362" s="117">
        <v>9</v>
      </c>
      <c r="X362" s="115">
        <f>Inputs!$A$41</f>
        <v>0</v>
      </c>
      <c r="Y362" s="44">
        <f>Inputs!$B$41</f>
        <v>0</v>
      </c>
      <c r="Z362" s="44" t="s">
        <v>57</v>
      </c>
      <c r="AA362" s="44">
        <f t="shared" si="329"/>
        <v>0</v>
      </c>
      <c r="AB362" s="50"/>
      <c r="AC362" s="119">
        <v>9</v>
      </c>
      <c r="AD362" s="115">
        <f>Inputs!$A$41</f>
        <v>0</v>
      </c>
      <c r="AE362" s="44">
        <f>Inputs!$B$41</f>
        <v>0</v>
      </c>
      <c r="AF362" s="44" t="s">
        <v>58</v>
      </c>
      <c r="AG362" s="44">
        <f t="shared" si="330"/>
        <v>0</v>
      </c>
      <c r="AH362" s="50"/>
      <c r="AI362" s="44">
        <v>0</v>
      </c>
      <c r="AJ362" s="44">
        <v>0</v>
      </c>
      <c r="AK362" s="44">
        <f t="shared" si="361"/>
        <v>0</v>
      </c>
      <c r="AL362" s="50"/>
      <c r="AM362" s="44">
        <f t="shared" si="362"/>
        <v>0</v>
      </c>
      <c r="AN362" s="63">
        <f>AI362*Inputs!$F$41*Inputs!$G$41</f>
        <v>0</v>
      </c>
      <c r="AO362" s="44">
        <f>Inputs!$F$41*Inputs!$I$41*AJ362</f>
        <v>0</v>
      </c>
      <c r="AP362" s="55"/>
      <c r="AR362" s="117">
        <v>9</v>
      </c>
      <c r="AS362" s="115">
        <f>Inputs!$A$41</f>
        <v>0</v>
      </c>
      <c r="AT362" s="44">
        <f>Inputs!$B$41</f>
        <v>0</v>
      </c>
      <c r="AU362" s="44" t="s">
        <v>57</v>
      </c>
      <c r="AV362" s="44">
        <f t="shared" si="334"/>
        <v>0</v>
      </c>
      <c r="AW362" s="50"/>
      <c r="AX362" s="119">
        <v>9</v>
      </c>
      <c r="AY362" s="115">
        <f>Inputs!$A$41</f>
        <v>0</v>
      </c>
      <c r="AZ362" s="44">
        <f>Inputs!$B$41</f>
        <v>0</v>
      </c>
      <c r="BA362" s="44" t="s">
        <v>58</v>
      </c>
      <c r="BB362" s="44">
        <f t="shared" si="331"/>
        <v>0</v>
      </c>
      <c r="BC362" s="50"/>
      <c r="BD362" s="44">
        <v>0</v>
      </c>
      <c r="BE362" s="44">
        <v>0</v>
      </c>
      <c r="BF362" s="44">
        <f t="shared" si="363"/>
        <v>0</v>
      </c>
      <c r="BG362" s="50"/>
      <c r="BH362" s="44">
        <f t="shared" si="364"/>
        <v>0</v>
      </c>
      <c r="BI362" s="63">
        <f>BD362*Inputs!$F$41*Inputs!$G$41</f>
        <v>0</v>
      </c>
      <c r="BJ362" s="44">
        <f>Inputs!$F$41*Inputs!$I$41*BE362</f>
        <v>0</v>
      </c>
      <c r="BK362" s="55"/>
      <c r="BM362" s="117">
        <v>9</v>
      </c>
      <c r="BN362" s="115">
        <f>Inputs!$A$41</f>
        <v>0</v>
      </c>
      <c r="BO362" s="44">
        <f>Inputs!$B$41</f>
        <v>0</v>
      </c>
      <c r="BP362" s="44" t="s">
        <v>57</v>
      </c>
      <c r="BQ362" s="44">
        <f t="shared" si="332"/>
        <v>0</v>
      </c>
      <c r="BR362" s="50"/>
      <c r="BS362" s="119">
        <v>9</v>
      </c>
      <c r="BT362" s="115">
        <f>Inputs!$A$41</f>
        <v>0</v>
      </c>
      <c r="BU362" s="44">
        <f>Inputs!$B$41</f>
        <v>0</v>
      </c>
      <c r="BV362" s="44" t="s">
        <v>58</v>
      </c>
      <c r="BW362" s="44">
        <f t="shared" si="333"/>
        <v>0</v>
      </c>
      <c r="BX362" s="50"/>
      <c r="BY362" s="44">
        <v>0</v>
      </c>
      <c r="BZ362" s="44">
        <v>0</v>
      </c>
      <c r="CA362" s="44">
        <f t="shared" si="365"/>
        <v>0</v>
      </c>
      <c r="CB362" s="50"/>
      <c r="CC362" s="44">
        <f t="shared" si="366"/>
        <v>0</v>
      </c>
      <c r="CD362" s="63">
        <f>BY362*Inputs!$F$41*Inputs!$G$41</f>
        <v>0</v>
      </c>
      <c r="CE362" s="44">
        <f>Inputs!$F$41*Inputs!$I$41*BZ362</f>
        <v>0</v>
      </c>
      <c r="CF362" s="55"/>
    </row>
    <row r="363" spans="1:84" x14ac:dyDescent="0.25">
      <c r="A363" s="117">
        <v>10</v>
      </c>
      <c r="B363" s="115">
        <f>Inputs!$A$41</f>
        <v>0</v>
      </c>
      <c r="C363" s="44">
        <f>Inputs!$B$41</f>
        <v>0</v>
      </c>
      <c r="D363" s="44" t="s">
        <v>57</v>
      </c>
      <c r="E363" s="44">
        <v>0</v>
      </c>
      <c r="F363" s="50"/>
      <c r="G363" s="119">
        <v>10</v>
      </c>
      <c r="H363" s="115">
        <f>Inputs!$A$41</f>
        <v>0</v>
      </c>
      <c r="I363" s="44">
        <f>Inputs!$B$41</f>
        <v>0</v>
      </c>
      <c r="J363" s="44" t="s">
        <v>58</v>
      </c>
      <c r="K363" s="44">
        <v>0</v>
      </c>
      <c r="L363" s="50"/>
      <c r="M363" s="44">
        <v>0</v>
      </c>
      <c r="N363" s="44">
        <v>0</v>
      </c>
      <c r="O363" s="44">
        <f t="shared" si="359"/>
        <v>0</v>
      </c>
      <c r="P363" s="50"/>
      <c r="Q363" s="44">
        <f t="shared" si="360"/>
        <v>0</v>
      </c>
      <c r="R363" s="63">
        <f>M363*Inputs!$F$41*Inputs!$G$41</f>
        <v>0</v>
      </c>
      <c r="S363" s="44">
        <f>Inputs!$F$41*Inputs!$I$41*N363</f>
        <v>0</v>
      </c>
      <c r="T363" s="18"/>
      <c r="U363" s="91"/>
      <c r="W363" s="117">
        <v>10</v>
      </c>
      <c r="X363" s="115">
        <f>Inputs!$A$41</f>
        <v>0</v>
      </c>
      <c r="Y363" s="44">
        <f>Inputs!$B$41</f>
        <v>0</v>
      </c>
      <c r="Z363" s="44" t="s">
        <v>57</v>
      </c>
      <c r="AA363" s="44">
        <f t="shared" si="329"/>
        <v>0</v>
      </c>
      <c r="AB363" s="50"/>
      <c r="AC363" s="119">
        <v>10</v>
      </c>
      <c r="AD363" s="115">
        <f>Inputs!$A$41</f>
        <v>0</v>
      </c>
      <c r="AE363" s="44">
        <f>Inputs!$B$41</f>
        <v>0</v>
      </c>
      <c r="AF363" s="44" t="s">
        <v>58</v>
      </c>
      <c r="AG363" s="44">
        <f t="shared" si="330"/>
        <v>0</v>
      </c>
      <c r="AH363" s="50"/>
      <c r="AI363" s="44">
        <v>0</v>
      </c>
      <c r="AJ363" s="44">
        <v>0</v>
      </c>
      <c r="AK363" s="44">
        <f t="shared" si="361"/>
        <v>0</v>
      </c>
      <c r="AL363" s="50"/>
      <c r="AM363" s="44">
        <f t="shared" si="362"/>
        <v>0</v>
      </c>
      <c r="AN363" s="63">
        <f>AI363*Inputs!$F$41*Inputs!$G$41</f>
        <v>0</v>
      </c>
      <c r="AO363" s="44">
        <f>Inputs!$F$41*Inputs!$I$41*AJ363</f>
        <v>0</v>
      </c>
      <c r="AP363" s="91"/>
      <c r="AR363" s="117">
        <v>10</v>
      </c>
      <c r="AS363" s="115">
        <f>Inputs!$A$41</f>
        <v>0</v>
      </c>
      <c r="AT363" s="44">
        <f>Inputs!$B$41</f>
        <v>0</v>
      </c>
      <c r="AU363" s="44" t="s">
        <v>57</v>
      </c>
      <c r="AV363" s="44">
        <f t="shared" si="334"/>
        <v>0</v>
      </c>
      <c r="AW363" s="50"/>
      <c r="AX363" s="119">
        <v>10</v>
      </c>
      <c r="AY363" s="115">
        <f>Inputs!$A$41</f>
        <v>0</v>
      </c>
      <c r="AZ363" s="44">
        <f>Inputs!$B$41</f>
        <v>0</v>
      </c>
      <c r="BA363" s="44" t="s">
        <v>58</v>
      </c>
      <c r="BB363" s="44">
        <f t="shared" si="331"/>
        <v>0</v>
      </c>
      <c r="BC363" s="50"/>
      <c r="BD363" s="44">
        <v>0</v>
      </c>
      <c r="BE363" s="44">
        <v>0</v>
      </c>
      <c r="BF363" s="44">
        <f t="shared" si="363"/>
        <v>0</v>
      </c>
      <c r="BG363" s="50"/>
      <c r="BH363" s="44">
        <f t="shared" si="364"/>
        <v>0</v>
      </c>
      <c r="BI363" s="63">
        <f>BD363*Inputs!$F$41*Inputs!$G$41</f>
        <v>0</v>
      </c>
      <c r="BJ363" s="44">
        <f>Inputs!$F$41*Inputs!$I$41*BE363</f>
        <v>0</v>
      </c>
      <c r="BK363" s="91"/>
      <c r="BM363" s="117">
        <v>10</v>
      </c>
      <c r="BN363" s="115">
        <f>Inputs!$A$41</f>
        <v>0</v>
      </c>
      <c r="BO363" s="44">
        <f>Inputs!$B$41</f>
        <v>0</v>
      </c>
      <c r="BP363" s="44" t="s">
        <v>57</v>
      </c>
      <c r="BQ363" s="44">
        <f t="shared" si="332"/>
        <v>0</v>
      </c>
      <c r="BR363" s="50"/>
      <c r="BS363" s="119">
        <v>10</v>
      </c>
      <c r="BT363" s="115">
        <f>Inputs!$A$41</f>
        <v>0</v>
      </c>
      <c r="BU363" s="44">
        <f>Inputs!$B$41</f>
        <v>0</v>
      </c>
      <c r="BV363" s="44" t="s">
        <v>58</v>
      </c>
      <c r="BW363" s="44">
        <f t="shared" si="333"/>
        <v>0</v>
      </c>
      <c r="BX363" s="50"/>
      <c r="BY363" s="44">
        <v>0</v>
      </c>
      <c r="BZ363" s="44">
        <v>0</v>
      </c>
      <c r="CA363" s="44">
        <f t="shared" si="365"/>
        <v>0</v>
      </c>
      <c r="CB363" s="50"/>
      <c r="CC363" s="44">
        <f t="shared" si="366"/>
        <v>0</v>
      </c>
      <c r="CD363" s="63">
        <f>BY363*Inputs!$F$41*Inputs!$G$41</f>
        <v>0</v>
      </c>
      <c r="CE363" s="44">
        <f>Inputs!$F$41*Inputs!$I$41*BZ363</f>
        <v>0</v>
      </c>
      <c r="CF363" s="91"/>
    </row>
    <row r="364" spans="1:84" x14ac:dyDescent="0.25">
      <c r="A364" s="117">
        <v>11</v>
      </c>
      <c r="B364" s="115">
        <f>Inputs!$A$41</f>
        <v>0</v>
      </c>
      <c r="C364" s="44">
        <f>Inputs!$B$41</f>
        <v>0</v>
      </c>
      <c r="D364" s="44" t="s">
        <v>57</v>
      </c>
      <c r="E364" s="44">
        <v>0</v>
      </c>
      <c r="F364" s="50"/>
      <c r="G364" s="119">
        <v>11</v>
      </c>
      <c r="H364" s="115">
        <f>Inputs!$A$41</f>
        <v>0</v>
      </c>
      <c r="I364" s="44">
        <f>Inputs!$B$41</f>
        <v>0</v>
      </c>
      <c r="J364" s="44" t="s">
        <v>58</v>
      </c>
      <c r="K364" s="44">
        <v>0</v>
      </c>
      <c r="L364" s="50"/>
      <c r="M364" s="44">
        <v>0</v>
      </c>
      <c r="N364" s="44">
        <v>0</v>
      </c>
      <c r="O364" s="44">
        <f t="shared" si="359"/>
        <v>0</v>
      </c>
      <c r="P364" s="50"/>
      <c r="Q364" s="44">
        <f t="shared" si="360"/>
        <v>0</v>
      </c>
      <c r="R364" s="63">
        <f>M364*Inputs!$F$41*Inputs!$H$41</f>
        <v>0</v>
      </c>
      <c r="S364" s="44">
        <f>Inputs!$F$41*Inputs!$I$41*N364</f>
        <v>0</v>
      </c>
      <c r="T364" s="18"/>
      <c r="U364" s="56"/>
      <c r="W364" s="117">
        <v>11</v>
      </c>
      <c r="X364" s="115">
        <f>Inputs!$A$41</f>
        <v>0</v>
      </c>
      <c r="Y364" s="44">
        <f>Inputs!$B$41</f>
        <v>0</v>
      </c>
      <c r="Z364" s="44" t="s">
        <v>57</v>
      </c>
      <c r="AA364" s="44">
        <f t="shared" si="329"/>
        <v>0</v>
      </c>
      <c r="AB364" s="50"/>
      <c r="AC364" s="119">
        <v>11</v>
      </c>
      <c r="AD364" s="115">
        <f>Inputs!$A$41</f>
        <v>0</v>
      </c>
      <c r="AE364" s="44">
        <f>Inputs!$B$41</f>
        <v>0</v>
      </c>
      <c r="AF364" s="44" t="s">
        <v>58</v>
      </c>
      <c r="AG364" s="44">
        <f t="shared" si="330"/>
        <v>0</v>
      </c>
      <c r="AH364" s="50"/>
      <c r="AI364" s="44">
        <v>0</v>
      </c>
      <c r="AJ364" s="44">
        <v>0</v>
      </c>
      <c r="AK364" s="44">
        <f t="shared" si="361"/>
        <v>0</v>
      </c>
      <c r="AL364" s="50"/>
      <c r="AM364" s="44">
        <f t="shared" si="362"/>
        <v>0</v>
      </c>
      <c r="AN364" s="63">
        <f>AI364*Inputs!$F$41*Inputs!$H$41</f>
        <v>0</v>
      </c>
      <c r="AO364" s="44">
        <f>Inputs!$F$41*Inputs!$I$41*AJ364</f>
        <v>0</v>
      </c>
      <c r="AP364" s="56"/>
      <c r="AR364" s="117">
        <v>11</v>
      </c>
      <c r="AS364" s="115">
        <f>Inputs!$A$41</f>
        <v>0</v>
      </c>
      <c r="AT364" s="44">
        <f>Inputs!$B$41</f>
        <v>0</v>
      </c>
      <c r="AU364" s="44" t="s">
        <v>57</v>
      </c>
      <c r="AV364" s="44">
        <f t="shared" si="334"/>
        <v>0</v>
      </c>
      <c r="AW364" s="50"/>
      <c r="AX364" s="119">
        <v>11</v>
      </c>
      <c r="AY364" s="115">
        <f>Inputs!$A$41</f>
        <v>0</v>
      </c>
      <c r="AZ364" s="44">
        <f>Inputs!$B$41</f>
        <v>0</v>
      </c>
      <c r="BA364" s="44" t="s">
        <v>58</v>
      </c>
      <c r="BB364" s="44">
        <f t="shared" si="331"/>
        <v>0</v>
      </c>
      <c r="BC364" s="50"/>
      <c r="BD364" s="44">
        <v>0</v>
      </c>
      <c r="BE364" s="44">
        <v>0</v>
      </c>
      <c r="BF364" s="44">
        <f t="shared" si="363"/>
        <v>0</v>
      </c>
      <c r="BG364" s="50"/>
      <c r="BH364" s="44">
        <f t="shared" si="364"/>
        <v>0</v>
      </c>
      <c r="BI364" s="63">
        <f>BD364*Inputs!$F$41*Inputs!$H$41</f>
        <v>0</v>
      </c>
      <c r="BJ364" s="44">
        <f>Inputs!$F$41*Inputs!$I$41*BE364</f>
        <v>0</v>
      </c>
      <c r="BK364" s="56"/>
      <c r="BM364" s="117">
        <v>11</v>
      </c>
      <c r="BN364" s="115">
        <f>Inputs!$A$41</f>
        <v>0</v>
      </c>
      <c r="BO364" s="44">
        <f>Inputs!$B$41</f>
        <v>0</v>
      </c>
      <c r="BP364" s="44" t="s">
        <v>57</v>
      </c>
      <c r="BQ364" s="44">
        <f t="shared" si="332"/>
        <v>0</v>
      </c>
      <c r="BR364" s="50"/>
      <c r="BS364" s="119">
        <v>11</v>
      </c>
      <c r="BT364" s="115">
        <f>Inputs!$A$41</f>
        <v>0</v>
      </c>
      <c r="BU364" s="44">
        <f>Inputs!$B$41</f>
        <v>0</v>
      </c>
      <c r="BV364" s="44" t="s">
        <v>58</v>
      </c>
      <c r="BW364" s="44">
        <f t="shared" si="333"/>
        <v>0</v>
      </c>
      <c r="BX364" s="50"/>
      <c r="BY364" s="44">
        <v>0</v>
      </c>
      <c r="BZ364" s="44">
        <v>0</v>
      </c>
      <c r="CA364" s="44">
        <f t="shared" si="365"/>
        <v>0</v>
      </c>
      <c r="CB364" s="50"/>
      <c r="CC364" s="44">
        <f t="shared" si="366"/>
        <v>0</v>
      </c>
      <c r="CD364" s="63">
        <f>BY364*Inputs!$F$41*Inputs!$H$41</f>
        <v>0</v>
      </c>
      <c r="CE364" s="44">
        <f>Inputs!$F$41*Inputs!$I$41*BZ364</f>
        <v>0</v>
      </c>
      <c r="CF364" s="56"/>
    </row>
    <row r="365" spans="1:84" x14ac:dyDescent="0.25">
      <c r="A365" s="116">
        <v>3</v>
      </c>
      <c r="B365" s="114">
        <f>Inputs!$A$42</f>
        <v>0</v>
      </c>
      <c r="C365" s="45">
        <f>Inputs!$B$42</f>
        <v>0</v>
      </c>
      <c r="D365" s="45" t="s">
        <v>57</v>
      </c>
      <c r="E365" s="45">
        <v>0</v>
      </c>
      <c r="F365" s="50"/>
      <c r="G365" s="118">
        <v>3</v>
      </c>
      <c r="H365" s="114">
        <f>Inputs!$A$42</f>
        <v>0</v>
      </c>
      <c r="I365" s="45">
        <f>Inputs!$B$42</f>
        <v>0</v>
      </c>
      <c r="J365" s="45" t="s">
        <v>58</v>
      </c>
      <c r="K365" s="45">
        <v>0</v>
      </c>
      <c r="L365" s="50"/>
      <c r="M365" s="45">
        <v>0</v>
      </c>
      <c r="N365" s="45">
        <v>0</v>
      </c>
      <c r="O365" s="45">
        <f>U365-0-E365-K365</f>
        <v>0</v>
      </c>
      <c r="P365" s="50"/>
      <c r="Q365" s="45">
        <f>E365+K365+N365-U365+0-M365</f>
        <v>0</v>
      </c>
      <c r="R365" s="64">
        <f>M365*Inputs!$F$42*Inputs!$G$42</f>
        <v>0</v>
      </c>
      <c r="S365" s="45">
        <f>Inputs!$F$42*Inputs!$I$42*N365</f>
        <v>0</v>
      </c>
      <c r="T365" s="18"/>
      <c r="U365" s="54"/>
      <c r="W365" s="116">
        <v>3</v>
      </c>
      <c r="X365" s="114">
        <f>Inputs!$A$42</f>
        <v>0</v>
      </c>
      <c r="Y365" s="45">
        <f>Inputs!$B$42</f>
        <v>0</v>
      </c>
      <c r="Z365" s="45" t="s">
        <v>57</v>
      </c>
      <c r="AA365" s="45">
        <f t="shared" si="329"/>
        <v>0</v>
      </c>
      <c r="AB365" s="50"/>
      <c r="AC365" s="118">
        <v>3</v>
      </c>
      <c r="AD365" s="114">
        <f>Inputs!$A$42</f>
        <v>0</v>
      </c>
      <c r="AE365" s="45">
        <f>Inputs!$B$42</f>
        <v>0</v>
      </c>
      <c r="AF365" s="45" t="s">
        <v>58</v>
      </c>
      <c r="AG365" s="45">
        <f t="shared" si="330"/>
        <v>0</v>
      </c>
      <c r="AH365" s="50"/>
      <c r="AI365" s="45">
        <v>0</v>
      </c>
      <c r="AJ365" s="45">
        <v>0</v>
      </c>
      <c r="AK365" s="45">
        <f>AP365-0-AA365-AG365</f>
        <v>0</v>
      </c>
      <c r="AL365" s="50"/>
      <c r="AM365" s="45">
        <f>AA365+AG365+AJ365-AP365+0-AI365</f>
        <v>0</v>
      </c>
      <c r="AN365" s="64">
        <f>AI365*Inputs!$F$42*Inputs!$G$42</f>
        <v>0</v>
      </c>
      <c r="AO365" s="45">
        <f>Inputs!$F$42*Inputs!$I$42*AJ365</f>
        <v>0</v>
      </c>
      <c r="AP365" s="54"/>
      <c r="AR365" s="116">
        <v>3</v>
      </c>
      <c r="AS365" s="114">
        <f>Inputs!$A$42</f>
        <v>0</v>
      </c>
      <c r="AT365" s="45">
        <f>Inputs!$B$42</f>
        <v>0</v>
      </c>
      <c r="AU365" s="45" t="s">
        <v>57</v>
      </c>
      <c r="AV365" s="45">
        <f t="shared" si="334"/>
        <v>0</v>
      </c>
      <c r="AW365" s="50"/>
      <c r="AX365" s="118">
        <v>3</v>
      </c>
      <c r="AY365" s="114">
        <f>Inputs!$A$42</f>
        <v>0</v>
      </c>
      <c r="AZ365" s="45">
        <f>Inputs!$B$42</f>
        <v>0</v>
      </c>
      <c r="BA365" s="45" t="s">
        <v>58</v>
      </c>
      <c r="BB365" s="45">
        <f t="shared" si="331"/>
        <v>0</v>
      </c>
      <c r="BC365" s="50"/>
      <c r="BD365" s="45">
        <v>0</v>
      </c>
      <c r="BE365" s="45">
        <v>0</v>
      </c>
      <c r="BF365" s="45">
        <f>BK365-0-AV365-BB365</f>
        <v>0</v>
      </c>
      <c r="BG365" s="50"/>
      <c r="BH365" s="45">
        <f>AV365+BB365+BE365-BK365+0-BD365</f>
        <v>0</v>
      </c>
      <c r="BI365" s="64">
        <f>BD365*Inputs!$F$42*Inputs!$G$42</f>
        <v>0</v>
      </c>
      <c r="BJ365" s="45">
        <f>Inputs!$F$42*Inputs!$I$42*BE365</f>
        <v>0</v>
      </c>
      <c r="BK365" s="54"/>
      <c r="BM365" s="116">
        <v>3</v>
      </c>
      <c r="BN365" s="114">
        <f>Inputs!$A$42</f>
        <v>0</v>
      </c>
      <c r="BO365" s="45">
        <f>Inputs!$B$42</f>
        <v>0</v>
      </c>
      <c r="BP365" s="45" t="s">
        <v>57</v>
      </c>
      <c r="BQ365" s="45">
        <f t="shared" si="332"/>
        <v>0</v>
      </c>
      <c r="BR365" s="50"/>
      <c r="BS365" s="118">
        <v>3</v>
      </c>
      <c r="BT365" s="114">
        <f>Inputs!$A$42</f>
        <v>0</v>
      </c>
      <c r="BU365" s="45">
        <f>Inputs!$B$42</f>
        <v>0</v>
      </c>
      <c r="BV365" s="45" t="s">
        <v>58</v>
      </c>
      <c r="BW365" s="45">
        <f t="shared" si="333"/>
        <v>0</v>
      </c>
      <c r="BX365" s="50"/>
      <c r="BY365" s="45">
        <v>0</v>
      </c>
      <c r="BZ365" s="45">
        <v>0</v>
      </c>
      <c r="CA365" s="45">
        <f>CF365-0-BQ365-BW365</f>
        <v>0</v>
      </c>
      <c r="CB365" s="50"/>
      <c r="CC365" s="45">
        <f>BQ365+BW365+BZ365-CF365+0-BY365</f>
        <v>0</v>
      </c>
      <c r="CD365" s="64">
        <f>BY365*Inputs!$F$42*Inputs!$G$42</f>
        <v>0</v>
      </c>
      <c r="CE365" s="45">
        <f>Inputs!$F$42*Inputs!$I$42*BZ365</f>
        <v>0</v>
      </c>
      <c r="CF365" s="54"/>
    </row>
    <row r="366" spans="1:84" x14ac:dyDescent="0.25">
      <c r="A366" s="116">
        <v>4</v>
      </c>
      <c r="B366" s="114">
        <f>Inputs!$A$42</f>
        <v>0</v>
      </c>
      <c r="C366" s="45">
        <f>Inputs!$B$42</f>
        <v>0</v>
      </c>
      <c r="D366" s="45" t="s">
        <v>57</v>
      </c>
      <c r="E366" s="45">
        <v>0</v>
      </c>
      <c r="F366" s="50"/>
      <c r="G366" s="118">
        <v>4</v>
      </c>
      <c r="H366" s="114">
        <f>Inputs!$A$42</f>
        <v>0</v>
      </c>
      <c r="I366" s="45">
        <f>Inputs!$B$42</f>
        <v>0</v>
      </c>
      <c r="J366" s="45" t="s">
        <v>58</v>
      </c>
      <c r="K366" s="45">
        <v>0</v>
      </c>
      <c r="L366" s="50"/>
      <c r="M366" s="45">
        <v>0</v>
      </c>
      <c r="N366" s="45">
        <v>0</v>
      </c>
      <c r="O366" s="45">
        <f t="shared" ref="O366:O373" si="367">U366-M365-E366-K366</f>
        <v>0</v>
      </c>
      <c r="P366" s="50"/>
      <c r="Q366" s="45">
        <f t="shared" ref="Q366:Q373" si="368">E366+K366+N366-U366+M365-M366</f>
        <v>0</v>
      </c>
      <c r="R366" s="64">
        <f>M366*Inputs!$F$42*Inputs!$G$42</f>
        <v>0</v>
      </c>
      <c r="S366" s="45">
        <f>Inputs!$F$42*Inputs!$I$42*N366</f>
        <v>0</v>
      </c>
      <c r="T366" s="18"/>
      <c r="U366" s="55"/>
      <c r="W366" s="116">
        <v>4</v>
      </c>
      <c r="X366" s="114">
        <f>Inputs!$A$42</f>
        <v>0</v>
      </c>
      <c r="Y366" s="45">
        <f>Inputs!$B$42</f>
        <v>0</v>
      </c>
      <c r="Z366" s="45" t="s">
        <v>57</v>
      </c>
      <c r="AA366" s="45">
        <f t="shared" si="329"/>
        <v>0</v>
      </c>
      <c r="AB366" s="50"/>
      <c r="AC366" s="118">
        <v>4</v>
      </c>
      <c r="AD366" s="114">
        <f>Inputs!$A$42</f>
        <v>0</v>
      </c>
      <c r="AE366" s="45">
        <f>Inputs!$B$42</f>
        <v>0</v>
      </c>
      <c r="AF366" s="45" t="s">
        <v>58</v>
      </c>
      <c r="AG366" s="45">
        <f t="shared" si="330"/>
        <v>0</v>
      </c>
      <c r="AH366" s="50"/>
      <c r="AI366" s="45">
        <v>0</v>
      </c>
      <c r="AJ366" s="45">
        <v>0</v>
      </c>
      <c r="AK366" s="45">
        <f t="shared" ref="AK366:AK373" si="369">AP366-AI365-AA366-AG366</f>
        <v>0</v>
      </c>
      <c r="AL366" s="50"/>
      <c r="AM366" s="45">
        <f t="shared" ref="AM366:AM373" si="370">AA366+AG366+AJ366-AP366+AI365-AI366</f>
        <v>0</v>
      </c>
      <c r="AN366" s="64">
        <f>AI366*Inputs!$F$42*Inputs!$G$42</f>
        <v>0</v>
      </c>
      <c r="AO366" s="45">
        <f>Inputs!$F$42*Inputs!$I$42*AJ366</f>
        <v>0</v>
      </c>
      <c r="AP366" s="55"/>
      <c r="AR366" s="116">
        <v>4</v>
      </c>
      <c r="AS366" s="114">
        <f>Inputs!$A$42</f>
        <v>0</v>
      </c>
      <c r="AT366" s="45">
        <f>Inputs!$B$42</f>
        <v>0</v>
      </c>
      <c r="AU366" s="45" t="s">
        <v>57</v>
      </c>
      <c r="AV366" s="45">
        <f t="shared" si="334"/>
        <v>0</v>
      </c>
      <c r="AW366" s="50"/>
      <c r="AX366" s="118">
        <v>4</v>
      </c>
      <c r="AY366" s="114">
        <f>Inputs!$A$42</f>
        <v>0</v>
      </c>
      <c r="AZ366" s="45">
        <f>Inputs!$B$42</f>
        <v>0</v>
      </c>
      <c r="BA366" s="45" t="s">
        <v>58</v>
      </c>
      <c r="BB366" s="45">
        <f t="shared" si="331"/>
        <v>0</v>
      </c>
      <c r="BC366" s="50"/>
      <c r="BD366" s="45">
        <v>0</v>
      </c>
      <c r="BE366" s="45">
        <v>0</v>
      </c>
      <c r="BF366" s="45">
        <f t="shared" ref="BF366:BF373" si="371">BK366-BD365-AV366-BB366</f>
        <v>0</v>
      </c>
      <c r="BG366" s="50"/>
      <c r="BH366" s="45">
        <f t="shared" ref="BH366:BH373" si="372">AV366+BB366+BE366-BK366+BD365-BD366</f>
        <v>0</v>
      </c>
      <c r="BI366" s="64">
        <f>BD366*Inputs!$F$42*Inputs!$G$42</f>
        <v>0</v>
      </c>
      <c r="BJ366" s="45">
        <f>Inputs!$F$42*Inputs!$I$42*BE366</f>
        <v>0</v>
      </c>
      <c r="BK366" s="55"/>
      <c r="BM366" s="116">
        <v>4</v>
      </c>
      <c r="BN366" s="114">
        <f>Inputs!$A$42</f>
        <v>0</v>
      </c>
      <c r="BO366" s="45">
        <f>Inputs!$B$42</f>
        <v>0</v>
      </c>
      <c r="BP366" s="45" t="s">
        <v>57</v>
      </c>
      <c r="BQ366" s="45">
        <f t="shared" si="332"/>
        <v>0</v>
      </c>
      <c r="BR366" s="50"/>
      <c r="BS366" s="118">
        <v>4</v>
      </c>
      <c r="BT366" s="114">
        <f>Inputs!$A$42</f>
        <v>0</v>
      </c>
      <c r="BU366" s="45">
        <f>Inputs!$B$42</f>
        <v>0</v>
      </c>
      <c r="BV366" s="45" t="s">
        <v>58</v>
      </c>
      <c r="BW366" s="45">
        <f t="shared" si="333"/>
        <v>0</v>
      </c>
      <c r="BX366" s="50"/>
      <c r="BY366" s="45">
        <v>0</v>
      </c>
      <c r="BZ366" s="45">
        <v>0</v>
      </c>
      <c r="CA366" s="45">
        <f t="shared" ref="CA366:CA373" si="373">CF366-BY365-BQ366-BW366</f>
        <v>0</v>
      </c>
      <c r="CB366" s="50"/>
      <c r="CC366" s="45">
        <f t="shared" ref="CC366:CC373" si="374">BQ366+BW366+BZ366-CF366+BY365-BY366</f>
        <v>0</v>
      </c>
      <c r="CD366" s="64">
        <f>BY366*Inputs!$F$42*Inputs!$G$42</f>
        <v>0</v>
      </c>
      <c r="CE366" s="45">
        <f>Inputs!$F$42*Inputs!$I$42*BZ366</f>
        <v>0</v>
      </c>
      <c r="CF366" s="55"/>
    </row>
    <row r="367" spans="1:84" x14ac:dyDescent="0.25">
      <c r="A367" s="116">
        <v>5</v>
      </c>
      <c r="B367" s="114">
        <f>Inputs!$A$42</f>
        <v>0</v>
      </c>
      <c r="C367" s="45">
        <f>Inputs!$B$42</f>
        <v>0</v>
      </c>
      <c r="D367" s="45" t="s">
        <v>57</v>
      </c>
      <c r="E367" s="45">
        <v>0</v>
      </c>
      <c r="F367" s="50"/>
      <c r="G367" s="118">
        <v>5</v>
      </c>
      <c r="H367" s="114">
        <f>Inputs!$A$42</f>
        <v>0</v>
      </c>
      <c r="I367" s="45">
        <f>Inputs!$B$42</f>
        <v>0</v>
      </c>
      <c r="J367" s="45" t="s">
        <v>58</v>
      </c>
      <c r="K367" s="45">
        <v>0</v>
      </c>
      <c r="L367" s="50"/>
      <c r="M367" s="45">
        <v>0</v>
      </c>
      <c r="N367" s="45">
        <v>0</v>
      </c>
      <c r="O367" s="45">
        <f t="shared" si="367"/>
        <v>0</v>
      </c>
      <c r="P367" s="50"/>
      <c r="Q367" s="45">
        <f t="shared" si="368"/>
        <v>0</v>
      </c>
      <c r="R367" s="64">
        <f>M367*Inputs!$F$42*Inputs!$G$42</f>
        <v>0</v>
      </c>
      <c r="S367" s="45">
        <f>Inputs!$F$42*Inputs!$I$42*N367</f>
        <v>0</v>
      </c>
      <c r="T367" s="18"/>
      <c r="U367" s="55"/>
      <c r="W367" s="116">
        <v>5</v>
      </c>
      <c r="X367" s="114">
        <f>Inputs!$A$42</f>
        <v>0</v>
      </c>
      <c r="Y367" s="45">
        <f>Inputs!$B$42</f>
        <v>0</v>
      </c>
      <c r="Z367" s="45" t="s">
        <v>57</v>
      </c>
      <c r="AA367" s="45">
        <f t="shared" si="329"/>
        <v>0</v>
      </c>
      <c r="AB367" s="50"/>
      <c r="AC367" s="118">
        <v>5</v>
      </c>
      <c r="AD367" s="114">
        <f>Inputs!$A$42</f>
        <v>0</v>
      </c>
      <c r="AE367" s="45">
        <f>Inputs!$B$42</f>
        <v>0</v>
      </c>
      <c r="AF367" s="45" t="s">
        <v>58</v>
      </c>
      <c r="AG367" s="45">
        <f t="shared" si="330"/>
        <v>0</v>
      </c>
      <c r="AH367" s="50"/>
      <c r="AI367" s="45">
        <v>0</v>
      </c>
      <c r="AJ367" s="45">
        <v>0</v>
      </c>
      <c r="AK367" s="45">
        <f t="shared" si="369"/>
        <v>0</v>
      </c>
      <c r="AL367" s="50"/>
      <c r="AM367" s="45">
        <f t="shared" si="370"/>
        <v>0</v>
      </c>
      <c r="AN367" s="64">
        <f>AI367*Inputs!$F$42*Inputs!$G$42</f>
        <v>0</v>
      </c>
      <c r="AO367" s="45">
        <f>Inputs!$F$42*Inputs!$I$42*AJ367</f>
        <v>0</v>
      </c>
      <c r="AP367" s="55"/>
      <c r="AR367" s="116">
        <v>5</v>
      </c>
      <c r="AS367" s="114">
        <f>Inputs!$A$42</f>
        <v>0</v>
      </c>
      <c r="AT367" s="45">
        <f>Inputs!$B$42</f>
        <v>0</v>
      </c>
      <c r="AU367" s="45" t="s">
        <v>57</v>
      </c>
      <c r="AV367" s="45">
        <f t="shared" si="334"/>
        <v>0</v>
      </c>
      <c r="AW367" s="50"/>
      <c r="AX367" s="118">
        <v>5</v>
      </c>
      <c r="AY367" s="114">
        <f>Inputs!$A$42</f>
        <v>0</v>
      </c>
      <c r="AZ367" s="45">
        <f>Inputs!$B$42</f>
        <v>0</v>
      </c>
      <c r="BA367" s="45" t="s">
        <v>58</v>
      </c>
      <c r="BB367" s="45">
        <f t="shared" si="331"/>
        <v>0</v>
      </c>
      <c r="BC367" s="50"/>
      <c r="BD367" s="45">
        <v>0</v>
      </c>
      <c r="BE367" s="45">
        <v>0</v>
      </c>
      <c r="BF367" s="45">
        <f t="shared" si="371"/>
        <v>0</v>
      </c>
      <c r="BG367" s="50"/>
      <c r="BH367" s="45">
        <f t="shared" si="372"/>
        <v>0</v>
      </c>
      <c r="BI367" s="64">
        <f>BD367*Inputs!$F$42*Inputs!$G$42</f>
        <v>0</v>
      </c>
      <c r="BJ367" s="45">
        <f>Inputs!$F$42*Inputs!$I$42*BE367</f>
        <v>0</v>
      </c>
      <c r="BK367" s="55"/>
      <c r="BM367" s="116">
        <v>5</v>
      </c>
      <c r="BN367" s="114">
        <f>Inputs!$A$42</f>
        <v>0</v>
      </c>
      <c r="BO367" s="45">
        <f>Inputs!$B$42</f>
        <v>0</v>
      </c>
      <c r="BP367" s="45" t="s">
        <v>57</v>
      </c>
      <c r="BQ367" s="45">
        <f t="shared" si="332"/>
        <v>0</v>
      </c>
      <c r="BR367" s="50"/>
      <c r="BS367" s="118">
        <v>5</v>
      </c>
      <c r="BT367" s="114">
        <f>Inputs!$A$42</f>
        <v>0</v>
      </c>
      <c r="BU367" s="45">
        <f>Inputs!$B$42</f>
        <v>0</v>
      </c>
      <c r="BV367" s="45" t="s">
        <v>58</v>
      </c>
      <c r="BW367" s="45">
        <f t="shared" si="333"/>
        <v>0</v>
      </c>
      <c r="BX367" s="50"/>
      <c r="BY367" s="45">
        <v>0</v>
      </c>
      <c r="BZ367" s="45">
        <v>0</v>
      </c>
      <c r="CA367" s="45">
        <f t="shared" si="373"/>
        <v>0</v>
      </c>
      <c r="CB367" s="50"/>
      <c r="CC367" s="45">
        <f t="shared" si="374"/>
        <v>0</v>
      </c>
      <c r="CD367" s="64">
        <f>BY367*Inputs!$F$42*Inputs!$G$42</f>
        <v>0</v>
      </c>
      <c r="CE367" s="45">
        <f>Inputs!$F$42*Inputs!$I$42*BZ367</f>
        <v>0</v>
      </c>
      <c r="CF367" s="55"/>
    </row>
    <row r="368" spans="1:84" x14ac:dyDescent="0.25">
      <c r="A368" s="116">
        <v>6</v>
      </c>
      <c r="B368" s="114">
        <f>Inputs!$A$42</f>
        <v>0</v>
      </c>
      <c r="C368" s="45">
        <f>Inputs!$B$42</f>
        <v>0</v>
      </c>
      <c r="D368" s="45" t="s">
        <v>57</v>
      </c>
      <c r="E368" s="45">
        <v>0</v>
      </c>
      <c r="F368" s="50"/>
      <c r="G368" s="118">
        <v>6</v>
      </c>
      <c r="H368" s="114">
        <f>Inputs!$A$42</f>
        <v>0</v>
      </c>
      <c r="I368" s="45">
        <f>Inputs!$B$42</f>
        <v>0</v>
      </c>
      <c r="J368" s="45" t="s">
        <v>58</v>
      </c>
      <c r="K368" s="45">
        <v>0</v>
      </c>
      <c r="L368" s="50"/>
      <c r="M368" s="45">
        <v>0</v>
      </c>
      <c r="N368" s="45">
        <v>0</v>
      </c>
      <c r="O368" s="45">
        <f t="shared" si="367"/>
        <v>0</v>
      </c>
      <c r="P368" s="50"/>
      <c r="Q368" s="45">
        <f t="shared" si="368"/>
        <v>0</v>
      </c>
      <c r="R368" s="64">
        <f>M368*Inputs!$F$42*Inputs!$G$42</f>
        <v>0</v>
      </c>
      <c r="S368" s="45">
        <f>Inputs!$F$42*Inputs!$I$42*N368</f>
        <v>0</v>
      </c>
      <c r="T368" s="18"/>
      <c r="U368" s="55"/>
      <c r="W368" s="116">
        <v>6</v>
      </c>
      <c r="X368" s="114">
        <f>Inputs!$A$42</f>
        <v>0</v>
      </c>
      <c r="Y368" s="45">
        <f>Inputs!$B$42</f>
        <v>0</v>
      </c>
      <c r="Z368" s="45" t="s">
        <v>57</v>
      </c>
      <c r="AA368" s="45">
        <f t="shared" si="329"/>
        <v>0</v>
      </c>
      <c r="AB368" s="50"/>
      <c r="AC368" s="118">
        <v>6</v>
      </c>
      <c r="AD368" s="114">
        <f>Inputs!$A$42</f>
        <v>0</v>
      </c>
      <c r="AE368" s="45">
        <f>Inputs!$B$42</f>
        <v>0</v>
      </c>
      <c r="AF368" s="45" t="s">
        <v>58</v>
      </c>
      <c r="AG368" s="45">
        <f t="shared" si="330"/>
        <v>0</v>
      </c>
      <c r="AH368" s="50"/>
      <c r="AI368" s="45">
        <v>0</v>
      </c>
      <c r="AJ368" s="45">
        <v>0</v>
      </c>
      <c r="AK368" s="45">
        <f t="shared" si="369"/>
        <v>0</v>
      </c>
      <c r="AL368" s="50"/>
      <c r="AM368" s="45">
        <f t="shared" si="370"/>
        <v>0</v>
      </c>
      <c r="AN368" s="64">
        <f>AI368*Inputs!$F$42*Inputs!$G$42</f>
        <v>0</v>
      </c>
      <c r="AO368" s="45">
        <f>Inputs!$F$42*Inputs!$I$42*AJ368</f>
        <v>0</v>
      </c>
      <c r="AP368" s="55"/>
      <c r="AR368" s="116">
        <v>6</v>
      </c>
      <c r="AS368" s="114">
        <f>Inputs!$A$42</f>
        <v>0</v>
      </c>
      <c r="AT368" s="45">
        <f>Inputs!$B$42</f>
        <v>0</v>
      </c>
      <c r="AU368" s="45" t="s">
        <v>57</v>
      </c>
      <c r="AV368" s="45">
        <f t="shared" si="334"/>
        <v>0</v>
      </c>
      <c r="AW368" s="50"/>
      <c r="AX368" s="118">
        <v>6</v>
      </c>
      <c r="AY368" s="114">
        <f>Inputs!$A$42</f>
        <v>0</v>
      </c>
      <c r="AZ368" s="45">
        <f>Inputs!$B$42</f>
        <v>0</v>
      </c>
      <c r="BA368" s="45" t="s">
        <v>58</v>
      </c>
      <c r="BB368" s="45">
        <f t="shared" si="331"/>
        <v>0</v>
      </c>
      <c r="BC368" s="50"/>
      <c r="BD368" s="45">
        <v>0</v>
      </c>
      <c r="BE368" s="45">
        <v>0</v>
      </c>
      <c r="BF368" s="45">
        <f t="shared" si="371"/>
        <v>0</v>
      </c>
      <c r="BG368" s="50"/>
      <c r="BH368" s="45">
        <f t="shared" si="372"/>
        <v>0</v>
      </c>
      <c r="BI368" s="64">
        <f>BD368*Inputs!$F$42*Inputs!$G$42</f>
        <v>0</v>
      </c>
      <c r="BJ368" s="45">
        <f>Inputs!$F$42*Inputs!$I$42*BE368</f>
        <v>0</v>
      </c>
      <c r="BK368" s="55"/>
      <c r="BM368" s="116">
        <v>6</v>
      </c>
      <c r="BN368" s="114">
        <f>Inputs!$A$42</f>
        <v>0</v>
      </c>
      <c r="BO368" s="45">
        <f>Inputs!$B$42</f>
        <v>0</v>
      </c>
      <c r="BP368" s="45" t="s">
        <v>57</v>
      </c>
      <c r="BQ368" s="45">
        <f t="shared" si="332"/>
        <v>0</v>
      </c>
      <c r="BR368" s="50"/>
      <c r="BS368" s="118">
        <v>6</v>
      </c>
      <c r="BT368" s="114">
        <f>Inputs!$A$42</f>
        <v>0</v>
      </c>
      <c r="BU368" s="45">
        <f>Inputs!$B$42</f>
        <v>0</v>
      </c>
      <c r="BV368" s="45" t="s">
        <v>58</v>
      </c>
      <c r="BW368" s="45">
        <f t="shared" si="333"/>
        <v>0</v>
      </c>
      <c r="BX368" s="50"/>
      <c r="BY368" s="45">
        <v>0</v>
      </c>
      <c r="BZ368" s="45">
        <v>0</v>
      </c>
      <c r="CA368" s="45">
        <f t="shared" si="373"/>
        <v>0</v>
      </c>
      <c r="CB368" s="50"/>
      <c r="CC368" s="45">
        <f t="shared" si="374"/>
        <v>0</v>
      </c>
      <c r="CD368" s="64">
        <f>BY368*Inputs!$F$42*Inputs!$G$42</f>
        <v>0</v>
      </c>
      <c r="CE368" s="45">
        <f>Inputs!$F$42*Inputs!$I$42*BZ368</f>
        <v>0</v>
      </c>
      <c r="CF368" s="55"/>
    </row>
    <row r="369" spans="1:84" x14ac:dyDescent="0.25">
      <c r="A369" s="116">
        <v>7</v>
      </c>
      <c r="B369" s="114">
        <f>Inputs!$A$42</f>
        <v>0</v>
      </c>
      <c r="C369" s="45">
        <f>Inputs!$B$42</f>
        <v>0</v>
      </c>
      <c r="D369" s="45" t="s">
        <v>57</v>
      </c>
      <c r="E369" s="45">
        <v>0</v>
      </c>
      <c r="F369" s="50"/>
      <c r="G369" s="118">
        <v>7</v>
      </c>
      <c r="H369" s="114">
        <f>Inputs!$A$42</f>
        <v>0</v>
      </c>
      <c r="I369" s="45">
        <f>Inputs!$B$42</f>
        <v>0</v>
      </c>
      <c r="J369" s="45" t="s">
        <v>58</v>
      </c>
      <c r="K369" s="45">
        <v>0</v>
      </c>
      <c r="L369" s="50"/>
      <c r="M369" s="45">
        <v>0</v>
      </c>
      <c r="N369" s="45">
        <v>0</v>
      </c>
      <c r="O369" s="45">
        <f t="shared" si="367"/>
        <v>0</v>
      </c>
      <c r="P369" s="50"/>
      <c r="Q369" s="45">
        <f t="shared" si="368"/>
        <v>0</v>
      </c>
      <c r="R369" s="64">
        <f>M369*Inputs!$F$42*Inputs!$G$42</f>
        <v>0</v>
      </c>
      <c r="S369" s="45">
        <f>Inputs!$F$42*Inputs!$I$42*N369</f>
        <v>0</v>
      </c>
      <c r="T369" s="18"/>
      <c r="U369" s="55"/>
      <c r="W369" s="116">
        <v>7</v>
      </c>
      <c r="X369" s="114">
        <f>Inputs!$A$42</f>
        <v>0</v>
      </c>
      <c r="Y369" s="45">
        <f>Inputs!$B$42</f>
        <v>0</v>
      </c>
      <c r="Z369" s="45" t="s">
        <v>57</v>
      </c>
      <c r="AA369" s="45">
        <f t="shared" si="329"/>
        <v>0</v>
      </c>
      <c r="AB369" s="50"/>
      <c r="AC369" s="118">
        <v>7</v>
      </c>
      <c r="AD369" s="114">
        <f>Inputs!$A$42</f>
        <v>0</v>
      </c>
      <c r="AE369" s="45">
        <f>Inputs!$B$42</f>
        <v>0</v>
      </c>
      <c r="AF369" s="45" t="s">
        <v>58</v>
      </c>
      <c r="AG369" s="45">
        <f t="shared" si="330"/>
        <v>0</v>
      </c>
      <c r="AH369" s="50"/>
      <c r="AI369" s="45">
        <v>0</v>
      </c>
      <c r="AJ369" s="45">
        <v>0</v>
      </c>
      <c r="AK369" s="45">
        <f t="shared" si="369"/>
        <v>0</v>
      </c>
      <c r="AL369" s="50"/>
      <c r="AM369" s="45">
        <f t="shared" si="370"/>
        <v>0</v>
      </c>
      <c r="AN369" s="64">
        <f>AI369*Inputs!$F$42*Inputs!$G$42</f>
        <v>0</v>
      </c>
      <c r="AO369" s="45">
        <f>Inputs!$F$42*Inputs!$I$42*AJ369</f>
        <v>0</v>
      </c>
      <c r="AP369" s="55"/>
      <c r="AR369" s="116">
        <v>7</v>
      </c>
      <c r="AS369" s="114">
        <f>Inputs!$A$42</f>
        <v>0</v>
      </c>
      <c r="AT369" s="45">
        <f>Inputs!$B$42</f>
        <v>0</v>
      </c>
      <c r="AU369" s="45" t="s">
        <v>57</v>
      </c>
      <c r="AV369" s="45">
        <f t="shared" si="334"/>
        <v>0</v>
      </c>
      <c r="AW369" s="50"/>
      <c r="AX369" s="118">
        <v>7</v>
      </c>
      <c r="AY369" s="114">
        <f>Inputs!$A$42</f>
        <v>0</v>
      </c>
      <c r="AZ369" s="45">
        <f>Inputs!$B$42</f>
        <v>0</v>
      </c>
      <c r="BA369" s="45" t="s">
        <v>58</v>
      </c>
      <c r="BB369" s="45">
        <f t="shared" si="331"/>
        <v>0</v>
      </c>
      <c r="BC369" s="50"/>
      <c r="BD369" s="45">
        <v>0</v>
      </c>
      <c r="BE369" s="45">
        <v>0</v>
      </c>
      <c r="BF369" s="45">
        <f t="shared" si="371"/>
        <v>0</v>
      </c>
      <c r="BG369" s="50"/>
      <c r="BH369" s="45">
        <f t="shared" si="372"/>
        <v>0</v>
      </c>
      <c r="BI369" s="64">
        <f>BD369*Inputs!$F$42*Inputs!$G$42</f>
        <v>0</v>
      </c>
      <c r="BJ369" s="45">
        <f>Inputs!$F$42*Inputs!$I$42*BE369</f>
        <v>0</v>
      </c>
      <c r="BK369" s="55"/>
      <c r="BM369" s="116">
        <v>7</v>
      </c>
      <c r="BN369" s="114">
        <f>Inputs!$A$42</f>
        <v>0</v>
      </c>
      <c r="BO369" s="45">
        <f>Inputs!$B$42</f>
        <v>0</v>
      </c>
      <c r="BP369" s="45" t="s">
        <v>57</v>
      </c>
      <c r="BQ369" s="45">
        <f t="shared" si="332"/>
        <v>0</v>
      </c>
      <c r="BR369" s="50"/>
      <c r="BS369" s="118">
        <v>7</v>
      </c>
      <c r="BT369" s="114">
        <f>Inputs!$A$42</f>
        <v>0</v>
      </c>
      <c r="BU369" s="45">
        <f>Inputs!$B$42</f>
        <v>0</v>
      </c>
      <c r="BV369" s="45" t="s">
        <v>58</v>
      </c>
      <c r="BW369" s="45">
        <f t="shared" si="333"/>
        <v>0</v>
      </c>
      <c r="BX369" s="50"/>
      <c r="BY369" s="45">
        <v>0</v>
      </c>
      <c r="BZ369" s="45">
        <v>0</v>
      </c>
      <c r="CA369" s="45">
        <f t="shared" si="373"/>
        <v>0</v>
      </c>
      <c r="CB369" s="50"/>
      <c r="CC369" s="45">
        <f t="shared" si="374"/>
        <v>0</v>
      </c>
      <c r="CD369" s="64">
        <f>BY369*Inputs!$F$42*Inputs!$G$42</f>
        <v>0</v>
      </c>
      <c r="CE369" s="45">
        <f>Inputs!$F$42*Inputs!$I$42*BZ369</f>
        <v>0</v>
      </c>
      <c r="CF369" s="55"/>
    </row>
    <row r="370" spans="1:84" x14ac:dyDescent="0.25">
      <c r="A370" s="116">
        <v>8</v>
      </c>
      <c r="B370" s="114">
        <f>Inputs!$A$42</f>
        <v>0</v>
      </c>
      <c r="C370" s="45">
        <f>Inputs!$B$42</f>
        <v>0</v>
      </c>
      <c r="D370" s="45" t="s">
        <v>57</v>
      </c>
      <c r="E370" s="45">
        <v>0</v>
      </c>
      <c r="F370" s="50"/>
      <c r="G370" s="118">
        <v>8</v>
      </c>
      <c r="H370" s="114">
        <f>Inputs!$A$42</f>
        <v>0</v>
      </c>
      <c r="I370" s="45">
        <f>Inputs!$B$42</f>
        <v>0</v>
      </c>
      <c r="J370" s="45" t="s">
        <v>58</v>
      </c>
      <c r="K370" s="45">
        <v>0</v>
      </c>
      <c r="L370" s="50"/>
      <c r="M370" s="45">
        <v>0</v>
      </c>
      <c r="N370" s="45">
        <v>0</v>
      </c>
      <c r="O370" s="45">
        <f t="shared" si="367"/>
        <v>0</v>
      </c>
      <c r="P370" s="50"/>
      <c r="Q370" s="45">
        <f t="shared" si="368"/>
        <v>0</v>
      </c>
      <c r="R370" s="64">
        <f>M370*Inputs!$F$42*Inputs!$G$42</f>
        <v>0</v>
      </c>
      <c r="S370" s="45">
        <f>Inputs!$F$42*Inputs!$I$42*N370</f>
        <v>0</v>
      </c>
      <c r="T370" s="18"/>
      <c r="U370" s="55"/>
      <c r="W370" s="116">
        <v>8</v>
      </c>
      <c r="X370" s="114">
        <f>Inputs!$A$42</f>
        <v>0</v>
      </c>
      <c r="Y370" s="45">
        <f>Inputs!$B$42</f>
        <v>0</v>
      </c>
      <c r="Z370" s="45" t="s">
        <v>57</v>
      </c>
      <c r="AA370" s="45">
        <f t="shared" si="329"/>
        <v>0</v>
      </c>
      <c r="AB370" s="50"/>
      <c r="AC370" s="118">
        <v>8</v>
      </c>
      <c r="AD370" s="114">
        <f>Inputs!$A$42</f>
        <v>0</v>
      </c>
      <c r="AE370" s="45">
        <f>Inputs!$B$42</f>
        <v>0</v>
      </c>
      <c r="AF370" s="45" t="s">
        <v>58</v>
      </c>
      <c r="AG370" s="45">
        <f t="shared" si="330"/>
        <v>0</v>
      </c>
      <c r="AH370" s="50"/>
      <c r="AI370" s="45">
        <v>0</v>
      </c>
      <c r="AJ370" s="45">
        <v>0</v>
      </c>
      <c r="AK370" s="45">
        <f t="shared" si="369"/>
        <v>0</v>
      </c>
      <c r="AL370" s="50"/>
      <c r="AM370" s="45">
        <f t="shared" si="370"/>
        <v>0</v>
      </c>
      <c r="AN370" s="64">
        <f>AI370*Inputs!$F$42*Inputs!$G$42</f>
        <v>0</v>
      </c>
      <c r="AO370" s="45">
        <f>Inputs!$F$42*Inputs!$I$42*AJ370</f>
        <v>0</v>
      </c>
      <c r="AP370" s="55"/>
      <c r="AR370" s="116">
        <v>8</v>
      </c>
      <c r="AS370" s="114">
        <f>Inputs!$A$42</f>
        <v>0</v>
      </c>
      <c r="AT370" s="45">
        <f>Inputs!$B$42</f>
        <v>0</v>
      </c>
      <c r="AU370" s="45" t="s">
        <v>57</v>
      </c>
      <c r="AV370" s="45">
        <f t="shared" si="334"/>
        <v>0</v>
      </c>
      <c r="AW370" s="50"/>
      <c r="AX370" s="118">
        <v>8</v>
      </c>
      <c r="AY370" s="114">
        <f>Inputs!$A$42</f>
        <v>0</v>
      </c>
      <c r="AZ370" s="45">
        <f>Inputs!$B$42</f>
        <v>0</v>
      </c>
      <c r="BA370" s="45" t="s">
        <v>58</v>
      </c>
      <c r="BB370" s="45">
        <f t="shared" si="331"/>
        <v>0</v>
      </c>
      <c r="BC370" s="50"/>
      <c r="BD370" s="45">
        <v>0</v>
      </c>
      <c r="BE370" s="45">
        <v>0</v>
      </c>
      <c r="BF370" s="45">
        <f t="shared" si="371"/>
        <v>0</v>
      </c>
      <c r="BG370" s="50"/>
      <c r="BH370" s="45">
        <f t="shared" si="372"/>
        <v>0</v>
      </c>
      <c r="BI370" s="64">
        <f>BD370*Inputs!$F$42*Inputs!$G$42</f>
        <v>0</v>
      </c>
      <c r="BJ370" s="45">
        <f>Inputs!$F$42*Inputs!$I$42*BE370</f>
        <v>0</v>
      </c>
      <c r="BK370" s="55"/>
      <c r="BM370" s="116">
        <v>8</v>
      </c>
      <c r="BN370" s="114">
        <f>Inputs!$A$42</f>
        <v>0</v>
      </c>
      <c r="BO370" s="45">
        <f>Inputs!$B$42</f>
        <v>0</v>
      </c>
      <c r="BP370" s="45" t="s">
        <v>57</v>
      </c>
      <c r="BQ370" s="45">
        <f t="shared" si="332"/>
        <v>0</v>
      </c>
      <c r="BR370" s="50"/>
      <c r="BS370" s="118">
        <v>8</v>
      </c>
      <c r="BT370" s="114">
        <f>Inputs!$A$42</f>
        <v>0</v>
      </c>
      <c r="BU370" s="45">
        <f>Inputs!$B$42</f>
        <v>0</v>
      </c>
      <c r="BV370" s="45" t="s">
        <v>58</v>
      </c>
      <c r="BW370" s="45">
        <f t="shared" si="333"/>
        <v>0</v>
      </c>
      <c r="BX370" s="50"/>
      <c r="BY370" s="45">
        <v>0</v>
      </c>
      <c r="BZ370" s="45">
        <v>0</v>
      </c>
      <c r="CA370" s="45">
        <f t="shared" si="373"/>
        <v>0</v>
      </c>
      <c r="CB370" s="50"/>
      <c r="CC370" s="45">
        <f t="shared" si="374"/>
        <v>0</v>
      </c>
      <c r="CD370" s="64">
        <f>BY370*Inputs!$F$42*Inputs!$G$42</f>
        <v>0</v>
      </c>
      <c r="CE370" s="45">
        <f>Inputs!$F$42*Inputs!$I$42*BZ370</f>
        <v>0</v>
      </c>
      <c r="CF370" s="55"/>
    </row>
    <row r="371" spans="1:84" x14ac:dyDescent="0.25">
      <c r="A371" s="116">
        <v>9</v>
      </c>
      <c r="B371" s="114">
        <f>Inputs!$A$42</f>
        <v>0</v>
      </c>
      <c r="C371" s="45">
        <f>Inputs!$B$42</f>
        <v>0</v>
      </c>
      <c r="D371" s="45" t="s">
        <v>57</v>
      </c>
      <c r="E371" s="45">
        <v>0</v>
      </c>
      <c r="F371" s="50"/>
      <c r="G371" s="118">
        <v>9</v>
      </c>
      <c r="H371" s="114">
        <f>Inputs!$A$42</f>
        <v>0</v>
      </c>
      <c r="I371" s="45">
        <f>Inputs!$B$42</f>
        <v>0</v>
      </c>
      <c r="J371" s="45" t="s">
        <v>58</v>
      </c>
      <c r="K371" s="45">
        <v>0</v>
      </c>
      <c r="L371" s="50"/>
      <c r="M371" s="45">
        <v>0</v>
      </c>
      <c r="N371" s="45">
        <v>0</v>
      </c>
      <c r="O371" s="45">
        <f t="shared" si="367"/>
        <v>0</v>
      </c>
      <c r="P371" s="50"/>
      <c r="Q371" s="45">
        <f t="shared" si="368"/>
        <v>0</v>
      </c>
      <c r="R371" s="64">
        <f>M371*Inputs!$F$42*Inputs!$G$42</f>
        <v>0</v>
      </c>
      <c r="S371" s="45">
        <f>Inputs!$F$42*Inputs!$I$42*N371</f>
        <v>0</v>
      </c>
      <c r="T371" s="18"/>
      <c r="U371" s="55"/>
      <c r="W371" s="116">
        <v>9</v>
      </c>
      <c r="X371" s="114">
        <f>Inputs!$A$42</f>
        <v>0</v>
      </c>
      <c r="Y371" s="45">
        <f>Inputs!$B$42</f>
        <v>0</v>
      </c>
      <c r="Z371" s="45" t="s">
        <v>57</v>
      </c>
      <c r="AA371" s="45">
        <f t="shared" si="329"/>
        <v>0</v>
      </c>
      <c r="AB371" s="50"/>
      <c r="AC371" s="118">
        <v>9</v>
      </c>
      <c r="AD371" s="114">
        <f>Inputs!$A$42</f>
        <v>0</v>
      </c>
      <c r="AE371" s="45">
        <f>Inputs!$B$42</f>
        <v>0</v>
      </c>
      <c r="AF371" s="45" t="s">
        <v>58</v>
      </c>
      <c r="AG371" s="45">
        <f t="shared" si="330"/>
        <v>0</v>
      </c>
      <c r="AH371" s="50"/>
      <c r="AI371" s="45">
        <v>0</v>
      </c>
      <c r="AJ371" s="45">
        <v>0</v>
      </c>
      <c r="AK371" s="45">
        <f t="shared" si="369"/>
        <v>0</v>
      </c>
      <c r="AL371" s="50"/>
      <c r="AM371" s="45">
        <f t="shared" si="370"/>
        <v>0</v>
      </c>
      <c r="AN371" s="64">
        <f>AI371*Inputs!$F$42*Inputs!$G$42</f>
        <v>0</v>
      </c>
      <c r="AO371" s="45">
        <f>Inputs!$F$42*Inputs!$I$42*AJ371</f>
        <v>0</v>
      </c>
      <c r="AP371" s="55"/>
      <c r="AR371" s="116">
        <v>9</v>
      </c>
      <c r="AS371" s="114">
        <f>Inputs!$A$42</f>
        <v>0</v>
      </c>
      <c r="AT371" s="45">
        <f>Inputs!$B$42</f>
        <v>0</v>
      </c>
      <c r="AU371" s="45" t="s">
        <v>57</v>
      </c>
      <c r="AV371" s="45">
        <f t="shared" si="334"/>
        <v>0</v>
      </c>
      <c r="AW371" s="50"/>
      <c r="AX371" s="118">
        <v>9</v>
      </c>
      <c r="AY371" s="114">
        <f>Inputs!$A$42</f>
        <v>0</v>
      </c>
      <c r="AZ371" s="45">
        <f>Inputs!$B$42</f>
        <v>0</v>
      </c>
      <c r="BA371" s="45" t="s">
        <v>58</v>
      </c>
      <c r="BB371" s="45">
        <f t="shared" si="331"/>
        <v>0</v>
      </c>
      <c r="BC371" s="50"/>
      <c r="BD371" s="45">
        <v>0</v>
      </c>
      <c r="BE371" s="45">
        <v>0</v>
      </c>
      <c r="BF371" s="45">
        <f t="shared" si="371"/>
        <v>0</v>
      </c>
      <c r="BG371" s="50"/>
      <c r="BH371" s="45">
        <f t="shared" si="372"/>
        <v>0</v>
      </c>
      <c r="BI371" s="64">
        <f>BD371*Inputs!$F$42*Inputs!$G$42</f>
        <v>0</v>
      </c>
      <c r="BJ371" s="45">
        <f>Inputs!$F$42*Inputs!$I$42*BE371</f>
        <v>0</v>
      </c>
      <c r="BK371" s="55"/>
      <c r="BM371" s="116">
        <v>9</v>
      </c>
      <c r="BN371" s="114">
        <f>Inputs!$A$42</f>
        <v>0</v>
      </c>
      <c r="BO371" s="45">
        <f>Inputs!$B$42</f>
        <v>0</v>
      </c>
      <c r="BP371" s="45" t="s">
        <v>57</v>
      </c>
      <c r="BQ371" s="45">
        <f t="shared" si="332"/>
        <v>0</v>
      </c>
      <c r="BR371" s="50"/>
      <c r="BS371" s="118">
        <v>9</v>
      </c>
      <c r="BT371" s="114">
        <f>Inputs!$A$42</f>
        <v>0</v>
      </c>
      <c r="BU371" s="45">
        <f>Inputs!$B$42</f>
        <v>0</v>
      </c>
      <c r="BV371" s="45" t="s">
        <v>58</v>
      </c>
      <c r="BW371" s="45">
        <f t="shared" si="333"/>
        <v>0</v>
      </c>
      <c r="BX371" s="50"/>
      <c r="BY371" s="45">
        <v>0</v>
      </c>
      <c r="BZ371" s="45">
        <v>0</v>
      </c>
      <c r="CA371" s="45">
        <f t="shared" si="373"/>
        <v>0</v>
      </c>
      <c r="CB371" s="50"/>
      <c r="CC371" s="45">
        <f t="shared" si="374"/>
        <v>0</v>
      </c>
      <c r="CD371" s="64">
        <f>BY371*Inputs!$F$42*Inputs!$G$42</f>
        <v>0</v>
      </c>
      <c r="CE371" s="45">
        <f>Inputs!$F$42*Inputs!$I$42*BZ371</f>
        <v>0</v>
      </c>
      <c r="CF371" s="55"/>
    </row>
    <row r="372" spans="1:84" x14ac:dyDescent="0.25">
      <c r="A372" s="116">
        <v>10</v>
      </c>
      <c r="B372" s="114">
        <f>Inputs!$A$42</f>
        <v>0</v>
      </c>
      <c r="C372" s="45">
        <f>Inputs!$B$42</f>
        <v>0</v>
      </c>
      <c r="D372" s="45" t="s">
        <v>57</v>
      </c>
      <c r="E372" s="45">
        <v>0</v>
      </c>
      <c r="F372" s="50"/>
      <c r="G372" s="118">
        <v>10</v>
      </c>
      <c r="H372" s="114">
        <f>Inputs!$A$42</f>
        <v>0</v>
      </c>
      <c r="I372" s="45">
        <f>Inputs!$B$42</f>
        <v>0</v>
      </c>
      <c r="J372" s="45" t="s">
        <v>58</v>
      </c>
      <c r="K372" s="45">
        <v>0</v>
      </c>
      <c r="L372" s="50"/>
      <c r="M372" s="45">
        <v>0</v>
      </c>
      <c r="N372" s="45">
        <v>0</v>
      </c>
      <c r="O372" s="45">
        <f t="shared" si="367"/>
        <v>0</v>
      </c>
      <c r="P372" s="50"/>
      <c r="Q372" s="45">
        <f t="shared" si="368"/>
        <v>0</v>
      </c>
      <c r="R372" s="64">
        <f>M372*Inputs!$F$42*Inputs!$G$42</f>
        <v>0</v>
      </c>
      <c r="S372" s="45">
        <f>Inputs!$F$42*Inputs!$I$42*N372</f>
        <v>0</v>
      </c>
      <c r="T372" s="18"/>
      <c r="U372" s="91"/>
      <c r="W372" s="116">
        <v>10</v>
      </c>
      <c r="X372" s="114">
        <f>Inputs!$A$42</f>
        <v>0</v>
      </c>
      <c r="Y372" s="45">
        <f>Inputs!$B$42</f>
        <v>0</v>
      </c>
      <c r="Z372" s="45" t="s">
        <v>57</v>
      </c>
      <c r="AA372" s="45">
        <f t="shared" si="329"/>
        <v>0</v>
      </c>
      <c r="AB372" s="50"/>
      <c r="AC372" s="118">
        <v>10</v>
      </c>
      <c r="AD372" s="114">
        <f>Inputs!$A$42</f>
        <v>0</v>
      </c>
      <c r="AE372" s="45">
        <f>Inputs!$B$42</f>
        <v>0</v>
      </c>
      <c r="AF372" s="45" t="s">
        <v>58</v>
      </c>
      <c r="AG372" s="45">
        <f t="shared" si="330"/>
        <v>0</v>
      </c>
      <c r="AH372" s="50"/>
      <c r="AI372" s="45">
        <v>0</v>
      </c>
      <c r="AJ372" s="45">
        <v>0</v>
      </c>
      <c r="AK372" s="45">
        <f t="shared" si="369"/>
        <v>0</v>
      </c>
      <c r="AL372" s="50"/>
      <c r="AM372" s="45">
        <f t="shared" si="370"/>
        <v>0</v>
      </c>
      <c r="AN372" s="64">
        <f>AI372*Inputs!$F$42*Inputs!$G$42</f>
        <v>0</v>
      </c>
      <c r="AO372" s="45">
        <f>Inputs!$F$42*Inputs!$I$42*AJ372</f>
        <v>0</v>
      </c>
      <c r="AP372" s="91"/>
      <c r="AR372" s="116">
        <v>10</v>
      </c>
      <c r="AS372" s="114">
        <f>Inputs!$A$42</f>
        <v>0</v>
      </c>
      <c r="AT372" s="45">
        <f>Inputs!$B$42</f>
        <v>0</v>
      </c>
      <c r="AU372" s="45" t="s">
        <v>57</v>
      </c>
      <c r="AV372" s="45">
        <f t="shared" si="334"/>
        <v>0</v>
      </c>
      <c r="AW372" s="50"/>
      <c r="AX372" s="118">
        <v>10</v>
      </c>
      <c r="AY372" s="114">
        <f>Inputs!$A$42</f>
        <v>0</v>
      </c>
      <c r="AZ372" s="45">
        <f>Inputs!$B$42</f>
        <v>0</v>
      </c>
      <c r="BA372" s="45" t="s">
        <v>58</v>
      </c>
      <c r="BB372" s="45">
        <f t="shared" si="331"/>
        <v>0</v>
      </c>
      <c r="BC372" s="50"/>
      <c r="BD372" s="45">
        <v>0</v>
      </c>
      <c r="BE372" s="45">
        <v>0</v>
      </c>
      <c r="BF372" s="45">
        <f t="shared" si="371"/>
        <v>0</v>
      </c>
      <c r="BG372" s="50"/>
      <c r="BH372" s="45">
        <f t="shared" si="372"/>
        <v>0</v>
      </c>
      <c r="BI372" s="64">
        <f>BD372*Inputs!$F$42*Inputs!$G$42</f>
        <v>0</v>
      </c>
      <c r="BJ372" s="45">
        <f>Inputs!$F$42*Inputs!$I$42*BE372</f>
        <v>0</v>
      </c>
      <c r="BK372" s="91"/>
      <c r="BM372" s="116">
        <v>10</v>
      </c>
      <c r="BN372" s="114">
        <f>Inputs!$A$42</f>
        <v>0</v>
      </c>
      <c r="BO372" s="45">
        <f>Inputs!$B$42</f>
        <v>0</v>
      </c>
      <c r="BP372" s="45" t="s">
        <v>57</v>
      </c>
      <c r="BQ372" s="45">
        <f t="shared" si="332"/>
        <v>0</v>
      </c>
      <c r="BR372" s="50"/>
      <c r="BS372" s="118">
        <v>10</v>
      </c>
      <c r="BT372" s="114">
        <f>Inputs!$A$42</f>
        <v>0</v>
      </c>
      <c r="BU372" s="45">
        <f>Inputs!$B$42</f>
        <v>0</v>
      </c>
      <c r="BV372" s="45" t="s">
        <v>58</v>
      </c>
      <c r="BW372" s="45">
        <f t="shared" si="333"/>
        <v>0</v>
      </c>
      <c r="BX372" s="50"/>
      <c r="BY372" s="45">
        <v>0</v>
      </c>
      <c r="BZ372" s="45">
        <v>0</v>
      </c>
      <c r="CA372" s="45">
        <f t="shared" si="373"/>
        <v>0</v>
      </c>
      <c r="CB372" s="50"/>
      <c r="CC372" s="45">
        <f t="shared" si="374"/>
        <v>0</v>
      </c>
      <c r="CD372" s="64">
        <f>BY372*Inputs!$F$42*Inputs!$G$42</f>
        <v>0</v>
      </c>
      <c r="CE372" s="45">
        <f>Inputs!$F$42*Inputs!$I$42*BZ372</f>
        <v>0</v>
      </c>
      <c r="CF372" s="91"/>
    </row>
    <row r="373" spans="1:84" x14ac:dyDescent="0.25">
      <c r="A373" s="116">
        <v>11</v>
      </c>
      <c r="B373" s="114">
        <f>Inputs!$A$42</f>
        <v>0</v>
      </c>
      <c r="C373" s="45">
        <f>Inputs!$B$42</f>
        <v>0</v>
      </c>
      <c r="D373" s="45" t="s">
        <v>57</v>
      </c>
      <c r="E373" s="45">
        <v>0</v>
      </c>
      <c r="F373" s="50"/>
      <c r="G373" s="118">
        <v>11</v>
      </c>
      <c r="H373" s="114">
        <f>Inputs!$A$42</f>
        <v>0</v>
      </c>
      <c r="I373" s="45">
        <f>Inputs!$B$42</f>
        <v>0</v>
      </c>
      <c r="J373" s="45" t="s">
        <v>58</v>
      </c>
      <c r="K373" s="45">
        <v>0</v>
      </c>
      <c r="L373" s="50"/>
      <c r="M373" s="45">
        <v>0</v>
      </c>
      <c r="N373" s="45">
        <v>0</v>
      </c>
      <c r="O373" s="45">
        <f t="shared" si="367"/>
        <v>0</v>
      </c>
      <c r="P373" s="50"/>
      <c r="Q373" s="45">
        <f t="shared" si="368"/>
        <v>0</v>
      </c>
      <c r="R373" s="64">
        <f>M373*Inputs!$F$42*Inputs!$H$42</f>
        <v>0</v>
      </c>
      <c r="S373" s="45">
        <f>Inputs!$F$42*Inputs!$I$42*N373</f>
        <v>0</v>
      </c>
      <c r="T373" s="18"/>
      <c r="U373" s="56"/>
      <c r="W373" s="116">
        <v>11</v>
      </c>
      <c r="X373" s="114">
        <f>Inputs!$A$42</f>
        <v>0</v>
      </c>
      <c r="Y373" s="45">
        <f>Inputs!$B$42</f>
        <v>0</v>
      </c>
      <c r="Z373" s="45" t="s">
        <v>57</v>
      </c>
      <c r="AA373" s="45">
        <f t="shared" si="329"/>
        <v>0</v>
      </c>
      <c r="AB373" s="50"/>
      <c r="AC373" s="118">
        <v>11</v>
      </c>
      <c r="AD373" s="114">
        <f>Inputs!$A$42</f>
        <v>0</v>
      </c>
      <c r="AE373" s="45">
        <f>Inputs!$B$42</f>
        <v>0</v>
      </c>
      <c r="AF373" s="45" t="s">
        <v>58</v>
      </c>
      <c r="AG373" s="45">
        <f t="shared" si="330"/>
        <v>0</v>
      </c>
      <c r="AH373" s="50"/>
      <c r="AI373" s="45">
        <v>0</v>
      </c>
      <c r="AJ373" s="45">
        <v>0</v>
      </c>
      <c r="AK373" s="45">
        <f t="shared" si="369"/>
        <v>0</v>
      </c>
      <c r="AL373" s="50"/>
      <c r="AM373" s="45">
        <f t="shared" si="370"/>
        <v>0</v>
      </c>
      <c r="AN373" s="64">
        <f>AI373*Inputs!$F$42*Inputs!$H$42</f>
        <v>0</v>
      </c>
      <c r="AO373" s="45">
        <f>Inputs!$F$42*Inputs!$I$42*AJ373</f>
        <v>0</v>
      </c>
      <c r="AP373" s="56"/>
      <c r="AR373" s="116">
        <v>11</v>
      </c>
      <c r="AS373" s="114">
        <f>Inputs!$A$42</f>
        <v>0</v>
      </c>
      <c r="AT373" s="45">
        <f>Inputs!$B$42</f>
        <v>0</v>
      </c>
      <c r="AU373" s="45" t="s">
        <v>57</v>
      </c>
      <c r="AV373" s="45">
        <f t="shared" si="334"/>
        <v>0</v>
      </c>
      <c r="AW373" s="50"/>
      <c r="AX373" s="118">
        <v>11</v>
      </c>
      <c r="AY373" s="114">
        <f>Inputs!$A$42</f>
        <v>0</v>
      </c>
      <c r="AZ373" s="45">
        <f>Inputs!$B$42</f>
        <v>0</v>
      </c>
      <c r="BA373" s="45" t="s">
        <v>58</v>
      </c>
      <c r="BB373" s="45">
        <f t="shared" si="331"/>
        <v>0</v>
      </c>
      <c r="BC373" s="50"/>
      <c r="BD373" s="45">
        <v>0</v>
      </c>
      <c r="BE373" s="45">
        <v>0</v>
      </c>
      <c r="BF373" s="45">
        <f t="shared" si="371"/>
        <v>0</v>
      </c>
      <c r="BG373" s="50"/>
      <c r="BH373" s="45">
        <f t="shared" si="372"/>
        <v>0</v>
      </c>
      <c r="BI373" s="64">
        <f>BD373*Inputs!$F$42*Inputs!$H$42</f>
        <v>0</v>
      </c>
      <c r="BJ373" s="45">
        <f>Inputs!$F$42*Inputs!$I$42*BE373</f>
        <v>0</v>
      </c>
      <c r="BK373" s="56"/>
      <c r="BM373" s="116">
        <v>11</v>
      </c>
      <c r="BN373" s="114">
        <f>Inputs!$A$42</f>
        <v>0</v>
      </c>
      <c r="BO373" s="45">
        <f>Inputs!$B$42</f>
        <v>0</v>
      </c>
      <c r="BP373" s="45" t="s">
        <v>57</v>
      </c>
      <c r="BQ373" s="45">
        <f t="shared" si="332"/>
        <v>0</v>
      </c>
      <c r="BR373" s="50"/>
      <c r="BS373" s="118">
        <v>11</v>
      </c>
      <c r="BT373" s="114">
        <f>Inputs!$A$42</f>
        <v>0</v>
      </c>
      <c r="BU373" s="45">
        <f>Inputs!$B$42</f>
        <v>0</v>
      </c>
      <c r="BV373" s="45" t="s">
        <v>58</v>
      </c>
      <c r="BW373" s="45">
        <f t="shared" si="333"/>
        <v>0</v>
      </c>
      <c r="BX373" s="50"/>
      <c r="BY373" s="45">
        <v>0</v>
      </c>
      <c r="BZ373" s="45">
        <v>0</v>
      </c>
      <c r="CA373" s="45">
        <f t="shared" si="373"/>
        <v>0</v>
      </c>
      <c r="CB373" s="50"/>
      <c r="CC373" s="45">
        <f t="shared" si="374"/>
        <v>0</v>
      </c>
      <c r="CD373" s="64">
        <f>BY373*Inputs!$F$42*Inputs!$H$42</f>
        <v>0</v>
      </c>
      <c r="CE373" s="45">
        <f>Inputs!$F$42*Inputs!$I$42*BZ373</f>
        <v>0</v>
      </c>
      <c r="CF373" s="56"/>
    </row>
    <row r="374" spans="1:84" x14ac:dyDescent="0.25">
      <c r="A374" s="117">
        <v>3</v>
      </c>
      <c r="B374" s="115">
        <f>Inputs!$A$43</f>
        <v>0</v>
      </c>
      <c r="C374" s="44">
        <f>Inputs!$B$43</f>
        <v>0</v>
      </c>
      <c r="D374" s="44" t="s">
        <v>57</v>
      </c>
      <c r="E374" s="44">
        <v>0</v>
      </c>
      <c r="F374" s="50"/>
      <c r="G374" s="119">
        <v>3</v>
      </c>
      <c r="H374" s="115">
        <f>Inputs!$A$43</f>
        <v>0</v>
      </c>
      <c r="I374" s="44">
        <f>Inputs!$B$43</f>
        <v>0</v>
      </c>
      <c r="J374" s="44" t="s">
        <v>58</v>
      </c>
      <c r="K374" s="44">
        <v>0</v>
      </c>
      <c r="L374" s="50"/>
      <c r="M374" s="44">
        <v>0</v>
      </c>
      <c r="N374" s="44">
        <v>0</v>
      </c>
      <c r="O374" s="44">
        <f>U374-0-E374-K374</f>
        <v>0</v>
      </c>
      <c r="P374" s="50"/>
      <c r="Q374" s="44">
        <f>E374+K374+N374-U374+0-M374</f>
        <v>0</v>
      </c>
      <c r="R374" s="63">
        <f>M374*Inputs!$F$43*Inputs!$G$43</f>
        <v>0</v>
      </c>
      <c r="S374" s="44">
        <f>Inputs!$F$43*Inputs!$I$43*N374</f>
        <v>0</v>
      </c>
      <c r="T374" s="18"/>
      <c r="U374" s="54"/>
      <c r="W374" s="117">
        <v>3</v>
      </c>
      <c r="X374" s="115">
        <f>Inputs!$A$43</f>
        <v>0</v>
      </c>
      <c r="Y374" s="44">
        <f>Inputs!$B$43</f>
        <v>0</v>
      </c>
      <c r="Z374" s="44" t="s">
        <v>57</v>
      </c>
      <c r="AA374" s="44">
        <f t="shared" si="329"/>
        <v>0</v>
      </c>
      <c r="AB374" s="50"/>
      <c r="AC374" s="119">
        <v>3</v>
      </c>
      <c r="AD374" s="115">
        <f>Inputs!$A$43</f>
        <v>0</v>
      </c>
      <c r="AE374" s="44">
        <f>Inputs!$B$43</f>
        <v>0</v>
      </c>
      <c r="AF374" s="44" t="s">
        <v>58</v>
      </c>
      <c r="AG374" s="44">
        <f t="shared" si="330"/>
        <v>0</v>
      </c>
      <c r="AH374" s="50"/>
      <c r="AI374" s="44">
        <v>0</v>
      </c>
      <c r="AJ374" s="44">
        <v>0</v>
      </c>
      <c r="AK374" s="44">
        <f>AP374-0-AA374-AG374</f>
        <v>0</v>
      </c>
      <c r="AL374" s="50"/>
      <c r="AM374" s="44">
        <f>AA374+AG374+AJ374-AP374+0-AI374</f>
        <v>0</v>
      </c>
      <c r="AN374" s="63">
        <f>AI374*Inputs!$F$43*Inputs!$G$43</f>
        <v>0</v>
      </c>
      <c r="AO374" s="44">
        <f>Inputs!$F$43*Inputs!$I$43*AJ374</f>
        <v>0</v>
      </c>
      <c r="AP374" s="54"/>
      <c r="AR374" s="117">
        <v>3</v>
      </c>
      <c r="AS374" s="115">
        <f>Inputs!$A$43</f>
        <v>0</v>
      </c>
      <c r="AT374" s="44">
        <f>Inputs!$B$43</f>
        <v>0</v>
      </c>
      <c r="AU374" s="44" t="s">
        <v>57</v>
      </c>
      <c r="AV374" s="44">
        <f t="shared" si="334"/>
        <v>0</v>
      </c>
      <c r="AW374" s="50"/>
      <c r="AX374" s="119">
        <v>3</v>
      </c>
      <c r="AY374" s="115">
        <f>Inputs!$A$43</f>
        <v>0</v>
      </c>
      <c r="AZ374" s="44">
        <f>Inputs!$B$43</f>
        <v>0</v>
      </c>
      <c r="BA374" s="44" t="s">
        <v>58</v>
      </c>
      <c r="BB374" s="44">
        <f t="shared" si="331"/>
        <v>0</v>
      </c>
      <c r="BC374" s="50"/>
      <c r="BD374" s="44">
        <v>0</v>
      </c>
      <c r="BE374" s="44">
        <v>0</v>
      </c>
      <c r="BF374" s="44">
        <f>BK374-0-AV374-BB374</f>
        <v>0</v>
      </c>
      <c r="BG374" s="50"/>
      <c r="BH374" s="44">
        <f>AV374+BB374+BE374-BK374+0-BD374</f>
        <v>0</v>
      </c>
      <c r="BI374" s="63">
        <f>BD374*Inputs!$F$43*Inputs!$G$43</f>
        <v>0</v>
      </c>
      <c r="BJ374" s="44">
        <f>Inputs!$F$43*Inputs!$I$43*BE374</f>
        <v>0</v>
      </c>
      <c r="BK374" s="54"/>
      <c r="BM374" s="117">
        <v>3</v>
      </c>
      <c r="BN374" s="115">
        <f>Inputs!$A$43</f>
        <v>0</v>
      </c>
      <c r="BO374" s="44">
        <f>Inputs!$B$43</f>
        <v>0</v>
      </c>
      <c r="BP374" s="44" t="s">
        <v>57</v>
      </c>
      <c r="BQ374" s="44">
        <f t="shared" si="332"/>
        <v>0</v>
      </c>
      <c r="BR374" s="50"/>
      <c r="BS374" s="119">
        <v>3</v>
      </c>
      <c r="BT374" s="115">
        <f>Inputs!$A$43</f>
        <v>0</v>
      </c>
      <c r="BU374" s="44">
        <f>Inputs!$B$43</f>
        <v>0</v>
      </c>
      <c r="BV374" s="44" t="s">
        <v>58</v>
      </c>
      <c r="BW374" s="44">
        <f t="shared" si="333"/>
        <v>0</v>
      </c>
      <c r="BX374" s="50"/>
      <c r="BY374" s="44">
        <v>0</v>
      </c>
      <c r="BZ374" s="44">
        <v>0</v>
      </c>
      <c r="CA374" s="44">
        <f>CF374-0-BQ374-BW374</f>
        <v>0</v>
      </c>
      <c r="CB374" s="50"/>
      <c r="CC374" s="44">
        <f>BQ374+BW374+BZ374-CF374+0-BY374</f>
        <v>0</v>
      </c>
      <c r="CD374" s="63">
        <f>BY374*Inputs!$F$43*Inputs!$G$43</f>
        <v>0</v>
      </c>
      <c r="CE374" s="44">
        <f>Inputs!$F$43*Inputs!$I$43*BZ374</f>
        <v>0</v>
      </c>
      <c r="CF374" s="54"/>
    </row>
    <row r="375" spans="1:84" x14ac:dyDescent="0.25">
      <c r="A375" s="117">
        <v>4</v>
      </c>
      <c r="B375" s="115">
        <f>Inputs!$A$43</f>
        <v>0</v>
      </c>
      <c r="C375" s="44">
        <f>Inputs!$B$43</f>
        <v>0</v>
      </c>
      <c r="D375" s="44" t="s">
        <v>57</v>
      </c>
      <c r="E375" s="44">
        <v>0</v>
      </c>
      <c r="F375" s="50"/>
      <c r="G375" s="119">
        <v>4</v>
      </c>
      <c r="H375" s="115">
        <f>Inputs!$A$43</f>
        <v>0</v>
      </c>
      <c r="I375" s="44">
        <f>Inputs!$B$43</f>
        <v>0</v>
      </c>
      <c r="J375" s="44" t="s">
        <v>58</v>
      </c>
      <c r="K375" s="44">
        <v>0</v>
      </c>
      <c r="L375" s="50"/>
      <c r="M375" s="44">
        <v>0</v>
      </c>
      <c r="N375" s="44">
        <v>0</v>
      </c>
      <c r="O375" s="44">
        <f t="shared" ref="O375:O382" si="375">U375-M374-E375-K375</f>
        <v>0</v>
      </c>
      <c r="P375" s="50"/>
      <c r="Q375" s="44">
        <f t="shared" ref="Q375:Q382" si="376">E375+K375+N375-U375+M374-M375</f>
        <v>0</v>
      </c>
      <c r="R375" s="63">
        <f>M375*Inputs!$F$43*Inputs!$G$43</f>
        <v>0</v>
      </c>
      <c r="S375" s="44">
        <f>Inputs!$F$43*Inputs!$I$43*N375</f>
        <v>0</v>
      </c>
      <c r="T375" s="18"/>
      <c r="U375" s="55"/>
      <c r="W375" s="117">
        <v>4</v>
      </c>
      <c r="X375" s="115">
        <f>Inputs!$A$43</f>
        <v>0</v>
      </c>
      <c r="Y375" s="44">
        <f>Inputs!$B$43</f>
        <v>0</v>
      </c>
      <c r="Z375" s="44" t="s">
        <v>57</v>
      </c>
      <c r="AA375" s="44">
        <f t="shared" si="329"/>
        <v>0</v>
      </c>
      <c r="AB375" s="50"/>
      <c r="AC375" s="119">
        <v>4</v>
      </c>
      <c r="AD375" s="115">
        <f>Inputs!$A$43</f>
        <v>0</v>
      </c>
      <c r="AE375" s="44">
        <f>Inputs!$B$43</f>
        <v>0</v>
      </c>
      <c r="AF375" s="44" t="s">
        <v>58</v>
      </c>
      <c r="AG375" s="44">
        <f t="shared" si="330"/>
        <v>0</v>
      </c>
      <c r="AH375" s="50"/>
      <c r="AI375" s="44">
        <v>0</v>
      </c>
      <c r="AJ375" s="44">
        <v>0</v>
      </c>
      <c r="AK375" s="44">
        <f t="shared" ref="AK375:AK382" si="377">AP375-AI374-AA375-AG375</f>
        <v>0</v>
      </c>
      <c r="AL375" s="50"/>
      <c r="AM375" s="44">
        <f t="shared" ref="AM375:AM382" si="378">AA375+AG375+AJ375-AP375+AI374-AI375</f>
        <v>0</v>
      </c>
      <c r="AN375" s="63">
        <f>AI375*Inputs!$F$43*Inputs!$G$43</f>
        <v>0</v>
      </c>
      <c r="AO375" s="44">
        <f>Inputs!$F$43*Inputs!$I$43*AJ375</f>
        <v>0</v>
      </c>
      <c r="AP375" s="55"/>
      <c r="AR375" s="117">
        <v>4</v>
      </c>
      <c r="AS375" s="115">
        <f>Inputs!$A$43</f>
        <v>0</v>
      </c>
      <c r="AT375" s="44">
        <f>Inputs!$B$43</f>
        <v>0</v>
      </c>
      <c r="AU375" s="44" t="s">
        <v>57</v>
      </c>
      <c r="AV375" s="44">
        <f t="shared" si="334"/>
        <v>0</v>
      </c>
      <c r="AW375" s="50"/>
      <c r="AX375" s="119">
        <v>4</v>
      </c>
      <c r="AY375" s="115">
        <f>Inputs!$A$43</f>
        <v>0</v>
      </c>
      <c r="AZ375" s="44">
        <f>Inputs!$B$43</f>
        <v>0</v>
      </c>
      <c r="BA375" s="44" t="s">
        <v>58</v>
      </c>
      <c r="BB375" s="44">
        <f t="shared" si="331"/>
        <v>0</v>
      </c>
      <c r="BC375" s="50"/>
      <c r="BD375" s="44">
        <v>0</v>
      </c>
      <c r="BE375" s="44">
        <v>0</v>
      </c>
      <c r="BF375" s="44">
        <f t="shared" ref="BF375:BF382" si="379">BK375-BD374-AV375-BB375</f>
        <v>0</v>
      </c>
      <c r="BG375" s="50"/>
      <c r="BH375" s="44">
        <f t="shared" ref="BH375:BH382" si="380">AV375+BB375+BE375-BK375+BD374-BD375</f>
        <v>0</v>
      </c>
      <c r="BI375" s="63">
        <f>BD375*Inputs!$F$43*Inputs!$G$43</f>
        <v>0</v>
      </c>
      <c r="BJ375" s="44">
        <f>Inputs!$F$43*Inputs!$I$43*BE375</f>
        <v>0</v>
      </c>
      <c r="BK375" s="55"/>
      <c r="BM375" s="117">
        <v>4</v>
      </c>
      <c r="BN375" s="115">
        <f>Inputs!$A$43</f>
        <v>0</v>
      </c>
      <c r="BO375" s="44">
        <f>Inputs!$B$43</f>
        <v>0</v>
      </c>
      <c r="BP375" s="44" t="s">
        <v>57</v>
      </c>
      <c r="BQ375" s="44">
        <f t="shared" si="332"/>
        <v>0</v>
      </c>
      <c r="BR375" s="50"/>
      <c r="BS375" s="119">
        <v>4</v>
      </c>
      <c r="BT375" s="115">
        <f>Inputs!$A$43</f>
        <v>0</v>
      </c>
      <c r="BU375" s="44">
        <f>Inputs!$B$43</f>
        <v>0</v>
      </c>
      <c r="BV375" s="44" t="s">
        <v>58</v>
      </c>
      <c r="BW375" s="44">
        <f t="shared" si="333"/>
        <v>0</v>
      </c>
      <c r="BX375" s="50"/>
      <c r="BY375" s="44">
        <v>0</v>
      </c>
      <c r="BZ375" s="44">
        <v>0</v>
      </c>
      <c r="CA375" s="44">
        <f t="shared" ref="CA375:CA382" si="381">CF375-BY374-BQ375-BW375</f>
        <v>0</v>
      </c>
      <c r="CB375" s="50"/>
      <c r="CC375" s="44">
        <f t="shared" ref="CC375:CC382" si="382">BQ375+BW375+BZ375-CF375+BY374-BY375</f>
        <v>0</v>
      </c>
      <c r="CD375" s="63">
        <f>BY375*Inputs!$F$43*Inputs!$G$43</f>
        <v>0</v>
      </c>
      <c r="CE375" s="44">
        <f>Inputs!$F$43*Inputs!$I$43*BZ375</f>
        <v>0</v>
      </c>
      <c r="CF375" s="55"/>
    </row>
    <row r="376" spans="1:84" x14ac:dyDescent="0.25">
      <c r="A376" s="117">
        <v>5</v>
      </c>
      <c r="B376" s="115">
        <f>Inputs!$A$43</f>
        <v>0</v>
      </c>
      <c r="C376" s="44">
        <f>Inputs!$B$43</f>
        <v>0</v>
      </c>
      <c r="D376" s="44" t="s">
        <v>57</v>
      </c>
      <c r="E376" s="44">
        <v>0</v>
      </c>
      <c r="F376" s="50"/>
      <c r="G376" s="119">
        <v>5</v>
      </c>
      <c r="H376" s="115">
        <f>Inputs!$A$43</f>
        <v>0</v>
      </c>
      <c r="I376" s="44">
        <f>Inputs!$B$43</f>
        <v>0</v>
      </c>
      <c r="J376" s="44" t="s">
        <v>58</v>
      </c>
      <c r="K376" s="44">
        <v>0</v>
      </c>
      <c r="L376" s="50"/>
      <c r="M376" s="44">
        <v>0</v>
      </c>
      <c r="N376" s="44">
        <v>0</v>
      </c>
      <c r="O376" s="44">
        <f t="shared" si="375"/>
        <v>0</v>
      </c>
      <c r="P376" s="50"/>
      <c r="Q376" s="44">
        <f t="shared" si="376"/>
        <v>0</v>
      </c>
      <c r="R376" s="63">
        <f>M376*Inputs!$F$43*Inputs!$G$43</f>
        <v>0</v>
      </c>
      <c r="S376" s="44">
        <f>Inputs!$F$43*Inputs!$I$43*N376</f>
        <v>0</v>
      </c>
      <c r="T376" s="18"/>
      <c r="U376" s="55"/>
      <c r="W376" s="117">
        <v>5</v>
      </c>
      <c r="X376" s="115">
        <f>Inputs!$A$43</f>
        <v>0</v>
      </c>
      <c r="Y376" s="44">
        <f>Inputs!$B$43</f>
        <v>0</v>
      </c>
      <c r="Z376" s="44" t="s">
        <v>57</v>
      </c>
      <c r="AA376" s="44">
        <f t="shared" si="329"/>
        <v>0</v>
      </c>
      <c r="AB376" s="50"/>
      <c r="AC376" s="119">
        <v>5</v>
      </c>
      <c r="AD376" s="115">
        <f>Inputs!$A$43</f>
        <v>0</v>
      </c>
      <c r="AE376" s="44">
        <f>Inputs!$B$43</f>
        <v>0</v>
      </c>
      <c r="AF376" s="44" t="s">
        <v>58</v>
      </c>
      <c r="AG376" s="44">
        <f t="shared" si="330"/>
        <v>0</v>
      </c>
      <c r="AH376" s="50"/>
      <c r="AI376" s="44">
        <v>0</v>
      </c>
      <c r="AJ376" s="44">
        <v>0</v>
      </c>
      <c r="AK376" s="44">
        <f t="shared" si="377"/>
        <v>0</v>
      </c>
      <c r="AL376" s="50"/>
      <c r="AM376" s="44">
        <f t="shared" si="378"/>
        <v>0</v>
      </c>
      <c r="AN376" s="63">
        <f>AI376*Inputs!$F$43*Inputs!$G$43</f>
        <v>0</v>
      </c>
      <c r="AO376" s="44">
        <f>Inputs!$F$43*Inputs!$I$43*AJ376</f>
        <v>0</v>
      </c>
      <c r="AP376" s="55"/>
      <c r="AR376" s="117">
        <v>5</v>
      </c>
      <c r="AS376" s="115">
        <f>Inputs!$A$43</f>
        <v>0</v>
      </c>
      <c r="AT376" s="44">
        <f>Inputs!$B$43</f>
        <v>0</v>
      </c>
      <c r="AU376" s="44" t="s">
        <v>57</v>
      </c>
      <c r="AV376" s="44">
        <f t="shared" si="334"/>
        <v>0</v>
      </c>
      <c r="AW376" s="50"/>
      <c r="AX376" s="119">
        <v>5</v>
      </c>
      <c r="AY376" s="115">
        <f>Inputs!$A$43</f>
        <v>0</v>
      </c>
      <c r="AZ376" s="44">
        <f>Inputs!$B$43</f>
        <v>0</v>
      </c>
      <c r="BA376" s="44" t="s">
        <v>58</v>
      </c>
      <c r="BB376" s="44">
        <f t="shared" si="331"/>
        <v>0</v>
      </c>
      <c r="BC376" s="50"/>
      <c r="BD376" s="44">
        <v>0</v>
      </c>
      <c r="BE376" s="44">
        <v>0</v>
      </c>
      <c r="BF376" s="44">
        <f t="shared" si="379"/>
        <v>0</v>
      </c>
      <c r="BG376" s="50"/>
      <c r="BH376" s="44">
        <f t="shared" si="380"/>
        <v>0</v>
      </c>
      <c r="BI376" s="63">
        <f>BD376*Inputs!$F$43*Inputs!$G$43</f>
        <v>0</v>
      </c>
      <c r="BJ376" s="44">
        <f>Inputs!$F$43*Inputs!$I$43*BE376</f>
        <v>0</v>
      </c>
      <c r="BK376" s="55"/>
      <c r="BM376" s="117">
        <v>5</v>
      </c>
      <c r="BN376" s="115">
        <f>Inputs!$A$43</f>
        <v>0</v>
      </c>
      <c r="BO376" s="44">
        <f>Inputs!$B$43</f>
        <v>0</v>
      </c>
      <c r="BP376" s="44" t="s">
        <v>57</v>
      </c>
      <c r="BQ376" s="44">
        <f t="shared" si="332"/>
        <v>0</v>
      </c>
      <c r="BR376" s="50"/>
      <c r="BS376" s="119">
        <v>5</v>
      </c>
      <c r="BT376" s="115">
        <f>Inputs!$A$43</f>
        <v>0</v>
      </c>
      <c r="BU376" s="44">
        <f>Inputs!$B$43</f>
        <v>0</v>
      </c>
      <c r="BV376" s="44" t="s">
        <v>58</v>
      </c>
      <c r="BW376" s="44">
        <f t="shared" si="333"/>
        <v>0</v>
      </c>
      <c r="BX376" s="50"/>
      <c r="BY376" s="44">
        <v>0</v>
      </c>
      <c r="BZ376" s="44">
        <v>0</v>
      </c>
      <c r="CA376" s="44">
        <f t="shared" si="381"/>
        <v>0</v>
      </c>
      <c r="CB376" s="50"/>
      <c r="CC376" s="44">
        <f t="shared" si="382"/>
        <v>0</v>
      </c>
      <c r="CD376" s="63">
        <f>BY376*Inputs!$F$43*Inputs!$G$43</f>
        <v>0</v>
      </c>
      <c r="CE376" s="44">
        <f>Inputs!$F$43*Inputs!$I$43*BZ376</f>
        <v>0</v>
      </c>
      <c r="CF376" s="55"/>
    </row>
    <row r="377" spans="1:84" x14ac:dyDescent="0.25">
      <c r="A377" s="117">
        <v>6</v>
      </c>
      <c r="B377" s="115">
        <f>Inputs!$A$43</f>
        <v>0</v>
      </c>
      <c r="C377" s="44">
        <f>Inputs!$B$43</f>
        <v>0</v>
      </c>
      <c r="D377" s="44" t="s">
        <v>57</v>
      </c>
      <c r="E377" s="44">
        <v>0</v>
      </c>
      <c r="F377" s="50"/>
      <c r="G377" s="119">
        <v>6</v>
      </c>
      <c r="H377" s="115">
        <f>Inputs!$A$43</f>
        <v>0</v>
      </c>
      <c r="I377" s="44">
        <f>Inputs!$B$43</f>
        <v>0</v>
      </c>
      <c r="J377" s="44" t="s">
        <v>58</v>
      </c>
      <c r="K377" s="44">
        <v>0</v>
      </c>
      <c r="L377" s="50"/>
      <c r="M377" s="44">
        <v>0</v>
      </c>
      <c r="N377" s="44">
        <v>0</v>
      </c>
      <c r="O377" s="44">
        <f t="shared" si="375"/>
        <v>0</v>
      </c>
      <c r="P377" s="50"/>
      <c r="Q377" s="44">
        <f t="shared" si="376"/>
        <v>0</v>
      </c>
      <c r="R377" s="63">
        <f>M377*Inputs!$F$43*Inputs!$G$43</f>
        <v>0</v>
      </c>
      <c r="S377" s="44">
        <f>Inputs!$F$43*Inputs!$I$43*N377</f>
        <v>0</v>
      </c>
      <c r="T377" s="18"/>
      <c r="U377" s="55"/>
      <c r="W377" s="117">
        <v>6</v>
      </c>
      <c r="X377" s="115">
        <f>Inputs!$A$43</f>
        <v>0</v>
      </c>
      <c r="Y377" s="44">
        <f>Inputs!$B$43</f>
        <v>0</v>
      </c>
      <c r="Z377" s="44" t="s">
        <v>57</v>
      </c>
      <c r="AA377" s="44">
        <f t="shared" si="329"/>
        <v>0</v>
      </c>
      <c r="AB377" s="50"/>
      <c r="AC377" s="119">
        <v>6</v>
      </c>
      <c r="AD377" s="115">
        <f>Inputs!$A$43</f>
        <v>0</v>
      </c>
      <c r="AE377" s="44">
        <f>Inputs!$B$43</f>
        <v>0</v>
      </c>
      <c r="AF377" s="44" t="s">
        <v>58</v>
      </c>
      <c r="AG377" s="44">
        <f t="shared" si="330"/>
        <v>0</v>
      </c>
      <c r="AH377" s="50"/>
      <c r="AI377" s="44">
        <v>0</v>
      </c>
      <c r="AJ377" s="44">
        <v>0</v>
      </c>
      <c r="AK377" s="44">
        <f t="shared" si="377"/>
        <v>0</v>
      </c>
      <c r="AL377" s="50"/>
      <c r="AM377" s="44">
        <f t="shared" si="378"/>
        <v>0</v>
      </c>
      <c r="AN377" s="63">
        <f>AI377*Inputs!$F$43*Inputs!$G$43</f>
        <v>0</v>
      </c>
      <c r="AO377" s="44">
        <f>Inputs!$F$43*Inputs!$I$43*AJ377</f>
        <v>0</v>
      </c>
      <c r="AP377" s="55"/>
      <c r="AR377" s="117">
        <v>6</v>
      </c>
      <c r="AS377" s="115">
        <f>Inputs!$A$43</f>
        <v>0</v>
      </c>
      <c r="AT377" s="44">
        <f>Inputs!$B$43</f>
        <v>0</v>
      </c>
      <c r="AU377" s="44" t="s">
        <v>57</v>
      </c>
      <c r="AV377" s="44">
        <f t="shared" si="334"/>
        <v>0</v>
      </c>
      <c r="AW377" s="50"/>
      <c r="AX377" s="119">
        <v>6</v>
      </c>
      <c r="AY377" s="115">
        <f>Inputs!$A$43</f>
        <v>0</v>
      </c>
      <c r="AZ377" s="44">
        <f>Inputs!$B$43</f>
        <v>0</v>
      </c>
      <c r="BA377" s="44" t="s">
        <v>58</v>
      </c>
      <c r="BB377" s="44">
        <f t="shared" si="331"/>
        <v>0</v>
      </c>
      <c r="BC377" s="50"/>
      <c r="BD377" s="44">
        <v>0</v>
      </c>
      <c r="BE377" s="44">
        <v>0</v>
      </c>
      <c r="BF377" s="44">
        <f t="shared" si="379"/>
        <v>0</v>
      </c>
      <c r="BG377" s="50"/>
      <c r="BH377" s="44">
        <f t="shared" si="380"/>
        <v>0</v>
      </c>
      <c r="BI377" s="63">
        <f>BD377*Inputs!$F$43*Inputs!$G$43</f>
        <v>0</v>
      </c>
      <c r="BJ377" s="44">
        <f>Inputs!$F$43*Inputs!$I$43*BE377</f>
        <v>0</v>
      </c>
      <c r="BK377" s="55"/>
      <c r="BM377" s="117">
        <v>6</v>
      </c>
      <c r="BN377" s="115">
        <f>Inputs!$A$43</f>
        <v>0</v>
      </c>
      <c r="BO377" s="44">
        <f>Inputs!$B$43</f>
        <v>0</v>
      </c>
      <c r="BP377" s="44" t="s">
        <v>57</v>
      </c>
      <c r="BQ377" s="44">
        <f t="shared" si="332"/>
        <v>0</v>
      </c>
      <c r="BR377" s="50"/>
      <c r="BS377" s="119">
        <v>6</v>
      </c>
      <c r="BT377" s="115">
        <f>Inputs!$A$43</f>
        <v>0</v>
      </c>
      <c r="BU377" s="44">
        <f>Inputs!$B$43</f>
        <v>0</v>
      </c>
      <c r="BV377" s="44" t="s">
        <v>58</v>
      </c>
      <c r="BW377" s="44">
        <f t="shared" si="333"/>
        <v>0</v>
      </c>
      <c r="BX377" s="50"/>
      <c r="BY377" s="44">
        <v>0</v>
      </c>
      <c r="BZ377" s="44">
        <v>0</v>
      </c>
      <c r="CA377" s="44">
        <f t="shared" si="381"/>
        <v>0</v>
      </c>
      <c r="CB377" s="50"/>
      <c r="CC377" s="44">
        <f t="shared" si="382"/>
        <v>0</v>
      </c>
      <c r="CD377" s="63">
        <f>BY377*Inputs!$F$43*Inputs!$G$43</f>
        <v>0</v>
      </c>
      <c r="CE377" s="44">
        <f>Inputs!$F$43*Inputs!$I$43*BZ377</f>
        <v>0</v>
      </c>
      <c r="CF377" s="55"/>
    </row>
    <row r="378" spans="1:84" x14ac:dyDescent="0.25">
      <c r="A378" s="117">
        <v>7</v>
      </c>
      <c r="B378" s="115">
        <f>Inputs!$A$43</f>
        <v>0</v>
      </c>
      <c r="C378" s="44">
        <f>Inputs!$B$43</f>
        <v>0</v>
      </c>
      <c r="D378" s="44" t="s">
        <v>57</v>
      </c>
      <c r="E378" s="44">
        <v>0</v>
      </c>
      <c r="F378" s="50"/>
      <c r="G378" s="119">
        <v>7</v>
      </c>
      <c r="H378" s="115">
        <f>Inputs!$A$43</f>
        <v>0</v>
      </c>
      <c r="I378" s="44">
        <f>Inputs!$B$43</f>
        <v>0</v>
      </c>
      <c r="J378" s="44" t="s">
        <v>58</v>
      </c>
      <c r="K378" s="44">
        <v>0</v>
      </c>
      <c r="L378" s="50"/>
      <c r="M378" s="44">
        <v>0</v>
      </c>
      <c r="N378" s="44">
        <v>0</v>
      </c>
      <c r="O378" s="44">
        <f t="shared" si="375"/>
        <v>0</v>
      </c>
      <c r="P378" s="50"/>
      <c r="Q378" s="44">
        <f t="shared" si="376"/>
        <v>0</v>
      </c>
      <c r="R378" s="63">
        <f>M378*Inputs!$F$43*Inputs!$G$43</f>
        <v>0</v>
      </c>
      <c r="S378" s="44">
        <f>Inputs!$F$43*Inputs!$I$43*N378</f>
        <v>0</v>
      </c>
      <c r="T378" s="18"/>
      <c r="U378" s="55"/>
      <c r="W378" s="117">
        <v>7</v>
      </c>
      <c r="X378" s="115">
        <f>Inputs!$A$43</f>
        <v>0</v>
      </c>
      <c r="Y378" s="44">
        <f>Inputs!$B$43</f>
        <v>0</v>
      </c>
      <c r="Z378" s="44" t="s">
        <v>57</v>
      </c>
      <c r="AA378" s="44">
        <f t="shared" si="329"/>
        <v>0</v>
      </c>
      <c r="AB378" s="50"/>
      <c r="AC378" s="119">
        <v>7</v>
      </c>
      <c r="AD378" s="115">
        <f>Inputs!$A$43</f>
        <v>0</v>
      </c>
      <c r="AE378" s="44">
        <f>Inputs!$B$43</f>
        <v>0</v>
      </c>
      <c r="AF378" s="44" t="s">
        <v>58</v>
      </c>
      <c r="AG378" s="44">
        <f t="shared" si="330"/>
        <v>0</v>
      </c>
      <c r="AH378" s="50"/>
      <c r="AI378" s="44">
        <v>0</v>
      </c>
      <c r="AJ378" s="44">
        <v>0</v>
      </c>
      <c r="AK378" s="44">
        <f t="shared" si="377"/>
        <v>0</v>
      </c>
      <c r="AL378" s="50"/>
      <c r="AM378" s="44">
        <f t="shared" si="378"/>
        <v>0</v>
      </c>
      <c r="AN378" s="63">
        <f>AI378*Inputs!$F$43*Inputs!$G$43</f>
        <v>0</v>
      </c>
      <c r="AO378" s="44">
        <f>Inputs!$F$43*Inputs!$I$43*AJ378</f>
        <v>0</v>
      </c>
      <c r="AP378" s="55"/>
      <c r="AR378" s="117">
        <v>7</v>
      </c>
      <c r="AS378" s="115">
        <f>Inputs!$A$43</f>
        <v>0</v>
      </c>
      <c r="AT378" s="44">
        <f>Inputs!$B$43</f>
        <v>0</v>
      </c>
      <c r="AU378" s="44" t="s">
        <v>57</v>
      </c>
      <c r="AV378" s="44">
        <f t="shared" si="334"/>
        <v>0</v>
      </c>
      <c r="AW378" s="50"/>
      <c r="AX378" s="119">
        <v>7</v>
      </c>
      <c r="AY378" s="115">
        <f>Inputs!$A$43</f>
        <v>0</v>
      </c>
      <c r="AZ378" s="44">
        <f>Inputs!$B$43</f>
        <v>0</v>
      </c>
      <c r="BA378" s="44" t="s">
        <v>58</v>
      </c>
      <c r="BB378" s="44">
        <f t="shared" si="331"/>
        <v>0</v>
      </c>
      <c r="BC378" s="50"/>
      <c r="BD378" s="44">
        <v>0</v>
      </c>
      <c r="BE378" s="44">
        <v>0</v>
      </c>
      <c r="BF378" s="44">
        <f t="shared" si="379"/>
        <v>0</v>
      </c>
      <c r="BG378" s="50"/>
      <c r="BH378" s="44">
        <f t="shared" si="380"/>
        <v>0</v>
      </c>
      <c r="BI378" s="63">
        <f>BD378*Inputs!$F$43*Inputs!$G$43</f>
        <v>0</v>
      </c>
      <c r="BJ378" s="44">
        <f>Inputs!$F$43*Inputs!$I$43*BE378</f>
        <v>0</v>
      </c>
      <c r="BK378" s="55"/>
      <c r="BM378" s="117">
        <v>7</v>
      </c>
      <c r="BN378" s="115">
        <f>Inputs!$A$43</f>
        <v>0</v>
      </c>
      <c r="BO378" s="44">
        <f>Inputs!$B$43</f>
        <v>0</v>
      </c>
      <c r="BP378" s="44" t="s">
        <v>57</v>
      </c>
      <c r="BQ378" s="44">
        <f t="shared" si="332"/>
        <v>0</v>
      </c>
      <c r="BR378" s="50"/>
      <c r="BS378" s="119">
        <v>7</v>
      </c>
      <c r="BT378" s="115">
        <f>Inputs!$A$43</f>
        <v>0</v>
      </c>
      <c r="BU378" s="44">
        <f>Inputs!$B$43</f>
        <v>0</v>
      </c>
      <c r="BV378" s="44" t="s">
        <v>58</v>
      </c>
      <c r="BW378" s="44">
        <f t="shared" si="333"/>
        <v>0</v>
      </c>
      <c r="BX378" s="50"/>
      <c r="BY378" s="44">
        <v>0</v>
      </c>
      <c r="BZ378" s="44">
        <v>0</v>
      </c>
      <c r="CA378" s="44">
        <f t="shared" si="381"/>
        <v>0</v>
      </c>
      <c r="CB378" s="50"/>
      <c r="CC378" s="44">
        <f t="shared" si="382"/>
        <v>0</v>
      </c>
      <c r="CD378" s="63">
        <f>BY378*Inputs!$F$43*Inputs!$G$43</f>
        <v>0</v>
      </c>
      <c r="CE378" s="44">
        <f>Inputs!$F$43*Inputs!$I$43*BZ378</f>
        <v>0</v>
      </c>
      <c r="CF378" s="55"/>
    </row>
    <row r="379" spans="1:84" x14ac:dyDescent="0.25">
      <c r="A379" s="117">
        <v>8</v>
      </c>
      <c r="B379" s="115">
        <f>Inputs!$A$43</f>
        <v>0</v>
      </c>
      <c r="C379" s="44">
        <f>Inputs!$B$43</f>
        <v>0</v>
      </c>
      <c r="D379" s="44" t="s">
        <v>57</v>
      </c>
      <c r="E379" s="44">
        <v>0</v>
      </c>
      <c r="F379" s="50"/>
      <c r="G379" s="119">
        <v>8</v>
      </c>
      <c r="H379" s="115">
        <f>Inputs!$A$43</f>
        <v>0</v>
      </c>
      <c r="I379" s="44">
        <f>Inputs!$B$43</f>
        <v>0</v>
      </c>
      <c r="J379" s="44" t="s">
        <v>58</v>
      </c>
      <c r="K379" s="44">
        <v>0</v>
      </c>
      <c r="L379" s="50"/>
      <c r="M379" s="44">
        <v>0</v>
      </c>
      <c r="N379" s="44">
        <v>0</v>
      </c>
      <c r="O379" s="44">
        <f t="shared" si="375"/>
        <v>0</v>
      </c>
      <c r="P379" s="50"/>
      <c r="Q379" s="44">
        <f t="shared" si="376"/>
        <v>0</v>
      </c>
      <c r="R379" s="63">
        <f>M379*Inputs!$F$43*Inputs!$G$43</f>
        <v>0</v>
      </c>
      <c r="S379" s="44">
        <f>Inputs!$F$43*Inputs!$I$43*N379</f>
        <v>0</v>
      </c>
      <c r="T379" s="18"/>
      <c r="U379" s="55"/>
      <c r="W379" s="117">
        <v>8</v>
      </c>
      <c r="X379" s="115">
        <f>Inputs!$A$43</f>
        <v>0</v>
      </c>
      <c r="Y379" s="44">
        <f>Inputs!$B$43</f>
        <v>0</v>
      </c>
      <c r="Z379" s="44" t="s">
        <v>57</v>
      </c>
      <c r="AA379" s="44">
        <f t="shared" si="329"/>
        <v>0</v>
      </c>
      <c r="AB379" s="50"/>
      <c r="AC379" s="119">
        <v>8</v>
      </c>
      <c r="AD379" s="115">
        <f>Inputs!$A$43</f>
        <v>0</v>
      </c>
      <c r="AE379" s="44">
        <f>Inputs!$B$43</f>
        <v>0</v>
      </c>
      <c r="AF379" s="44" t="s">
        <v>58</v>
      </c>
      <c r="AG379" s="44">
        <f t="shared" si="330"/>
        <v>0</v>
      </c>
      <c r="AH379" s="50"/>
      <c r="AI379" s="44">
        <v>0</v>
      </c>
      <c r="AJ379" s="44">
        <v>0</v>
      </c>
      <c r="AK379" s="44">
        <f t="shared" si="377"/>
        <v>0</v>
      </c>
      <c r="AL379" s="50"/>
      <c r="AM379" s="44">
        <f t="shared" si="378"/>
        <v>0</v>
      </c>
      <c r="AN379" s="63">
        <f>AI379*Inputs!$F$43*Inputs!$G$43</f>
        <v>0</v>
      </c>
      <c r="AO379" s="44">
        <f>Inputs!$F$43*Inputs!$I$43*AJ379</f>
        <v>0</v>
      </c>
      <c r="AP379" s="55"/>
      <c r="AR379" s="117">
        <v>8</v>
      </c>
      <c r="AS379" s="115">
        <f>Inputs!$A$43</f>
        <v>0</v>
      </c>
      <c r="AT379" s="44">
        <f>Inputs!$B$43</f>
        <v>0</v>
      </c>
      <c r="AU379" s="44" t="s">
        <v>57</v>
      </c>
      <c r="AV379" s="44">
        <f t="shared" si="334"/>
        <v>0</v>
      </c>
      <c r="AW379" s="50"/>
      <c r="AX379" s="119">
        <v>8</v>
      </c>
      <c r="AY379" s="115">
        <f>Inputs!$A$43</f>
        <v>0</v>
      </c>
      <c r="AZ379" s="44">
        <f>Inputs!$B$43</f>
        <v>0</v>
      </c>
      <c r="BA379" s="44" t="s">
        <v>58</v>
      </c>
      <c r="BB379" s="44">
        <f t="shared" si="331"/>
        <v>0</v>
      </c>
      <c r="BC379" s="50"/>
      <c r="BD379" s="44">
        <v>0</v>
      </c>
      <c r="BE379" s="44">
        <v>0</v>
      </c>
      <c r="BF379" s="44">
        <f t="shared" si="379"/>
        <v>0</v>
      </c>
      <c r="BG379" s="50"/>
      <c r="BH379" s="44">
        <f t="shared" si="380"/>
        <v>0</v>
      </c>
      <c r="BI379" s="63">
        <f>BD379*Inputs!$F$43*Inputs!$G$43</f>
        <v>0</v>
      </c>
      <c r="BJ379" s="44">
        <f>Inputs!$F$43*Inputs!$I$43*BE379</f>
        <v>0</v>
      </c>
      <c r="BK379" s="55"/>
      <c r="BM379" s="117">
        <v>8</v>
      </c>
      <c r="BN379" s="115">
        <f>Inputs!$A$43</f>
        <v>0</v>
      </c>
      <c r="BO379" s="44">
        <f>Inputs!$B$43</f>
        <v>0</v>
      </c>
      <c r="BP379" s="44" t="s">
        <v>57</v>
      </c>
      <c r="BQ379" s="44">
        <f t="shared" si="332"/>
        <v>0</v>
      </c>
      <c r="BR379" s="50"/>
      <c r="BS379" s="119">
        <v>8</v>
      </c>
      <c r="BT379" s="115">
        <f>Inputs!$A$43</f>
        <v>0</v>
      </c>
      <c r="BU379" s="44">
        <f>Inputs!$B$43</f>
        <v>0</v>
      </c>
      <c r="BV379" s="44" t="s">
        <v>58</v>
      </c>
      <c r="BW379" s="44">
        <f t="shared" si="333"/>
        <v>0</v>
      </c>
      <c r="BX379" s="50"/>
      <c r="BY379" s="44">
        <v>0</v>
      </c>
      <c r="BZ379" s="44">
        <v>0</v>
      </c>
      <c r="CA379" s="44">
        <f t="shared" si="381"/>
        <v>0</v>
      </c>
      <c r="CB379" s="50"/>
      <c r="CC379" s="44">
        <f t="shared" si="382"/>
        <v>0</v>
      </c>
      <c r="CD379" s="63">
        <f>BY379*Inputs!$F$43*Inputs!$G$43</f>
        <v>0</v>
      </c>
      <c r="CE379" s="44">
        <f>Inputs!$F$43*Inputs!$I$43*BZ379</f>
        <v>0</v>
      </c>
      <c r="CF379" s="55"/>
    </row>
    <row r="380" spans="1:84" x14ac:dyDescent="0.25">
      <c r="A380" s="117">
        <v>9</v>
      </c>
      <c r="B380" s="115">
        <f>Inputs!$A$43</f>
        <v>0</v>
      </c>
      <c r="C380" s="44">
        <f>Inputs!$B$43</f>
        <v>0</v>
      </c>
      <c r="D380" s="44" t="s">
        <v>57</v>
      </c>
      <c r="E380" s="44">
        <v>0</v>
      </c>
      <c r="F380" s="50"/>
      <c r="G380" s="119">
        <v>9</v>
      </c>
      <c r="H380" s="115">
        <f>Inputs!$A$43</f>
        <v>0</v>
      </c>
      <c r="I380" s="44">
        <f>Inputs!$B$43</f>
        <v>0</v>
      </c>
      <c r="J380" s="44" t="s">
        <v>58</v>
      </c>
      <c r="K380" s="44">
        <v>0</v>
      </c>
      <c r="L380" s="50"/>
      <c r="M380" s="44">
        <v>0</v>
      </c>
      <c r="N380" s="44">
        <v>0</v>
      </c>
      <c r="O380" s="44">
        <f t="shared" si="375"/>
        <v>0</v>
      </c>
      <c r="P380" s="50"/>
      <c r="Q380" s="44">
        <f t="shared" si="376"/>
        <v>0</v>
      </c>
      <c r="R380" s="63">
        <f>M380*Inputs!$F$43*Inputs!$G$43</f>
        <v>0</v>
      </c>
      <c r="S380" s="44">
        <f>Inputs!$F$43*Inputs!$I$43*N380</f>
        <v>0</v>
      </c>
      <c r="T380" s="18"/>
      <c r="U380" s="55"/>
      <c r="W380" s="117">
        <v>9</v>
      </c>
      <c r="X380" s="115">
        <f>Inputs!$A$43</f>
        <v>0</v>
      </c>
      <c r="Y380" s="44">
        <f>Inputs!$B$43</f>
        <v>0</v>
      </c>
      <c r="Z380" s="44" t="s">
        <v>57</v>
      </c>
      <c r="AA380" s="44">
        <f t="shared" si="329"/>
        <v>0</v>
      </c>
      <c r="AB380" s="50"/>
      <c r="AC380" s="119">
        <v>9</v>
      </c>
      <c r="AD380" s="115">
        <f>Inputs!$A$43</f>
        <v>0</v>
      </c>
      <c r="AE380" s="44">
        <f>Inputs!$B$43</f>
        <v>0</v>
      </c>
      <c r="AF380" s="44" t="s">
        <v>58</v>
      </c>
      <c r="AG380" s="44">
        <f t="shared" si="330"/>
        <v>0</v>
      </c>
      <c r="AH380" s="50"/>
      <c r="AI380" s="44">
        <v>0</v>
      </c>
      <c r="AJ380" s="44">
        <v>0</v>
      </c>
      <c r="AK380" s="44">
        <f t="shared" si="377"/>
        <v>0</v>
      </c>
      <c r="AL380" s="50"/>
      <c r="AM380" s="44">
        <f t="shared" si="378"/>
        <v>0</v>
      </c>
      <c r="AN380" s="63">
        <f>AI380*Inputs!$F$43*Inputs!$G$43</f>
        <v>0</v>
      </c>
      <c r="AO380" s="44">
        <f>Inputs!$F$43*Inputs!$I$43*AJ380</f>
        <v>0</v>
      </c>
      <c r="AP380" s="55"/>
      <c r="AR380" s="117">
        <v>9</v>
      </c>
      <c r="AS380" s="115">
        <f>Inputs!$A$43</f>
        <v>0</v>
      </c>
      <c r="AT380" s="44">
        <f>Inputs!$B$43</f>
        <v>0</v>
      </c>
      <c r="AU380" s="44" t="s">
        <v>57</v>
      </c>
      <c r="AV380" s="44">
        <f t="shared" si="334"/>
        <v>0</v>
      </c>
      <c r="AW380" s="50"/>
      <c r="AX380" s="119">
        <v>9</v>
      </c>
      <c r="AY380" s="115">
        <f>Inputs!$A$43</f>
        <v>0</v>
      </c>
      <c r="AZ380" s="44">
        <f>Inputs!$B$43</f>
        <v>0</v>
      </c>
      <c r="BA380" s="44" t="s">
        <v>58</v>
      </c>
      <c r="BB380" s="44">
        <f t="shared" si="331"/>
        <v>0</v>
      </c>
      <c r="BC380" s="50"/>
      <c r="BD380" s="44">
        <v>0</v>
      </c>
      <c r="BE380" s="44">
        <v>0</v>
      </c>
      <c r="BF380" s="44">
        <f t="shared" si="379"/>
        <v>0</v>
      </c>
      <c r="BG380" s="50"/>
      <c r="BH380" s="44">
        <f t="shared" si="380"/>
        <v>0</v>
      </c>
      <c r="BI380" s="63">
        <f>BD380*Inputs!$F$43*Inputs!$G$43</f>
        <v>0</v>
      </c>
      <c r="BJ380" s="44">
        <f>Inputs!$F$43*Inputs!$I$43*BE380</f>
        <v>0</v>
      </c>
      <c r="BK380" s="55"/>
      <c r="BM380" s="117">
        <v>9</v>
      </c>
      <c r="BN380" s="115">
        <f>Inputs!$A$43</f>
        <v>0</v>
      </c>
      <c r="BO380" s="44">
        <f>Inputs!$B$43</f>
        <v>0</v>
      </c>
      <c r="BP380" s="44" t="s">
        <v>57</v>
      </c>
      <c r="BQ380" s="44">
        <f t="shared" si="332"/>
        <v>0</v>
      </c>
      <c r="BR380" s="50"/>
      <c r="BS380" s="119">
        <v>9</v>
      </c>
      <c r="BT380" s="115">
        <f>Inputs!$A$43</f>
        <v>0</v>
      </c>
      <c r="BU380" s="44">
        <f>Inputs!$B$43</f>
        <v>0</v>
      </c>
      <c r="BV380" s="44" t="s">
        <v>58</v>
      </c>
      <c r="BW380" s="44">
        <f t="shared" si="333"/>
        <v>0</v>
      </c>
      <c r="BX380" s="50"/>
      <c r="BY380" s="44">
        <v>0</v>
      </c>
      <c r="BZ380" s="44">
        <v>0</v>
      </c>
      <c r="CA380" s="44">
        <f t="shared" si="381"/>
        <v>0</v>
      </c>
      <c r="CB380" s="50"/>
      <c r="CC380" s="44">
        <f t="shared" si="382"/>
        <v>0</v>
      </c>
      <c r="CD380" s="63">
        <f>BY380*Inputs!$F$43*Inputs!$G$43</f>
        <v>0</v>
      </c>
      <c r="CE380" s="44">
        <f>Inputs!$F$43*Inputs!$I$43*BZ380</f>
        <v>0</v>
      </c>
      <c r="CF380" s="55"/>
    </row>
    <row r="381" spans="1:84" x14ac:dyDescent="0.25">
      <c r="A381" s="117">
        <v>10</v>
      </c>
      <c r="B381" s="115">
        <f>Inputs!$A$43</f>
        <v>0</v>
      </c>
      <c r="C381" s="44">
        <f>Inputs!$B$43</f>
        <v>0</v>
      </c>
      <c r="D381" s="44" t="s">
        <v>57</v>
      </c>
      <c r="E381" s="44">
        <v>0</v>
      </c>
      <c r="F381" s="50"/>
      <c r="G381" s="119">
        <v>10</v>
      </c>
      <c r="H381" s="115">
        <f>Inputs!$A$43</f>
        <v>0</v>
      </c>
      <c r="I381" s="44">
        <f>Inputs!$B$43</f>
        <v>0</v>
      </c>
      <c r="J381" s="44" t="s">
        <v>58</v>
      </c>
      <c r="K381" s="44">
        <v>0</v>
      </c>
      <c r="L381" s="50"/>
      <c r="M381" s="44">
        <v>0</v>
      </c>
      <c r="N381" s="44">
        <v>0</v>
      </c>
      <c r="O381" s="44">
        <f t="shared" si="375"/>
        <v>0</v>
      </c>
      <c r="P381" s="50"/>
      <c r="Q381" s="44">
        <f t="shared" si="376"/>
        <v>0</v>
      </c>
      <c r="R381" s="63">
        <f>M381*Inputs!$F$43*Inputs!$G$43</f>
        <v>0</v>
      </c>
      <c r="S381" s="44">
        <f>Inputs!$F$43*Inputs!$I$43*N381</f>
        <v>0</v>
      </c>
      <c r="T381" s="18"/>
      <c r="U381" s="91"/>
      <c r="W381" s="117">
        <v>10</v>
      </c>
      <c r="X381" s="115">
        <f>Inputs!$A$43</f>
        <v>0</v>
      </c>
      <c r="Y381" s="44">
        <f>Inputs!$B$43</f>
        <v>0</v>
      </c>
      <c r="Z381" s="44" t="s">
        <v>57</v>
      </c>
      <c r="AA381" s="44">
        <f t="shared" si="329"/>
        <v>0</v>
      </c>
      <c r="AB381" s="50"/>
      <c r="AC381" s="119">
        <v>10</v>
      </c>
      <c r="AD381" s="115">
        <f>Inputs!$A$43</f>
        <v>0</v>
      </c>
      <c r="AE381" s="44">
        <f>Inputs!$B$43</f>
        <v>0</v>
      </c>
      <c r="AF381" s="44" t="s">
        <v>58</v>
      </c>
      <c r="AG381" s="44">
        <f t="shared" si="330"/>
        <v>0</v>
      </c>
      <c r="AH381" s="50"/>
      <c r="AI381" s="44">
        <v>0</v>
      </c>
      <c r="AJ381" s="44">
        <v>0</v>
      </c>
      <c r="AK381" s="44">
        <f t="shared" si="377"/>
        <v>0</v>
      </c>
      <c r="AL381" s="50"/>
      <c r="AM381" s="44">
        <f t="shared" si="378"/>
        <v>0</v>
      </c>
      <c r="AN381" s="63">
        <f>AI381*Inputs!$F$43*Inputs!$G$43</f>
        <v>0</v>
      </c>
      <c r="AO381" s="44">
        <f>Inputs!$F$43*Inputs!$I$43*AJ381</f>
        <v>0</v>
      </c>
      <c r="AP381" s="91"/>
      <c r="AR381" s="117">
        <v>10</v>
      </c>
      <c r="AS381" s="115">
        <f>Inputs!$A$43</f>
        <v>0</v>
      </c>
      <c r="AT381" s="44">
        <f>Inputs!$B$43</f>
        <v>0</v>
      </c>
      <c r="AU381" s="44" t="s">
        <v>57</v>
      </c>
      <c r="AV381" s="44">
        <f t="shared" si="334"/>
        <v>0</v>
      </c>
      <c r="AW381" s="50"/>
      <c r="AX381" s="119">
        <v>10</v>
      </c>
      <c r="AY381" s="115">
        <f>Inputs!$A$43</f>
        <v>0</v>
      </c>
      <c r="AZ381" s="44">
        <f>Inputs!$B$43</f>
        <v>0</v>
      </c>
      <c r="BA381" s="44" t="s">
        <v>58</v>
      </c>
      <c r="BB381" s="44">
        <f t="shared" si="331"/>
        <v>0</v>
      </c>
      <c r="BC381" s="50"/>
      <c r="BD381" s="44">
        <v>0</v>
      </c>
      <c r="BE381" s="44">
        <v>0</v>
      </c>
      <c r="BF381" s="44">
        <f t="shared" si="379"/>
        <v>0</v>
      </c>
      <c r="BG381" s="50"/>
      <c r="BH381" s="44">
        <f t="shared" si="380"/>
        <v>0</v>
      </c>
      <c r="BI381" s="63">
        <f>BD381*Inputs!$F$43*Inputs!$G$43</f>
        <v>0</v>
      </c>
      <c r="BJ381" s="44">
        <f>Inputs!$F$43*Inputs!$I$43*BE381</f>
        <v>0</v>
      </c>
      <c r="BK381" s="91"/>
      <c r="BM381" s="117">
        <v>10</v>
      </c>
      <c r="BN381" s="115">
        <f>Inputs!$A$43</f>
        <v>0</v>
      </c>
      <c r="BO381" s="44">
        <f>Inputs!$B$43</f>
        <v>0</v>
      </c>
      <c r="BP381" s="44" t="s">
        <v>57</v>
      </c>
      <c r="BQ381" s="44">
        <f t="shared" si="332"/>
        <v>0</v>
      </c>
      <c r="BR381" s="50"/>
      <c r="BS381" s="119">
        <v>10</v>
      </c>
      <c r="BT381" s="115">
        <f>Inputs!$A$43</f>
        <v>0</v>
      </c>
      <c r="BU381" s="44">
        <f>Inputs!$B$43</f>
        <v>0</v>
      </c>
      <c r="BV381" s="44" t="s">
        <v>58</v>
      </c>
      <c r="BW381" s="44">
        <f t="shared" si="333"/>
        <v>0</v>
      </c>
      <c r="BX381" s="50"/>
      <c r="BY381" s="44">
        <v>0</v>
      </c>
      <c r="BZ381" s="44">
        <v>0</v>
      </c>
      <c r="CA381" s="44">
        <f t="shared" si="381"/>
        <v>0</v>
      </c>
      <c r="CB381" s="50"/>
      <c r="CC381" s="44">
        <f t="shared" si="382"/>
        <v>0</v>
      </c>
      <c r="CD381" s="63">
        <f>BY381*Inputs!$F$43*Inputs!$G$43</f>
        <v>0</v>
      </c>
      <c r="CE381" s="44">
        <f>Inputs!$F$43*Inputs!$I$43*BZ381</f>
        <v>0</v>
      </c>
      <c r="CF381" s="91"/>
    </row>
    <row r="382" spans="1:84" x14ac:dyDescent="0.25">
      <c r="A382" s="117">
        <v>11</v>
      </c>
      <c r="B382" s="115">
        <f>Inputs!$A$43</f>
        <v>0</v>
      </c>
      <c r="C382" s="44">
        <f>Inputs!$B$43</f>
        <v>0</v>
      </c>
      <c r="D382" s="44" t="s">
        <v>57</v>
      </c>
      <c r="E382" s="44">
        <v>0</v>
      </c>
      <c r="F382" s="50"/>
      <c r="G382" s="119">
        <v>11</v>
      </c>
      <c r="H382" s="115">
        <f>Inputs!$A$43</f>
        <v>0</v>
      </c>
      <c r="I382" s="44">
        <f>Inputs!$B$43</f>
        <v>0</v>
      </c>
      <c r="J382" s="44" t="s">
        <v>58</v>
      </c>
      <c r="K382" s="44">
        <v>0</v>
      </c>
      <c r="L382" s="50"/>
      <c r="M382" s="44">
        <v>0</v>
      </c>
      <c r="N382" s="44">
        <v>0</v>
      </c>
      <c r="O382" s="44">
        <f t="shared" si="375"/>
        <v>0</v>
      </c>
      <c r="P382" s="50"/>
      <c r="Q382" s="44">
        <f t="shared" si="376"/>
        <v>0</v>
      </c>
      <c r="R382" s="63">
        <f>M382*Inputs!$F$43*Inputs!$H$43</f>
        <v>0</v>
      </c>
      <c r="S382" s="44">
        <f>Inputs!$F$43*Inputs!$I$43*N382</f>
        <v>0</v>
      </c>
      <c r="T382" s="18"/>
      <c r="U382" s="56"/>
      <c r="W382" s="117">
        <v>11</v>
      </c>
      <c r="X382" s="115">
        <f>Inputs!$A$43</f>
        <v>0</v>
      </c>
      <c r="Y382" s="44">
        <f>Inputs!$B$43</f>
        <v>0</v>
      </c>
      <c r="Z382" s="44" t="s">
        <v>57</v>
      </c>
      <c r="AA382" s="44">
        <f t="shared" si="329"/>
        <v>0</v>
      </c>
      <c r="AB382" s="50"/>
      <c r="AC382" s="119">
        <v>11</v>
      </c>
      <c r="AD382" s="115">
        <f>Inputs!$A$43</f>
        <v>0</v>
      </c>
      <c r="AE382" s="44">
        <f>Inputs!$B$43</f>
        <v>0</v>
      </c>
      <c r="AF382" s="44" t="s">
        <v>58</v>
      </c>
      <c r="AG382" s="44">
        <f t="shared" si="330"/>
        <v>0</v>
      </c>
      <c r="AH382" s="50"/>
      <c r="AI382" s="44">
        <v>0</v>
      </c>
      <c r="AJ382" s="44">
        <v>0</v>
      </c>
      <c r="AK382" s="44">
        <f t="shared" si="377"/>
        <v>0</v>
      </c>
      <c r="AL382" s="50"/>
      <c r="AM382" s="44">
        <f t="shared" si="378"/>
        <v>0</v>
      </c>
      <c r="AN382" s="63">
        <f>AI382*Inputs!$F$43*Inputs!$H$43</f>
        <v>0</v>
      </c>
      <c r="AO382" s="44">
        <f>Inputs!$F$43*Inputs!$I$43*AJ382</f>
        <v>0</v>
      </c>
      <c r="AP382" s="56"/>
      <c r="AR382" s="117">
        <v>11</v>
      </c>
      <c r="AS382" s="115">
        <f>Inputs!$A$43</f>
        <v>0</v>
      </c>
      <c r="AT382" s="44">
        <f>Inputs!$B$43</f>
        <v>0</v>
      </c>
      <c r="AU382" s="44" t="s">
        <v>57</v>
      </c>
      <c r="AV382" s="44">
        <f t="shared" si="334"/>
        <v>0</v>
      </c>
      <c r="AW382" s="50"/>
      <c r="AX382" s="119">
        <v>11</v>
      </c>
      <c r="AY382" s="115">
        <f>Inputs!$A$43</f>
        <v>0</v>
      </c>
      <c r="AZ382" s="44">
        <f>Inputs!$B$43</f>
        <v>0</v>
      </c>
      <c r="BA382" s="44" t="s">
        <v>58</v>
      </c>
      <c r="BB382" s="44">
        <f t="shared" si="331"/>
        <v>0</v>
      </c>
      <c r="BC382" s="50"/>
      <c r="BD382" s="44">
        <v>0</v>
      </c>
      <c r="BE382" s="44">
        <v>0</v>
      </c>
      <c r="BF382" s="44">
        <f t="shared" si="379"/>
        <v>0</v>
      </c>
      <c r="BG382" s="50"/>
      <c r="BH382" s="44">
        <f t="shared" si="380"/>
        <v>0</v>
      </c>
      <c r="BI382" s="63">
        <f>BD382*Inputs!$F$43*Inputs!$H$43</f>
        <v>0</v>
      </c>
      <c r="BJ382" s="44">
        <f>Inputs!$F$43*Inputs!$I$43*BE382</f>
        <v>0</v>
      </c>
      <c r="BK382" s="56"/>
      <c r="BM382" s="117">
        <v>11</v>
      </c>
      <c r="BN382" s="115">
        <f>Inputs!$A$43</f>
        <v>0</v>
      </c>
      <c r="BO382" s="44">
        <f>Inputs!$B$43</f>
        <v>0</v>
      </c>
      <c r="BP382" s="44" t="s">
        <v>57</v>
      </c>
      <c r="BQ382" s="44">
        <f t="shared" si="332"/>
        <v>0</v>
      </c>
      <c r="BR382" s="50"/>
      <c r="BS382" s="119">
        <v>11</v>
      </c>
      <c r="BT382" s="115">
        <f>Inputs!$A$43</f>
        <v>0</v>
      </c>
      <c r="BU382" s="44">
        <f>Inputs!$B$43</f>
        <v>0</v>
      </c>
      <c r="BV382" s="44" t="s">
        <v>58</v>
      </c>
      <c r="BW382" s="44">
        <f t="shared" si="333"/>
        <v>0</v>
      </c>
      <c r="BX382" s="50"/>
      <c r="BY382" s="44">
        <v>0</v>
      </c>
      <c r="BZ382" s="44">
        <v>0</v>
      </c>
      <c r="CA382" s="44">
        <f t="shared" si="381"/>
        <v>0</v>
      </c>
      <c r="CB382" s="50"/>
      <c r="CC382" s="44">
        <f t="shared" si="382"/>
        <v>0</v>
      </c>
      <c r="CD382" s="63">
        <f>BY382*Inputs!$F$43*Inputs!$H$43</f>
        <v>0</v>
      </c>
      <c r="CE382" s="44">
        <f>Inputs!$F$43*Inputs!$I$43*BZ382</f>
        <v>0</v>
      </c>
      <c r="CF382" s="56"/>
    </row>
    <row r="383" spans="1:84" x14ac:dyDescent="0.25">
      <c r="A383" s="116">
        <v>3</v>
      </c>
      <c r="B383" s="114">
        <f>Inputs!$A$44</f>
        <v>0</v>
      </c>
      <c r="C383" s="45">
        <f>Inputs!$B$44</f>
        <v>0</v>
      </c>
      <c r="D383" s="45" t="s">
        <v>57</v>
      </c>
      <c r="E383" s="45">
        <v>0</v>
      </c>
      <c r="F383" s="50"/>
      <c r="G383" s="118">
        <v>3</v>
      </c>
      <c r="H383" s="114">
        <f>Inputs!$A$44</f>
        <v>0</v>
      </c>
      <c r="I383" s="45">
        <f>Inputs!$B$44</f>
        <v>0</v>
      </c>
      <c r="J383" s="45" t="s">
        <v>58</v>
      </c>
      <c r="K383" s="45">
        <v>0</v>
      </c>
      <c r="L383" s="50"/>
      <c r="M383" s="45">
        <v>0</v>
      </c>
      <c r="N383" s="45">
        <v>0</v>
      </c>
      <c r="O383" s="45">
        <f>U383-0-E383-K383</f>
        <v>0</v>
      </c>
      <c r="P383" s="50"/>
      <c r="Q383" s="45">
        <f>E383+K383+N383-U383+0-M383</f>
        <v>0</v>
      </c>
      <c r="R383" s="64">
        <f>M383*Inputs!$F$44*Inputs!$G$44</f>
        <v>0</v>
      </c>
      <c r="S383" s="45">
        <f>Inputs!$F$44*Inputs!$I$44*N383</f>
        <v>0</v>
      </c>
      <c r="T383" s="18"/>
      <c r="U383" s="54"/>
      <c r="W383" s="116">
        <v>3</v>
      </c>
      <c r="X383" s="114">
        <f>Inputs!$A$44</f>
        <v>0</v>
      </c>
      <c r="Y383" s="45">
        <f>Inputs!$B$44</f>
        <v>0</v>
      </c>
      <c r="Z383" s="45" t="s">
        <v>57</v>
      </c>
      <c r="AA383" s="45">
        <f t="shared" si="329"/>
        <v>0</v>
      </c>
      <c r="AB383" s="50"/>
      <c r="AC383" s="118">
        <v>3</v>
      </c>
      <c r="AD383" s="114">
        <f>Inputs!$A$44</f>
        <v>0</v>
      </c>
      <c r="AE383" s="45">
        <f>Inputs!$B$44</f>
        <v>0</v>
      </c>
      <c r="AF383" s="45" t="s">
        <v>58</v>
      </c>
      <c r="AG383" s="45">
        <f t="shared" si="330"/>
        <v>0</v>
      </c>
      <c r="AH383" s="50"/>
      <c r="AI383" s="45">
        <v>0</v>
      </c>
      <c r="AJ383" s="45">
        <v>0</v>
      </c>
      <c r="AK383" s="45">
        <f>AP383-0-AA383-AG383</f>
        <v>0</v>
      </c>
      <c r="AL383" s="50"/>
      <c r="AM383" s="45">
        <f>AA383+AG383+AJ383-AP383+0-AI383</f>
        <v>0</v>
      </c>
      <c r="AN383" s="64">
        <f>AI383*Inputs!$F$44*Inputs!$G$44</f>
        <v>0</v>
      </c>
      <c r="AO383" s="45">
        <f>Inputs!$F$44*Inputs!$I$44*AJ383</f>
        <v>0</v>
      </c>
      <c r="AP383" s="54"/>
      <c r="AR383" s="116">
        <v>3</v>
      </c>
      <c r="AS383" s="114">
        <f>Inputs!$A$44</f>
        <v>0</v>
      </c>
      <c r="AT383" s="45">
        <f>Inputs!$B$44</f>
        <v>0</v>
      </c>
      <c r="AU383" s="45" t="s">
        <v>57</v>
      </c>
      <c r="AV383" s="45">
        <f t="shared" si="334"/>
        <v>0</v>
      </c>
      <c r="AW383" s="50"/>
      <c r="AX383" s="118">
        <v>3</v>
      </c>
      <c r="AY383" s="114">
        <f>Inputs!$A$44</f>
        <v>0</v>
      </c>
      <c r="AZ383" s="45">
        <f>Inputs!$B$44</f>
        <v>0</v>
      </c>
      <c r="BA383" s="45" t="s">
        <v>58</v>
      </c>
      <c r="BB383" s="45">
        <f t="shared" si="331"/>
        <v>0</v>
      </c>
      <c r="BC383" s="50"/>
      <c r="BD383" s="45">
        <v>0</v>
      </c>
      <c r="BE383" s="45">
        <v>0</v>
      </c>
      <c r="BF383" s="45">
        <f>BK383-0-AV383-BB383</f>
        <v>0</v>
      </c>
      <c r="BG383" s="50"/>
      <c r="BH383" s="45">
        <f>AV383+BB383+BE383-BK383+0-BD383</f>
        <v>0</v>
      </c>
      <c r="BI383" s="64">
        <f>BD383*Inputs!$F$44*Inputs!$G$44</f>
        <v>0</v>
      </c>
      <c r="BJ383" s="45">
        <f>Inputs!$F$44*Inputs!$I$44*BE383</f>
        <v>0</v>
      </c>
      <c r="BK383" s="54"/>
      <c r="BM383" s="116">
        <v>3</v>
      </c>
      <c r="BN383" s="114">
        <f>Inputs!$A$44</f>
        <v>0</v>
      </c>
      <c r="BO383" s="45">
        <f>Inputs!$B$44</f>
        <v>0</v>
      </c>
      <c r="BP383" s="45" t="s">
        <v>57</v>
      </c>
      <c r="BQ383" s="45">
        <f t="shared" si="332"/>
        <v>0</v>
      </c>
      <c r="BR383" s="50"/>
      <c r="BS383" s="118">
        <v>3</v>
      </c>
      <c r="BT383" s="114">
        <f>Inputs!$A$44</f>
        <v>0</v>
      </c>
      <c r="BU383" s="45">
        <f>Inputs!$B$44</f>
        <v>0</v>
      </c>
      <c r="BV383" s="45" t="s">
        <v>58</v>
      </c>
      <c r="BW383" s="45">
        <f t="shared" si="333"/>
        <v>0</v>
      </c>
      <c r="BX383" s="50"/>
      <c r="BY383" s="45">
        <v>0</v>
      </c>
      <c r="BZ383" s="45">
        <v>0</v>
      </c>
      <c r="CA383" s="45">
        <f>CF383-0-BQ383-BW383</f>
        <v>0</v>
      </c>
      <c r="CB383" s="50"/>
      <c r="CC383" s="45">
        <f>BQ383+BW383+BZ383-CF383+0-BY383</f>
        <v>0</v>
      </c>
      <c r="CD383" s="64">
        <f>BY383*Inputs!$F$44*Inputs!$G$44</f>
        <v>0</v>
      </c>
      <c r="CE383" s="45">
        <f>Inputs!$F$44*Inputs!$I$44*BZ383</f>
        <v>0</v>
      </c>
      <c r="CF383" s="54"/>
    </row>
    <row r="384" spans="1:84" x14ac:dyDescent="0.25">
      <c r="A384" s="116">
        <v>4</v>
      </c>
      <c r="B384" s="114">
        <f>Inputs!$A$44</f>
        <v>0</v>
      </c>
      <c r="C384" s="45">
        <f>Inputs!$B$44</f>
        <v>0</v>
      </c>
      <c r="D384" s="45" t="s">
        <v>57</v>
      </c>
      <c r="E384" s="45">
        <v>0</v>
      </c>
      <c r="F384" s="50"/>
      <c r="G384" s="118">
        <v>4</v>
      </c>
      <c r="H384" s="114">
        <f>Inputs!$A$44</f>
        <v>0</v>
      </c>
      <c r="I384" s="45">
        <f>Inputs!$B$44</f>
        <v>0</v>
      </c>
      <c r="J384" s="45" t="s">
        <v>58</v>
      </c>
      <c r="K384" s="45">
        <v>0</v>
      </c>
      <c r="L384" s="50"/>
      <c r="M384" s="45">
        <v>0</v>
      </c>
      <c r="N384" s="45">
        <v>0</v>
      </c>
      <c r="O384" s="45">
        <f t="shared" ref="O384:O391" si="383">U384-M383-E384-K384</f>
        <v>0</v>
      </c>
      <c r="P384" s="50"/>
      <c r="Q384" s="45">
        <f t="shared" ref="Q384:Q391" si="384">E384+K384+N384-U384+M383-M384</f>
        <v>0</v>
      </c>
      <c r="R384" s="64">
        <f>M384*Inputs!$F$44*Inputs!$G$44</f>
        <v>0</v>
      </c>
      <c r="S384" s="45">
        <f>Inputs!$F$44*Inputs!$I$44*N384</f>
        <v>0</v>
      </c>
      <c r="T384" s="18"/>
      <c r="U384" s="55"/>
      <c r="W384" s="116">
        <v>4</v>
      </c>
      <c r="X384" s="114">
        <f>Inputs!$A$44</f>
        <v>0</v>
      </c>
      <c r="Y384" s="45">
        <f>Inputs!$B$44</f>
        <v>0</v>
      </c>
      <c r="Z384" s="45" t="s">
        <v>57</v>
      </c>
      <c r="AA384" s="45">
        <f t="shared" si="329"/>
        <v>0</v>
      </c>
      <c r="AB384" s="50"/>
      <c r="AC384" s="118">
        <v>4</v>
      </c>
      <c r="AD384" s="114">
        <f>Inputs!$A$44</f>
        <v>0</v>
      </c>
      <c r="AE384" s="45">
        <f>Inputs!$B$44</f>
        <v>0</v>
      </c>
      <c r="AF384" s="45" t="s">
        <v>58</v>
      </c>
      <c r="AG384" s="45">
        <f t="shared" si="330"/>
        <v>0</v>
      </c>
      <c r="AH384" s="50"/>
      <c r="AI384" s="45">
        <v>0</v>
      </c>
      <c r="AJ384" s="45">
        <v>0</v>
      </c>
      <c r="AK384" s="45">
        <f t="shared" ref="AK384:AK391" si="385">AP384-AI383-AA384-AG384</f>
        <v>0</v>
      </c>
      <c r="AL384" s="50"/>
      <c r="AM384" s="45">
        <f t="shared" ref="AM384:AM391" si="386">AA384+AG384+AJ384-AP384+AI383-AI384</f>
        <v>0</v>
      </c>
      <c r="AN384" s="64">
        <f>AI384*Inputs!$F$44*Inputs!$G$44</f>
        <v>0</v>
      </c>
      <c r="AO384" s="45">
        <f>Inputs!$F$44*Inputs!$I$44*AJ384</f>
        <v>0</v>
      </c>
      <c r="AP384" s="55"/>
      <c r="AR384" s="116">
        <v>4</v>
      </c>
      <c r="AS384" s="114">
        <f>Inputs!$A$44</f>
        <v>0</v>
      </c>
      <c r="AT384" s="45">
        <f>Inputs!$B$44</f>
        <v>0</v>
      </c>
      <c r="AU384" s="45" t="s">
        <v>57</v>
      </c>
      <c r="AV384" s="45">
        <f t="shared" si="334"/>
        <v>0</v>
      </c>
      <c r="AW384" s="50"/>
      <c r="AX384" s="118">
        <v>4</v>
      </c>
      <c r="AY384" s="114">
        <f>Inputs!$A$44</f>
        <v>0</v>
      </c>
      <c r="AZ384" s="45">
        <f>Inputs!$B$44</f>
        <v>0</v>
      </c>
      <c r="BA384" s="45" t="s">
        <v>58</v>
      </c>
      <c r="BB384" s="45">
        <f t="shared" si="331"/>
        <v>0</v>
      </c>
      <c r="BC384" s="50"/>
      <c r="BD384" s="45">
        <v>0</v>
      </c>
      <c r="BE384" s="45">
        <v>0</v>
      </c>
      <c r="BF384" s="45">
        <f t="shared" ref="BF384:BF391" si="387">BK384-BD383-AV384-BB384</f>
        <v>0</v>
      </c>
      <c r="BG384" s="50"/>
      <c r="BH384" s="45">
        <f t="shared" ref="BH384:BH391" si="388">AV384+BB384+BE384-BK384+BD383-BD384</f>
        <v>0</v>
      </c>
      <c r="BI384" s="64">
        <f>BD384*Inputs!$F$44*Inputs!$G$44</f>
        <v>0</v>
      </c>
      <c r="BJ384" s="45">
        <f>Inputs!$F$44*Inputs!$I$44*BE384</f>
        <v>0</v>
      </c>
      <c r="BK384" s="55"/>
      <c r="BM384" s="116">
        <v>4</v>
      </c>
      <c r="BN384" s="114">
        <f>Inputs!$A$44</f>
        <v>0</v>
      </c>
      <c r="BO384" s="45">
        <f>Inputs!$B$44</f>
        <v>0</v>
      </c>
      <c r="BP384" s="45" t="s">
        <v>57</v>
      </c>
      <c r="BQ384" s="45">
        <f t="shared" si="332"/>
        <v>0</v>
      </c>
      <c r="BR384" s="50"/>
      <c r="BS384" s="118">
        <v>4</v>
      </c>
      <c r="BT384" s="114">
        <f>Inputs!$A$44</f>
        <v>0</v>
      </c>
      <c r="BU384" s="45">
        <f>Inputs!$B$44</f>
        <v>0</v>
      </c>
      <c r="BV384" s="45" t="s">
        <v>58</v>
      </c>
      <c r="BW384" s="45">
        <f t="shared" si="333"/>
        <v>0</v>
      </c>
      <c r="BX384" s="50"/>
      <c r="BY384" s="45">
        <v>0</v>
      </c>
      <c r="BZ384" s="45">
        <v>0</v>
      </c>
      <c r="CA384" s="45">
        <f t="shared" ref="CA384:CA391" si="389">CF384-BY383-BQ384-BW384</f>
        <v>0</v>
      </c>
      <c r="CB384" s="50"/>
      <c r="CC384" s="45">
        <f t="shared" ref="CC384:CC391" si="390">BQ384+BW384+BZ384-CF384+BY383-BY384</f>
        <v>0</v>
      </c>
      <c r="CD384" s="64">
        <f>BY384*Inputs!$F$44*Inputs!$G$44</f>
        <v>0</v>
      </c>
      <c r="CE384" s="45">
        <f>Inputs!$F$44*Inputs!$I$44*BZ384</f>
        <v>0</v>
      </c>
      <c r="CF384" s="55"/>
    </row>
    <row r="385" spans="1:84" x14ac:dyDescent="0.25">
      <c r="A385" s="116">
        <v>5</v>
      </c>
      <c r="B385" s="114">
        <f>Inputs!$A$44</f>
        <v>0</v>
      </c>
      <c r="C385" s="45">
        <f>Inputs!$B$44</f>
        <v>0</v>
      </c>
      <c r="D385" s="45" t="s">
        <v>57</v>
      </c>
      <c r="E385" s="45">
        <v>0</v>
      </c>
      <c r="F385" s="50"/>
      <c r="G385" s="118">
        <v>5</v>
      </c>
      <c r="H385" s="114">
        <f>Inputs!$A$44</f>
        <v>0</v>
      </c>
      <c r="I385" s="45">
        <f>Inputs!$B$44</f>
        <v>0</v>
      </c>
      <c r="J385" s="45" t="s">
        <v>58</v>
      </c>
      <c r="K385" s="45">
        <v>0</v>
      </c>
      <c r="L385" s="50"/>
      <c r="M385" s="45">
        <v>0</v>
      </c>
      <c r="N385" s="45">
        <v>0</v>
      </c>
      <c r="O385" s="45">
        <f t="shared" si="383"/>
        <v>0</v>
      </c>
      <c r="P385" s="50"/>
      <c r="Q385" s="45">
        <f t="shared" si="384"/>
        <v>0</v>
      </c>
      <c r="R385" s="64">
        <f>M385*Inputs!$F$44*Inputs!$G$44</f>
        <v>0</v>
      </c>
      <c r="S385" s="45">
        <f>Inputs!$F$44*Inputs!$I$44*N385</f>
        <v>0</v>
      </c>
      <c r="T385" s="18"/>
      <c r="U385" s="55"/>
      <c r="W385" s="116">
        <v>5</v>
      </c>
      <c r="X385" s="114">
        <f>Inputs!$A$44</f>
        <v>0</v>
      </c>
      <c r="Y385" s="45">
        <f>Inputs!$B$44</f>
        <v>0</v>
      </c>
      <c r="Z385" s="45" t="s">
        <v>57</v>
      </c>
      <c r="AA385" s="45">
        <f t="shared" si="329"/>
        <v>0</v>
      </c>
      <c r="AB385" s="50"/>
      <c r="AC385" s="118">
        <v>5</v>
      </c>
      <c r="AD385" s="114">
        <f>Inputs!$A$44</f>
        <v>0</v>
      </c>
      <c r="AE385" s="45">
        <f>Inputs!$B$44</f>
        <v>0</v>
      </c>
      <c r="AF385" s="45" t="s">
        <v>58</v>
      </c>
      <c r="AG385" s="45">
        <f t="shared" si="330"/>
        <v>0</v>
      </c>
      <c r="AH385" s="50"/>
      <c r="AI385" s="45">
        <v>0</v>
      </c>
      <c r="AJ385" s="45">
        <v>0</v>
      </c>
      <c r="AK385" s="45">
        <f t="shared" si="385"/>
        <v>0</v>
      </c>
      <c r="AL385" s="50"/>
      <c r="AM385" s="45">
        <f t="shared" si="386"/>
        <v>0</v>
      </c>
      <c r="AN385" s="64">
        <f>AI385*Inputs!$F$44*Inputs!$G$44</f>
        <v>0</v>
      </c>
      <c r="AO385" s="45">
        <f>Inputs!$F$44*Inputs!$I$44*AJ385</f>
        <v>0</v>
      </c>
      <c r="AP385" s="55"/>
      <c r="AR385" s="116">
        <v>5</v>
      </c>
      <c r="AS385" s="114">
        <f>Inputs!$A$44</f>
        <v>0</v>
      </c>
      <c r="AT385" s="45">
        <f>Inputs!$B$44</f>
        <v>0</v>
      </c>
      <c r="AU385" s="45" t="s">
        <v>57</v>
      </c>
      <c r="AV385" s="45">
        <f t="shared" si="334"/>
        <v>0</v>
      </c>
      <c r="AW385" s="50"/>
      <c r="AX385" s="118">
        <v>5</v>
      </c>
      <c r="AY385" s="114">
        <f>Inputs!$A$44</f>
        <v>0</v>
      </c>
      <c r="AZ385" s="45">
        <f>Inputs!$B$44</f>
        <v>0</v>
      </c>
      <c r="BA385" s="45" t="s">
        <v>58</v>
      </c>
      <c r="BB385" s="45">
        <f t="shared" si="331"/>
        <v>0</v>
      </c>
      <c r="BC385" s="50"/>
      <c r="BD385" s="45">
        <v>0</v>
      </c>
      <c r="BE385" s="45">
        <v>0</v>
      </c>
      <c r="BF385" s="45">
        <f t="shared" si="387"/>
        <v>0</v>
      </c>
      <c r="BG385" s="50"/>
      <c r="BH385" s="45">
        <f t="shared" si="388"/>
        <v>0</v>
      </c>
      <c r="BI385" s="64">
        <f>BD385*Inputs!$F$44*Inputs!$G$44</f>
        <v>0</v>
      </c>
      <c r="BJ385" s="45">
        <f>Inputs!$F$44*Inputs!$I$44*BE385</f>
        <v>0</v>
      </c>
      <c r="BK385" s="55"/>
      <c r="BM385" s="116">
        <v>5</v>
      </c>
      <c r="BN385" s="114">
        <f>Inputs!$A$44</f>
        <v>0</v>
      </c>
      <c r="BO385" s="45">
        <f>Inputs!$B$44</f>
        <v>0</v>
      </c>
      <c r="BP385" s="45" t="s">
        <v>57</v>
      </c>
      <c r="BQ385" s="45">
        <f t="shared" si="332"/>
        <v>0</v>
      </c>
      <c r="BR385" s="50"/>
      <c r="BS385" s="118">
        <v>5</v>
      </c>
      <c r="BT385" s="114">
        <f>Inputs!$A$44</f>
        <v>0</v>
      </c>
      <c r="BU385" s="45">
        <f>Inputs!$B$44</f>
        <v>0</v>
      </c>
      <c r="BV385" s="45" t="s">
        <v>58</v>
      </c>
      <c r="BW385" s="45">
        <f t="shared" si="333"/>
        <v>0</v>
      </c>
      <c r="BX385" s="50"/>
      <c r="BY385" s="45">
        <v>0</v>
      </c>
      <c r="BZ385" s="45">
        <v>0</v>
      </c>
      <c r="CA385" s="45">
        <f t="shared" si="389"/>
        <v>0</v>
      </c>
      <c r="CB385" s="50"/>
      <c r="CC385" s="45">
        <f t="shared" si="390"/>
        <v>0</v>
      </c>
      <c r="CD385" s="64">
        <f>BY385*Inputs!$F$44*Inputs!$G$44</f>
        <v>0</v>
      </c>
      <c r="CE385" s="45">
        <f>Inputs!$F$44*Inputs!$I$44*BZ385</f>
        <v>0</v>
      </c>
      <c r="CF385" s="55"/>
    </row>
    <row r="386" spans="1:84" x14ac:dyDescent="0.25">
      <c r="A386" s="116">
        <v>6</v>
      </c>
      <c r="B386" s="114">
        <f>Inputs!$A$44</f>
        <v>0</v>
      </c>
      <c r="C386" s="45">
        <f>Inputs!$B$44</f>
        <v>0</v>
      </c>
      <c r="D386" s="45" t="s">
        <v>57</v>
      </c>
      <c r="E386" s="45">
        <v>0</v>
      </c>
      <c r="F386" s="50"/>
      <c r="G386" s="118">
        <v>6</v>
      </c>
      <c r="H386" s="114">
        <f>Inputs!$A$44</f>
        <v>0</v>
      </c>
      <c r="I386" s="45">
        <f>Inputs!$B$44</f>
        <v>0</v>
      </c>
      <c r="J386" s="45" t="s">
        <v>58</v>
      </c>
      <c r="K386" s="45">
        <v>0</v>
      </c>
      <c r="L386" s="50"/>
      <c r="M386" s="45">
        <v>0</v>
      </c>
      <c r="N386" s="45">
        <v>0</v>
      </c>
      <c r="O386" s="45">
        <f t="shared" si="383"/>
        <v>0</v>
      </c>
      <c r="P386" s="50"/>
      <c r="Q386" s="45">
        <f t="shared" si="384"/>
        <v>0</v>
      </c>
      <c r="R386" s="64">
        <f>M386*Inputs!$F$44*Inputs!$G$44</f>
        <v>0</v>
      </c>
      <c r="S386" s="45">
        <f>Inputs!$F$44*Inputs!$I$44*N386</f>
        <v>0</v>
      </c>
      <c r="T386" s="18"/>
      <c r="U386" s="55"/>
      <c r="W386" s="116">
        <v>6</v>
      </c>
      <c r="X386" s="114">
        <f>Inputs!$A$44</f>
        <v>0</v>
      </c>
      <c r="Y386" s="45">
        <f>Inputs!$B$44</f>
        <v>0</v>
      </c>
      <c r="Z386" s="45" t="s">
        <v>57</v>
      </c>
      <c r="AA386" s="45">
        <f t="shared" si="329"/>
        <v>0</v>
      </c>
      <c r="AB386" s="50"/>
      <c r="AC386" s="118">
        <v>6</v>
      </c>
      <c r="AD386" s="114">
        <f>Inputs!$A$44</f>
        <v>0</v>
      </c>
      <c r="AE386" s="45">
        <f>Inputs!$B$44</f>
        <v>0</v>
      </c>
      <c r="AF386" s="45" t="s">
        <v>58</v>
      </c>
      <c r="AG386" s="45">
        <f t="shared" si="330"/>
        <v>0</v>
      </c>
      <c r="AH386" s="50"/>
      <c r="AI386" s="45">
        <v>0</v>
      </c>
      <c r="AJ386" s="45">
        <v>0</v>
      </c>
      <c r="AK386" s="45">
        <f t="shared" si="385"/>
        <v>0</v>
      </c>
      <c r="AL386" s="50"/>
      <c r="AM386" s="45">
        <f t="shared" si="386"/>
        <v>0</v>
      </c>
      <c r="AN386" s="64">
        <f>AI386*Inputs!$F$44*Inputs!$G$44</f>
        <v>0</v>
      </c>
      <c r="AO386" s="45">
        <f>Inputs!$F$44*Inputs!$I$44*AJ386</f>
        <v>0</v>
      </c>
      <c r="AP386" s="55"/>
      <c r="AR386" s="116">
        <v>6</v>
      </c>
      <c r="AS386" s="114">
        <f>Inputs!$A$44</f>
        <v>0</v>
      </c>
      <c r="AT386" s="45">
        <f>Inputs!$B$44</f>
        <v>0</v>
      </c>
      <c r="AU386" s="45" t="s">
        <v>57</v>
      </c>
      <c r="AV386" s="45">
        <f t="shared" si="334"/>
        <v>0</v>
      </c>
      <c r="AW386" s="50"/>
      <c r="AX386" s="118">
        <v>6</v>
      </c>
      <c r="AY386" s="114">
        <f>Inputs!$A$44</f>
        <v>0</v>
      </c>
      <c r="AZ386" s="45">
        <f>Inputs!$B$44</f>
        <v>0</v>
      </c>
      <c r="BA386" s="45" t="s">
        <v>58</v>
      </c>
      <c r="BB386" s="45">
        <f t="shared" si="331"/>
        <v>0</v>
      </c>
      <c r="BC386" s="50"/>
      <c r="BD386" s="45">
        <v>0</v>
      </c>
      <c r="BE386" s="45">
        <v>0</v>
      </c>
      <c r="BF386" s="45">
        <f t="shared" si="387"/>
        <v>0</v>
      </c>
      <c r="BG386" s="50"/>
      <c r="BH386" s="45">
        <f t="shared" si="388"/>
        <v>0</v>
      </c>
      <c r="BI386" s="64">
        <f>BD386*Inputs!$F$44*Inputs!$G$44</f>
        <v>0</v>
      </c>
      <c r="BJ386" s="45">
        <f>Inputs!$F$44*Inputs!$I$44*BE386</f>
        <v>0</v>
      </c>
      <c r="BK386" s="55"/>
      <c r="BM386" s="116">
        <v>6</v>
      </c>
      <c r="BN386" s="114">
        <f>Inputs!$A$44</f>
        <v>0</v>
      </c>
      <c r="BO386" s="45">
        <f>Inputs!$B$44</f>
        <v>0</v>
      </c>
      <c r="BP386" s="45" t="s">
        <v>57</v>
      </c>
      <c r="BQ386" s="45">
        <f t="shared" si="332"/>
        <v>0</v>
      </c>
      <c r="BR386" s="50"/>
      <c r="BS386" s="118">
        <v>6</v>
      </c>
      <c r="BT386" s="114">
        <f>Inputs!$A$44</f>
        <v>0</v>
      </c>
      <c r="BU386" s="45">
        <f>Inputs!$B$44</f>
        <v>0</v>
      </c>
      <c r="BV386" s="45" t="s">
        <v>58</v>
      </c>
      <c r="BW386" s="45">
        <f t="shared" si="333"/>
        <v>0</v>
      </c>
      <c r="BX386" s="50"/>
      <c r="BY386" s="45">
        <v>0</v>
      </c>
      <c r="BZ386" s="45">
        <v>0</v>
      </c>
      <c r="CA386" s="45">
        <f t="shared" si="389"/>
        <v>0</v>
      </c>
      <c r="CB386" s="50"/>
      <c r="CC386" s="45">
        <f t="shared" si="390"/>
        <v>0</v>
      </c>
      <c r="CD386" s="64">
        <f>BY386*Inputs!$F$44*Inputs!$G$44</f>
        <v>0</v>
      </c>
      <c r="CE386" s="45">
        <f>Inputs!$F$44*Inputs!$I$44*BZ386</f>
        <v>0</v>
      </c>
      <c r="CF386" s="55"/>
    </row>
    <row r="387" spans="1:84" x14ac:dyDescent="0.25">
      <c r="A387" s="116">
        <v>7</v>
      </c>
      <c r="B387" s="114">
        <f>Inputs!$A$44</f>
        <v>0</v>
      </c>
      <c r="C387" s="45">
        <f>Inputs!$B$44</f>
        <v>0</v>
      </c>
      <c r="D387" s="45" t="s">
        <v>57</v>
      </c>
      <c r="E387" s="45">
        <v>0</v>
      </c>
      <c r="F387" s="50"/>
      <c r="G387" s="118">
        <v>7</v>
      </c>
      <c r="H387" s="114">
        <f>Inputs!$A$44</f>
        <v>0</v>
      </c>
      <c r="I387" s="45">
        <f>Inputs!$B$44</f>
        <v>0</v>
      </c>
      <c r="J387" s="45" t="s">
        <v>58</v>
      </c>
      <c r="K387" s="45">
        <v>0</v>
      </c>
      <c r="L387" s="50"/>
      <c r="M387" s="45">
        <v>0</v>
      </c>
      <c r="N387" s="45">
        <v>0</v>
      </c>
      <c r="O387" s="45">
        <f t="shared" si="383"/>
        <v>0</v>
      </c>
      <c r="P387" s="50"/>
      <c r="Q387" s="45">
        <f t="shared" si="384"/>
        <v>0</v>
      </c>
      <c r="R387" s="64">
        <f>M387*Inputs!$F$44*Inputs!$G$44</f>
        <v>0</v>
      </c>
      <c r="S387" s="45">
        <f>Inputs!$F$44*Inputs!$I$44*N387</f>
        <v>0</v>
      </c>
      <c r="T387" s="18"/>
      <c r="U387" s="55"/>
      <c r="W387" s="116">
        <v>7</v>
      </c>
      <c r="X387" s="114">
        <f>Inputs!$A$44</f>
        <v>0</v>
      </c>
      <c r="Y387" s="45">
        <f>Inputs!$B$44</f>
        <v>0</v>
      </c>
      <c r="Z387" s="45" t="s">
        <v>57</v>
      </c>
      <c r="AA387" s="45">
        <f t="shared" si="329"/>
        <v>0</v>
      </c>
      <c r="AB387" s="50"/>
      <c r="AC387" s="118">
        <v>7</v>
      </c>
      <c r="AD387" s="114">
        <f>Inputs!$A$44</f>
        <v>0</v>
      </c>
      <c r="AE387" s="45">
        <f>Inputs!$B$44</f>
        <v>0</v>
      </c>
      <c r="AF387" s="45" t="s">
        <v>58</v>
      </c>
      <c r="AG387" s="45">
        <f t="shared" si="330"/>
        <v>0</v>
      </c>
      <c r="AH387" s="50"/>
      <c r="AI387" s="45">
        <v>0</v>
      </c>
      <c r="AJ387" s="45">
        <v>0</v>
      </c>
      <c r="AK387" s="45">
        <f t="shared" si="385"/>
        <v>0</v>
      </c>
      <c r="AL387" s="50"/>
      <c r="AM387" s="45">
        <f t="shared" si="386"/>
        <v>0</v>
      </c>
      <c r="AN387" s="64">
        <f>AI387*Inputs!$F$44*Inputs!$G$44</f>
        <v>0</v>
      </c>
      <c r="AO387" s="45">
        <f>Inputs!$F$44*Inputs!$I$44*AJ387</f>
        <v>0</v>
      </c>
      <c r="AP387" s="55"/>
      <c r="AR387" s="116">
        <v>7</v>
      </c>
      <c r="AS387" s="114">
        <f>Inputs!$A$44</f>
        <v>0</v>
      </c>
      <c r="AT387" s="45">
        <f>Inputs!$B$44</f>
        <v>0</v>
      </c>
      <c r="AU387" s="45" t="s">
        <v>57</v>
      </c>
      <c r="AV387" s="45">
        <f t="shared" si="334"/>
        <v>0</v>
      </c>
      <c r="AW387" s="50"/>
      <c r="AX387" s="118">
        <v>7</v>
      </c>
      <c r="AY387" s="114">
        <f>Inputs!$A$44</f>
        <v>0</v>
      </c>
      <c r="AZ387" s="45">
        <f>Inputs!$B$44</f>
        <v>0</v>
      </c>
      <c r="BA387" s="45" t="s">
        <v>58</v>
      </c>
      <c r="BB387" s="45">
        <f t="shared" si="331"/>
        <v>0</v>
      </c>
      <c r="BC387" s="50"/>
      <c r="BD387" s="45">
        <v>0</v>
      </c>
      <c r="BE387" s="45">
        <v>0</v>
      </c>
      <c r="BF387" s="45">
        <f t="shared" si="387"/>
        <v>0</v>
      </c>
      <c r="BG387" s="50"/>
      <c r="BH387" s="45">
        <f t="shared" si="388"/>
        <v>0</v>
      </c>
      <c r="BI387" s="64">
        <f>BD387*Inputs!$F$44*Inputs!$G$44</f>
        <v>0</v>
      </c>
      <c r="BJ387" s="45">
        <f>Inputs!$F$44*Inputs!$I$44*BE387</f>
        <v>0</v>
      </c>
      <c r="BK387" s="55"/>
      <c r="BM387" s="116">
        <v>7</v>
      </c>
      <c r="BN387" s="114">
        <f>Inputs!$A$44</f>
        <v>0</v>
      </c>
      <c r="BO387" s="45">
        <f>Inputs!$B$44</f>
        <v>0</v>
      </c>
      <c r="BP387" s="45" t="s">
        <v>57</v>
      </c>
      <c r="BQ387" s="45">
        <f t="shared" si="332"/>
        <v>0</v>
      </c>
      <c r="BR387" s="50"/>
      <c r="BS387" s="118">
        <v>7</v>
      </c>
      <c r="BT387" s="114">
        <f>Inputs!$A$44</f>
        <v>0</v>
      </c>
      <c r="BU387" s="45">
        <f>Inputs!$B$44</f>
        <v>0</v>
      </c>
      <c r="BV387" s="45" t="s">
        <v>58</v>
      </c>
      <c r="BW387" s="45">
        <f t="shared" si="333"/>
        <v>0</v>
      </c>
      <c r="BX387" s="50"/>
      <c r="BY387" s="45">
        <v>0</v>
      </c>
      <c r="BZ387" s="45">
        <v>0</v>
      </c>
      <c r="CA387" s="45">
        <f t="shared" si="389"/>
        <v>0</v>
      </c>
      <c r="CB387" s="50"/>
      <c r="CC387" s="45">
        <f t="shared" si="390"/>
        <v>0</v>
      </c>
      <c r="CD387" s="64">
        <f>BY387*Inputs!$F$44*Inputs!$G$44</f>
        <v>0</v>
      </c>
      <c r="CE387" s="45">
        <f>Inputs!$F$44*Inputs!$I$44*BZ387</f>
        <v>0</v>
      </c>
      <c r="CF387" s="55"/>
    </row>
    <row r="388" spans="1:84" x14ac:dyDescent="0.25">
      <c r="A388" s="116">
        <v>8</v>
      </c>
      <c r="B388" s="114">
        <f>Inputs!$A$44</f>
        <v>0</v>
      </c>
      <c r="C388" s="45">
        <f>Inputs!$B$44</f>
        <v>0</v>
      </c>
      <c r="D388" s="45" t="s">
        <v>57</v>
      </c>
      <c r="E388" s="45">
        <v>0</v>
      </c>
      <c r="F388" s="50"/>
      <c r="G388" s="118">
        <v>8</v>
      </c>
      <c r="H388" s="114">
        <f>Inputs!$A$44</f>
        <v>0</v>
      </c>
      <c r="I388" s="45">
        <f>Inputs!$B$44</f>
        <v>0</v>
      </c>
      <c r="J388" s="45" t="s">
        <v>58</v>
      </c>
      <c r="K388" s="45">
        <v>0</v>
      </c>
      <c r="L388" s="50"/>
      <c r="M388" s="45">
        <v>0</v>
      </c>
      <c r="N388" s="45">
        <v>0</v>
      </c>
      <c r="O388" s="45">
        <f t="shared" si="383"/>
        <v>0</v>
      </c>
      <c r="P388" s="50"/>
      <c r="Q388" s="45">
        <f t="shared" si="384"/>
        <v>0</v>
      </c>
      <c r="R388" s="64">
        <f>M388*Inputs!$F$44*Inputs!$G$44</f>
        <v>0</v>
      </c>
      <c r="S388" s="45">
        <f>Inputs!$F$44*Inputs!$I$44*N388</f>
        <v>0</v>
      </c>
      <c r="T388" s="18"/>
      <c r="U388" s="55"/>
      <c r="W388" s="116">
        <v>8</v>
      </c>
      <c r="X388" s="114">
        <f>Inputs!$A$44</f>
        <v>0</v>
      </c>
      <c r="Y388" s="45">
        <f>Inputs!$B$44</f>
        <v>0</v>
      </c>
      <c r="Z388" s="45" t="s">
        <v>57</v>
      </c>
      <c r="AA388" s="45">
        <f t="shared" si="329"/>
        <v>0</v>
      </c>
      <c r="AB388" s="50"/>
      <c r="AC388" s="118">
        <v>8</v>
      </c>
      <c r="AD388" s="114">
        <f>Inputs!$A$44</f>
        <v>0</v>
      </c>
      <c r="AE388" s="45">
        <f>Inputs!$B$44</f>
        <v>0</v>
      </c>
      <c r="AF388" s="45" t="s">
        <v>58</v>
      </c>
      <c r="AG388" s="45">
        <f t="shared" si="330"/>
        <v>0</v>
      </c>
      <c r="AH388" s="50"/>
      <c r="AI388" s="45">
        <v>0</v>
      </c>
      <c r="AJ388" s="45">
        <v>0</v>
      </c>
      <c r="AK388" s="45">
        <f t="shared" si="385"/>
        <v>0</v>
      </c>
      <c r="AL388" s="50"/>
      <c r="AM388" s="45">
        <f t="shared" si="386"/>
        <v>0</v>
      </c>
      <c r="AN388" s="64">
        <f>AI388*Inputs!$F$44*Inputs!$G$44</f>
        <v>0</v>
      </c>
      <c r="AO388" s="45">
        <f>Inputs!$F$44*Inputs!$I$44*AJ388</f>
        <v>0</v>
      </c>
      <c r="AP388" s="55"/>
      <c r="AR388" s="116">
        <v>8</v>
      </c>
      <c r="AS388" s="114">
        <f>Inputs!$A$44</f>
        <v>0</v>
      </c>
      <c r="AT388" s="45">
        <f>Inputs!$B$44</f>
        <v>0</v>
      </c>
      <c r="AU388" s="45" t="s">
        <v>57</v>
      </c>
      <c r="AV388" s="45">
        <f t="shared" si="334"/>
        <v>0</v>
      </c>
      <c r="AW388" s="50"/>
      <c r="AX388" s="118">
        <v>8</v>
      </c>
      <c r="AY388" s="114">
        <f>Inputs!$A$44</f>
        <v>0</v>
      </c>
      <c r="AZ388" s="45">
        <f>Inputs!$B$44</f>
        <v>0</v>
      </c>
      <c r="BA388" s="45" t="s">
        <v>58</v>
      </c>
      <c r="BB388" s="45">
        <f t="shared" si="331"/>
        <v>0</v>
      </c>
      <c r="BC388" s="50"/>
      <c r="BD388" s="45">
        <v>0</v>
      </c>
      <c r="BE388" s="45">
        <v>0</v>
      </c>
      <c r="BF388" s="45">
        <f t="shared" si="387"/>
        <v>0</v>
      </c>
      <c r="BG388" s="50"/>
      <c r="BH388" s="45">
        <f t="shared" si="388"/>
        <v>0</v>
      </c>
      <c r="BI388" s="64">
        <f>BD388*Inputs!$F$44*Inputs!$G$44</f>
        <v>0</v>
      </c>
      <c r="BJ388" s="45">
        <f>Inputs!$F$44*Inputs!$I$44*BE388</f>
        <v>0</v>
      </c>
      <c r="BK388" s="55"/>
      <c r="BM388" s="116">
        <v>8</v>
      </c>
      <c r="BN388" s="114">
        <f>Inputs!$A$44</f>
        <v>0</v>
      </c>
      <c r="BO388" s="45">
        <f>Inputs!$B$44</f>
        <v>0</v>
      </c>
      <c r="BP388" s="45" t="s">
        <v>57</v>
      </c>
      <c r="BQ388" s="45">
        <f t="shared" si="332"/>
        <v>0</v>
      </c>
      <c r="BR388" s="50"/>
      <c r="BS388" s="118">
        <v>8</v>
      </c>
      <c r="BT388" s="114">
        <f>Inputs!$A$44</f>
        <v>0</v>
      </c>
      <c r="BU388" s="45">
        <f>Inputs!$B$44</f>
        <v>0</v>
      </c>
      <c r="BV388" s="45" t="s">
        <v>58</v>
      </c>
      <c r="BW388" s="45">
        <f t="shared" si="333"/>
        <v>0</v>
      </c>
      <c r="BX388" s="50"/>
      <c r="BY388" s="45">
        <v>0</v>
      </c>
      <c r="BZ388" s="45">
        <v>0</v>
      </c>
      <c r="CA388" s="45">
        <f t="shared" si="389"/>
        <v>0</v>
      </c>
      <c r="CB388" s="50"/>
      <c r="CC388" s="45">
        <f t="shared" si="390"/>
        <v>0</v>
      </c>
      <c r="CD388" s="64">
        <f>BY388*Inputs!$F$44*Inputs!$G$44</f>
        <v>0</v>
      </c>
      <c r="CE388" s="45">
        <f>Inputs!$F$44*Inputs!$I$44*BZ388</f>
        <v>0</v>
      </c>
      <c r="CF388" s="55"/>
    </row>
    <row r="389" spans="1:84" x14ac:dyDescent="0.25">
      <c r="A389" s="116">
        <v>9</v>
      </c>
      <c r="B389" s="114">
        <f>Inputs!$A$44</f>
        <v>0</v>
      </c>
      <c r="C389" s="45">
        <f>Inputs!$B$44</f>
        <v>0</v>
      </c>
      <c r="D389" s="45" t="s">
        <v>57</v>
      </c>
      <c r="E389" s="45">
        <v>0</v>
      </c>
      <c r="F389" s="50"/>
      <c r="G389" s="118">
        <v>9</v>
      </c>
      <c r="H389" s="114">
        <f>Inputs!$A$44</f>
        <v>0</v>
      </c>
      <c r="I389" s="45">
        <f>Inputs!$B$44</f>
        <v>0</v>
      </c>
      <c r="J389" s="45" t="s">
        <v>58</v>
      </c>
      <c r="K389" s="45">
        <v>0</v>
      </c>
      <c r="L389" s="50"/>
      <c r="M389" s="45">
        <v>0</v>
      </c>
      <c r="N389" s="45">
        <v>0</v>
      </c>
      <c r="O389" s="45">
        <f t="shared" si="383"/>
        <v>0</v>
      </c>
      <c r="P389" s="50"/>
      <c r="Q389" s="45">
        <f t="shared" si="384"/>
        <v>0</v>
      </c>
      <c r="R389" s="64">
        <f>M389*Inputs!$F$44*Inputs!$G$44</f>
        <v>0</v>
      </c>
      <c r="S389" s="45">
        <f>Inputs!$F$44*Inputs!$I$44*N389</f>
        <v>0</v>
      </c>
      <c r="T389" s="18"/>
      <c r="U389" s="55"/>
      <c r="W389" s="116">
        <v>9</v>
      </c>
      <c r="X389" s="114">
        <f>Inputs!$A$44</f>
        <v>0</v>
      </c>
      <c r="Y389" s="45">
        <f>Inputs!$B$44</f>
        <v>0</v>
      </c>
      <c r="Z389" s="45" t="s">
        <v>57</v>
      </c>
      <c r="AA389" s="45">
        <f t="shared" ref="AA389:AA454" si="391">E389</f>
        <v>0</v>
      </c>
      <c r="AB389" s="50"/>
      <c r="AC389" s="118">
        <v>9</v>
      </c>
      <c r="AD389" s="114">
        <f>Inputs!$A$44</f>
        <v>0</v>
      </c>
      <c r="AE389" s="45">
        <f>Inputs!$B$44</f>
        <v>0</v>
      </c>
      <c r="AF389" s="45" t="s">
        <v>58</v>
      </c>
      <c r="AG389" s="45">
        <f t="shared" ref="AG389:AG454" si="392">K389</f>
        <v>0</v>
      </c>
      <c r="AH389" s="50"/>
      <c r="AI389" s="45">
        <v>0</v>
      </c>
      <c r="AJ389" s="45">
        <v>0</v>
      </c>
      <c r="AK389" s="45">
        <f t="shared" si="385"/>
        <v>0</v>
      </c>
      <c r="AL389" s="50"/>
      <c r="AM389" s="45">
        <f t="shared" si="386"/>
        <v>0</v>
      </c>
      <c r="AN389" s="64">
        <f>AI389*Inputs!$F$44*Inputs!$G$44</f>
        <v>0</v>
      </c>
      <c r="AO389" s="45">
        <f>Inputs!$F$44*Inputs!$I$44*AJ389</f>
        <v>0</v>
      </c>
      <c r="AP389" s="55"/>
      <c r="AR389" s="116">
        <v>9</v>
      </c>
      <c r="AS389" s="114">
        <f>Inputs!$A$44</f>
        <v>0</v>
      </c>
      <c r="AT389" s="45">
        <f>Inputs!$B$44</f>
        <v>0</v>
      </c>
      <c r="AU389" s="45" t="s">
        <v>57</v>
      </c>
      <c r="AV389" s="45">
        <f t="shared" si="334"/>
        <v>0</v>
      </c>
      <c r="AW389" s="50"/>
      <c r="AX389" s="118">
        <v>9</v>
      </c>
      <c r="AY389" s="114">
        <f>Inputs!$A$44</f>
        <v>0</v>
      </c>
      <c r="AZ389" s="45">
        <f>Inputs!$B$44</f>
        <v>0</v>
      </c>
      <c r="BA389" s="45" t="s">
        <v>58</v>
      </c>
      <c r="BB389" s="45">
        <f t="shared" ref="BB389:BB454" si="393">K389</f>
        <v>0</v>
      </c>
      <c r="BC389" s="50"/>
      <c r="BD389" s="45">
        <v>0</v>
      </c>
      <c r="BE389" s="45">
        <v>0</v>
      </c>
      <c r="BF389" s="45">
        <f t="shared" si="387"/>
        <v>0</v>
      </c>
      <c r="BG389" s="50"/>
      <c r="BH389" s="45">
        <f t="shared" si="388"/>
        <v>0</v>
      </c>
      <c r="BI389" s="64">
        <f>BD389*Inputs!$F$44*Inputs!$G$44</f>
        <v>0</v>
      </c>
      <c r="BJ389" s="45">
        <f>Inputs!$F$44*Inputs!$I$44*BE389</f>
        <v>0</v>
      </c>
      <c r="BK389" s="55"/>
      <c r="BM389" s="116">
        <v>9</v>
      </c>
      <c r="BN389" s="114">
        <f>Inputs!$A$44</f>
        <v>0</v>
      </c>
      <c r="BO389" s="45">
        <f>Inputs!$B$44</f>
        <v>0</v>
      </c>
      <c r="BP389" s="45" t="s">
        <v>57</v>
      </c>
      <c r="BQ389" s="45">
        <f t="shared" ref="BQ389:BQ454" si="394">E389</f>
        <v>0</v>
      </c>
      <c r="BR389" s="50"/>
      <c r="BS389" s="118">
        <v>9</v>
      </c>
      <c r="BT389" s="114">
        <f>Inputs!$A$44</f>
        <v>0</v>
      </c>
      <c r="BU389" s="45">
        <f>Inputs!$B$44</f>
        <v>0</v>
      </c>
      <c r="BV389" s="45" t="s">
        <v>58</v>
      </c>
      <c r="BW389" s="45">
        <f t="shared" ref="BW389:BW454" si="395">K389</f>
        <v>0</v>
      </c>
      <c r="BX389" s="50"/>
      <c r="BY389" s="45">
        <v>0</v>
      </c>
      <c r="BZ389" s="45">
        <v>0</v>
      </c>
      <c r="CA389" s="45">
        <f t="shared" si="389"/>
        <v>0</v>
      </c>
      <c r="CB389" s="50"/>
      <c r="CC389" s="45">
        <f t="shared" si="390"/>
        <v>0</v>
      </c>
      <c r="CD389" s="64">
        <f>BY389*Inputs!$F$44*Inputs!$G$44</f>
        <v>0</v>
      </c>
      <c r="CE389" s="45">
        <f>Inputs!$F$44*Inputs!$I$44*BZ389</f>
        <v>0</v>
      </c>
      <c r="CF389" s="55"/>
    </row>
    <row r="390" spans="1:84" x14ac:dyDescent="0.25">
      <c r="A390" s="116">
        <v>10</v>
      </c>
      <c r="B390" s="114">
        <f>Inputs!$A$44</f>
        <v>0</v>
      </c>
      <c r="C390" s="45">
        <f>Inputs!$B$44</f>
        <v>0</v>
      </c>
      <c r="D390" s="45" t="s">
        <v>57</v>
      </c>
      <c r="E390" s="45">
        <v>0</v>
      </c>
      <c r="F390" s="50"/>
      <c r="G390" s="118">
        <v>10</v>
      </c>
      <c r="H390" s="114">
        <f>Inputs!$A$44</f>
        <v>0</v>
      </c>
      <c r="I390" s="45">
        <f>Inputs!$B$44</f>
        <v>0</v>
      </c>
      <c r="J390" s="45" t="s">
        <v>58</v>
      </c>
      <c r="K390" s="45">
        <v>0</v>
      </c>
      <c r="L390" s="50"/>
      <c r="M390" s="45">
        <v>0</v>
      </c>
      <c r="N390" s="45">
        <v>0</v>
      </c>
      <c r="O390" s="45">
        <f t="shared" si="383"/>
        <v>0</v>
      </c>
      <c r="P390" s="50"/>
      <c r="Q390" s="45">
        <f t="shared" si="384"/>
        <v>0</v>
      </c>
      <c r="R390" s="64">
        <f>M390*Inputs!$F$44*Inputs!$G$44</f>
        <v>0</v>
      </c>
      <c r="S390" s="45">
        <f>Inputs!$F$44*Inputs!$I$44*N390</f>
        <v>0</v>
      </c>
      <c r="T390" s="18"/>
      <c r="U390" s="91"/>
      <c r="W390" s="116">
        <v>10</v>
      </c>
      <c r="X390" s="114">
        <f>Inputs!$A$44</f>
        <v>0</v>
      </c>
      <c r="Y390" s="45">
        <f>Inputs!$B$44</f>
        <v>0</v>
      </c>
      <c r="Z390" s="45" t="s">
        <v>57</v>
      </c>
      <c r="AA390" s="45">
        <f t="shared" si="391"/>
        <v>0</v>
      </c>
      <c r="AB390" s="50"/>
      <c r="AC390" s="118">
        <v>10</v>
      </c>
      <c r="AD390" s="114">
        <f>Inputs!$A$44</f>
        <v>0</v>
      </c>
      <c r="AE390" s="45">
        <f>Inputs!$B$44</f>
        <v>0</v>
      </c>
      <c r="AF390" s="45" t="s">
        <v>58</v>
      </c>
      <c r="AG390" s="45">
        <f t="shared" si="392"/>
        <v>0</v>
      </c>
      <c r="AH390" s="50"/>
      <c r="AI390" s="45">
        <v>0</v>
      </c>
      <c r="AJ390" s="45">
        <v>0</v>
      </c>
      <c r="AK390" s="45">
        <f t="shared" si="385"/>
        <v>0</v>
      </c>
      <c r="AL390" s="50"/>
      <c r="AM390" s="45">
        <f t="shared" si="386"/>
        <v>0</v>
      </c>
      <c r="AN390" s="64">
        <f>AI390*Inputs!$F$44*Inputs!$G$44</f>
        <v>0</v>
      </c>
      <c r="AO390" s="45">
        <f>Inputs!$F$44*Inputs!$I$44*AJ390</f>
        <v>0</v>
      </c>
      <c r="AP390" s="91"/>
      <c r="AR390" s="116">
        <v>10</v>
      </c>
      <c r="AS390" s="114">
        <f>Inputs!$A$44</f>
        <v>0</v>
      </c>
      <c r="AT390" s="45">
        <f>Inputs!$B$44</f>
        <v>0</v>
      </c>
      <c r="AU390" s="45" t="s">
        <v>57</v>
      </c>
      <c r="AV390" s="45">
        <f t="shared" ref="AV390:AV453" si="396">E390</f>
        <v>0</v>
      </c>
      <c r="AW390" s="50"/>
      <c r="AX390" s="118">
        <v>10</v>
      </c>
      <c r="AY390" s="114">
        <f>Inputs!$A$44</f>
        <v>0</v>
      </c>
      <c r="AZ390" s="45">
        <f>Inputs!$B$44</f>
        <v>0</v>
      </c>
      <c r="BA390" s="45" t="s">
        <v>58</v>
      </c>
      <c r="BB390" s="45">
        <f t="shared" si="393"/>
        <v>0</v>
      </c>
      <c r="BC390" s="50"/>
      <c r="BD390" s="45">
        <v>0</v>
      </c>
      <c r="BE390" s="45">
        <v>0</v>
      </c>
      <c r="BF390" s="45">
        <f t="shared" si="387"/>
        <v>0</v>
      </c>
      <c r="BG390" s="50"/>
      <c r="BH390" s="45">
        <f t="shared" si="388"/>
        <v>0</v>
      </c>
      <c r="BI390" s="64">
        <f>BD390*Inputs!$F$44*Inputs!$G$44</f>
        <v>0</v>
      </c>
      <c r="BJ390" s="45">
        <f>Inputs!$F$44*Inputs!$I$44*BE390</f>
        <v>0</v>
      </c>
      <c r="BK390" s="91"/>
      <c r="BM390" s="116">
        <v>10</v>
      </c>
      <c r="BN390" s="114">
        <f>Inputs!$A$44</f>
        <v>0</v>
      </c>
      <c r="BO390" s="45">
        <f>Inputs!$B$44</f>
        <v>0</v>
      </c>
      <c r="BP390" s="45" t="s">
        <v>57</v>
      </c>
      <c r="BQ390" s="45">
        <f t="shared" si="394"/>
        <v>0</v>
      </c>
      <c r="BR390" s="50"/>
      <c r="BS390" s="118">
        <v>10</v>
      </c>
      <c r="BT390" s="114">
        <f>Inputs!$A$44</f>
        <v>0</v>
      </c>
      <c r="BU390" s="45">
        <f>Inputs!$B$44</f>
        <v>0</v>
      </c>
      <c r="BV390" s="45" t="s">
        <v>58</v>
      </c>
      <c r="BW390" s="45">
        <f t="shared" si="395"/>
        <v>0</v>
      </c>
      <c r="BX390" s="50"/>
      <c r="BY390" s="45">
        <v>0</v>
      </c>
      <c r="BZ390" s="45">
        <v>0</v>
      </c>
      <c r="CA390" s="45">
        <f t="shared" si="389"/>
        <v>0</v>
      </c>
      <c r="CB390" s="50"/>
      <c r="CC390" s="45">
        <f t="shared" si="390"/>
        <v>0</v>
      </c>
      <c r="CD390" s="64">
        <f>BY390*Inputs!$F$44*Inputs!$G$44</f>
        <v>0</v>
      </c>
      <c r="CE390" s="45">
        <f>Inputs!$F$44*Inputs!$I$44*BZ390</f>
        <v>0</v>
      </c>
      <c r="CF390" s="91"/>
    </row>
    <row r="391" spans="1:84" x14ac:dyDescent="0.25">
      <c r="A391" s="116">
        <v>11</v>
      </c>
      <c r="B391" s="114">
        <f>Inputs!$A$44</f>
        <v>0</v>
      </c>
      <c r="C391" s="45">
        <f>Inputs!$B$44</f>
        <v>0</v>
      </c>
      <c r="D391" s="45" t="s">
        <v>57</v>
      </c>
      <c r="E391" s="45">
        <v>0</v>
      </c>
      <c r="F391" s="50"/>
      <c r="G391" s="118">
        <v>11</v>
      </c>
      <c r="H391" s="114">
        <f>Inputs!$A$44</f>
        <v>0</v>
      </c>
      <c r="I391" s="45">
        <f>Inputs!$B$44</f>
        <v>0</v>
      </c>
      <c r="J391" s="45" t="s">
        <v>58</v>
      </c>
      <c r="K391" s="45">
        <v>0</v>
      </c>
      <c r="L391" s="50"/>
      <c r="M391" s="45">
        <v>0</v>
      </c>
      <c r="N391" s="45">
        <v>0</v>
      </c>
      <c r="O391" s="45">
        <f t="shared" si="383"/>
        <v>0</v>
      </c>
      <c r="P391" s="50"/>
      <c r="Q391" s="45">
        <f t="shared" si="384"/>
        <v>0</v>
      </c>
      <c r="R391" s="64">
        <f>M391*Inputs!$F$44*Inputs!$H$44</f>
        <v>0</v>
      </c>
      <c r="S391" s="45">
        <f>Inputs!$F$44*Inputs!$I$44*N391</f>
        <v>0</v>
      </c>
      <c r="T391" s="18"/>
      <c r="U391" s="56"/>
      <c r="W391" s="116">
        <v>11</v>
      </c>
      <c r="X391" s="114">
        <f>Inputs!$A$44</f>
        <v>0</v>
      </c>
      <c r="Y391" s="45">
        <f>Inputs!$B$44</f>
        <v>0</v>
      </c>
      <c r="Z391" s="45" t="s">
        <v>57</v>
      </c>
      <c r="AA391" s="45">
        <f t="shared" si="391"/>
        <v>0</v>
      </c>
      <c r="AB391" s="50"/>
      <c r="AC391" s="118">
        <v>11</v>
      </c>
      <c r="AD391" s="114">
        <f>Inputs!$A$44</f>
        <v>0</v>
      </c>
      <c r="AE391" s="45">
        <f>Inputs!$B$44</f>
        <v>0</v>
      </c>
      <c r="AF391" s="45" t="s">
        <v>58</v>
      </c>
      <c r="AG391" s="45">
        <f t="shared" si="392"/>
        <v>0</v>
      </c>
      <c r="AH391" s="50"/>
      <c r="AI391" s="45">
        <v>0</v>
      </c>
      <c r="AJ391" s="45">
        <v>0</v>
      </c>
      <c r="AK391" s="45">
        <f t="shared" si="385"/>
        <v>0</v>
      </c>
      <c r="AL391" s="50"/>
      <c r="AM391" s="45">
        <f t="shared" si="386"/>
        <v>0</v>
      </c>
      <c r="AN391" s="64">
        <f>AI391*Inputs!$F$44*Inputs!$H$44</f>
        <v>0</v>
      </c>
      <c r="AO391" s="45">
        <f>Inputs!$F$44*Inputs!$I$44*AJ391</f>
        <v>0</v>
      </c>
      <c r="AP391" s="56"/>
      <c r="AR391" s="116">
        <v>11</v>
      </c>
      <c r="AS391" s="114">
        <f>Inputs!$A$44</f>
        <v>0</v>
      </c>
      <c r="AT391" s="45">
        <f>Inputs!$B$44</f>
        <v>0</v>
      </c>
      <c r="AU391" s="45" t="s">
        <v>57</v>
      </c>
      <c r="AV391" s="45">
        <f t="shared" si="396"/>
        <v>0</v>
      </c>
      <c r="AW391" s="50"/>
      <c r="AX391" s="118">
        <v>11</v>
      </c>
      <c r="AY391" s="114">
        <f>Inputs!$A$44</f>
        <v>0</v>
      </c>
      <c r="AZ391" s="45">
        <f>Inputs!$B$44</f>
        <v>0</v>
      </c>
      <c r="BA391" s="45" t="s">
        <v>58</v>
      </c>
      <c r="BB391" s="45">
        <f t="shared" si="393"/>
        <v>0</v>
      </c>
      <c r="BC391" s="50"/>
      <c r="BD391" s="45">
        <v>0</v>
      </c>
      <c r="BE391" s="45">
        <v>0</v>
      </c>
      <c r="BF391" s="45">
        <f t="shared" si="387"/>
        <v>0</v>
      </c>
      <c r="BG391" s="50"/>
      <c r="BH391" s="45">
        <f t="shared" si="388"/>
        <v>0</v>
      </c>
      <c r="BI391" s="64">
        <f>BD391*Inputs!$F$44*Inputs!$H$44</f>
        <v>0</v>
      </c>
      <c r="BJ391" s="45">
        <f>Inputs!$F$44*Inputs!$I$44*BE391</f>
        <v>0</v>
      </c>
      <c r="BK391" s="56"/>
      <c r="BM391" s="116">
        <v>11</v>
      </c>
      <c r="BN391" s="114">
        <f>Inputs!$A$44</f>
        <v>0</v>
      </c>
      <c r="BO391" s="45">
        <f>Inputs!$B$44</f>
        <v>0</v>
      </c>
      <c r="BP391" s="45" t="s">
        <v>57</v>
      </c>
      <c r="BQ391" s="45">
        <f t="shared" si="394"/>
        <v>0</v>
      </c>
      <c r="BR391" s="50"/>
      <c r="BS391" s="118">
        <v>11</v>
      </c>
      <c r="BT391" s="114">
        <f>Inputs!$A$44</f>
        <v>0</v>
      </c>
      <c r="BU391" s="45">
        <f>Inputs!$B$44</f>
        <v>0</v>
      </c>
      <c r="BV391" s="45" t="s">
        <v>58</v>
      </c>
      <c r="BW391" s="45">
        <f t="shared" si="395"/>
        <v>0</v>
      </c>
      <c r="BX391" s="50"/>
      <c r="BY391" s="45">
        <v>0</v>
      </c>
      <c r="BZ391" s="45">
        <v>0</v>
      </c>
      <c r="CA391" s="45">
        <f t="shared" si="389"/>
        <v>0</v>
      </c>
      <c r="CB391" s="50"/>
      <c r="CC391" s="45">
        <f t="shared" si="390"/>
        <v>0</v>
      </c>
      <c r="CD391" s="64">
        <f>BY391*Inputs!$F$44*Inputs!$H$44</f>
        <v>0</v>
      </c>
      <c r="CE391" s="45">
        <f>Inputs!$F$44*Inputs!$I$44*BZ391</f>
        <v>0</v>
      </c>
      <c r="CF391" s="56"/>
    </row>
    <row r="392" spans="1:84" x14ac:dyDescent="0.25">
      <c r="A392" s="117">
        <v>3</v>
      </c>
      <c r="B392" s="115">
        <f>Inputs!$A$45</f>
        <v>0</v>
      </c>
      <c r="C392" s="44">
        <f>Inputs!$B$45</f>
        <v>0</v>
      </c>
      <c r="D392" s="44" t="s">
        <v>57</v>
      </c>
      <c r="E392" s="44">
        <v>0</v>
      </c>
      <c r="F392" s="50"/>
      <c r="G392" s="119">
        <v>3</v>
      </c>
      <c r="H392" s="115">
        <f>Inputs!$A$45</f>
        <v>0</v>
      </c>
      <c r="I392" s="44">
        <f>Inputs!$B$45</f>
        <v>0</v>
      </c>
      <c r="J392" s="44" t="s">
        <v>58</v>
      </c>
      <c r="K392" s="44">
        <v>0</v>
      </c>
      <c r="L392" s="50"/>
      <c r="M392" s="44">
        <v>0</v>
      </c>
      <c r="N392" s="44">
        <v>0</v>
      </c>
      <c r="O392" s="44">
        <f>U392-0-E392-K392</f>
        <v>0</v>
      </c>
      <c r="P392" s="50"/>
      <c r="Q392" s="44">
        <f>E392+K392+N392-U392+0-M392</f>
        <v>0</v>
      </c>
      <c r="R392" s="63">
        <f>M392*Inputs!$F$45*Inputs!$G$45</f>
        <v>0</v>
      </c>
      <c r="S392" s="44">
        <f>Inputs!$F$45*Inputs!$I$45*N392</f>
        <v>0</v>
      </c>
      <c r="T392" s="18"/>
      <c r="U392" s="54"/>
      <c r="W392" s="117">
        <v>3</v>
      </c>
      <c r="X392" s="115">
        <f>Inputs!$A$45</f>
        <v>0</v>
      </c>
      <c r="Y392" s="44">
        <f>Inputs!$B$45</f>
        <v>0</v>
      </c>
      <c r="Z392" s="44" t="s">
        <v>57</v>
      </c>
      <c r="AA392" s="44">
        <f t="shared" si="391"/>
        <v>0</v>
      </c>
      <c r="AB392" s="50"/>
      <c r="AC392" s="119">
        <v>3</v>
      </c>
      <c r="AD392" s="115">
        <f>Inputs!$A$45</f>
        <v>0</v>
      </c>
      <c r="AE392" s="44">
        <f>Inputs!$B$45</f>
        <v>0</v>
      </c>
      <c r="AF392" s="44" t="s">
        <v>58</v>
      </c>
      <c r="AG392" s="44">
        <f t="shared" si="392"/>
        <v>0</v>
      </c>
      <c r="AH392" s="50"/>
      <c r="AI392" s="44">
        <v>0</v>
      </c>
      <c r="AJ392" s="44">
        <v>0</v>
      </c>
      <c r="AK392" s="44">
        <f>AP392-0-AA392-AG392</f>
        <v>0</v>
      </c>
      <c r="AL392" s="50"/>
      <c r="AM392" s="44">
        <f>AA392+AG392+AJ392-AP392+0-AI392</f>
        <v>0</v>
      </c>
      <c r="AN392" s="63">
        <f>AI392*Inputs!$F$45*Inputs!$G$45</f>
        <v>0</v>
      </c>
      <c r="AO392" s="44">
        <f>Inputs!$F$45*Inputs!$I$45*AJ392</f>
        <v>0</v>
      </c>
      <c r="AP392" s="54"/>
      <c r="AR392" s="117">
        <v>3</v>
      </c>
      <c r="AS392" s="115">
        <f>Inputs!$A$45</f>
        <v>0</v>
      </c>
      <c r="AT392" s="44">
        <f>Inputs!$B$45</f>
        <v>0</v>
      </c>
      <c r="AU392" s="44" t="s">
        <v>57</v>
      </c>
      <c r="AV392" s="44">
        <f t="shared" si="396"/>
        <v>0</v>
      </c>
      <c r="AW392" s="50"/>
      <c r="AX392" s="119">
        <v>3</v>
      </c>
      <c r="AY392" s="115">
        <f>Inputs!$A$45</f>
        <v>0</v>
      </c>
      <c r="AZ392" s="44">
        <f>Inputs!$B$45</f>
        <v>0</v>
      </c>
      <c r="BA392" s="44" t="s">
        <v>58</v>
      </c>
      <c r="BB392" s="44">
        <f t="shared" si="393"/>
        <v>0</v>
      </c>
      <c r="BC392" s="50"/>
      <c r="BD392" s="44">
        <v>0</v>
      </c>
      <c r="BE392" s="44">
        <v>0</v>
      </c>
      <c r="BF392" s="44">
        <f>BK392-0-AV392-BB392</f>
        <v>0</v>
      </c>
      <c r="BG392" s="50"/>
      <c r="BH392" s="44">
        <f>AV392+BB392+BE392-BK392+0-BD392</f>
        <v>0</v>
      </c>
      <c r="BI392" s="63">
        <f>BD392*Inputs!$F$45*Inputs!$G$45</f>
        <v>0</v>
      </c>
      <c r="BJ392" s="44">
        <f>Inputs!$F$45*Inputs!$I$45*BE392</f>
        <v>0</v>
      </c>
      <c r="BK392" s="54"/>
      <c r="BM392" s="117">
        <v>3</v>
      </c>
      <c r="BN392" s="115">
        <f>Inputs!$A$45</f>
        <v>0</v>
      </c>
      <c r="BO392" s="44">
        <f>Inputs!$B$45</f>
        <v>0</v>
      </c>
      <c r="BP392" s="44" t="s">
        <v>57</v>
      </c>
      <c r="BQ392" s="44">
        <f t="shared" si="394"/>
        <v>0</v>
      </c>
      <c r="BR392" s="50"/>
      <c r="BS392" s="119">
        <v>3</v>
      </c>
      <c r="BT392" s="115">
        <f>Inputs!$A$45</f>
        <v>0</v>
      </c>
      <c r="BU392" s="44">
        <f>Inputs!$B$45</f>
        <v>0</v>
      </c>
      <c r="BV392" s="44" t="s">
        <v>58</v>
      </c>
      <c r="BW392" s="44">
        <f t="shared" si="395"/>
        <v>0</v>
      </c>
      <c r="BX392" s="50"/>
      <c r="BY392" s="44">
        <v>0</v>
      </c>
      <c r="BZ392" s="44">
        <v>0</v>
      </c>
      <c r="CA392" s="44">
        <f>CF392-0-BQ392-BW392</f>
        <v>0</v>
      </c>
      <c r="CB392" s="50"/>
      <c r="CC392" s="44">
        <f>BQ392+BW392+BZ392-CF392+0-BY392</f>
        <v>0</v>
      </c>
      <c r="CD392" s="63">
        <f>BY392*Inputs!$F$45*Inputs!$G$45</f>
        <v>0</v>
      </c>
      <c r="CE392" s="44">
        <f>Inputs!$F$45*Inputs!$I$45*BZ392</f>
        <v>0</v>
      </c>
      <c r="CF392" s="54"/>
    </row>
    <row r="393" spans="1:84" x14ac:dyDescent="0.25">
      <c r="A393" s="117">
        <v>4</v>
      </c>
      <c r="B393" s="115">
        <f>Inputs!$A$45</f>
        <v>0</v>
      </c>
      <c r="C393" s="44">
        <f>Inputs!$B$45</f>
        <v>0</v>
      </c>
      <c r="D393" s="44" t="s">
        <v>57</v>
      </c>
      <c r="E393" s="44">
        <v>0</v>
      </c>
      <c r="F393" s="50"/>
      <c r="G393" s="119">
        <v>4</v>
      </c>
      <c r="H393" s="115">
        <f>Inputs!$A$45</f>
        <v>0</v>
      </c>
      <c r="I393" s="44">
        <f>Inputs!$B$45</f>
        <v>0</v>
      </c>
      <c r="J393" s="44" t="s">
        <v>58</v>
      </c>
      <c r="K393" s="44">
        <v>0</v>
      </c>
      <c r="L393" s="50"/>
      <c r="M393" s="44">
        <v>0</v>
      </c>
      <c r="N393" s="44">
        <v>0</v>
      </c>
      <c r="O393" s="44">
        <f t="shared" ref="O393:O400" si="397">U393-M392-E393-K393</f>
        <v>0</v>
      </c>
      <c r="P393" s="50"/>
      <c r="Q393" s="44">
        <f t="shared" ref="Q393:Q400" si="398">E393+K393+N393-U393+M392-M393</f>
        <v>0</v>
      </c>
      <c r="R393" s="63">
        <f>M393*Inputs!$F$45*Inputs!$G$45</f>
        <v>0</v>
      </c>
      <c r="S393" s="44">
        <f>Inputs!$F$45*Inputs!$I$45*N393</f>
        <v>0</v>
      </c>
      <c r="T393" s="18"/>
      <c r="U393" s="55"/>
      <c r="W393" s="117">
        <v>4</v>
      </c>
      <c r="X393" s="115">
        <f>Inputs!$A$45</f>
        <v>0</v>
      </c>
      <c r="Y393" s="44">
        <f>Inputs!$B$45</f>
        <v>0</v>
      </c>
      <c r="Z393" s="44" t="s">
        <v>57</v>
      </c>
      <c r="AA393" s="44">
        <f t="shared" si="391"/>
        <v>0</v>
      </c>
      <c r="AB393" s="50"/>
      <c r="AC393" s="119">
        <v>4</v>
      </c>
      <c r="AD393" s="115">
        <f>Inputs!$A$45</f>
        <v>0</v>
      </c>
      <c r="AE393" s="44">
        <f>Inputs!$B$45</f>
        <v>0</v>
      </c>
      <c r="AF393" s="44" t="s">
        <v>58</v>
      </c>
      <c r="AG393" s="44">
        <f t="shared" si="392"/>
        <v>0</v>
      </c>
      <c r="AH393" s="50"/>
      <c r="AI393" s="44">
        <v>0</v>
      </c>
      <c r="AJ393" s="44">
        <v>0</v>
      </c>
      <c r="AK393" s="44">
        <f t="shared" ref="AK393:AK400" si="399">AP393-AI392-AA393-AG393</f>
        <v>0</v>
      </c>
      <c r="AL393" s="50"/>
      <c r="AM393" s="44">
        <f t="shared" ref="AM393:AM400" si="400">AA393+AG393+AJ393-AP393+AI392-AI393</f>
        <v>0</v>
      </c>
      <c r="AN393" s="63">
        <f>AI393*Inputs!$F$45*Inputs!$G$45</f>
        <v>0</v>
      </c>
      <c r="AO393" s="44">
        <f>Inputs!$F$45*Inputs!$I$45*AJ393</f>
        <v>0</v>
      </c>
      <c r="AP393" s="55"/>
      <c r="AR393" s="117">
        <v>4</v>
      </c>
      <c r="AS393" s="115">
        <f>Inputs!$A$45</f>
        <v>0</v>
      </c>
      <c r="AT393" s="44">
        <f>Inputs!$B$45</f>
        <v>0</v>
      </c>
      <c r="AU393" s="44" t="s">
        <v>57</v>
      </c>
      <c r="AV393" s="44">
        <f t="shared" si="396"/>
        <v>0</v>
      </c>
      <c r="AW393" s="50"/>
      <c r="AX393" s="119">
        <v>4</v>
      </c>
      <c r="AY393" s="115">
        <f>Inputs!$A$45</f>
        <v>0</v>
      </c>
      <c r="AZ393" s="44">
        <f>Inputs!$B$45</f>
        <v>0</v>
      </c>
      <c r="BA393" s="44" t="s">
        <v>58</v>
      </c>
      <c r="BB393" s="44">
        <f t="shared" si="393"/>
        <v>0</v>
      </c>
      <c r="BC393" s="50"/>
      <c r="BD393" s="44">
        <v>0</v>
      </c>
      <c r="BE393" s="44">
        <v>0</v>
      </c>
      <c r="BF393" s="44">
        <f t="shared" ref="BF393:BF400" si="401">BK393-BD392-AV393-BB393</f>
        <v>0</v>
      </c>
      <c r="BG393" s="50"/>
      <c r="BH393" s="44">
        <f t="shared" ref="BH393:BH400" si="402">AV393+BB393+BE393-BK393+BD392-BD393</f>
        <v>0</v>
      </c>
      <c r="BI393" s="63">
        <f>BD393*Inputs!$F$45*Inputs!$G$45</f>
        <v>0</v>
      </c>
      <c r="BJ393" s="44">
        <f>Inputs!$F$45*Inputs!$I$45*BE393</f>
        <v>0</v>
      </c>
      <c r="BK393" s="55"/>
      <c r="BM393" s="117">
        <v>4</v>
      </c>
      <c r="BN393" s="115">
        <f>Inputs!$A$45</f>
        <v>0</v>
      </c>
      <c r="BO393" s="44">
        <f>Inputs!$B$45</f>
        <v>0</v>
      </c>
      <c r="BP393" s="44" t="s">
        <v>57</v>
      </c>
      <c r="BQ393" s="44">
        <f t="shared" si="394"/>
        <v>0</v>
      </c>
      <c r="BR393" s="50"/>
      <c r="BS393" s="119">
        <v>4</v>
      </c>
      <c r="BT393" s="115">
        <f>Inputs!$A$45</f>
        <v>0</v>
      </c>
      <c r="BU393" s="44">
        <f>Inputs!$B$45</f>
        <v>0</v>
      </c>
      <c r="BV393" s="44" t="s">
        <v>58</v>
      </c>
      <c r="BW393" s="44">
        <f t="shared" si="395"/>
        <v>0</v>
      </c>
      <c r="BX393" s="50"/>
      <c r="BY393" s="44">
        <v>0</v>
      </c>
      <c r="BZ393" s="44">
        <v>0</v>
      </c>
      <c r="CA393" s="44">
        <f t="shared" ref="CA393:CA400" si="403">CF393-BY392-BQ393-BW393</f>
        <v>0</v>
      </c>
      <c r="CB393" s="50"/>
      <c r="CC393" s="44">
        <f t="shared" ref="CC393:CC400" si="404">BQ393+BW393+BZ393-CF393+BY392-BY393</f>
        <v>0</v>
      </c>
      <c r="CD393" s="63">
        <f>BY393*Inputs!$F$45*Inputs!$G$45</f>
        <v>0</v>
      </c>
      <c r="CE393" s="44">
        <f>Inputs!$F$45*Inputs!$I$45*BZ393</f>
        <v>0</v>
      </c>
      <c r="CF393" s="55"/>
    </row>
    <row r="394" spans="1:84" x14ac:dyDescent="0.25">
      <c r="A394" s="117">
        <v>5</v>
      </c>
      <c r="B394" s="115">
        <f>Inputs!$A$45</f>
        <v>0</v>
      </c>
      <c r="C394" s="44">
        <f>Inputs!$B$45</f>
        <v>0</v>
      </c>
      <c r="D394" s="44" t="s">
        <v>57</v>
      </c>
      <c r="E394" s="44">
        <v>0</v>
      </c>
      <c r="F394" s="50"/>
      <c r="G394" s="119">
        <v>5</v>
      </c>
      <c r="H394" s="115">
        <f>Inputs!$A$45</f>
        <v>0</v>
      </c>
      <c r="I394" s="44">
        <f>Inputs!$B$45</f>
        <v>0</v>
      </c>
      <c r="J394" s="44" t="s">
        <v>58</v>
      </c>
      <c r="K394" s="44">
        <v>0</v>
      </c>
      <c r="L394" s="50"/>
      <c r="M394" s="44">
        <v>0</v>
      </c>
      <c r="N394" s="44">
        <v>0</v>
      </c>
      <c r="O394" s="44">
        <f t="shared" si="397"/>
        <v>0</v>
      </c>
      <c r="P394" s="50"/>
      <c r="Q394" s="44">
        <f t="shared" si="398"/>
        <v>0</v>
      </c>
      <c r="R394" s="63">
        <f>M394*Inputs!$F$45*Inputs!$G$45</f>
        <v>0</v>
      </c>
      <c r="S394" s="44">
        <f>Inputs!$F$45*Inputs!$I$45*N394</f>
        <v>0</v>
      </c>
      <c r="T394" s="18"/>
      <c r="U394" s="55"/>
      <c r="W394" s="117">
        <v>5</v>
      </c>
      <c r="X394" s="115">
        <f>Inputs!$A$45</f>
        <v>0</v>
      </c>
      <c r="Y394" s="44">
        <f>Inputs!$B$45</f>
        <v>0</v>
      </c>
      <c r="Z394" s="44" t="s">
        <v>57</v>
      </c>
      <c r="AA394" s="44">
        <f t="shared" si="391"/>
        <v>0</v>
      </c>
      <c r="AB394" s="50"/>
      <c r="AC394" s="119">
        <v>5</v>
      </c>
      <c r="AD394" s="115">
        <f>Inputs!$A$45</f>
        <v>0</v>
      </c>
      <c r="AE394" s="44">
        <f>Inputs!$B$45</f>
        <v>0</v>
      </c>
      <c r="AF394" s="44" t="s">
        <v>58</v>
      </c>
      <c r="AG394" s="44">
        <f t="shared" si="392"/>
        <v>0</v>
      </c>
      <c r="AH394" s="50"/>
      <c r="AI394" s="44">
        <v>0</v>
      </c>
      <c r="AJ394" s="44">
        <v>0</v>
      </c>
      <c r="AK394" s="44">
        <f t="shared" si="399"/>
        <v>0</v>
      </c>
      <c r="AL394" s="50"/>
      <c r="AM394" s="44">
        <f t="shared" si="400"/>
        <v>0</v>
      </c>
      <c r="AN394" s="63">
        <f>AI394*Inputs!$F$45*Inputs!$G$45</f>
        <v>0</v>
      </c>
      <c r="AO394" s="44">
        <f>Inputs!$F$45*Inputs!$I$45*AJ394</f>
        <v>0</v>
      </c>
      <c r="AP394" s="55"/>
      <c r="AR394" s="117">
        <v>5</v>
      </c>
      <c r="AS394" s="115">
        <f>Inputs!$A$45</f>
        <v>0</v>
      </c>
      <c r="AT394" s="44">
        <f>Inputs!$B$45</f>
        <v>0</v>
      </c>
      <c r="AU394" s="44" t="s">
        <v>57</v>
      </c>
      <c r="AV394" s="44">
        <f t="shared" si="396"/>
        <v>0</v>
      </c>
      <c r="AW394" s="50"/>
      <c r="AX394" s="119">
        <v>5</v>
      </c>
      <c r="AY394" s="115">
        <f>Inputs!$A$45</f>
        <v>0</v>
      </c>
      <c r="AZ394" s="44">
        <f>Inputs!$B$45</f>
        <v>0</v>
      </c>
      <c r="BA394" s="44" t="s">
        <v>58</v>
      </c>
      <c r="BB394" s="44">
        <f t="shared" si="393"/>
        <v>0</v>
      </c>
      <c r="BC394" s="50"/>
      <c r="BD394" s="44">
        <v>0</v>
      </c>
      <c r="BE394" s="44">
        <v>0</v>
      </c>
      <c r="BF394" s="44">
        <f t="shared" si="401"/>
        <v>0</v>
      </c>
      <c r="BG394" s="50"/>
      <c r="BH394" s="44">
        <f t="shared" si="402"/>
        <v>0</v>
      </c>
      <c r="BI394" s="63">
        <f>BD394*Inputs!$F$45*Inputs!$G$45</f>
        <v>0</v>
      </c>
      <c r="BJ394" s="44">
        <f>Inputs!$F$45*Inputs!$I$45*BE394</f>
        <v>0</v>
      </c>
      <c r="BK394" s="55"/>
      <c r="BM394" s="117">
        <v>5</v>
      </c>
      <c r="BN394" s="115">
        <f>Inputs!$A$45</f>
        <v>0</v>
      </c>
      <c r="BO394" s="44">
        <f>Inputs!$B$45</f>
        <v>0</v>
      </c>
      <c r="BP394" s="44" t="s">
        <v>57</v>
      </c>
      <c r="BQ394" s="44">
        <f t="shared" si="394"/>
        <v>0</v>
      </c>
      <c r="BR394" s="50"/>
      <c r="BS394" s="119">
        <v>5</v>
      </c>
      <c r="BT394" s="115">
        <f>Inputs!$A$45</f>
        <v>0</v>
      </c>
      <c r="BU394" s="44">
        <f>Inputs!$B$45</f>
        <v>0</v>
      </c>
      <c r="BV394" s="44" t="s">
        <v>58</v>
      </c>
      <c r="BW394" s="44">
        <f t="shared" si="395"/>
        <v>0</v>
      </c>
      <c r="BX394" s="50"/>
      <c r="BY394" s="44">
        <v>0</v>
      </c>
      <c r="BZ394" s="44">
        <v>0</v>
      </c>
      <c r="CA394" s="44">
        <f t="shared" si="403"/>
        <v>0</v>
      </c>
      <c r="CB394" s="50"/>
      <c r="CC394" s="44">
        <f t="shared" si="404"/>
        <v>0</v>
      </c>
      <c r="CD394" s="63">
        <f>BY394*Inputs!$F$45*Inputs!$G$45</f>
        <v>0</v>
      </c>
      <c r="CE394" s="44">
        <f>Inputs!$F$45*Inputs!$I$45*BZ394</f>
        <v>0</v>
      </c>
      <c r="CF394" s="55"/>
    </row>
    <row r="395" spans="1:84" x14ac:dyDescent="0.25">
      <c r="A395" s="117">
        <v>6</v>
      </c>
      <c r="B395" s="115">
        <f>Inputs!$A$45</f>
        <v>0</v>
      </c>
      <c r="C395" s="44">
        <f>Inputs!$B$45</f>
        <v>0</v>
      </c>
      <c r="D395" s="44" t="s">
        <v>57</v>
      </c>
      <c r="E395" s="44">
        <v>0</v>
      </c>
      <c r="F395" s="50"/>
      <c r="G395" s="119">
        <v>6</v>
      </c>
      <c r="H395" s="115">
        <f>Inputs!$A$45</f>
        <v>0</v>
      </c>
      <c r="I395" s="44">
        <f>Inputs!$B$45</f>
        <v>0</v>
      </c>
      <c r="J395" s="44" t="s">
        <v>58</v>
      </c>
      <c r="K395" s="44">
        <v>0</v>
      </c>
      <c r="L395" s="50"/>
      <c r="M395" s="44">
        <v>0</v>
      </c>
      <c r="N395" s="44">
        <v>0</v>
      </c>
      <c r="O395" s="44">
        <f t="shared" si="397"/>
        <v>0</v>
      </c>
      <c r="P395" s="50"/>
      <c r="Q395" s="44">
        <f t="shared" si="398"/>
        <v>0</v>
      </c>
      <c r="R395" s="63">
        <f>M395*Inputs!$F$45*Inputs!$G$45</f>
        <v>0</v>
      </c>
      <c r="S395" s="44">
        <f>Inputs!$F$45*Inputs!$I$45*N395</f>
        <v>0</v>
      </c>
      <c r="T395" s="18"/>
      <c r="U395" s="55"/>
      <c r="W395" s="117">
        <v>6</v>
      </c>
      <c r="X395" s="115">
        <f>Inputs!$A$45</f>
        <v>0</v>
      </c>
      <c r="Y395" s="44">
        <f>Inputs!$B$45</f>
        <v>0</v>
      </c>
      <c r="Z395" s="44" t="s">
        <v>57</v>
      </c>
      <c r="AA395" s="44">
        <f t="shared" si="391"/>
        <v>0</v>
      </c>
      <c r="AB395" s="50"/>
      <c r="AC395" s="119">
        <v>6</v>
      </c>
      <c r="AD395" s="115">
        <f>Inputs!$A$45</f>
        <v>0</v>
      </c>
      <c r="AE395" s="44">
        <f>Inputs!$B$45</f>
        <v>0</v>
      </c>
      <c r="AF395" s="44" t="s">
        <v>58</v>
      </c>
      <c r="AG395" s="44">
        <f t="shared" si="392"/>
        <v>0</v>
      </c>
      <c r="AH395" s="50"/>
      <c r="AI395" s="44">
        <v>0</v>
      </c>
      <c r="AJ395" s="44">
        <v>0</v>
      </c>
      <c r="AK395" s="44">
        <f t="shared" si="399"/>
        <v>0</v>
      </c>
      <c r="AL395" s="50"/>
      <c r="AM395" s="44">
        <f t="shared" si="400"/>
        <v>0</v>
      </c>
      <c r="AN395" s="63">
        <f>AI395*Inputs!$F$45*Inputs!$G$45</f>
        <v>0</v>
      </c>
      <c r="AO395" s="44">
        <f>Inputs!$F$45*Inputs!$I$45*AJ395</f>
        <v>0</v>
      </c>
      <c r="AP395" s="55"/>
      <c r="AR395" s="117">
        <v>6</v>
      </c>
      <c r="AS395" s="115">
        <f>Inputs!$A$45</f>
        <v>0</v>
      </c>
      <c r="AT395" s="44">
        <f>Inputs!$B$45</f>
        <v>0</v>
      </c>
      <c r="AU395" s="44" t="s">
        <v>57</v>
      </c>
      <c r="AV395" s="44">
        <f t="shared" si="396"/>
        <v>0</v>
      </c>
      <c r="AW395" s="50"/>
      <c r="AX395" s="119">
        <v>6</v>
      </c>
      <c r="AY395" s="115">
        <f>Inputs!$A$45</f>
        <v>0</v>
      </c>
      <c r="AZ395" s="44">
        <f>Inputs!$B$45</f>
        <v>0</v>
      </c>
      <c r="BA395" s="44" t="s">
        <v>58</v>
      </c>
      <c r="BB395" s="44">
        <f t="shared" si="393"/>
        <v>0</v>
      </c>
      <c r="BC395" s="50"/>
      <c r="BD395" s="44">
        <v>0</v>
      </c>
      <c r="BE395" s="44">
        <v>0</v>
      </c>
      <c r="BF395" s="44">
        <f t="shared" si="401"/>
        <v>0</v>
      </c>
      <c r="BG395" s="50"/>
      <c r="BH395" s="44">
        <f t="shared" si="402"/>
        <v>0</v>
      </c>
      <c r="BI395" s="63">
        <f>BD395*Inputs!$F$45*Inputs!$G$45</f>
        <v>0</v>
      </c>
      <c r="BJ395" s="44">
        <f>Inputs!$F$45*Inputs!$I$45*BE395</f>
        <v>0</v>
      </c>
      <c r="BK395" s="55"/>
      <c r="BM395" s="117">
        <v>6</v>
      </c>
      <c r="BN395" s="115">
        <f>Inputs!$A$45</f>
        <v>0</v>
      </c>
      <c r="BO395" s="44">
        <f>Inputs!$B$45</f>
        <v>0</v>
      </c>
      <c r="BP395" s="44" t="s">
        <v>57</v>
      </c>
      <c r="BQ395" s="44">
        <f t="shared" si="394"/>
        <v>0</v>
      </c>
      <c r="BR395" s="50"/>
      <c r="BS395" s="119">
        <v>6</v>
      </c>
      <c r="BT395" s="115">
        <f>Inputs!$A$45</f>
        <v>0</v>
      </c>
      <c r="BU395" s="44">
        <f>Inputs!$B$45</f>
        <v>0</v>
      </c>
      <c r="BV395" s="44" t="s">
        <v>58</v>
      </c>
      <c r="BW395" s="44">
        <f t="shared" si="395"/>
        <v>0</v>
      </c>
      <c r="BX395" s="50"/>
      <c r="BY395" s="44">
        <v>0</v>
      </c>
      <c r="BZ395" s="44">
        <v>0</v>
      </c>
      <c r="CA395" s="44">
        <f t="shared" si="403"/>
        <v>0</v>
      </c>
      <c r="CB395" s="50"/>
      <c r="CC395" s="44">
        <f t="shared" si="404"/>
        <v>0</v>
      </c>
      <c r="CD395" s="63">
        <f>BY395*Inputs!$F$45*Inputs!$G$45</f>
        <v>0</v>
      </c>
      <c r="CE395" s="44">
        <f>Inputs!$F$45*Inputs!$I$45*BZ395</f>
        <v>0</v>
      </c>
      <c r="CF395" s="55"/>
    </row>
    <row r="396" spans="1:84" x14ac:dyDescent="0.25">
      <c r="A396" s="117">
        <v>7</v>
      </c>
      <c r="B396" s="115">
        <f>Inputs!$A$45</f>
        <v>0</v>
      </c>
      <c r="C396" s="44">
        <f>Inputs!$B$45</f>
        <v>0</v>
      </c>
      <c r="D396" s="44" t="s">
        <v>57</v>
      </c>
      <c r="E396" s="44">
        <v>0</v>
      </c>
      <c r="F396" s="50"/>
      <c r="G396" s="119">
        <v>7</v>
      </c>
      <c r="H396" s="115">
        <f>Inputs!$A$45</f>
        <v>0</v>
      </c>
      <c r="I396" s="44">
        <f>Inputs!$B$45</f>
        <v>0</v>
      </c>
      <c r="J396" s="44" t="s">
        <v>58</v>
      </c>
      <c r="K396" s="44">
        <v>0</v>
      </c>
      <c r="L396" s="50"/>
      <c r="M396" s="44">
        <v>0</v>
      </c>
      <c r="N396" s="44">
        <v>0</v>
      </c>
      <c r="O396" s="44">
        <f t="shared" si="397"/>
        <v>0</v>
      </c>
      <c r="P396" s="50"/>
      <c r="Q396" s="44">
        <f t="shared" si="398"/>
        <v>0</v>
      </c>
      <c r="R396" s="63">
        <f>M396*Inputs!$F$45*Inputs!$G$45</f>
        <v>0</v>
      </c>
      <c r="S396" s="44">
        <f>Inputs!$F$45*Inputs!$I$45*N396</f>
        <v>0</v>
      </c>
      <c r="T396" s="18"/>
      <c r="U396" s="55"/>
      <c r="W396" s="117">
        <v>7</v>
      </c>
      <c r="X396" s="115">
        <f>Inputs!$A$45</f>
        <v>0</v>
      </c>
      <c r="Y396" s="44">
        <f>Inputs!$B$45</f>
        <v>0</v>
      </c>
      <c r="Z396" s="44" t="s">
        <v>57</v>
      </c>
      <c r="AA396" s="44">
        <f t="shared" si="391"/>
        <v>0</v>
      </c>
      <c r="AB396" s="50"/>
      <c r="AC396" s="119">
        <v>7</v>
      </c>
      <c r="AD396" s="115">
        <f>Inputs!$A$45</f>
        <v>0</v>
      </c>
      <c r="AE396" s="44">
        <f>Inputs!$B$45</f>
        <v>0</v>
      </c>
      <c r="AF396" s="44" t="s">
        <v>58</v>
      </c>
      <c r="AG396" s="44">
        <f t="shared" si="392"/>
        <v>0</v>
      </c>
      <c r="AH396" s="50"/>
      <c r="AI396" s="44">
        <v>0</v>
      </c>
      <c r="AJ396" s="44">
        <v>0</v>
      </c>
      <c r="AK396" s="44">
        <f t="shared" si="399"/>
        <v>0</v>
      </c>
      <c r="AL396" s="50"/>
      <c r="AM396" s="44">
        <f t="shared" si="400"/>
        <v>0</v>
      </c>
      <c r="AN396" s="63">
        <f>AI396*Inputs!$F$45*Inputs!$G$45</f>
        <v>0</v>
      </c>
      <c r="AO396" s="44">
        <f>Inputs!$F$45*Inputs!$I$45*AJ396</f>
        <v>0</v>
      </c>
      <c r="AP396" s="55"/>
      <c r="AR396" s="117">
        <v>7</v>
      </c>
      <c r="AS396" s="115">
        <f>Inputs!$A$45</f>
        <v>0</v>
      </c>
      <c r="AT396" s="44">
        <f>Inputs!$B$45</f>
        <v>0</v>
      </c>
      <c r="AU396" s="44" t="s">
        <v>57</v>
      </c>
      <c r="AV396" s="44">
        <f t="shared" si="396"/>
        <v>0</v>
      </c>
      <c r="AW396" s="50"/>
      <c r="AX396" s="119">
        <v>7</v>
      </c>
      <c r="AY396" s="115">
        <f>Inputs!$A$45</f>
        <v>0</v>
      </c>
      <c r="AZ396" s="44">
        <f>Inputs!$B$45</f>
        <v>0</v>
      </c>
      <c r="BA396" s="44" t="s">
        <v>58</v>
      </c>
      <c r="BB396" s="44">
        <f t="shared" si="393"/>
        <v>0</v>
      </c>
      <c r="BC396" s="50"/>
      <c r="BD396" s="44">
        <v>0</v>
      </c>
      <c r="BE396" s="44">
        <v>0</v>
      </c>
      <c r="BF396" s="44">
        <f t="shared" si="401"/>
        <v>0</v>
      </c>
      <c r="BG396" s="50"/>
      <c r="BH396" s="44">
        <f t="shared" si="402"/>
        <v>0</v>
      </c>
      <c r="BI396" s="63">
        <f>BD396*Inputs!$F$45*Inputs!$G$45</f>
        <v>0</v>
      </c>
      <c r="BJ396" s="44">
        <f>Inputs!$F$45*Inputs!$I$45*BE396</f>
        <v>0</v>
      </c>
      <c r="BK396" s="55"/>
      <c r="BM396" s="117">
        <v>7</v>
      </c>
      <c r="BN396" s="115">
        <f>Inputs!$A$45</f>
        <v>0</v>
      </c>
      <c r="BO396" s="44">
        <f>Inputs!$B$45</f>
        <v>0</v>
      </c>
      <c r="BP396" s="44" t="s">
        <v>57</v>
      </c>
      <c r="BQ396" s="44">
        <f t="shared" si="394"/>
        <v>0</v>
      </c>
      <c r="BR396" s="50"/>
      <c r="BS396" s="119">
        <v>7</v>
      </c>
      <c r="BT396" s="115">
        <f>Inputs!$A$45</f>
        <v>0</v>
      </c>
      <c r="BU396" s="44">
        <f>Inputs!$B$45</f>
        <v>0</v>
      </c>
      <c r="BV396" s="44" t="s">
        <v>58</v>
      </c>
      <c r="BW396" s="44">
        <f t="shared" si="395"/>
        <v>0</v>
      </c>
      <c r="BX396" s="50"/>
      <c r="BY396" s="44">
        <v>0</v>
      </c>
      <c r="BZ396" s="44">
        <v>0</v>
      </c>
      <c r="CA396" s="44">
        <f t="shared" si="403"/>
        <v>0</v>
      </c>
      <c r="CB396" s="50"/>
      <c r="CC396" s="44">
        <f t="shared" si="404"/>
        <v>0</v>
      </c>
      <c r="CD396" s="63">
        <f>BY396*Inputs!$F$45*Inputs!$G$45</f>
        <v>0</v>
      </c>
      <c r="CE396" s="44">
        <f>Inputs!$F$45*Inputs!$I$45*BZ396</f>
        <v>0</v>
      </c>
      <c r="CF396" s="55"/>
    </row>
    <row r="397" spans="1:84" x14ac:dyDescent="0.25">
      <c r="A397" s="117">
        <v>8</v>
      </c>
      <c r="B397" s="115">
        <f>Inputs!$A$45</f>
        <v>0</v>
      </c>
      <c r="C397" s="44">
        <f>Inputs!$B$45</f>
        <v>0</v>
      </c>
      <c r="D397" s="44" t="s">
        <v>57</v>
      </c>
      <c r="E397" s="44">
        <v>0</v>
      </c>
      <c r="F397" s="50"/>
      <c r="G397" s="119">
        <v>8</v>
      </c>
      <c r="H397" s="115">
        <f>Inputs!$A$45</f>
        <v>0</v>
      </c>
      <c r="I397" s="44">
        <f>Inputs!$B$45</f>
        <v>0</v>
      </c>
      <c r="J397" s="44" t="s">
        <v>58</v>
      </c>
      <c r="K397" s="44">
        <v>0</v>
      </c>
      <c r="L397" s="50"/>
      <c r="M397" s="44">
        <v>0</v>
      </c>
      <c r="N397" s="44">
        <v>0</v>
      </c>
      <c r="O397" s="44">
        <f t="shared" si="397"/>
        <v>0</v>
      </c>
      <c r="P397" s="50"/>
      <c r="Q397" s="44">
        <f t="shared" si="398"/>
        <v>0</v>
      </c>
      <c r="R397" s="63">
        <f>M397*Inputs!$F$45*Inputs!$G$45</f>
        <v>0</v>
      </c>
      <c r="S397" s="44">
        <f>Inputs!$F$45*Inputs!$I$45*N397</f>
        <v>0</v>
      </c>
      <c r="T397" s="18"/>
      <c r="U397" s="55"/>
      <c r="W397" s="117">
        <v>8</v>
      </c>
      <c r="X397" s="115">
        <f>Inputs!$A$45</f>
        <v>0</v>
      </c>
      <c r="Y397" s="44">
        <f>Inputs!$B$45</f>
        <v>0</v>
      </c>
      <c r="Z397" s="44" t="s">
        <v>57</v>
      </c>
      <c r="AA397" s="44">
        <f t="shared" si="391"/>
        <v>0</v>
      </c>
      <c r="AB397" s="50"/>
      <c r="AC397" s="119">
        <v>8</v>
      </c>
      <c r="AD397" s="115">
        <f>Inputs!$A$45</f>
        <v>0</v>
      </c>
      <c r="AE397" s="44">
        <f>Inputs!$B$45</f>
        <v>0</v>
      </c>
      <c r="AF397" s="44" t="s">
        <v>58</v>
      </c>
      <c r="AG397" s="44">
        <f t="shared" si="392"/>
        <v>0</v>
      </c>
      <c r="AH397" s="50"/>
      <c r="AI397" s="44">
        <v>0</v>
      </c>
      <c r="AJ397" s="44">
        <v>0</v>
      </c>
      <c r="AK397" s="44">
        <f t="shared" si="399"/>
        <v>0</v>
      </c>
      <c r="AL397" s="50"/>
      <c r="AM397" s="44">
        <f t="shared" si="400"/>
        <v>0</v>
      </c>
      <c r="AN397" s="63">
        <f>AI397*Inputs!$F$45*Inputs!$G$45</f>
        <v>0</v>
      </c>
      <c r="AO397" s="44">
        <f>Inputs!$F$45*Inputs!$I$45*AJ397</f>
        <v>0</v>
      </c>
      <c r="AP397" s="55"/>
      <c r="AR397" s="117">
        <v>8</v>
      </c>
      <c r="AS397" s="115">
        <f>Inputs!$A$45</f>
        <v>0</v>
      </c>
      <c r="AT397" s="44">
        <f>Inputs!$B$45</f>
        <v>0</v>
      </c>
      <c r="AU397" s="44" t="s">
        <v>57</v>
      </c>
      <c r="AV397" s="44">
        <f t="shared" si="396"/>
        <v>0</v>
      </c>
      <c r="AW397" s="50"/>
      <c r="AX397" s="119">
        <v>8</v>
      </c>
      <c r="AY397" s="115">
        <f>Inputs!$A$45</f>
        <v>0</v>
      </c>
      <c r="AZ397" s="44">
        <f>Inputs!$B$45</f>
        <v>0</v>
      </c>
      <c r="BA397" s="44" t="s">
        <v>58</v>
      </c>
      <c r="BB397" s="44">
        <f t="shared" si="393"/>
        <v>0</v>
      </c>
      <c r="BC397" s="50"/>
      <c r="BD397" s="44">
        <v>0</v>
      </c>
      <c r="BE397" s="44">
        <v>0</v>
      </c>
      <c r="BF397" s="44">
        <f t="shared" si="401"/>
        <v>0</v>
      </c>
      <c r="BG397" s="50"/>
      <c r="BH397" s="44">
        <f t="shared" si="402"/>
        <v>0</v>
      </c>
      <c r="BI397" s="63">
        <f>BD397*Inputs!$F$45*Inputs!$G$45</f>
        <v>0</v>
      </c>
      <c r="BJ397" s="44">
        <f>Inputs!$F$45*Inputs!$I$45*BE397</f>
        <v>0</v>
      </c>
      <c r="BK397" s="55"/>
      <c r="BM397" s="117">
        <v>8</v>
      </c>
      <c r="BN397" s="115">
        <f>Inputs!$A$45</f>
        <v>0</v>
      </c>
      <c r="BO397" s="44">
        <f>Inputs!$B$45</f>
        <v>0</v>
      </c>
      <c r="BP397" s="44" t="s">
        <v>57</v>
      </c>
      <c r="BQ397" s="44">
        <f t="shared" si="394"/>
        <v>0</v>
      </c>
      <c r="BR397" s="50"/>
      <c r="BS397" s="119">
        <v>8</v>
      </c>
      <c r="BT397" s="115">
        <f>Inputs!$A$45</f>
        <v>0</v>
      </c>
      <c r="BU397" s="44">
        <f>Inputs!$B$45</f>
        <v>0</v>
      </c>
      <c r="BV397" s="44" t="s">
        <v>58</v>
      </c>
      <c r="BW397" s="44">
        <f t="shared" si="395"/>
        <v>0</v>
      </c>
      <c r="BX397" s="50"/>
      <c r="BY397" s="44">
        <v>0</v>
      </c>
      <c r="BZ397" s="44">
        <v>0</v>
      </c>
      <c r="CA397" s="44">
        <f t="shared" si="403"/>
        <v>0</v>
      </c>
      <c r="CB397" s="50"/>
      <c r="CC397" s="44">
        <f t="shared" si="404"/>
        <v>0</v>
      </c>
      <c r="CD397" s="63">
        <f>BY397*Inputs!$F$45*Inputs!$G$45</f>
        <v>0</v>
      </c>
      <c r="CE397" s="44">
        <f>Inputs!$F$45*Inputs!$I$45*BZ397</f>
        <v>0</v>
      </c>
      <c r="CF397" s="55"/>
    </row>
    <row r="398" spans="1:84" x14ac:dyDescent="0.25">
      <c r="A398" s="117">
        <v>9</v>
      </c>
      <c r="B398" s="115">
        <f>Inputs!$A$45</f>
        <v>0</v>
      </c>
      <c r="C398" s="44">
        <f>Inputs!$B$45</f>
        <v>0</v>
      </c>
      <c r="D398" s="44" t="s">
        <v>57</v>
      </c>
      <c r="E398" s="44">
        <v>0</v>
      </c>
      <c r="F398" s="50"/>
      <c r="G398" s="119">
        <v>9</v>
      </c>
      <c r="H398" s="115">
        <f>Inputs!$A$45</f>
        <v>0</v>
      </c>
      <c r="I398" s="44">
        <f>Inputs!$B$45</f>
        <v>0</v>
      </c>
      <c r="J398" s="44" t="s">
        <v>58</v>
      </c>
      <c r="K398" s="44">
        <v>0</v>
      </c>
      <c r="L398" s="50"/>
      <c r="M398" s="44">
        <v>0</v>
      </c>
      <c r="N398" s="44">
        <v>0</v>
      </c>
      <c r="O398" s="44">
        <f t="shared" si="397"/>
        <v>0</v>
      </c>
      <c r="P398" s="50"/>
      <c r="Q398" s="44">
        <f t="shared" si="398"/>
        <v>0</v>
      </c>
      <c r="R398" s="63">
        <f>M398*Inputs!$F$45*Inputs!$G$45</f>
        <v>0</v>
      </c>
      <c r="S398" s="44">
        <f>Inputs!$F$45*Inputs!$I$45*N398</f>
        <v>0</v>
      </c>
      <c r="T398" s="18"/>
      <c r="U398" s="55"/>
      <c r="W398" s="117">
        <v>9</v>
      </c>
      <c r="X398" s="115">
        <f>Inputs!$A$45</f>
        <v>0</v>
      </c>
      <c r="Y398" s="44">
        <f>Inputs!$B$45</f>
        <v>0</v>
      </c>
      <c r="Z398" s="44" t="s">
        <v>57</v>
      </c>
      <c r="AA398" s="44">
        <f t="shared" si="391"/>
        <v>0</v>
      </c>
      <c r="AB398" s="50"/>
      <c r="AC398" s="119">
        <v>9</v>
      </c>
      <c r="AD398" s="115">
        <f>Inputs!$A$45</f>
        <v>0</v>
      </c>
      <c r="AE398" s="44">
        <f>Inputs!$B$45</f>
        <v>0</v>
      </c>
      <c r="AF398" s="44" t="s">
        <v>58</v>
      </c>
      <c r="AG398" s="44">
        <f t="shared" si="392"/>
        <v>0</v>
      </c>
      <c r="AH398" s="50"/>
      <c r="AI398" s="44">
        <v>0</v>
      </c>
      <c r="AJ398" s="44">
        <v>0</v>
      </c>
      <c r="AK398" s="44">
        <f t="shared" si="399"/>
        <v>0</v>
      </c>
      <c r="AL398" s="50"/>
      <c r="AM398" s="44">
        <f t="shared" si="400"/>
        <v>0</v>
      </c>
      <c r="AN398" s="63">
        <f>AI398*Inputs!$F$45*Inputs!$G$45</f>
        <v>0</v>
      </c>
      <c r="AO398" s="44">
        <f>Inputs!$F$45*Inputs!$I$45*AJ398</f>
        <v>0</v>
      </c>
      <c r="AP398" s="55"/>
      <c r="AR398" s="117">
        <v>9</v>
      </c>
      <c r="AS398" s="115">
        <f>Inputs!$A$45</f>
        <v>0</v>
      </c>
      <c r="AT398" s="44">
        <f>Inputs!$B$45</f>
        <v>0</v>
      </c>
      <c r="AU398" s="44" t="s">
        <v>57</v>
      </c>
      <c r="AV398" s="44">
        <f t="shared" si="396"/>
        <v>0</v>
      </c>
      <c r="AW398" s="50"/>
      <c r="AX398" s="119">
        <v>9</v>
      </c>
      <c r="AY398" s="115">
        <f>Inputs!$A$45</f>
        <v>0</v>
      </c>
      <c r="AZ398" s="44">
        <f>Inputs!$B$45</f>
        <v>0</v>
      </c>
      <c r="BA398" s="44" t="s">
        <v>58</v>
      </c>
      <c r="BB398" s="44">
        <f t="shared" si="393"/>
        <v>0</v>
      </c>
      <c r="BC398" s="50"/>
      <c r="BD398" s="44">
        <v>0</v>
      </c>
      <c r="BE398" s="44">
        <v>0</v>
      </c>
      <c r="BF398" s="44">
        <f t="shared" si="401"/>
        <v>0</v>
      </c>
      <c r="BG398" s="50"/>
      <c r="BH398" s="44">
        <f t="shared" si="402"/>
        <v>0</v>
      </c>
      <c r="BI398" s="63">
        <f>BD398*Inputs!$F$45*Inputs!$G$45</f>
        <v>0</v>
      </c>
      <c r="BJ398" s="44">
        <f>Inputs!$F$45*Inputs!$I$45*BE398</f>
        <v>0</v>
      </c>
      <c r="BK398" s="55"/>
      <c r="BM398" s="117">
        <v>9</v>
      </c>
      <c r="BN398" s="115">
        <f>Inputs!$A$45</f>
        <v>0</v>
      </c>
      <c r="BO398" s="44">
        <f>Inputs!$B$45</f>
        <v>0</v>
      </c>
      <c r="BP398" s="44" t="s">
        <v>57</v>
      </c>
      <c r="BQ398" s="44">
        <f t="shared" si="394"/>
        <v>0</v>
      </c>
      <c r="BR398" s="50"/>
      <c r="BS398" s="119">
        <v>9</v>
      </c>
      <c r="BT398" s="115">
        <f>Inputs!$A$45</f>
        <v>0</v>
      </c>
      <c r="BU398" s="44">
        <f>Inputs!$B$45</f>
        <v>0</v>
      </c>
      <c r="BV398" s="44" t="s">
        <v>58</v>
      </c>
      <c r="BW398" s="44">
        <f t="shared" si="395"/>
        <v>0</v>
      </c>
      <c r="BX398" s="50"/>
      <c r="BY398" s="44">
        <v>0</v>
      </c>
      <c r="BZ398" s="44">
        <v>0</v>
      </c>
      <c r="CA398" s="44">
        <f t="shared" si="403"/>
        <v>0</v>
      </c>
      <c r="CB398" s="50"/>
      <c r="CC398" s="44">
        <f t="shared" si="404"/>
        <v>0</v>
      </c>
      <c r="CD398" s="63">
        <f>BY398*Inputs!$F$45*Inputs!$G$45</f>
        <v>0</v>
      </c>
      <c r="CE398" s="44">
        <f>Inputs!$F$45*Inputs!$I$45*BZ398</f>
        <v>0</v>
      </c>
      <c r="CF398" s="55"/>
    </row>
    <row r="399" spans="1:84" x14ac:dyDescent="0.25">
      <c r="A399" s="117">
        <v>10</v>
      </c>
      <c r="B399" s="115">
        <f>Inputs!$A$45</f>
        <v>0</v>
      </c>
      <c r="C399" s="44">
        <f>Inputs!$B$45</f>
        <v>0</v>
      </c>
      <c r="D399" s="44" t="s">
        <v>57</v>
      </c>
      <c r="E399" s="44">
        <v>0</v>
      </c>
      <c r="F399" s="50"/>
      <c r="G399" s="119">
        <v>10</v>
      </c>
      <c r="H399" s="115">
        <f>Inputs!$A$45</f>
        <v>0</v>
      </c>
      <c r="I399" s="44">
        <f>Inputs!$B$45</f>
        <v>0</v>
      </c>
      <c r="J399" s="44" t="s">
        <v>58</v>
      </c>
      <c r="K399" s="44">
        <v>0</v>
      </c>
      <c r="L399" s="50"/>
      <c r="M399" s="44">
        <v>0</v>
      </c>
      <c r="N399" s="44">
        <v>0</v>
      </c>
      <c r="O399" s="44">
        <f t="shared" si="397"/>
        <v>0</v>
      </c>
      <c r="P399" s="50"/>
      <c r="Q399" s="44">
        <f t="shared" si="398"/>
        <v>0</v>
      </c>
      <c r="R399" s="63">
        <f>M399*Inputs!$F$45*Inputs!$G$45</f>
        <v>0</v>
      </c>
      <c r="S399" s="44">
        <f>Inputs!$F$45*Inputs!$I$45*N399</f>
        <v>0</v>
      </c>
      <c r="T399" s="18"/>
      <c r="U399" s="91"/>
      <c r="W399" s="117">
        <v>10</v>
      </c>
      <c r="X399" s="115">
        <f>Inputs!$A$45</f>
        <v>0</v>
      </c>
      <c r="Y399" s="44">
        <f>Inputs!$B$45</f>
        <v>0</v>
      </c>
      <c r="Z399" s="44" t="s">
        <v>57</v>
      </c>
      <c r="AA399" s="44">
        <f t="shared" si="391"/>
        <v>0</v>
      </c>
      <c r="AB399" s="50"/>
      <c r="AC399" s="119">
        <v>10</v>
      </c>
      <c r="AD399" s="115">
        <f>Inputs!$A$45</f>
        <v>0</v>
      </c>
      <c r="AE399" s="44">
        <f>Inputs!$B$45</f>
        <v>0</v>
      </c>
      <c r="AF399" s="44" t="s">
        <v>58</v>
      </c>
      <c r="AG399" s="44">
        <f t="shared" si="392"/>
        <v>0</v>
      </c>
      <c r="AH399" s="50"/>
      <c r="AI399" s="44">
        <v>0</v>
      </c>
      <c r="AJ399" s="44">
        <v>0</v>
      </c>
      <c r="AK399" s="44">
        <f t="shared" si="399"/>
        <v>0</v>
      </c>
      <c r="AL399" s="50"/>
      <c r="AM399" s="44">
        <f t="shared" si="400"/>
        <v>0</v>
      </c>
      <c r="AN399" s="63">
        <f>AI399*Inputs!$F$45*Inputs!$G$45</f>
        <v>0</v>
      </c>
      <c r="AO399" s="44">
        <f>Inputs!$F$45*Inputs!$I$45*AJ399</f>
        <v>0</v>
      </c>
      <c r="AP399" s="91"/>
      <c r="AR399" s="117">
        <v>10</v>
      </c>
      <c r="AS399" s="115">
        <f>Inputs!$A$45</f>
        <v>0</v>
      </c>
      <c r="AT399" s="44">
        <f>Inputs!$B$45</f>
        <v>0</v>
      </c>
      <c r="AU399" s="44" t="s">
        <v>57</v>
      </c>
      <c r="AV399" s="44">
        <f t="shared" si="396"/>
        <v>0</v>
      </c>
      <c r="AW399" s="50"/>
      <c r="AX399" s="119">
        <v>10</v>
      </c>
      <c r="AY399" s="115">
        <f>Inputs!$A$45</f>
        <v>0</v>
      </c>
      <c r="AZ399" s="44">
        <f>Inputs!$B$45</f>
        <v>0</v>
      </c>
      <c r="BA399" s="44" t="s">
        <v>58</v>
      </c>
      <c r="BB399" s="44">
        <f t="shared" si="393"/>
        <v>0</v>
      </c>
      <c r="BC399" s="50"/>
      <c r="BD399" s="44">
        <v>0</v>
      </c>
      <c r="BE399" s="44">
        <v>0</v>
      </c>
      <c r="BF399" s="44">
        <f t="shared" si="401"/>
        <v>0</v>
      </c>
      <c r="BG399" s="50"/>
      <c r="BH399" s="44">
        <f t="shared" si="402"/>
        <v>0</v>
      </c>
      <c r="BI399" s="63">
        <f>BD399*Inputs!$F$45*Inputs!$G$45</f>
        <v>0</v>
      </c>
      <c r="BJ399" s="44">
        <f>Inputs!$F$45*Inputs!$I$45*BE399</f>
        <v>0</v>
      </c>
      <c r="BK399" s="91"/>
      <c r="BM399" s="117">
        <v>10</v>
      </c>
      <c r="BN399" s="115">
        <f>Inputs!$A$45</f>
        <v>0</v>
      </c>
      <c r="BO399" s="44">
        <f>Inputs!$B$45</f>
        <v>0</v>
      </c>
      <c r="BP399" s="44" t="s">
        <v>57</v>
      </c>
      <c r="BQ399" s="44">
        <f t="shared" si="394"/>
        <v>0</v>
      </c>
      <c r="BR399" s="50"/>
      <c r="BS399" s="119">
        <v>10</v>
      </c>
      <c r="BT399" s="115">
        <f>Inputs!$A$45</f>
        <v>0</v>
      </c>
      <c r="BU399" s="44">
        <f>Inputs!$B$45</f>
        <v>0</v>
      </c>
      <c r="BV399" s="44" t="s">
        <v>58</v>
      </c>
      <c r="BW399" s="44">
        <f t="shared" si="395"/>
        <v>0</v>
      </c>
      <c r="BX399" s="50"/>
      <c r="BY399" s="44">
        <v>0</v>
      </c>
      <c r="BZ399" s="44">
        <v>0</v>
      </c>
      <c r="CA399" s="44">
        <f t="shared" si="403"/>
        <v>0</v>
      </c>
      <c r="CB399" s="50"/>
      <c r="CC399" s="44">
        <f t="shared" si="404"/>
        <v>0</v>
      </c>
      <c r="CD399" s="63">
        <f>BY399*Inputs!$F$45*Inputs!$G$45</f>
        <v>0</v>
      </c>
      <c r="CE399" s="44">
        <f>Inputs!$F$45*Inputs!$I$45*BZ399</f>
        <v>0</v>
      </c>
      <c r="CF399" s="91"/>
    </row>
    <row r="400" spans="1:84" x14ac:dyDescent="0.25">
      <c r="A400" s="117">
        <v>11</v>
      </c>
      <c r="B400" s="115">
        <f>Inputs!$A$45</f>
        <v>0</v>
      </c>
      <c r="C400" s="44">
        <f>Inputs!$B$45</f>
        <v>0</v>
      </c>
      <c r="D400" s="44" t="s">
        <v>57</v>
      </c>
      <c r="E400" s="44">
        <v>0</v>
      </c>
      <c r="F400" s="50"/>
      <c r="G400" s="119">
        <v>11</v>
      </c>
      <c r="H400" s="115">
        <f>Inputs!$A$45</f>
        <v>0</v>
      </c>
      <c r="I400" s="44">
        <f>Inputs!$B$45</f>
        <v>0</v>
      </c>
      <c r="J400" s="44" t="s">
        <v>58</v>
      </c>
      <c r="K400" s="44">
        <v>0</v>
      </c>
      <c r="L400" s="50"/>
      <c r="M400" s="44">
        <v>0</v>
      </c>
      <c r="N400" s="44">
        <v>0</v>
      </c>
      <c r="O400" s="44">
        <f t="shared" si="397"/>
        <v>0</v>
      </c>
      <c r="P400" s="50"/>
      <c r="Q400" s="44">
        <f t="shared" si="398"/>
        <v>0</v>
      </c>
      <c r="R400" s="63">
        <f>M400*Inputs!$F$45*Inputs!$H$45</f>
        <v>0</v>
      </c>
      <c r="S400" s="44">
        <f>Inputs!$F$45*Inputs!$I$45*N400</f>
        <v>0</v>
      </c>
      <c r="T400" s="18"/>
      <c r="U400" s="56"/>
      <c r="W400" s="117">
        <v>11</v>
      </c>
      <c r="X400" s="115">
        <f>Inputs!$A$45</f>
        <v>0</v>
      </c>
      <c r="Y400" s="44">
        <f>Inputs!$B$45</f>
        <v>0</v>
      </c>
      <c r="Z400" s="44" t="s">
        <v>57</v>
      </c>
      <c r="AA400" s="44">
        <f t="shared" si="391"/>
        <v>0</v>
      </c>
      <c r="AB400" s="50"/>
      <c r="AC400" s="119">
        <v>11</v>
      </c>
      <c r="AD400" s="115">
        <f>Inputs!$A$45</f>
        <v>0</v>
      </c>
      <c r="AE400" s="44">
        <f>Inputs!$B$45</f>
        <v>0</v>
      </c>
      <c r="AF400" s="44" t="s">
        <v>58</v>
      </c>
      <c r="AG400" s="44">
        <f t="shared" si="392"/>
        <v>0</v>
      </c>
      <c r="AH400" s="50"/>
      <c r="AI400" s="44">
        <v>0</v>
      </c>
      <c r="AJ400" s="44">
        <v>0</v>
      </c>
      <c r="AK400" s="44">
        <f t="shared" si="399"/>
        <v>0</v>
      </c>
      <c r="AL400" s="50"/>
      <c r="AM400" s="44">
        <f t="shared" si="400"/>
        <v>0</v>
      </c>
      <c r="AN400" s="63">
        <f>AI400*Inputs!$F$45*Inputs!$H$45</f>
        <v>0</v>
      </c>
      <c r="AO400" s="44">
        <f>Inputs!$F$45*Inputs!$I$45*AJ400</f>
        <v>0</v>
      </c>
      <c r="AP400" s="56"/>
      <c r="AR400" s="117">
        <v>11</v>
      </c>
      <c r="AS400" s="115">
        <f>Inputs!$A$45</f>
        <v>0</v>
      </c>
      <c r="AT400" s="44">
        <f>Inputs!$B$45</f>
        <v>0</v>
      </c>
      <c r="AU400" s="44" t="s">
        <v>57</v>
      </c>
      <c r="AV400" s="44">
        <f t="shared" si="396"/>
        <v>0</v>
      </c>
      <c r="AW400" s="50"/>
      <c r="AX400" s="119">
        <v>11</v>
      </c>
      <c r="AY400" s="115">
        <f>Inputs!$A$45</f>
        <v>0</v>
      </c>
      <c r="AZ400" s="44">
        <f>Inputs!$B$45</f>
        <v>0</v>
      </c>
      <c r="BA400" s="44" t="s">
        <v>58</v>
      </c>
      <c r="BB400" s="44">
        <f t="shared" si="393"/>
        <v>0</v>
      </c>
      <c r="BC400" s="50"/>
      <c r="BD400" s="44">
        <v>0</v>
      </c>
      <c r="BE400" s="44">
        <v>0</v>
      </c>
      <c r="BF400" s="44">
        <f t="shared" si="401"/>
        <v>0</v>
      </c>
      <c r="BG400" s="50"/>
      <c r="BH400" s="44">
        <f t="shared" si="402"/>
        <v>0</v>
      </c>
      <c r="BI400" s="63">
        <f>BD400*Inputs!$F$45*Inputs!$H$45</f>
        <v>0</v>
      </c>
      <c r="BJ400" s="44">
        <f>Inputs!$F$45*Inputs!$I$45*BE400</f>
        <v>0</v>
      </c>
      <c r="BK400" s="56"/>
      <c r="BM400" s="117">
        <v>11</v>
      </c>
      <c r="BN400" s="115">
        <f>Inputs!$A$45</f>
        <v>0</v>
      </c>
      <c r="BO400" s="44">
        <f>Inputs!$B$45</f>
        <v>0</v>
      </c>
      <c r="BP400" s="44" t="s">
        <v>57</v>
      </c>
      <c r="BQ400" s="44">
        <f t="shared" si="394"/>
        <v>0</v>
      </c>
      <c r="BR400" s="50"/>
      <c r="BS400" s="119">
        <v>11</v>
      </c>
      <c r="BT400" s="115">
        <f>Inputs!$A$45</f>
        <v>0</v>
      </c>
      <c r="BU400" s="44">
        <f>Inputs!$B$45</f>
        <v>0</v>
      </c>
      <c r="BV400" s="44" t="s">
        <v>58</v>
      </c>
      <c r="BW400" s="44">
        <f t="shared" si="395"/>
        <v>0</v>
      </c>
      <c r="BX400" s="50"/>
      <c r="BY400" s="44">
        <v>0</v>
      </c>
      <c r="BZ400" s="44">
        <v>0</v>
      </c>
      <c r="CA400" s="44">
        <f t="shared" si="403"/>
        <v>0</v>
      </c>
      <c r="CB400" s="50"/>
      <c r="CC400" s="44">
        <f t="shared" si="404"/>
        <v>0</v>
      </c>
      <c r="CD400" s="63">
        <f>BY400*Inputs!$F$45*Inputs!$H$45</f>
        <v>0</v>
      </c>
      <c r="CE400" s="44">
        <f>Inputs!$F$45*Inputs!$I$45*BZ400</f>
        <v>0</v>
      </c>
      <c r="CF400" s="56"/>
    </row>
    <row r="401" spans="1:84" x14ac:dyDescent="0.25">
      <c r="A401" s="116">
        <v>3</v>
      </c>
      <c r="B401" s="114">
        <f>Inputs!$A$46</f>
        <v>0</v>
      </c>
      <c r="C401" s="45">
        <f>Inputs!$B$46</f>
        <v>0</v>
      </c>
      <c r="D401" s="45" t="s">
        <v>57</v>
      </c>
      <c r="E401" s="45">
        <v>0</v>
      </c>
      <c r="F401" s="50"/>
      <c r="G401" s="118">
        <v>3</v>
      </c>
      <c r="H401" s="114">
        <f>Inputs!$A$46</f>
        <v>0</v>
      </c>
      <c r="I401" s="45">
        <f>Inputs!$B$46</f>
        <v>0</v>
      </c>
      <c r="J401" s="45" t="s">
        <v>58</v>
      </c>
      <c r="K401" s="45">
        <v>0</v>
      </c>
      <c r="L401" s="50"/>
      <c r="M401" s="45">
        <v>0</v>
      </c>
      <c r="N401" s="45">
        <v>0</v>
      </c>
      <c r="O401" s="45">
        <f>U401-0-E401-K401</f>
        <v>0</v>
      </c>
      <c r="P401" s="50"/>
      <c r="Q401" s="45">
        <f>E401+K401+N401-U401+0-M401</f>
        <v>0</v>
      </c>
      <c r="R401" s="64">
        <f>M401*Inputs!$F$46*Inputs!$G$46</f>
        <v>0</v>
      </c>
      <c r="S401" s="45">
        <f>Inputs!$F$46*Inputs!$I$46*N401</f>
        <v>0</v>
      </c>
      <c r="T401" s="18"/>
      <c r="U401" s="54"/>
      <c r="W401" s="116">
        <v>3</v>
      </c>
      <c r="X401" s="114">
        <f>Inputs!$A$46</f>
        <v>0</v>
      </c>
      <c r="Y401" s="45">
        <f>Inputs!$B$46</f>
        <v>0</v>
      </c>
      <c r="Z401" s="45" t="s">
        <v>57</v>
      </c>
      <c r="AA401" s="45">
        <f t="shared" si="391"/>
        <v>0</v>
      </c>
      <c r="AB401" s="50"/>
      <c r="AC401" s="118">
        <v>3</v>
      </c>
      <c r="AD401" s="114">
        <f>Inputs!$A$46</f>
        <v>0</v>
      </c>
      <c r="AE401" s="45">
        <f>Inputs!$B$46</f>
        <v>0</v>
      </c>
      <c r="AF401" s="45" t="s">
        <v>58</v>
      </c>
      <c r="AG401" s="45">
        <f t="shared" si="392"/>
        <v>0</v>
      </c>
      <c r="AH401" s="50"/>
      <c r="AI401" s="45">
        <v>0</v>
      </c>
      <c r="AJ401" s="45">
        <v>0</v>
      </c>
      <c r="AK401" s="45">
        <f>AP401-0-AA401-AG401</f>
        <v>0</v>
      </c>
      <c r="AL401" s="50"/>
      <c r="AM401" s="45">
        <f>AA401+AG401+AJ401-AP401+0-AI401</f>
        <v>0</v>
      </c>
      <c r="AN401" s="64">
        <f>AI401*Inputs!$F$46*Inputs!$G$46</f>
        <v>0</v>
      </c>
      <c r="AO401" s="45">
        <f>Inputs!$F$46*Inputs!$I$46*AJ401</f>
        <v>0</v>
      </c>
      <c r="AP401" s="54"/>
      <c r="AR401" s="116">
        <v>3</v>
      </c>
      <c r="AS401" s="114">
        <f>Inputs!$A$46</f>
        <v>0</v>
      </c>
      <c r="AT401" s="45">
        <f>Inputs!$B$46</f>
        <v>0</v>
      </c>
      <c r="AU401" s="45" t="s">
        <v>57</v>
      </c>
      <c r="AV401" s="45">
        <f t="shared" si="396"/>
        <v>0</v>
      </c>
      <c r="AW401" s="50"/>
      <c r="AX401" s="118">
        <v>3</v>
      </c>
      <c r="AY401" s="114">
        <f>Inputs!$A$46</f>
        <v>0</v>
      </c>
      <c r="AZ401" s="45">
        <f>Inputs!$B$46</f>
        <v>0</v>
      </c>
      <c r="BA401" s="45" t="s">
        <v>58</v>
      </c>
      <c r="BB401" s="45">
        <f t="shared" si="393"/>
        <v>0</v>
      </c>
      <c r="BC401" s="50"/>
      <c r="BD401" s="45">
        <v>0</v>
      </c>
      <c r="BE401" s="45">
        <v>0</v>
      </c>
      <c r="BF401" s="45">
        <f>BK401-0-AV401-BB401</f>
        <v>0</v>
      </c>
      <c r="BG401" s="50"/>
      <c r="BH401" s="45">
        <f>AV401+BB401+BE401-BK401+0-BD401</f>
        <v>0</v>
      </c>
      <c r="BI401" s="64">
        <f>BD401*Inputs!$F$46*Inputs!$G$46</f>
        <v>0</v>
      </c>
      <c r="BJ401" s="45">
        <f>Inputs!$F$46*Inputs!$I$46*BE401</f>
        <v>0</v>
      </c>
      <c r="BK401" s="54"/>
      <c r="BM401" s="116">
        <v>3</v>
      </c>
      <c r="BN401" s="114">
        <f>Inputs!$A$46</f>
        <v>0</v>
      </c>
      <c r="BO401" s="45">
        <f>Inputs!$B$46</f>
        <v>0</v>
      </c>
      <c r="BP401" s="45" t="s">
        <v>57</v>
      </c>
      <c r="BQ401" s="45">
        <f t="shared" si="394"/>
        <v>0</v>
      </c>
      <c r="BR401" s="50"/>
      <c r="BS401" s="118">
        <v>3</v>
      </c>
      <c r="BT401" s="114">
        <f>Inputs!$A$46</f>
        <v>0</v>
      </c>
      <c r="BU401" s="45">
        <f>Inputs!$B$46</f>
        <v>0</v>
      </c>
      <c r="BV401" s="45" t="s">
        <v>58</v>
      </c>
      <c r="BW401" s="45">
        <f t="shared" si="395"/>
        <v>0</v>
      </c>
      <c r="BX401" s="50"/>
      <c r="BY401" s="45">
        <v>0</v>
      </c>
      <c r="BZ401" s="45">
        <v>0</v>
      </c>
      <c r="CA401" s="45">
        <f>CF401-0-BQ401-BW401</f>
        <v>0</v>
      </c>
      <c r="CB401" s="50"/>
      <c r="CC401" s="45">
        <f>BQ401+BW401+BZ401-CF401+0-BY401</f>
        <v>0</v>
      </c>
      <c r="CD401" s="64">
        <f>BY401*Inputs!$F$46*Inputs!$G$46</f>
        <v>0</v>
      </c>
      <c r="CE401" s="45">
        <f>Inputs!$F$46*Inputs!$I$46*BZ401</f>
        <v>0</v>
      </c>
      <c r="CF401" s="54"/>
    </row>
    <row r="402" spans="1:84" x14ac:dyDescent="0.25">
      <c r="A402" s="116">
        <v>4</v>
      </c>
      <c r="B402" s="114">
        <f>Inputs!$A$46</f>
        <v>0</v>
      </c>
      <c r="C402" s="45">
        <f>Inputs!$B$46</f>
        <v>0</v>
      </c>
      <c r="D402" s="45" t="s">
        <v>57</v>
      </c>
      <c r="E402" s="45">
        <v>0</v>
      </c>
      <c r="F402" s="50"/>
      <c r="G402" s="118">
        <v>4</v>
      </c>
      <c r="H402" s="114">
        <f>Inputs!$A$46</f>
        <v>0</v>
      </c>
      <c r="I402" s="45">
        <f>Inputs!$B$46</f>
        <v>0</v>
      </c>
      <c r="J402" s="45" t="s">
        <v>58</v>
      </c>
      <c r="K402" s="45">
        <v>0</v>
      </c>
      <c r="L402" s="50"/>
      <c r="M402" s="45">
        <v>0</v>
      </c>
      <c r="N402" s="45">
        <v>0</v>
      </c>
      <c r="O402" s="45">
        <f t="shared" ref="O402:O409" si="405">U402-M401-E402-K402</f>
        <v>0</v>
      </c>
      <c r="P402" s="50"/>
      <c r="Q402" s="45">
        <f t="shared" ref="Q402:Q409" si="406">E402+K402+N402-U402+M401-M402</f>
        <v>0</v>
      </c>
      <c r="R402" s="64">
        <f>M402*Inputs!$F$46*Inputs!$G$46</f>
        <v>0</v>
      </c>
      <c r="S402" s="45">
        <f>Inputs!$F$46*Inputs!$I$46*N402</f>
        <v>0</v>
      </c>
      <c r="T402" s="18"/>
      <c r="U402" s="55"/>
      <c r="W402" s="116">
        <v>4</v>
      </c>
      <c r="X402" s="114">
        <f>Inputs!$A$46</f>
        <v>0</v>
      </c>
      <c r="Y402" s="45">
        <f>Inputs!$B$46</f>
        <v>0</v>
      </c>
      <c r="Z402" s="45" t="s">
        <v>57</v>
      </c>
      <c r="AA402" s="45">
        <f t="shared" si="391"/>
        <v>0</v>
      </c>
      <c r="AB402" s="50"/>
      <c r="AC402" s="118">
        <v>4</v>
      </c>
      <c r="AD402" s="114">
        <f>Inputs!$A$46</f>
        <v>0</v>
      </c>
      <c r="AE402" s="45">
        <f>Inputs!$B$46</f>
        <v>0</v>
      </c>
      <c r="AF402" s="45" t="s">
        <v>58</v>
      </c>
      <c r="AG402" s="45">
        <f t="shared" si="392"/>
        <v>0</v>
      </c>
      <c r="AH402" s="50"/>
      <c r="AI402" s="45">
        <v>0</v>
      </c>
      <c r="AJ402" s="45">
        <v>0</v>
      </c>
      <c r="AK402" s="45">
        <f t="shared" ref="AK402:AK409" si="407">AP402-AI401-AA402-AG402</f>
        <v>0</v>
      </c>
      <c r="AL402" s="50"/>
      <c r="AM402" s="45">
        <f t="shared" ref="AM402:AM409" si="408">AA402+AG402+AJ402-AP402+AI401-AI402</f>
        <v>0</v>
      </c>
      <c r="AN402" s="64">
        <f>AI402*Inputs!$F$46*Inputs!$G$46</f>
        <v>0</v>
      </c>
      <c r="AO402" s="45">
        <f>Inputs!$F$46*Inputs!$I$46*AJ402</f>
        <v>0</v>
      </c>
      <c r="AP402" s="55"/>
      <c r="AR402" s="116">
        <v>4</v>
      </c>
      <c r="AS402" s="114">
        <f>Inputs!$A$46</f>
        <v>0</v>
      </c>
      <c r="AT402" s="45">
        <f>Inputs!$B$46</f>
        <v>0</v>
      </c>
      <c r="AU402" s="45" t="s">
        <v>57</v>
      </c>
      <c r="AV402" s="45">
        <f t="shared" si="396"/>
        <v>0</v>
      </c>
      <c r="AW402" s="50"/>
      <c r="AX402" s="118">
        <v>4</v>
      </c>
      <c r="AY402" s="114">
        <f>Inputs!$A$46</f>
        <v>0</v>
      </c>
      <c r="AZ402" s="45">
        <f>Inputs!$B$46</f>
        <v>0</v>
      </c>
      <c r="BA402" s="45" t="s">
        <v>58</v>
      </c>
      <c r="BB402" s="45">
        <f t="shared" si="393"/>
        <v>0</v>
      </c>
      <c r="BC402" s="50"/>
      <c r="BD402" s="45">
        <v>0</v>
      </c>
      <c r="BE402" s="45">
        <v>0</v>
      </c>
      <c r="BF402" s="45">
        <f t="shared" ref="BF402:BF409" si="409">BK402-BD401-AV402-BB402</f>
        <v>0</v>
      </c>
      <c r="BG402" s="50"/>
      <c r="BH402" s="45">
        <f t="shared" ref="BH402:BH409" si="410">AV402+BB402+BE402-BK402+BD401-BD402</f>
        <v>0</v>
      </c>
      <c r="BI402" s="64">
        <f>BD402*Inputs!$F$46*Inputs!$G$46</f>
        <v>0</v>
      </c>
      <c r="BJ402" s="45">
        <f>Inputs!$F$46*Inputs!$I$46*BE402</f>
        <v>0</v>
      </c>
      <c r="BK402" s="55"/>
      <c r="BM402" s="116">
        <v>4</v>
      </c>
      <c r="BN402" s="114">
        <f>Inputs!$A$46</f>
        <v>0</v>
      </c>
      <c r="BO402" s="45">
        <f>Inputs!$B$46</f>
        <v>0</v>
      </c>
      <c r="BP402" s="45" t="s">
        <v>57</v>
      </c>
      <c r="BQ402" s="45">
        <f t="shared" si="394"/>
        <v>0</v>
      </c>
      <c r="BR402" s="50"/>
      <c r="BS402" s="118">
        <v>4</v>
      </c>
      <c r="BT402" s="114">
        <f>Inputs!$A$46</f>
        <v>0</v>
      </c>
      <c r="BU402" s="45">
        <f>Inputs!$B$46</f>
        <v>0</v>
      </c>
      <c r="BV402" s="45" t="s">
        <v>58</v>
      </c>
      <c r="BW402" s="45">
        <f t="shared" si="395"/>
        <v>0</v>
      </c>
      <c r="BX402" s="50"/>
      <c r="BY402" s="45">
        <v>0</v>
      </c>
      <c r="BZ402" s="45">
        <v>0</v>
      </c>
      <c r="CA402" s="45">
        <f t="shared" ref="CA402:CA409" si="411">CF402-BY401-BQ402-BW402</f>
        <v>0</v>
      </c>
      <c r="CB402" s="50"/>
      <c r="CC402" s="45">
        <f t="shared" ref="CC402:CC409" si="412">BQ402+BW402+BZ402-CF402+BY401-BY402</f>
        <v>0</v>
      </c>
      <c r="CD402" s="64">
        <f>BY402*Inputs!$F$46*Inputs!$G$46</f>
        <v>0</v>
      </c>
      <c r="CE402" s="45">
        <f>Inputs!$F$46*Inputs!$I$46*BZ402</f>
        <v>0</v>
      </c>
      <c r="CF402" s="55"/>
    </row>
    <row r="403" spans="1:84" x14ac:dyDescent="0.25">
      <c r="A403" s="116">
        <v>5</v>
      </c>
      <c r="B403" s="114">
        <f>Inputs!$A$46</f>
        <v>0</v>
      </c>
      <c r="C403" s="45">
        <f>Inputs!$B$46</f>
        <v>0</v>
      </c>
      <c r="D403" s="45" t="s">
        <v>57</v>
      </c>
      <c r="E403" s="45">
        <v>0</v>
      </c>
      <c r="F403" s="50"/>
      <c r="G403" s="118">
        <v>5</v>
      </c>
      <c r="H403" s="114">
        <f>Inputs!$A$46</f>
        <v>0</v>
      </c>
      <c r="I403" s="45">
        <f>Inputs!$B$46</f>
        <v>0</v>
      </c>
      <c r="J403" s="45" t="s">
        <v>58</v>
      </c>
      <c r="K403" s="45">
        <v>0</v>
      </c>
      <c r="L403" s="50"/>
      <c r="M403" s="45">
        <v>0</v>
      </c>
      <c r="N403" s="45">
        <v>0</v>
      </c>
      <c r="O403" s="45">
        <f t="shared" si="405"/>
        <v>0</v>
      </c>
      <c r="P403" s="50"/>
      <c r="Q403" s="45">
        <f t="shared" si="406"/>
        <v>0</v>
      </c>
      <c r="R403" s="64">
        <f>M403*Inputs!$F$46*Inputs!$G$46</f>
        <v>0</v>
      </c>
      <c r="S403" s="45">
        <f>Inputs!$F$46*Inputs!$I$46*N403</f>
        <v>0</v>
      </c>
      <c r="T403" s="18"/>
      <c r="U403" s="55"/>
      <c r="W403" s="116">
        <v>5</v>
      </c>
      <c r="X403" s="114">
        <f>Inputs!$A$46</f>
        <v>0</v>
      </c>
      <c r="Y403" s="45">
        <f>Inputs!$B$46</f>
        <v>0</v>
      </c>
      <c r="Z403" s="45" t="s">
        <v>57</v>
      </c>
      <c r="AA403" s="45">
        <f t="shared" si="391"/>
        <v>0</v>
      </c>
      <c r="AB403" s="50"/>
      <c r="AC403" s="118">
        <v>5</v>
      </c>
      <c r="AD403" s="114">
        <f>Inputs!$A$46</f>
        <v>0</v>
      </c>
      <c r="AE403" s="45">
        <f>Inputs!$B$46</f>
        <v>0</v>
      </c>
      <c r="AF403" s="45" t="s">
        <v>58</v>
      </c>
      <c r="AG403" s="45">
        <f t="shared" si="392"/>
        <v>0</v>
      </c>
      <c r="AH403" s="50"/>
      <c r="AI403" s="45">
        <v>0</v>
      </c>
      <c r="AJ403" s="45">
        <v>0</v>
      </c>
      <c r="AK403" s="45">
        <f t="shared" si="407"/>
        <v>0</v>
      </c>
      <c r="AL403" s="50"/>
      <c r="AM403" s="45">
        <f t="shared" si="408"/>
        <v>0</v>
      </c>
      <c r="AN403" s="64">
        <f>AI403*Inputs!$F$46*Inputs!$G$46</f>
        <v>0</v>
      </c>
      <c r="AO403" s="45">
        <f>Inputs!$F$46*Inputs!$I$46*AJ403</f>
        <v>0</v>
      </c>
      <c r="AP403" s="55"/>
      <c r="AR403" s="116">
        <v>5</v>
      </c>
      <c r="AS403" s="114">
        <f>Inputs!$A$46</f>
        <v>0</v>
      </c>
      <c r="AT403" s="45">
        <f>Inputs!$B$46</f>
        <v>0</v>
      </c>
      <c r="AU403" s="45" t="s">
        <v>57</v>
      </c>
      <c r="AV403" s="45">
        <f t="shared" si="396"/>
        <v>0</v>
      </c>
      <c r="AW403" s="50"/>
      <c r="AX403" s="118">
        <v>5</v>
      </c>
      <c r="AY403" s="114">
        <f>Inputs!$A$46</f>
        <v>0</v>
      </c>
      <c r="AZ403" s="45">
        <f>Inputs!$B$46</f>
        <v>0</v>
      </c>
      <c r="BA403" s="45" t="s">
        <v>58</v>
      </c>
      <c r="BB403" s="45">
        <f t="shared" si="393"/>
        <v>0</v>
      </c>
      <c r="BC403" s="50"/>
      <c r="BD403" s="45">
        <v>0</v>
      </c>
      <c r="BE403" s="45">
        <v>0</v>
      </c>
      <c r="BF403" s="45">
        <f t="shared" si="409"/>
        <v>0</v>
      </c>
      <c r="BG403" s="50"/>
      <c r="BH403" s="45">
        <f t="shared" si="410"/>
        <v>0</v>
      </c>
      <c r="BI403" s="64">
        <f>BD403*Inputs!$F$46*Inputs!$G$46</f>
        <v>0</v>
      </c>
      <c r="BJ403" s="45">
        <f>Inputs!$F$46*Inputs!$I$46*BE403</f>
        <v>0</v>
      </c>
      <c r="BK403" s="55"/>
      <c r="BM403" s="116">
        <v>5</v>
      </c>
      <c r="BN403" s="114">
        <f>Inputs!$A$46</f>
        <v>0</v>
      </c>
      <c r="BO403" s="45">
        <f>Inputs!$B$46</f>
        <v>0</v>
      </c>
      <c r="BP403" s="45" t="s">
        <v>57</v>
      </c>
      <c r="BQ403" s="45">
        <f t="shared" si="394"/>
        <v>0</v>
      </c>
      <c r="BR403" s="50"/>
      <c r="BS403" s="118">
        <v>5</v>
      </c>
      <c r="BT403" s="114">
        <f>Inputs!$A$46</f>
        <v>0</v>
      </c>
      <c r="BU403" s="45">
        <f>Inputs!$B$46</f>
        <v>0</v>
      </c>
      <c r="BV403" s="45" t="s">
        <v>58</v>
      </c>
      <c r="BW403" s="45">
        <f t="shared" si="395"/>
        <v>0</v>
      </c>
      <c r="BX403" s="50"/>
      <c r="BY403" s="45">
        <v>0</v>
      </c>
      <c r="BZ403" s="45">
        <v>0</v>
      </c>
      <c r="CA403" s="45">
        <f t="shared" si="411"/>
        <v>0</v>
      </c>
      <c r="CB403" s="50"/>
      <c r="CC403" s="45">
        <f t="shared" si="412"/>
        <v>0</v>
      </c>
      <c r="CD403" s="64">
        <f>BY403*Inputs!$F$46*Inputs!$G$46</f>
        <v>0</v>
      </c>
      <c r="CE403" s="45">
        <f>Inputs!$F$46*Inputs!$I$46*BZ403</f>
        <v>0</v>
      </c>
      <c r="CF403" s="55"/>
    </row>
    <row r="404" spans="1:84" x14ac:dyDescent="0.25">
      <c r="A404" s="116">
        <v>6</v>
      </c>
      <c r="B404" s="114">
        <f>Inputs!$A$46</f>
        <v>0</v>
      </c>
      <c r="C404" s="45">
        <f>Inputs!$B$46</f>
        <v>0</v>
      </c>
      <c r="D404" s="45" t="s">
        <v>57</v>
      </c>
      <c r="E404" s="45">
        <v>0</v>
      </c>
      <c r="F404" s="50"/>
      <c r="G404" s="118">
        <v>6</v>
      </c>
      <c r="H404" s="114">
        <f>Inputs!$A$46</f>
        <v>0</v>
      </c>
      <c r="I404" s="45">
        <f>Inputs!$B$46</f>
        <v>0</v>
      </c>
      <c r="J404" s="45" t="s">
        <v>58</v>
      </c>
      <c r="K404" s="45">
        <v>0</v>
      </c>
      <c r="L404" s="50"/>
      <c r="M404" s="45">
        <v>0</v>
      </c>
      <c r="N404" s="45">
        <v>0</v>
      </c>
      <c r="O404" s="45">
        <f t="shared" si="405"/>
        <v>0</v>
      </c>
      <c r="P404" s="50"/>
      <c r="Q404" s="45">
        <f t="shared" si="406"/>
        <v>0</v>
      </c>
      <c r="R404" s="64">
        <f>M404*Inputs!$F$46*Inputs!$G$46</f>
        <v>0</v>
      </c>
      <c r="S404" s="45">
        <f>Inputs!$F$46*Inputs!$I$46*N404</f>
        <v>0</v>
      </c>
      <c r="T404" s="18"/>
      <c r="U404" s="55"/>
      <c r="W404" s="116">
        <v>6</v>
      </c>
      <c r="X404" s="114">
        <f>Inputs!$A$46</f>
        <v>0</v>
      </c>
      <c r="Y404" s="45">
        <f>Inputs!$B$46</f>
        <v>0</v>
      </c>
      <c r="Z404" s="45" t="s">
        <v>57</v>
      </c>
      <c r="AA404" s="45">
        <f t="shared" si="391"/>
        <v>0</v>
      </c>
      <c r="AB404" s="50"/>
      <c r="AC404" s="118">
        <v>6</v>
      </c>
      <c r="AD404" s="114">
        <f>Inputs!$A$46</f>
        <v>0</v>
      </c>
      <c r="AE404" s="45">
        <f>Inputs!$B$46</f>
        <v>0</v>
      </c>
      <c r="AF404" s="45" t="s">
        <v>58</v>
      </c>
      <c r="AG404" s="45">
        <f t="shared" si="392"/>
        <v>0</v>
      </c>
      <c r="AH404" s="50"/>
      <c r="AI404" s="45">
        <v>0</v>
      </c>
      <c r="AJ404" s="45">
        <v>0</v>
      </c>
      <c r="AK404" s="45">
        <f t="shared" si="407"/>
        <v>0</v>
      </c>
      <c r="AL404" s="50"/>
      <c r="AM404" s="45">
        <f t="shared" si="408"/>
        <v>0</v>
      </c>
      <c r="AN404" s="64">
        <f>AI404*Inputs!$F$46*Inputs!$G$46</f>
        <v>0</v>
      </c>
      <c r="AO404" s="45">
        <f>Inputs!$F$46*Inputs!$I$46*AJ404</f>
        <v>0</v>
      </c>
      <c r="AP404" s="55"/>
      <c r="AR404" s="116">
        <v>6</v>
      </c>
      <c r="AS404" s="114">
        <f>Inputs!$A$46</f>
        <v>0</v>
      </c>
      <c r="AT404" s="45">
        <f>Inputs!$B$46</f>
        <v>0</v>
      </c>
      <c r="AU404" s="45" t="s">
        <v>57</v>
      </c>
      <c r="AV404" s="45">
        <f t="shared" si="396"/>
        <v>0</v>
      </c>
      <c r="AW404" s="50"/>
      <c r="AX404" s="118">
        <v>6</v>
      </c>
      <c r="AY404" s="114">
        <f>Inputs!$A$46</f>
        <v>0</v>
      </c>
      <c r="AZ404" s="45">
        <f>Inputs!$B$46</f>
        <v>0</v>
      </c>
      <c r="BA404" s="45" t="s">
        <v>58</v>
      </c>
      <c r="BB404" s="45">
        <f t="shared" si="393"/>
        <v>0</v>
      </c>
      <c r="BC404" s="50"/>
      <c r="BD404" s="45">
        <v>0</v>
      </c>
      <c r="BE404" s="45">
        <v>0</v>
      </c>
      <c r="BF404" s="45">
        <f t="shared" si="409"/>
        <v>0</v>
      </c>
      <c r="BG404" s="50"/>
      <c r="BH404" s="45">
        <f t="shared" si="410"/>
        <v>0</v>
      </c>
      <c r="BI404" s="64">
        <f>BD404*Inputs!$F$46*Inputs!$G$46</f>
        <v>0</v>
      </c>
      <c r="BJ404" s="45">
        <f>Inputs!$F$46*Inputs!$I$46*BE404</f>
        <v>0</v>
      </c>
      <c r="BK404" s="55"/>
      <c r="BM404" s="116">
        <v>6</v>
      </c>
      <c r="BN404" s="114">
        <f>Inputs!$A$46</f>
        <v>0</v>
      </c>
      <c r="BO404" s="45">
        <f>Inputs!$B$46</f>
        <v>0</v>
      </c>
      <c r="BP404" s="45" t="s">
        <v>57</v>
      </c>
      <c r="BQ404" s="45">
        <f t="shared" si="394"/>
        <v>0</v>
      </c>
      <c r="BR404" s="50"/>
      <c r="BS404" s="118">
        <v>6</v>
      </c>
      <c r="BT404" s="114">
        <f>Inputs!$A$46</f>
        <v>0</v>
      </c>
      <c r="BU404" s="45">
        <f>Inputs!$B$46</f>
        <v>0</v>
      </c>
      <c r="BV404" s="45" t="s">
        <v>58</v>
      </c>
      <c r="BW404" s="45">
        <f t="shared" si="395"/>
        <v>0</v>
      </c>
      <c r="BX404" s="50"/>
      <c r="BY404" s="45">
        <v>0</v>
      </c>
      <c r="BZ404" s="45">
        <v>0</v>
      </c>
      <c r="CA404" s="45">
        <f t="shared" si="411"/>
        <v>0</v>
      </c>
      <c r="CB404" s="50"/>
      <c r="CC404" s="45">
        <f t="shared" si="412"/>
        <v>0</v>
      </c>
      <c r="CD404" s="64">
        <f>BY404*Inputs!$F$46*Inputs!$G$46</f>
        <v>0</v>
      </c>
      <c r="CE404" s="45">
        <f>Inputs!$F$46*Inputs!$I$46*BZ404</f>
        <v>0</v>
      </c>
      <c r="CF404" s="55"/>
    </row>
    <row r="405" spans="1:84" x14ac:dyDescent="0.25">
      <c r="A405" s="116">
        <v>7</v>
      </c>
      <c r="B405" s="114">
        <f>Inputs!$A$46</f>
        <v>0</v>
      </c>
      <c r="C405" s="45">
        <f>Inputs!$B$46</f>
        <v>0</v>
      </c>
      <c r="D405" s="45" t="s">
        <v>57</v>
      </c>
      <c r="E405" s="45">
        <v>0</v>
      </c>
      <c r="F405" s="50"/>
      <c r="G405" s="118">
        <v>7</v>
      </c>
      <c r="H405" s="114">
        <f>Inputs!$A$46</f>
        <v>0</v>
      </c>
      <c r="I405" s="45">
        <f>Inputs!$B$46</f>
        <v>0</v>
      </c>
      <c r="J405" s="45" t="s">
        <v>58</v>
      </c>
      <c r="K405" s="45">
        <v>0</v>
      </c>
      <c r="L405" s="50"/>
      <c r="M405" s="45">
        <v>0</v>
      </c>
      <c r="N405" s="45">
        <v>0</v>
      </c>
      <c r="O405" s="45">
        <f t="shared" si="405"/>
        <v>0</v>
      </c>
      <c r="P405" s="50"/>
      <c r="Q405" s="45">
        <f t="shared" si="406"/>
        <v>0</v>
      </c>
      <c r="R405" s="64">
        <f>M405*Inputs!$F$46*Inputs!$G$46</f>
        <v>0</v>
      </c>
      <c r="S405" s="45">
        <f>Inputs!$F$46*Inputs!$I$46*N405</f>
        <v>0</v>
      </c>
      <c r="T405" s="18"/>
      <c r="U405" s="55"/>
      <c r="W405" s="116">
        <v>7</v>
      </c>
      <c r="X405" s="114">
        <f>Inputs!$A$46</f>
        <v>0</v>
      </c>
      <c r="Y405" s="45">
        <f>Inputs!$B$46</f>
        <v>0</v>
      </c>
      <c r="Z405" s="45" t="s">
        <v>57</v>
      </c>
      <c r="AA405" s="45">
        <f t="shared" si="391"/>
        <v>0</v>
      </c>
      <c r="AB405" s="50"/>
      <c r="AC405" s="118">
        <v>7</v>
      </c>
      <c r="AD405" s="114">
        <f>Inputs!$A$46</f>
        <v>0</v>
      </c>
      <c r="AE405" s="45">
        <f>Inputs!$B$46</f>
        <v>0</v>
      </c>
      <c r="AF405" s="45" t="s">
        <v>58</v>
      </c>
      <c r="AG405" s="45">
        <f t="shared" si="392"/>
        <v>0</v>
      </c>
      <c r="AH405" s="50"/>
      <c r="AI405" s="45">
        <v>0</v>
      </c>
      <c r="AJ405" s="45">
        <v>0</v>
      </c>
      <c r="AK405" s="45">
        <f t="shared" si="407"/>
        <v>0</v>
      </c>
      <c r="AL405" s="50"/>
      <c r="AM405" s="45">
        <f t="shared" si="408"/>
        <v>0</v>
      </c>
      <c r="AN405" s="64">
        <f>AI405*Inputs!$F$46*Inputs!$G$46</f>
        <v>0</v>
      </c>
      <c r="AO405" s="45">
        <f>Inputs!$F$46*Inputs!$I$46*AJ405</f>
        <v>0</v>
      </c>
      <c r="AP405" s="55"/>
      <c r="AR405" s="116">
        <v>7</v>
      </c>
      <c r="AS405" s="114">
        <f>Inputs!$A$46</f>
        <v>0</v>
      </c>
      <c r="AT405" s="45">
        <f>Inputs!$B$46</f>
        <v>0</v>
      </c>
      <c r="AU405" s="45" t="s">
        <v>57</v>
      </c>
      <c r="AV405" s="45">
        <f t="shared" si="396"/>
        <v>0</v>
      </c>
      <c r="AW405" s="50"/>
      <c r="AX405" s="118">
        <v>7</v>
      </c>
      <c r="AY405" s="114">
        <f>Inputs!$A$46</f>
        <v>0</v>
      </c>
      <c r="AZ405" s="45">
        <f>Inputs!$B$46</f>
        <v>0</v>
      </c>
      <c r="BA405" s="45" t="s">
        <v>58</v>
      </c>
      <c r="BB405" s="45">
        <f t="shared" si="393"/>
        <v>0</v>
      </c>
      <c r="BC405" s="50"/>
      <c r="BD405" s="45">
        <v>0</v>
      </c>
      <c r="BE405" s="45">
        <v>0</v>
      </c>
      <c r="BF405" s="45">
        <f t="shared" si="409"/>
        <v>0</v>
      </c>
      <c r="BG405" s="50"/>
      <c r="BH405" s="45">
        <f t="shared" si="410"/>
        <v>0</v>
      </c>
      <c r="BI405" s="64">
        <f>BD405*Inputs!$F$46*Inputs!$G$46</f>
        <v>0</v>
      </c>
      <c r="BJ405" s="45">
        <f>Inputs!$F$46*Inputs!$I$46*BE405</f>
        <v>0</v>
      </c>
      <c r="BK405" s="55"/>
      <c r="BM405" s="116">
        <v>7</v>
      </c>
      <c r="BN405" s="114">
        <f>Inputs!$A$46</f>
        <v>0</v>
      </c>
      <c r="BO405" s="45">
        <f>Inputs!$B$46</f>
        <v>0</v>
      </c>
      <c r="BP405" s="45" t="s">
        <v>57</v>
      </c>
      <c r="BQ405" s="45">
        <f t="shared" si="394"/>
        <v>0</v>
      </c>
      <c r="BR405" s="50"/>
      <c r="BS405" s="118">
        <v>7</v>
      </c>
      <c r="BT405" s="114">
        <f>Inputs!$A$46</f>
        <v>0</v>
      </c>
      <c r="BU405" s="45">
        <f>Inputs!$B$46</f>
        <v>0</v>
      </c>
      <c r="BV405" s="45" t="s">
        <v>58</v>
      </c>
      <c r="BW405" s="45">
        <f t="shared" si="395"/>
        <v>0</v>
      </c>
      <c r="BX405" s="50"/>
      <c r="BY405" s="45">
        <v>0</v>
      </c>
      <c r="BZ405" s="45">
        <v>0</v>
      </c>
      <c r="CA405" s="45">
        <f t="shared" si="411"/>
        <v>0</v>
      </c>
      <c r="CB405" s="50"/>
      <c r="CC405" s="45">
        <f t="shared" si="412"/>
        <v>0</v>
      </c>
      <c r="CD405" s="64">
        <f>BY405*Inputs!$F$46*Inputs!$G$46</f>
        <v>0</v>
      </c>
      <c r="CE405" s="45">
        <f>Inputs!$F$46*Inputs!$I$46*BZ405</f>
        <v>0</v>
      </c>
      <c r="CF405" s="55"/>
    </row>
    <row r="406" spans="1:84" x14ac:dyDescent="0.25">
      <c r="A406" s="116">
        <v>8</v>
      </c>
      <c r="B406" s="114">
        <f>Inputs!$A$46</f>
        <v>0</v>
      </c>
      <c r="C406" s="45">
        <f>Inputs!$B$46</f>
        <v>0</v>
      </c>
      <c r="D406" s="45" t="s">
        <v>57</v>
      </c>
      <c r="E406" s="45">
        <v>0</v>
      </c>
      <c r="F406" s="50"/>
      <c r="G406" s="118">
        <v>8</v>
      </c>
      <c r="H406" s="114">
        <f>Inputs!$A$46</f>
        <v>0</v>
      </c>
      <c r="I406" s="45">
        <f>Inputs!$B$46</f>
        <v>0</v>
      </c>
      <c r="J406" s="45" t="s">
        <v>58</v>
      </c>
      <c r="K406" s="45">
        <v>0</v>
      </c>
      <c r="L406" s="50"/>
      <c r="M406" s="45">
        <v>0</v>
      </c>
      <c r="N406" s="45">
        <v>0</v>
      </c>
      <c r="O406" s="45">
        <f t="shared" si="405"/>
        <v>0</v>
      </c>
      <c r="P406" s="50"/>
      <c r="Q406" s="45">
        <f t="shared" si="406"/>
        <v>0</v>
      </c>
      <c r="R406" s="64">
        <f>M406*Inputs!$F$46*Inputs!$G$46</f>
        <v>0</v>
      </c>
      <c r="S406" s="45">
        <f>Inputs!$F$46*Inputs!$I$46*N406</f>
        <v>0</v>
      </c>
      <c r="T406" s="18"/>
      <c r="U406" s="55"/>
      <c r="W406" s="116">
        <v>8</v>
      </c>
      <c r="X406" s="114">
        <f>Inputs!$A$46</f>
        <v>0</v>
      </c>
      <c r="Y406" s="45">
        <f>Inputs!$B$46</f>
        <v>0</v>
      </c>
      <c r="Z406" s="45" t="s">
        <v>57</v>
      </c>
      <c r="AA406" s="45">
        <f t="shared" si="391"/>
        <v>0</v>
      </c>
      <c r="AB406" s="50"/>
      <c r="AC406" s="118">
        <v>8</v>
      </c>
      <c r="AD406" s="114">
        <f>Inputs!$A$46</f>
        <v>0</v>
      </c>
      <c r="AE406" s="45">
        <f>Inputs!$B$46</f>
        <v>0</v>
      </c>
      <c r="AF406" s="45" t="s">
        <v>58</v>
      </c>
      <c r="AG406" s="45">
        <f t="shared" si="392"/>
        <v>0</v>
      </c>
      <c r="AH406" s="50"/>
      <c r="AI406" s="45">
        <v>0</v>
      </c>
      <c r="AJ406" s="45">
        <v>0</v>
      </c>
      <c r="AK406" s="45">
        <f t="shared" si="407"/>
        <v>0</v>
      </c>
      <c r="AL406" s="50"/>
      <c r="AM406" s="45">
        <f t="shared" si="408"/>
        <v>0</v>
      </c>
      <c r="AN406" s="64">
        <f>AI406*Inputs!$F$46*Inputs!$G$46</f>
        <v>0</v>
      </c>
      <c r="AO406" s="45">
        <f>Inputs!$F$46*Inputs!$I$46*AJ406</f>
        <v>0</v>
      </c>
      <c r="AP406" s="55"/>
      <c r="AR406" s="116">
        <v>8</v>
      </c>
      <c r="AS406" s="114">
        <f>Inputs!$A$46</f>
        <v>0</v>
      </c>
      <c r="AT406" s="45">
        <f>Inputs!$B$46</f>
        <v>0</v>
      </c>
      <c r="AU406" s="45" t="s">
        <v>57</v>
      </c>
      <c r="AV406" s="45">
        <f t="shared" si="396"/>
        <v>0</v>
      </c>
      <c r="AW406" s="50"/>
      <c r="AX406" s="118">
        <v>8</v>
      </c>
      <c r="AY406" s="114">
        <f>Inputs!$A$46</f>
        <v>0</v>
      </c>
      <c r="AZ406" s="45">
        <f>Inputs!$B$46</f>
        <v>0</v>
      </c>
      <c r="BA406" s="45" t="s">
        <v>58</v>
      </c>
      <c r="BB406" s="45">
        <f t="shared" si="393"/>
        <v>0</v>
      </c>
      <c r="BC406" s="50"/>
      <c r="BD406" s="45">
        <v>0</v>
      </c>
      <c r="BE406" s="45">
        <v>0</v>
      </c>
      <c r="BF406" s="45">
        <f t="shared" si="409"/>
        <v>0</v>
      </c>
      <c r="BG406" s="50"/>
      <c r="BH406" s="45">
        <f t="shared" si="410"/>
        <v>0</v>
      </c>
      <c r="BI406" s="64">
        <f>BD406*Inputs!$F$46*Inputs!$G$46</f>
        <v>0</v>
      </c>
      <c r="BJ406" s="45">
        <f>Inputs!$F$46*Inputs!$I$46*BE406</f>
        <v>0</v>
      </c>
      <c r="BK406" s="55"/>
      <c r="BM406" s="116">
        <v>8</v>
      </c>
      <c r="BN406" s="114">
        <f>Inputs!$A$46</f>
        <v>0</v>
      </c>
      <c r="BO406" s="45">
        <f>Inputs!$B$46</f>
        <v>0</v>
      </c>
      <c r="BP406" s="45" t="s">
        <v>57</v>
      </c>
      <c r="BQ406" s="45">
        <f t="shared" si="394"/>
        <v>0</v>
      </c>
      <c r="BR406" s="50"/>
      <c r="BS406" s="118">
        <v>8</v>
      </c>
      <c r="BT406" s="114">
        <f>Inputs!$A$46</f>
        <v>0</v>
      </c>
      <c r="BU406" s="45">
        <f>Inputs!$B$46</f>
        <v>0</v>
      </c>
      <c r="BV406" s="45" t="s">
        <v>58</v>
      </c>
      <c r="BW406" s="45">
        <f t="shared" si="395"/>
        <v>0</v>
      </c>
      <c r="BX406" s="50"/>
      <c r="BY406" s="45">
        <v>0</v>
      </c>
      <c r="BZ406" s="45">
        <v>0</v>
      </c>
      <c r="CA406" s="45">
        <f t="shared" si="411"/>
        <v>0</v>
      </c>
      <c r="CB406" s="50"/>
      <c r="CC406" s="45">
        <f t="shared" si="412"/>
        <v>0</v>
      </c>
      <c r="CD406" s="64">
        <f>BY406*Inputs!$F$46*Inputs!$G$46</f>
        <v>0</v>
      </c>
      <c r="CE406" s="45">
        <f>Inputs!$F$46*Inputs!$I$46*BZ406</f>
        <v>0</v>
      </c>
      <c r="CF406" s="55"/>
    </row>
    <row r="407" spans="1:84" x14ac:dyDescent="0.25">
      <c r="A407" s="116">
        <v>9</v>
      </c>
      <c r="B407" s="114">
        <f>Inputs!$A$46</f>
        <v>0</v>
      </c>
      <c r="C407" s="45">
        <f>Inputs!$B$46</f>
        <v>0</v>
      </c>
      <c r="D407" s="45" t="s">
        <v>57</v>
      </c>
      <c r="E407" s="45">
        <v>0</v>
      </c>
      <c r="F407" s="50"/>
      <c r="G407" s="118">
        <v>9</v>
      </c>
      <c r="H407" s="114">
        <f>Inputs!$A$46</f>
        <v>0</v>
      </c>
      <c r="I407" s="45">
        <f>Inputs!$B$46</f>
        <v>0</v>
      </c>
      <c r="J407" s="45" t="s">
        <v>58</v>
      </c>
      <c r="K407" s="45">
        <v>0</v>
      </c>
      <c r="L407" s="50"/>
      <c r="M407" s="45">
        <v>0</v>
      </c>
      <c r="N407" s="45">
        <v>0</v>
      </c>
      <c r="O407" s="45">
        <f t="shared" si="405"/>
        <v>0</v>
      </c>
      <c r="P407" s="50"/>
      <c r="Q407" s="45">
        <f t="shared" si="406"/>
        <v>0</v>
      </c>
      <c r="R407" s="64">
        <f>M407*Inputs!$F$46*Inputs!$G$46</f>
        <v>0</v>
      </c>
      <c r="S407" s="45">
        <f>Inputs!$F$46*Inputs!$I$46*N407</f>
        <v>0</v>
      </c>
      <c r="T407" s="18"/>
      <c r="U407" s="55"/>
      <c r="W407" s="116">
        <v>9</v>
      </c>
      <c r="X407" s="114">
        <f>Inputs!$A$46</f>
        <v>0</v>
      </c>
      <c r="Y407" s="45">
        <f>Inputs!$B$46</f>
        <v>0</v>
      </c>
      <c r="Z407" s="45" t="s">
        <v>57</v>
      </c>
      <c r="AA407" s="45">
        <f t="shared" si="391"/>
        <v>0</v>
      </c>
      <c r="AB407" s="50"/>
      <c r="AC407" s="118">
        <v>9</v>
      </c>
      <c r="AD407" s="114">
        <f>Inputs!$A$46</f>
        <v>0</v>
      </c>
      <c r="AE407" s="45">
        <f>Inputs!$B$46</f>
        <v>0</v>
      </c>
      <c r="AF407" s="45" t="s">
        <v>58</v>
      </c>
      <c r="AG407" s="45">
        <f t="shared" si="392"/>
        <v>0</v>
      </c>
      <c r="AH407" s="50"/>
      <c r="AI407" s="45">
        <v>0</v>
      </c>
      <c r="AJ407" s="45">
        <v>0</v>
      </c>
      <c r="AK407" s="45">
        <f t="shared" si="407"/>
        <v>0</v>
      </c>
      <c r="AL407" s="50"/>
      <c r="AM407" s="45">
        <f t="shared" si="408"/>
        <v>0</v>
      </c>
      <c r="AN407" s="64">
        <f>AI407*Inputs!$F$46*Inputs!$G$46</f>
        <v>0</v>
      </c>
      <c r="AO407" s="45">
        <f>Inputs!$F$46*Inputs!$I$46*AJ407</f>
        <v>0</v>
      </c>
      <c r="AP407" s="55"/>
      <c r="AR407" s="116">
        <v>9</v>
      </c>
      <c r="AS407" s="114">
        <f>Inputs!$A$46</f>
        <v>0</v>
      </c>
      <c r="AT407" s="45">
        <f>Inputs!$B$46</f>
        <v>0</v>
      </c>
      <c r="AU407" s="45" t="s">
        <v>57</v>
      </c>
      <c r="AV407" s="45">
        <f t="shared" si="396"/>
        <v>0</v>
      </c>
      <c r="AW407" s="50"/>
      <c r="AX407" s="118">
        <v>9</v>
      </c>
      <c r="AY407" s="114">
        <f>Inputs!$A$46</f>
        <v>0</v>
      </c>
      <c r="AZ407" s="45">
        <f>Inputs!$B$46</f>
        <v>0</v>
      </c>
      <c r="BA407" s="45" t="s">
        <v>58</v>
      </c>
      <c r="BB407" s="45">
        <f t="shared" si="393"/>
        <v>0</v>
      </c>
      <c r="BC407" s="50"/>
      <c r="BD407" s="45">
        <v>0</v>
      </c>
      <c r="BE407" s="45">
        <v>0</v>
      </c>
      <c r="BF407" s="45">
        <f t="shared" si="409"/>
        <v>0</v>
      </c>
      <c r="BG407" s="50"/>
      <c r="BH407" s="45">
        <f t="shared" si="410"/>
        <v>0</v>
      </c>
      <c r="BI407" s="64">
        <f>BD407*Inputs!$F$46*Inputs!$G$46</f>
        <v>0</v>
      </c>
      <c r="BJ407" s="45">
        <f>Inputs!$F$46*Inputs!$I$46*BE407</f>
        <v>0</v>
      </c>
      <c r="BK407" s="55"/>
      <c r="BM407" s="116">
        <v>9</v>
      </c>
      <c r="BN407" s="114">
        <f>Inputs!$A$46</f>
        <v>0</v>
      </c>
      <c r="BO407" s="45">
        <f>Inputs!$B$46</f>
        <v>0</v>
      </c>
      <c r="BP407" s="45" t="s">
        <v>57</v>
      </c>
      <c r="BQ407" s="45">
        <f t="shared" si="394"/>
        <v>0</v>
      </c>
      <c r="BR407" s="50"/>
      <c r="BS407" s="118">
        <v>9</v>
      </c>
      <c r="BT407" s="114">
        <f>Inputs!$A$46</f>
        <v>0</v>
      </c>
      <c r="BU407" s="45">
        <f>Inputs!$B$46</f>
        <v>0</v>
      </c>
      <c r="BV407" s="45" t="s">
        <v>58</v>
      </c>
      <c r="BW407" s="45">
        <f t="shared" si="395"/>
        <v>0</v>
      </c>
      <c r="BX407" s="50"/>
      <c r="BY407" s="45">
        <v>0</v>
      </c>
      <c r="BZ407" s="45">
        <v>0</v>
      </c>
      <c r="CA407" s="45">
        <f t="shared" si="411"/>
        <v>0</v>
      </c>
      <c r="CB407" s="50"/>
      <c r="CC407" s="45">
        <f t="shared" si="412"/>
        <v>0</v>
      </c>
      <c r="CD407" s="64">
        <f>BY407*Inputs!$F$46*Inputs!$G$46</f>
        <v>0</v>
      </c>
      <c r="CE407" s="45">
        <f>Inputs!$F$46*Inputs!$I$46*BZ407</f>
        <v>0</v>
      </c>
      <c r="CF407" s="55"/>
    </row>
    <row r="408" spans="1:84" x14ac:dyDescent="0.25">
      <c r="A408" s="116">
        <v>10</v>
      </c>
      <c r="B408" s="114">
        <f>Inputs!$A$46</f>
        <v>0</v>
      </c>
      <c r="C408" s="45">
        <f>Inputs!$B$46</f>
        <v>0</v>
      </c>
      <c r="D408" s="45" t="s">
        <v>57</v>
      </c>
      <c r="E408" s="45">
        <v>0</v>
      </c>
      <c r="F408" s="50"/>
      <c r="G408" s="118">
        <v>10</v>
      </c>
      <c r="H408" s="114">
        <f>Inputs!$A$46</f>
        <v>0</v>
      </c>
      <c r="I408" s="45">
        <f>Inputs!$B$46</f>
        <v>0</v>
      </c>
      <c r="J408" s="45" t="s">
        <v>58</v>
      </c>
      <c r="K408" s="45">
        <v>0</v>
      </c>
      <c r="L408" s="50"/>
      <c r="M408" s="45">
        <v>0</v>
      </c>
      <c r="N408" s="45">
        <v>0</v>
      </c>
      <c r="O408" s="45">
        <f t="shared" si="405"/>
        <v>0</v>
      </c>
      <c r="P408" s="50"/>
      <c r="Q408" s="45">
        <f t="shared" si="406"/>
        <v>0</v>
      </c>
      <c r="R408" s="64">
        <f>M408*Inputs!$F$46*Inputs!$G$46</f>
        <v>0</v>
      </c>
      <c r="S408" s="45">
        <f>Inputs!$F$46*Inputs!$I$46*N408</f>
        <v>0</v>
      </c>
      <c r="T408" s="18"/>
      <c r="U408" s="91"/>
      <c r="W408" s="116">
        <v>10</v>
      </c>
      <c r="X408" s="114">
        <f>Inputs!$A$46</f>
        <v>0</v>
      </c>
      <c r="Y408" s="45">
        <f>Inputs!$B$46</f>
        <v>0</v>
      </c>
      <c r="Z408" s="45" t="s">
        <v>57</v>
      </c>
      <c r="AA408" s="45">
        <f t="shared" si="391"/>
        <v>0</v>
      </c>
      <c r="AB408" s="50"/>
      <c r="AC408" s="118">
        <v>10</v>
      </c>
      <c r="AD408" s="114">
        <f>Inputs!$A$46</f>
        <v>0</v>
      </c>
      <c r="AE408" s="45">
        <f>Inputs!$B$46</f>
        <v>0</v>
      </c>
      <c r="AF408" s="45" t="s">
        <v>58</v>
      </c>
      <c r="AG408" s="45">
        <f t="shared" si="392"/>
        <v>0</v>
      </c>
      <c r="AH408" s="50"/>
      <c r="AI408" s="45">
        <v>0</v>
      </c>
      <c r="AJ408" s="45">
        <v>0</v>
      </c>
      <c r="AK408" s="45">
        <f t="shared" si="407"/>
        <v>0</v>
      </c>
      <c r="AL408" s="50"/>
      <c r="AM408" s="45">
        <f t="shared" si="408"/>
        <v>0</v>
      </c>
      <c r="AN408" s="64">
        <f>AI408*Inputs!$F$46*Inputs!$G$46</f>
        <v>0</v>
      </c>
      <c r="AO408" s="45">
        <f>Inputs!$F$46*Inputs!$I$46*AJ408</f>
        <v>0</v>
      </c>
      <c r="AP408" s="91"/>
      <c r="AR408" s="116">
        <v>10</v>
      </c>
      <c r="AS408" s="114">
        <f>Inputs!$A$46</f>
        <v>0</v>
      </c>
      <c r="AT408" s="45">
        <f>Inputs!$B$46</f>
        <v>0</v>
      </c>
      <c r="AU408" s="45" t="s">
        <v>57</v>
      </c>
      <c r="AV408" s="45">
        <f t="shared" si="396"/>
        <v>0</v>
      </c>
      <c r="AW408" s="50"/>
      <c r="AX408" s="118">
        <v>10</v>
      </c>
      <c r="AY408" s="114">
        <f>Inputs!$A$46</f>
        <v>0</v>
      </c>
      <c r="AZ408" s="45">
        <f>Inputs!$B$46</f>
        <v>0</v>
      </c>
      <c r="BA408" s="45" t="s">
        <v>58</v>
      </c>
      <c r="BB408" s="45">
        <f t="shared" si="393"/>
        <v>0</v>
      </c>
      <c r="BC408" s="50"/>
      <c r="BD408" s="45">
        <v>0</v>
      </c>
      <c r="BE408" s="45">
        <v>0</v>
      </c>
      <c r="BF408" s="45">
        <f t="shared" si="409"/>
        <v>0</v>
      </c>
      <c r="BG408" s="50"/>
      <c r="BH408" s="45">
        <f t="shared" si="410"/>
        <v>0</v>
      </c>
      <c r="BI408" s="64">
        <f>BD408*Inputs!$F$46*Inputs!$G$46</f>
        <v>0</v>
      </c>
      <c r="BJ408" s="45">
        <f>Inputs!$F$46*Inputs!$I$46*BE408</f>
        <v>0</v>
      </c>
      <c r="BK408" s="91"/>
      <c r="BM408" s="116">
        <v>10</v>
      </c>
      <c r="BN408" s="114">
        <f>Inputs!$A$46</f>
        <v>0</v>
      </c>
      <c r="BO408" s="45">
        <f>Inputs!$B$46</f>
        <v>0</v>
      </c>
      <c r="BP408" s="45" t="s">
        <v>57</v>
      </c>
      <c r="BQ408" s="45">
        <f t="shared" si="394"/>
        <v>0</v>
      </c>
      <c r="BR408" s="50"/>
      <c r="BS408" s="118">
        <v>10</v>
      </c>
      <c r="BT408" s="114">
        <f>Inputs!$A$46</f>
        <v>0</v>
      </c>
      <c r="BU408" s="45">
        <f>Inputs!$B$46</f>
        <v>0</v>
      </c>
      <c r="BV408" s="45" t="s">
        <v>58</v>
      </c>
      <c r="BW408" s="45">
        <f t="shared" si="395"/>
        <v>0</v>
      </c>
      <c r="BX408" s="50"/>
      <c r="BY408" s="45">
        <v>0</v>
      </c>
      <c r="BZ408" s="45">
        <v>0</v>
      </c>
      <c r="CA408" s="45">
        <f t="shared" si="411"/>
        <v>0</v>
      </c>
      <c r="CB408" s="50"/>
      <c r="CC408" s="45">
        <f t="shared" si="412"/>
        <v>0</v>
      </c>
      <c r="CD408" s="64">
        <f>BY408*Inputs!$F$46*Inputs!$G$46</f>
        <v>0</v>
      </c>
      <c r="CE408" s="45">
        <f>Inputs!$F$46*Inputs!$I$46*BZ408</f>
        <v>0</v>
      </c>
      <c r="CF408" s="91"/>
    </row>
    <row r="409" spans="1:84" x14ac:dyDescent="0.25">
      <c r="A409" s="116">
        <v>11</v>
      </c>
      <c r="B409" s="114">
        <f>Inputs!$A$46</f>
        <v>0</v>
      </c>
      <c r="C409" s="45">
        <f>Inputs!$B$46</f>
        <v>0</v>
      </c>
      <c r="D409" s="45" t="s">
        <v>57</v>
      </c>
      <c r="E409" s="45">
        <v>0</v>
      </c>
      <c r="F409" s="50"/>
      <c r="G409" s="118">
        <v>11</v>
      </c>
      <c r="H409" s="114">
        <f>Inputs!$A$46</f>
        <v>0</v>
      </c>
      <c r="I409" s="45">
        <f>Inputs!$B$46</f>
        <v>0</v>
      </c>
      <c r="J409" s="45" t="s">
        <v>58</v>
      </c>
      <c r="K409" s="45">
        <v>0</v>
      </c>
      <c r="L409" s="50"/>
      <c r="M409" s="45">
        <v>0</v>
      </c>
      <c r="N409" s="45">
        <v>0</v>
      </c>
      <c r="O409" s="45">
        <f t="shared" si="405"/>
        <v>0</v>
      </c>
      <c r="P409" s="50"/>
      <c r="Q409" s="45">
        <f t="shared" si="406"/>
        <v>0</v>
      </c>
      <c r="R409" s="64">
        <f>M409*Inputs!$F$46*Inputs!$H$46</f>
        <v>0</v>
      </c>
      <c r="S409" s="45">
        <f>Inputs!$F$46*Inputs!$I$46*N409</f>
        <v>0</v>
      </c>
      <c r="T409" s="18"/>
      <c r="U409" s="56"/>
      <c r="W409" s="116">
        <v>11</v>
      </c>
      <c r="X409" s="114">
        <f>Inputs!$A$46</f>
        <v>0</v>
      </c>
      <c r="Y409" s="45">
        <f>Inputs!$B$46</f>
        <v>0</v>
      </c>
      <c r="Z409" s="45" t="s">
        <v>57</v>
      </c>
      <c r="AA409" s="45">
        <f t="shared" si="391"/>
        <v>0</v>
      </c>
      <c r="AB409" s="50"/>
      <c r="AC409" s="118">
        <v>11</v>
      </c>
      <c r="AD409" s="114">
        <f>Inputs!$A$46</f>
        <v>0</v>
      </c>
      <c r="AE409" s="45">
        <f>Inputs!$B$46</f>
        <v>0</v>
      </c>
      <c r="AF409" s="45" t="s">
        <v>58</v>
      </c>
      <c r="AG409" s="45">
        <f t="shared" si="392"/>
        <v>0</v>
      </c>
      <c r="AH409" s="50"/>
      <c r="AI409" s="45">
        <v>0</v>
      </c>
      <c r="AJ409" s="45">
        <v>0</v>
      </c>
      <c r="AK409" s="45">
        <f t="shared" si="407"/>
        <v>0</v>
      </c>
      <c r="AL409" s="50"/>
      <c r="AM409" s="45">
        <f t="shared" si="408"/>
        <v>0</v>
      </c>
      <c r="AN409" s="64">
        <f>AI409*Inputs!$F$46*Inputs!$H$46</f>
        <v>0</v>
      </c>
      <c r="AO409" s="45">
        <f>Inputs!$F$46*Inputs!$I$46*AJ409</f>
        <v>0</v>
      </c>
      <c r="AP409" s="56"/>
      <c r="AR409" s="116">
        <v>11</v>
      </c>
      <c r="AS409" s="114">
        <f>Inputs!$A$46</f>
        <v>0</v>
      </c>
      <c r="AT409" s="45">
        <f>Inputs!$B$46</f>
        <v>0</v>
      </c>
      <c r="AU409" s="45" t="s">
        <v>57</v>
      </c>
      <c r="AV409" s="45">
        <f t="shared" si="396"/>
        <v>0</v>
      </c>
      <c r="AW409" s="50"/>
      <c r="AX409" s="118">
        <v>11</v>
      </c>
      <c r="AY409" s="114">
        <f>Inputs!$A$46</f>
        <v>0</v>
      </c>
      <c r="AZ409" s="45">
        <f>Inputs!$B$46</f>
        <v>0</v>
      </c>
      <c r="BA409" s="45" t="s">
        <v>58</v>
      </c>
      <c r="BB409" s="45">
        <f t="shared" si="393"/>
        <v>0</v>
      </c>
      <c r="BC409" s="50"/>
      <c r="BD409" s="45">
        <v>0</v>
      </c>
      <c r="BE409" s="45">
        <v>0</v>
      </c>
      <c r="BF409" s="45">
        <f t="shared" si="409"/>
        <v>0</v>
      </c>
      <c r="BG409" s="50"/>
      <c r="BH409" s="45">
        <f t="shared" si="410"/>
        <v>0</v>
      </c>
      <c r="BI409" s="64">
        <f>BD409*Inputs!$F$46*Inputs!$H$46</f>
        <v>0</v>
      </c>
      <c r="BJ409" s="45">
        <f>Inputs!$F$46*Inputs!$I$46*BE409</f>
        <v>0</v>
      </c>
      <c r="BK409" s="56"/>
      <c r="BM409" s="116">
        <v>11</v>
      </c>
      <c r="BN409" s="114">
        <f>Inputs!$A$46</f>
        <v>0</v>
      </c>
      <c r="BO409" s="45">
        <f>Inputs!$B$46</f>
        <v>0</v>
      </c>
      <c r="BP409" s="45" t="s">
        <v>57</v>
      </c>
      <c r="BQ409" s="45">
        <f t="shared" si="394"/>
        <v>0</v>
      </c>
      <c r="BR409" s="50"/>
      <c r="BS409" s="118">
        <v>11</v>
      </c>
      <c r="BT409" s="114">
        <f>Inputs!$A$46</f>
        <v>0</v>
      </c>
      <c r="BU409" s="45">
        <f>Inputs!$B$46</f>
        <v>0</v>
      </c>
      <c r="BV409" s="45" t="s">
        <v>58</v>
      </c>
      <c r="BW409" s="45">
        <f t="shared" si="395"/>
        <v>0</v>
      </c>
      <c r="BX409" s="50"/>
      <c r="BY409" s="45">
        <v>0</v>
      </c>
      <c r="BZ409" s="45">
        <v>0</v>
      </c>
      <c r="CA409" s="45">
        <f t="shared" si="411"/>
        <v>0</v>
      </c>
      <c r="CB409" s="50"/>
      <c r="CC409" s="45">
        <f t="shared" si="412"/>
        <v>0</v>
      </c>
      <c r="CD409" s="64">
        <f>BY409*Inputs!$F$46*Inputs!$H$46</f>
        <v>0</v>
      </c>
      <c r="CE409" s="45">
        <f>Inputs!$F$46*Inputs!$I$46*BZ409</f>
        <v>0</v>
      </c>
      <c r="CF409" s="56"/>
    </row>
    <row r="410" spans="1:84" x14ac:dyDescent="0.25">
      <c r="A410" s="117">
        <v>3</v>
      </c>
      <c r="B410" s="115">
        <f>Inputs!$A$47</f>
        <v>0</v>
      </c>
      <c r="C410" s="44">
        <f>Inputs!$B$47</f>
        <v>0</v>
      </c>
      <c r="D410" s="44" t="s">
        <v>57</v>
      </c>
      <c r="E410" s="44">
        <v>0</v>
      </c>
      <c r="F410" s="50"/>
      <c r="G410" s="119">
        <v>3</v>
      </c>
      <c r="H410" s="115">
        <f>Inputs!$A$47</f>
        <v>0</v>
      </c>
      <c r="I410" s="44">
        <f>Inputs!$B$47</f>
        <v>0</v>
      </c>
      <c r="J410" s="44" t="s">
        <v>58</v>
      </c>
      <c r="K410" s="44">
        <v>0</v>
      </c>
      <c r="L410" s="50"/>
      <c r="M410" s="44">
        <v>0</v>
      </c>
      <c r="N410" s="44">
        <v>0</v>
      </c>
      <c r="O410" s="44">
        <f>U410-0-E410-K410</f>
        <v>0</v>
      </c>
      <c r="P410" s="50"/>
      <c r="Q410" s="44">
        <f>E410+K410+N410-U410+0-M410</f>
        <v>0</v>
      </c>
      <c r="R410" s="63">
        <f>M410*Inputs!$F$47*Inputs!$G$47</f>
        <v>0</v>
      </c>
      <c r="S410" s="44">
        <f>Inputs!$F$47*Inputs!$I$47*N410</f>
        <v>0</v>
      </c>
      <c r="T410" s="18"/>
      <c r="U410" s="54"/>
      <c r="W410" s="117">
        <v>3</v>
      </c>
      <c r="X410" s="115">
        <f>Inputs!$A$47</f>
        <v>0</v>
      </c>
      <c r="Y410" s="44">
        <f>Inputs!$B$47</f>
        <v>0</v>
      </c>
      <c r="Z410" s="44" t="s">
        <v>57</v>
      </c>
      <c r="AA410" s="44">
        <f t="shared" si="391"/>
        <v>0</v>
      </c>
      <c r="AB410" s="50"/>
      <c r="AC410" s="119">
        <v>3</v>
      </c>
      <c r="AD410" s="115">
        <f>Inputs!$A$47</f>
        <v>0</v>
      </c>
      <c r="AE410" s="44">
        <f>Inputs!$B$47</f>
        <v>0</v>
      </c>
      <c r="AF410" s="44" t="s">
        <v>58</v>
      </c>
      <c r="AG410" s="44">
        <f t="shared" si="392"/>
        <v>0</v>
      </c>
      <c r="AH410" s="50"/>
      <c r="AI410" s="44">
        <v>0</v>
      </c>
      <c r="AJ410" s="44">
        <v>0</v>
      </c>
      <c r="AK410" s="44">
        <f>AP410-0-AA410-AG410</f>
        <v>0</v>
      </c>
      <c r="AL410" s="50"/>
      <c r="AM410" s="44">
        <f>AA410+AG410+AJ410-AP410+0-AI410</f>
        <v>0</v>
      </c>
      <c r="AN410" s="63">
        <f>AI410*Inputs!$F$47*Inputs!$G$47</f>
        <v>0</v>
      </c>
      <c r="AO410" s="44">
        <f>Inputs!$F$47*Inputs!$I$47*AJ410</f>
        <v>0</v>
      </c>
      <c r="AP410" s="54"/>
      <c r="AR410" s="117">
        <v>3</v>
      </c>
      <c r="AS410" s="115">
        <f>Inputs!$A$47</f>
        <v>0</v>
      </c>
      <c r="AT410" s="44">
        <f>Inputs!$B$47</f>
        <v>0</v>
      </c>
      <c r="AU410" s="44" t="s">
        <v>57</v>
      </c>
      <c r="AV410" s="44">
        <f t="shared" si="396"/>
        <v>0</v>
      </c>
      <c r="AW410" s="50"/>
      <c r="AX410" s="119">
        <v>3</v>
      </c>
      <c r="AY410" s="115">
        <f>Inputs!$A$47</f>
        <v>0</v>
      </c>
      <c r="AZ410" s="44">
        <f>Inputs!$B$47</f>
        <v>0</v>
      </c>
      <c r="BA410" s="44" t="s">
        <v>58</v>
      </c>
      <c r="BB410" s="44">
        <f t="shared" si="393"/>
        <v>0</v>
      </c>
      <c r="BC410" s="50"/>
      <c r="BD410" s="44">
        <v>0</v>
      </c>
      <c r="BE410" s="44">
        <v>0</v>
      </c>
      <c r="BF410" s="44">
        <f>BK410-0-AV410-BB410</f>
        <v>0</v>
      </c>
      <c r="BG410" s="50"/>
      <c r="BH410" s="44">
        <f>AV410+BB410+BE410-BK410+0-BD410</f>
        <v>0</v>
      </c>
      <c r="BI410" s="63">
        <f>BD410*Inputs!$F$47*Inputs!$G$47</f>
        <v>0</v>
      </c>
      <c r="BJ410" s="44">
        <f>Inputs!$F$47*Inputs!$I$47*BE410</f>
        <v>0</v>
      </c>
      <c r="BK410" s="54"/>
      <c r="BM410" s="117">
        <v>3</v>
      </c>
      <c r="BN410" s="115">
        <f>Inputs!$A$47</f>
        <v>0</v>
      </c>
      <c r="BO410" s="44">
        <f>Inputs!$B$47</f>
        <v>0</v>
      </c>
      <c r="BP410" s="44" t="s">
        <v>57</v>
      </c>
      <c r="BQ410" s="44">
        <f t="shared" si="394"/>
        <v>0</v>
      </c>
      <c r="BR410" s="50"/>
      <c r="BS410" s="119">
        <v>3</v>
      </c>
      <c r="BT410" s="115">
        <f>Inputs!$A$47</f>
        <v>0</v>
      </c>
      <c r="BU410" s="44">
        <f>Inputs!$B$47</f>
        <v>0</v>
      </c>
      <c r="BV410" s="44" t="s">
        <v>58</v>
      </c>
      <c r="BW410" s="44">
        <f t="shared" si="395"/>
        <v>0</v>
      </c>
      <c r="BX410" s="50"/>
      <c r="BY410" s="44">
        <v>0</v>
      </c>
      <c r="BZ410" s="44">
        <v>0</v>
      </c>
      <c r="CA410" s="44">
        <f>CF410-0-BQ410-BW410</f>
        <v>0</v>
      </c>
      <c r="CB410" s="50"/>
      <c r="CC410" s="44">
        <f>BQ410+BW410+BZ410-CF410+0-BY410</f>
        <v>0</v>
      </c>
      <c r="CD410" s="63">
        <f>BY410*Inputs!$F$47*Inputs!$G$47</f>
        <v>0</v>
      </c>
      <c r="CE410" s="44">
        <f>Inputs!$F$47*Inputs!$I$47*BZ410</f>
        <v>0</v>
      </c>
      <c r="CF410" s="54"/>
    </row>
    <row r="411" spans="1:84" x14ac:dyDescent="0.25">
      <c r="A411" s="117">
        <v>4</v>
      </c>
      <c r="B411" s="115">
        <f>Inputs!$A$47</f>
        <v>0</v>
      </c>
      <c r="C411" s="44">
        <f>Inputs!$B$47</f>
        <v>0</v>
      </c>
      <c r="D411" s="44" t="s">
        <v>57</v>
      </c>
      <c r="E411" s="44">
        <v>0</v>
      </c>
      <c r="F411" s="50"/>
      <c r="G411" s="119">
        <v>4</v>
      </c>
      <c r="H411" s="115">
        <f>Inputs!$A$47</f>
        <v>0</v>
      </c>
      <c r="I411" s="44">
        <f>Inputs!$B$47</f>
        <v>0</v>
      </c>
      <c r="J411" s="44" t="s">
        <v>58</v>
      </c>
      <c r="K411" s="44">
        <v>0</v>
      </c>
      <c r="L411" s="50"/>
      <c r="M411" s="44">
        <v>0</v>
      </c>
      <c r="N411" s="44">
        <v>0</v>
      </c>
      <c r="O411" s="44">
        <f t="shared" ref="O411:O418" si="413">U411-M410-E411-K411</f>
        <v>0</v>
      </c>
      <c r="P411" s="50"/>
      <c r="Q411" s="44">
        <f t="shared" ref="Q411:Q418" si="414">E411+K411+N411-U411+M410-M411</f>
        <v>0</v>
      </c>
      <c r="R411" s="63">
        <f>M411*Inputs!$F$47*Inputs!$G$47</f>
        <v>0</v>
      </c>
      <c r="S411" s="44">
        <f>Inputs!$F$47*Inputs!$I$47*N411</f>
        <v>0</v>
      </c>
      <c r="T411" s="18"/>
      <c r="U411" s="55"/>
      <c r="W411" s="117">
        <v>4</v>
      </c>
      <c r="X411" s="115">
        <f>Inputs!$A$47</f>
        <v>0</v>
      </c>
      <c r="Y411" s="44">
        <f>Inputs!$B$47</f>
        <v>0</v>
      </c>
      <c r="Z411" s="44" t="s">
        <v>57</v>
      </c>
      <c r="AA411" s="44">
        <f t="shared" si="391"/>
        <v>0</v>
      </c>
      <c r="AB411" s="50"/>
      <c r="AC411" s="119">
        <v>4</v>
      </c>
      <c r="AD411" s="115">
        <f>Inputs!$A$47</f>
        <v>0</v>
      </c>
      <c r="AE411" s="44">
        <f>Inputs!$B$47</f>
        <v>0</v>
      </c>
      <c r="AF411" s="44" t="s">
        <v>58</v>
      </c>
      <c r="AG411" s="44">
        <f t="shared" si="392"/>
        <v>0</v>
      </c>
      <c r="AH411" s="50"/>
      <c r="AI411" s="44">
        <v>0</v>
      </c>
      <c r="AJ411" s="44">
        <v>0</v>
      </c>
      <c r="AK411" s="44">
        <f t="shared" ref="AK411:AK418" si="415">AP411-AI410-AA411-AG411</f>
        <v>0</v>
      </c>
      <c r="AL411" s="50"/>
      <c r="AM411" s="44">
        <f t="shared" ref="AM411:AM418" si="416">AA411+AG411+AJ411-AP411+AI410-AI411</f>
        <v>0</v>
      </c>
      <c r="AN411" s="63">
        <f>AI411*Inputs!$F$47*Inputs!$G$47</f>
        <v>0</v>
      </c>
      <c r="AO411" s="44">
        <f>Inputs!$F$47*Inputs!$I$47*AJ411</f>
        <v>0</v>
      </c>
      <c r="AP411" s="55"/>
      <c r="AR411" s="117">
        <v>4</v>
      </c>
      <c r="AS411" s="115">
        <f>Inputs!$A$47</f>
        <v>0</v>
      </c>
      <c r="AT411" s="44">
        <f>Inputs!$B$47</f>
        <v>0</v>
      </c>
      <c r="AU411" s="44" t="s">
        <v>57</v>
      </c>
      <c r="AV411" s="44">
        <f t="shared" si="396"/>
        <v>0</v>
      </c>
      <c r="AW411" s="50"/>
      <c r="AX411" s="119">
        <v>4</v>
      </c>
      <c r="AY411" s="115">
        <f>Inputs!$A$47</f>
        <v>0</v>
      </c>
      <c r="AZ411" s="44">
        <f>Inputs!$B$47</f>
        <v>0</v>
      </c>
      <c r="BA411" s="44" t="s">
        <v>58</v>
      </c>
      <c r="BB411" s="44">
        <f t="shared" si="393"/>
        <v>0</v>
      </c>
      <c r="BC411" s="50"/>
      <c r="BD411" s="44">
        <v>0</v>
      </c>
      <c r="BE411" s="44">
        <v>0</v>
      </c>
      <c r="BF411" s="44">
        <f t="shared" ref="BF411:BF418" si="417">BK411-BD410-AV411-BB411</f>
        <v>0</v>
      </c>
      <c r="BG411" s="50"/>
      <c r="BH411" s="44">
        <f t="shared" ref="BH411:BH418" si="418">AV411+BB411+BE411-BK411+BD410-BD411</f>
        <v>0</v>
      </c>
      <c r="BI411" s="63">
        <f>BD411*Inputs!$F$47*Inputs!$G$47</f>
        <v>0</v>
      </c>
      <c r="BJ411" s="44">
        <f>Inputs!$F$47*Inputs!$I$47*BE411</f>
        <v>0</v>
      </c>
      <c r="BK411" s="55"/>
      <c r="BM411" s="117">
        <v>4</v>
      </c>
      <c r="BN411" s="115">
        <f>Inputs!$A$47</f>
        <v>0</v>
      </c>
      <c r="BO411" s="44">
        <f>Inputs!$B$47</f>
        <v>0</v>
      </c>
      <c r="BP411" s="44" t="s">
        <v>57</v>
      </c>
      <c r="BQ411" s="44">
        <f t="shared" si="394"/>
        <v>0</v>
      </c>
      <c r="BR411" s="50"/>
      <c r="BS411" s="119">
        <v>4</v>
      </c>
      <c r="BT411" s="115">
        <f>Inputs!$A$47</f>
        <v>0</v>
      </c>
      <c r="BU411" s="44">
        <f>Inputs!$B$47</f>
        <v>0</v>
      </c>
      <c r="BV411" s="44" t="s">
        <v>58</v>
      </c>
      <c r="BW411" s="44">
        <f t="shared" si="395"/>
        <v>0</v>
      </c>
      <c r="BX411" s="50"/>
      <c r="BY411" s="44">
        <v>0</v>
      </c>
      <c r="BZ411" s="44">
        <v>0</v>
      </c>
      <c r="CA411" s="44">
        <f t="shared" ref="CA411:CA418" si="419">CF411-BY410-BQ411-BW411</f>
        <v>0</v>
      </c>
      <c r="CB411" s="50"/>
      <c r="CC411" s="44">
        <f t="shared" ref="CC411:CC418" si="420">BQ411+BW411+BZ411-CF411+BY410-BY411</f>
        <v>0</v>
      </c>
      <c r="CD411" s="63">
        <f>BY411*Inputs!$F$47*Inputs!$G$47</f>
        <v>0</v>
      </c>
      <c r="CE411" s="44">
        <f>Inputs!$F$47*Inputs!$I$47*BZ411</f>
        <v>0</v>
      </c>
      <c r="CF411" s="55"/>
    </row>
    <row r="412" spans="1:84" x14ac:dyDescent="0.25">
      <c r="A412" s="117">
        <v>5</v>
      </c>
      <c r="B412" s="115">
        <f>Inputs!$A$47</f>
        <v>0</v>
      </c>
      <c r="C412" s="44">
        <f>Inputs!$B$47</f>
        <v>0</v>
      </c>
      <c r="D412" s="44" t="s">
        <v>57</v>
      </c>
      <c r="E412" s="44">
        <v>0</v>
      </c>
      <c r="F412" s="50"/>
      <c r="G412" s="119">
        <v>5</v>
      </c>
      <c r="H412" s="115">
        <f>Inputs!$A$47</f>
        <v>0</v>
      </c>
      <c r="I412" s="44">
        <f>Inputs!$B$47</f>
        <v>0</v>
      </c>
      <c r="J412" s="44" t="s">
        <v>58</v>
      </c>
      <c r="K412" s="44">
        <v>0</v>
      </c>
      <c r="L412" s="50"/>
      <c r="M412" s="44">
        <v>0</v>
      </c>
      <c r="N412" s="44">
        <v>0</v>
      </c>
      <c r="O412" s="44">
        <f t="shared" si="413"/>
        <v>0</v>
      </c>
      <c r="P412" s="50"/>
      <c r="Q412" s="44">
        <f t="shared" si="414"/>
        <v>0</v>
      </c>
      <c r="R412" s="63">
        <f>M412*Inputs!$F$47*Inputs!$G$47</f>
        <v>0</v>
      </c>
      <c r="S412" s="44">
        <f>Inputs!$F$47*Inputs!$I$47*N412</f>
        <v>0</v>
      </c>
      <c r="T412" s="18"/>
      <c r="U412" s="55"/>
      <c r="W412" s="117">
        <v>5</v>
      </c>
      <c r="X412" s="115">
        <f>Inputs!$A$47</f>
        <v>0</v>
      </c>
      <c r="Y412" s="44">
        <f>Inputs!$B$47</f>
        <v>0</v>
      </c>
      <c r="Z412" s="44" t="s">
        <v>57</v>
      </c>
      <c r="AA412" s="44">
        <f t="shared" si="391"/>
        <v>0</v>
      </c>
      <c r="AB412" s="50"/>
      <c r="AC412" s="119">
        <v>5</v>
      </c>
      <c r="AD412" s="115">
        <f>Inputs!$A$47</f>
        <v>0</v>
      </c>
      <c r="AE412" s="44">
        <f>Inputs!$B$47</f>
        <v>0</v>
      </c>
      <c r="AF412" s="44" t="s">
        <v>58</v>
      </c>
      <c r="AG412" s="44">
        <f t="shared" si="392"/>
        <v>0</v>
      </c>
      <c r="AH412" s="50"/>
      <c r="AI412" s="44">
        <v>0</v>
      </c>
      <c r="AJ412" s="44">
        <v>0</v>
      </c>
      <c r="AK412" s="44">
        <f t="shared" si="415"/>
        <v>0</v>
      </c>
      <c r="AL412" s="50"/>
      <c r="AM412" s="44">
        <f t="shared" si="416"/>
        <v>0</v>
      </c>
      <c r="AN412" s="63">
        <f>AI412*Inputs!$F$47*Inputs!$G$47</f>
        <v>0</v>
      </c>
      <c r="AO412" s="44">
        <f>Inputs!$F$47*Inputs!$I$47*AJ412</f>
        <v>0</v>
      </c>
      <c r="AP412" s="55"/>
      <c r="AR412" s="117">
        <v>5</v>
      </c>
      <c r="AS412" s="115">
        <f>Inputs!$A$47</f>
        <v>0</v>
      </c>
      <c r="AT412" s="44">
        <f>Inputs!$B$47</f>
        <v>0</v>
      </c>
      <c r="AU412" s="44" t="s">
        <v>57</v>
      </c>
      <c r="AV412" s="44">
        <f t="shared" si="396"/>
        <v>0</v>
      </c>
      <c r="AW412" s="50"/>
      <c r="AX412" s="119">
        <v>5</v>
      </c>
      <c r="AY412" s="115">
        <f>Inputs!$A$47</f>
        <v>0</v>
      </c>
      <c r="AZ412" s="44">
        <f>Inputs!$B$47</f>
        <v>0</v>
      </c>
      <c r="BA412" s="44" t="s">
        <v>58</v>
      </c>
      <c r="BB412" s="44">
        <f t="shared" si="393"/>
        <v>0</v>
      </c>
      <c r="BC412" s="50"/>
      <c r="BD412" s="44">
        <v>0</v>
      </c>
      <c r="BE412" s="44">
        <v>0</v>
      </c>
      <c r="BF412" s="44">
        <f t="shared" si="417"/>
        <v>0</v>
      </c>
      <c r="BG412" s="50"/>
      <c r="BH412" s="44">
        <f t="shared" si="418"/>
        <v>0</v>
      </c>
      <c r="BI412" s="63">
        <f>BD412*Inputs!$F$47*Inputs!$G$47</f>
        <v>0</v>
      </c>
      <c r="BJ412" s="44">
        <f>Inputs!$F$47*Inputs!$I$47*BE412</f>
        <v>0</v>
      </c>
      <c r="BK412" s="55"/>
      <c r="BM412" s="117">
        <v>5</v>
      </c>
      <c r="BN412" s="115">
        <f>Inputs!$A$47</f>
        <v>0</v>
      </c>
      <c r="BO412" s="44">
        <f>Inputs!$B$47</f>
        <v>0</v>
      </c>
      <c r="BP412" s="44" t="s">
        <v>57</v>
      </c>
      <c r="BQ412" s="44">
        <f t="shared" si="394"/>
        <v>0</v>
      </c>
      <c r="BR412" s="50"/>
      <c r="BS412" s="119">
        <v>5</v>
      </c>
      <c r="BT412" s="115">
        <f>Inputs!$A$47</f>
        <v>0</v>
      </c>
      <c r="BU412" s="44">
        <f>Inputs!$B$47</f>
        <v>0</v>
      </c>
      <c r="BV412" s="44" t="s">
        <v>58</v>
      </c>
      <c r="BW412" s="44">
        <f t="shared" si="395"/>
        <v>0</v>
      </c>
      <c r="BX412" s="50"/>
      <c r="BY412" s="44">
        <v>0</v>
      </c>
      <c r="BZ412" s="44">
        <v>0</v>
      </c>
      <c r="CA412" s="44">
        <f t="shared" si="419"/>
        <v>0</v>
      </c>
      <c r="CB412" s="50"/>
      <c r="CC412" s="44">
        <f t="shared" si="420"/>
        <v>0</v>
      </c>
      <c r="CD412" s="63">
        <f>BY412*Inputs!$F$47*Inputs!$G$47</f>
        <v>0</v>
      </c>
      <c r="CE412" s="44">
        <f>Inputs!$F$47*Inputs!$I$47*BZ412</f>
        <v>0</v>
      </c>
      <c r="CF412" s="55"/>
    </row>
    <row r="413" spans="1:84" x14ac:dyDescent="0.25">
      <c r="A413" s="117">
        <v>6</v>
      </c>
      <c r="B413" s="115">
        <f>Inputs!$A$47</f>
        <v>0</v>
      </c>
      <c r="C413" s="44">
        <f>Inputs!$B$47</f>
        <v>0</v>
      </c>
      <c r="D413" s="44" t="s">
        <v>57</v>
      </c>
      <c r="E413" s="44">
        <v>0</v>
      </c>
      <c r="F413" s="50"/>
      <c r="G413" s="119">
        <v>6</v>
      </c>
      <c r="H413" s="115">
        <f>Inputs!$A$47</f>
        <v>0</v>
      </c>
      <c r="I413" s="44">
        <f>Inputs!$B$47</f>
        <v>0</v>
      </c>
      <c r="J413" s="44" t="s">
        <v>58</v>
      </c>
      <c r="K413" s="44">
        <v>0</v>
      </c>
      <c r="L413" s="50"/>
      <c r="M413" s="44">
        <v>0</v>
      </c>
      <c r="N413" s="44">
        <v>0</v>
      </c>
      <c r="O413" s="44">
        <f t="shared" si="413"/>
        <v>0</v>
      </c>
      <c r="P413" s="50"/>
      <c r="Q413" s="44">
        <f t="shared" si="414"/>
        <v>0</v>
      </c>
      <c r="R413" s="63">
        <f>M413*Inputs!$F$47*Inputs!$G$47</f>
        <v>0</v>
      </c>
      <c r="S413" s="44">
        <f>Inputs!$F$47*Inputs!$I$47*N413</f>
        <v>0</v>
      </c>
      <c r="T413" s="18"/>
      <c r="U413" s="55"/>
      <c r="W413" s="117">
        <v>6</v>
      </c>
      <c r="X413" s="115">
        <f>Inputs!$A$47</f>
        <v>0</v>
      </c>
      <c r="Y413" s="44">
        <f>Inputs!$B$47</f>
        <v>0</v>
      </c>
      <c r="Z413" s="44" t="s">
        <v>57</v>
      </c>
      <c r="AA413" s="44">
        <f t="shared" si="391"/>
        <v>0</v>
      </c>
      <c r="AB413" s="50"/>
      <c r="AC413" s="119">
        <v>6</v>
      </c>
      <c r="AD413" s="115">
        <f>Inputs!$A$47</f>
        <v>0</v>
      </c>
      <c r="AE413" s="44">
        <f>Inputs!$B$47</f>
        <v>0</v>
      </c>
      <c r="AF413" s="44" t="s">
        <v>58</v>
      </c>
      <c r="AG413" s="44">
        <f t="shared" si="392"/>
        <v>0</v>
      </c>
      <c r="AH413" s="50"/>
      <c r="AI413" s="44">
        <v>0</v>
      </c>
      <c r="AJ413" s="44">
        <v>0</v>
      </c>
      <c r="AK413" s="44">
        <f t="shared" si="415"/>
        <v>0</v>
      </c>
      <c r="AL413" s="50"/>
      <c r="AM413" s="44">
        <f t="shared" si="416"/>
        <v>0</v>
      </c>
      <c r="AN413" s="63">
        <f>AI413*Inputs!$F$47*Inputs!$G$47</f>
        <v>0</v>
      </c>
      <c r="AO413" s="44">
        <f>Inputs!$F$47*Inputs!$I$47*AJ413</f>
        <v>0</v>
      </c>
      <c r="AP413" s="55"/>
      <c r="AR413" s="117">
        <v>6</v>
      </c>
      <c r="AS413" s="115">
        <f>Inputs!$A$47</f>
        <v>0</v>
      </c>
      <c r="AT413" s="44">
        <f>Inputs!$B$47</f>
        <v>0</v>
      </c>
      <c r="AU413" s="44" t="s">
        <v>57</v>
      </c>
      <c r="AV413" s="44">
        <f t="shared" si="396"/>
        <v>0</v>
      </c>
      <c r="AW413" s="50"/>
      <c r="AX413" s="119">
        <v>6</v>
      </c>
      <c r="AY413" s="115">
        <f>Inputs!$A$47</f>
        <v>0</v>
      </c>
      <c r="AZ413" s="44">
        <f>Inputs!$B$47</f>
        <v>0</v>
      </c>
      <c r="BA413" s="44" t="s">
        <v>58</v>
      </c>
      <c r="BB413" s="44">
        <f t="shared" si="393"/>
        <v>0</v>
      </c>
      <c r="BC413" s="50"/>
      <c r="BD413" s="44">
        <v>0</v>
      </c>
      <c r="BE413" s="44">
        <v>0</v>
      </c>
      <c r="BF413" s="44">
        <f t="shared" si="417"/>
        <v>0</v>
      </c>
      <c r="BG413" s="50"/>
      <c r="BH413" s="44">
        <f t="shared" si="418"/>
        <v>0</v>
      </c>
      <c r="BI413" s="63">
        <f>BD413*Inputs!$F$47*Inputs!$G$47</f>
        <v>0</v>
      </c>
      <c r="BJ413" s="44">
        <f>Inputs!$F$47*Inputs!$I$47*BE413</f>
        <v>0</v>
      </c>
      <c r="BK413" s="55"/>
      <c r="BM413" s="117">
        <v>6</v>
      </c>
      <c r="BN413" s="115">
        <f>Inputs!$A$47</f>
        <v>0</v>
      </c>
      <c r="BO413" s="44">
        <f>Inputs!$B$47</f>
        <v>0</v>
      </c>
      <c r="BP413" s="44" t="s">
        <v>57</v>
      </c>
      <c r="BQ413" s="44">
        <f t="shared" si="394"/>
        <v>0</v>
      </c>
      <c r="BR413" s="50"/>
      <c r="BS413" s="119">
        <v>6</v>
      </c>
      <c r="BT413" s="115">
        <f>Inputs!$A$47</f>
        <v>0</v>
      </c>
      <c r="BU413" s="44">
        <f>Inputs!$B$47</f>
        <v>0</v>
      </c>
      <c r="BV413" s="44" t="s">
        <v>58</v>
      </c>
      <c r="BW413" s="44">
        <f t="shared" si="395"/>
        <v>0</v>
      </c>
      <c r="BX413" s="50"/>
      <c r="BY413" s="44">
        <v>0</v>
      </c>
      <c r="BZ413" s="44">
        <v>0</v>
      </c>
      <c r="CA413" s="44">
        <f t="shared" si="419"/>
        <v>0</v>
      </c>
      <c r="CB413" s="50"/>
      <c r="CC413" s="44">
        <f t="shared" si="420"/>
        <v>0</v>
      </c>
      <c r="CD413" s="63">
        <f>BY413*Inputs!$F$47*Inputs!$G$47</f>
        <v>0</v>
      </c>
      <c r="CE413" s="44">
        <f>Inputs!$F$47*Inputs!$I$47*BZ413</f>
        <v>0</v>
      </c>
      <c r="CF413" s="55"/>
    </row>
    <row r="414" spans="1:84" x14ac:dyDescent="0.25">
      <c r="A414" s="117">
        <v>7</v>
      </c>
      <c r="B414" s="115">
        <f>Inputs!$A$47</f>
        <v>0</v>
      </c>
      <c r="C414" s="44">
        <f>Inputs!$B$47</f>
        <v>0</v>
      </c>
      <c r="D414" s="44" t="s">
        <v>57</v>
      </c>
      <c r="E414" s="44">
        <v>0</v>
      </c>
      <c r="F414" s="50"/>
      <c r="G414" s="119">
        <v>7</v>
      </c>
      <c r="H414" s="115">
        <f>Inputs!$A$47</f>
        <v>0</v>
      </c>
      <c r="I414" s="44">
        <f>Inputs!$B$47</f>
        <v>0</v>
      </c>
      <c r="J414" s="44" t="s">
        <v>58</v>
      </c>
      <c r="K414" s="44">
        <v>0</v>
      </c>
      <c r="L414" s="50"/>
      <c r="M414" s="44">
        <v>0</v>
      </c>
      <c r="N414" s="44">
        <v>0</v>
      </c>
      <c r="O414" s="44">
        <f t="shared" si="413"/>
        <v>0</v>
      </c>
      <c r="P414" s="50"/>
      <c r="Q414" s="44">
        <f t="shared" si="414"/>
        <v>0</v>
      </c>
      <c r="R414" s="63">
        <f>M414*Inputs!$F$47*Inputs!$G$47</f>
        <v>0</v>
      </c>
      <c r="S414" s="44">
        <f>Inputs!$F$47*Inputs!$I$47*N414</f>
        <v>0</v>
      </c>
      <c r="T414" s="18"/>
      <c r="U414" s="55"/>
      <c r="W414" s="117">
        <v>7</v>
      </c>
      <c r="X414" s="115">
        <f>Inputs!$A$47</f>
        <v>0</v>
      </c>
      <c r="Y414" s="44">
        <f>Inputs!$B$47</f>
        <v>0</v>
      </c>
      <c r="Z414" s="44" t="s">
        <v>57</v>
      </c>
      <c r="AA414" s="44">
        <f t="shared" si="391"/>
        <v>0</v>
      </c>
      <c r="AB414" s="50"/>
      <c r="AC414" s="119">
        <v>7</v>
      </c>
      <c r="AD414" s="115">
        <f>Inputs!$A$47</f>
        <v>0</v>
      </c>
      <c r="AE414" s="44">
        <f>Inputs!$B$47</f>
        <v>0</v>
      </c>
      <c r="AF414" s="44" t="s">
        <v>58</v>
      </c>
      <c r="AG414" s="44">
        <f t="shared" si="392"/>
        <v>0</v>
      </c>
      <c r="AH414" s="50"/>
      <c r="AI414" s="44">
        <v>0</v>
      </c>
      <c r="AJ414" s="44">
        <v>0</v>
      </c>
      <c r="AK414" s="44">
        <f t="shared" si="415"/>
        <v>0</v>
      </c>
      <c r="AL414" s="50"/>
      <c r="AM414" s="44">
        <f t="shared" si="416"/>
        <v>0</v>
      </c>
      <c r="AN414" s="63">
        <f>AI414*Inputs!$F$47*Inputs!$G$47</f>
        <v>0</v>
      </c>
      <c r="AO414" s="44">
        <f>Inputs!$F$47*Inputs!$I$47*AJ414</f>
        <v>0</v>
      </c>
      <c r="AP414" s="55"/>
      <c r="AR414" s="117">
        <v>7</v>
      </c>
      <c r="AS414" s="115">
        <f>Inputs!$A$47</f>
        <v>0</v>
      </c>
      <c r="AT414" s="44">
        <f>Inputs!$B$47</f>
        <v>0</v>
      </c>
      <c r="AU414" s="44" t="s">
        <v>57</v>
      </c>
      <c r="AV414" s="44">
        <f t="shared" si="396"/>
        <v>0</v>
      </c>
      <c r="AW414" s="50"/>
      <c r="AX414" s="119">
        <v>7</v>
      </c>
      <c r="AY414" s="115">
        <f>Inputs!$A$47</f>
        <v>0</v>
      </c>
      <c r="AZ414" s="44">
        <f>Inputs!$B$47</f>
        <v>0</v>
      </c>
      <c r="BA414" s="44" t="s">
        <v>58</v>
      </c>
      <c r="BB414" s="44">
        <f t="shared" si="393"/>
        <v>0</v>
      </c>
      <c r="BC414" s="50"/>
      <c r="BD414" s="44">
        <v>0</v>
      </c>
      <c r="BE414" s="44">
        <v>0</v>
      </c>
      <c r="BF414" s="44">
        <f t="shared" si="417"/>
        <v>0</v>
      </c>
      <c r="BG414" s="50"/>
      <c r="BH414" s="44">
        <f t="shared" si="418"/>
        <v>0</v>
      </c>
      <c r="BI414" s="63">
        <f>BD414*Inputs!$F$47*Inputs!$G$47</f>
        <v>0</v>
      </c>
      <c r="BJ414" s="44">
        <f>Inputs!$F$47*Inputs!$I$47*BE414</f>
        <v>0</v>
      </c>
      <c r="BK414" s="55"/>
      <c r="BM414" s="117">
        <v>7</v>
      </c>
      <c r="BN414" s="115">
        <f>Inputs!$A$47</f>
        <v>0</v>
      </c>
      <c r="BO414" s="44">
        <f>Inputs!$B$47</f>
        <v>0</v>
      </c>
      <c r="BP414" s="44" t="s">
        <v>57</v>
      </c>
      <c r="BQ414" s="44">
        <f t="shared" si="394"/>
        <v>0</v>
      </c>
      <c r="BR414" s="50"/>
      <c r="BS414" s="119">
        <v>7</v>
      </c>
      <c r="BT414" s="115">
        <f>Inputs!$A$47</f>
        <v>0</v>
      </c>
      <c r="BU414" s="44">
        <f>Inputs!$B$47</f>
        <v>0</v>
      </c>
      <c r="BV414" s="44" t="s">
        <v>58</v>
      </c>
      <c r="BW414" s="44">
        <f t="shared" si="395"/>
        <v>0</v>
      </c>
      <c r="BX414" s="50"/>
      <c r="BY414" s="44">
        <v>0</v>
      </c>
      <c r="BZ414" s="44">
        <v>0</v>
      </c>
      <c r="CA414" s="44">
        <f t="shared" si="419"/>
        <v>0</v>
      </c>
      <c r="CB414" s="50"/>
      <c r="CC414" s="44">
        <f t="shared" si="420"/>
        <v>0</v>
      </c>
      <c r="CD414" s="63">
        <f>BY414*Inputs!$F$47*Inputs!$G$47</f>
        <v>0</v>
      </c>
      <c r="CE414" s="44">
        <f>Inputs!$F$47*Inputs!$I$47*BZ414</f>
        <v>0</v>
      </c>
      <c r="CF414" s="55"/>
    </row>
    <row r="415" spans="1:84" x14ac:dyDescent="0.25">
      <c r="A415" s="117">
        <v>8</v>
      </c>
      <c r="B415" s="115">
        <f>Inputs!$A$47</f>
        <v>0</v>
      </c>
      <c r="C415" s="44">
        <f>Inputs!$B$47</f>
        <v>0</v>
      </c>
      <c r="D415" s="44" t="s">
        <v>57</v>
      </c>
      <c r="E415" s="44">
        <v>0</v>
      </c>
      <c r="F415" s="50"/>
      <c r="G415" s="119">
        <v>8</v>
      </c>
      <c r="H415" s="115">
        <f>Inputs!$A$47</f>
        <v>0</v>
      </c>
      <c r="I415" s="44">
        <f>Inputs!$B$47</f>
        <v>0</v>
      </c>
      <c r="J415" s="44" t="s">
        <v>58</v>
      </c>
      <c r="K415" s="44">
        <v>0</v>
      </c>
      <c r="L415" s="50"/>
      <c r="M415" s="44">
        <v>0</v>
      </c>
      <c r="N415" s="44">
        <v>0</v>
      </c>
      <c r="O415" s="44">
        <f t="shared" si="413"/>
        <v>0</v>
      </c>
      <c r="P415" s="50"/>
      <c r="Q415" s="44">
        <f t="shared" si="414"/>
        <v>0</v>
      </c>
      <c r="R415" s="63">
        <f>M415*Inputs!$F$47*Inputs!$G$47</f>
        <v>0</v>
      </c>
      <c r="S415" s="44">
        <f>Inputs!$F$47*Inputs!$I$47*N415</f>
        <v>0</v>
      </c>
      <c r="T415" s="18"/>
      <c r="U415" s="55"/>
      <c r="W415" s="117">
        <v>8</v>
      </c>
      <c r="X415" s="115">
        <f>Inputs!$A$47</f>
        <v>0</v>
      </c>
      <c r="Y415" s="44">
        <f>Inputs!$B$47</f>
        <v>0</v>
      </c>
      <c r="Z415" s="44" t="s">
        <v>57</v>
      </c>
      <c r="AA415" s="44">
        <f t="shared" si="391"/>
        <v>0</v>
      </c>
      <c r="AB415" s="50"/>
      <c r="AC415" s="119">
        <v>8</v>
      </c>
      <c r="AD415" s="115">
        <f>Inputs!$A$47</f>
        <v>0</v>
      </c>
      <c r="AE415" s="44">
        <f>Inputs!$B$47</f>
        <v>0</v>
      </c>
      <c r="AF415" s="44" t="s">
        <v>58</v>
      </c>
      <c r="AG415" s="44">
        <f t="shared" si="392"/>
        <v>0</v>
      </c>
      <c r="AH415" s="50"/>
      <c r="AI415" s="44">
        <v>0</v>
      </c>
      <c r="AJ415" s="44">
        <v>0</v>
      </c>
      <c r="AK415" s="44">
        <f t="shared" si="415"/>
        <v>0</v>
      </c>
      <c r="AL415" s="50"/>
      <c r="AM415" s="44">
        <f t="shared" si="416"/>
        <v>0</v>
      </c>
      <c r="AN415" s="63">
        <f>AI415*Inputs!$F$47*Inputs!$G$47</f>
        <v>0</v>
      </c>
      <c r="AO415" s="44">
        <f>Inputs!$F$47*Inputs!$I$47*AJ415</f>
        <v>0</v>
      </c>
      <c r="AP415" s="55"/>
      <c r="AR415" s="117">
        <v>8</v>
      </c>
      <c r="AS415" s="115">
        <f>Inputs!$A$47</f>
        <v>0</v>
      </c>
      <c r="AT415" s="44">
        <f>Inputs!$B$47</f>
        <v>0</v>
      </c>
      <c r="AU415" s="44" t="s">
        <v>57</v>
      </c>
      <c r="AV415" s="44">
        <f t="shared" si="396"/>
        <v>0</v>
      </c>
      <c r="AW415" s="50"/>
      <c r="AX415" s="119">
        <v>8</v>
      </c>
      <c r="AY415" s="115">
        <f>Inputs!$A$47</f>
        <v>0</v>
      </c>
      <c r="AZ415" s="44">
        <f>Inputs!$B$47</f>
        <v>0</v>
      </c>
      <c r="BA415" s="44" t="s">
        <v>58</v>
      </c>
      <c r="BB415" s="44">
        <f t="shared" si="393"/>
        <v>0</v>
      </c>
      <c r="BC415" s="50"/>
      <c r="BD415" s="44">
        <v>0</v>
      </c>
      <c r="BE415" s="44">
        <v>0</v>
      </c>
      <c r="BF415" s="44">
        <f t="shared" si="417"/>
        <v>0</v>
      </c>
      <c r="BG415" s="50"/>
      <c r="BH415" s="44">
        <f t="shared" si="418"/>
        <v>0</v>
      </c>
      <c r="BI415" s="63">
        <f>BD415*Inputs!$F$47*Inputs!$G$47</f>
        <v>0</v>
      </c>
      <c r="BJ415" s="44">
        <f>Inputs!$F$47*Inputs!$I$47*BE415</f>
        <v>0</v>
      </c>
      <c r="BK415" s="55"/>
      <c r="BM415" s="117">
        <v>8</v>
      </c>
      <c r="BN415" s="115">
        <f>Inputs!$A$47</f>
        <v>0</v>
      </c>
      <c r="BO415" s="44">
        <f>Inputs!$B$47</f>
        <v>0</v>
      </c>
      <c r="BP415" s="44" t="s">
        <v>57</v>
      </c>
      <c r="BQ415" s="44">
        <f t="shared" si="394"/>
        <v>0</v>
      </c>
      <c r="BR415" s="50"/>
      <c r="BS415" s="119">
        <v>8</v>
      </c>
      <c r="BT415" s="115">
        <f>Inputs!$A$47</f>
        <v>0</v>
      </c>
      <c r="BU415" s="44">
        <f>Inputs!$B$47</f>
        <v>0</v>
      </c>
      <c r="BV415" s="44" t="s">
        <v>58</v>
      </c>
      <c r="BW415" s="44">
        <f t="shared" si="395"/>
        <v>0</v>
      </c>
      <c r="BX415" s="50"/>
      <c r="BY415" s="44">
        <v>0</v>
      </c>
      <c r="BZ415" s="44">
        <v>0</v>
      </c>
      <c r="CA415" s="44">
        <f t="shared" si="419"/>
        <v>0</v>
      </c>
      <c r="CB415" s="50"/>
      <c r="CC415" s="44">
        <f t="shared" si="420"/>
        <v>0</v>
      </c>
      <c r="CD415" s="63">
        <f>BY415*Inputs!$F$47*Inputs!$G$47</f>
        <v>0</v>
      </c>
      <c r="CE415" s="44">
        <f>Inputs!$F$47*Inputs!$I$47*BZ415</f>
        <v>0</v>
      </c>
      <c r="CF415" s="55"/>
    </row>
    <row r="416" spans="1:84" x14ac:dyDescent="0.25">
      <c r="A416" s="117">
        <v>9</v>
      </c>
      <c r="B416" s="115">
        <f>Inputs!$A$47</f>
        <v>0</v>
      </c>
      <c r="C416" s="44">
        <f>Inputs!$B$47</f>
        <v>0</v>
      </c>
      <c r="D416" s="44" t="s">
        <v>57</v>
      </c>
      <c r="E416" s="44">
        <v>0</v>
      </c>
      <c r="F416" s="50"/>
      <c r="G416" s="119">
        <v>9</v>
      </c>
      <c r="H416" s="115">
        <f>Inputs!$A$47</f>
        <v>0</v>
      </c>
      <c r="I416" s="44">
        <f>Inputs!$B$47</f>
        <v>0</v>
      </c>
      <c r="J416" s="44" t="s">
        <v>58</v>
      </c>
      <c r="K416" s="44">
        <v>0</v>
      </c>
      <c r="L416" s="50"/>
      <c r="M416" s="44">
        <v>0</v>
      </c>
      <c r="N416" s="44">
        <v>0</v>
      </c>
      <c r="O416" s="44">
        <f t="shared" si="413"/>
        <v>0</v>
      </c>
      <c r="P416" s="50"/>
      <c r="Q416" s="44">
        <f t="shared" si="414"/>
        <v>0</v>
      </c>
      <c r="R416" s="63">
        <f>M416*Inputs!$F$47*Inputs!$G$47</f>
        <v>0</v>
      </c>
      <c r="S416" s="44">
        <f>Inputs!$F$47*Inputs!$I$47*N416</f>
        <v>0</v>
      </c>
      <c r="T416" s="18"/>
      <c r="U416" s="55"/>
      <c r="W416" s="117">
        <v>9</v>
      </c>
      <c r="X416" s="115">
        <f>Inputs!$A$47</f>
        <v>0</v>
      </c>
      <c r="Y416" s="44">
        <f>Inputs!$B$47</f>
        <v>0</v>
      </c>
      <c r="Z416" s="44" t="s">
        <v>57</v>
      </c>
      <c r="AA416" s="44">
        <f t="shared" si="391"/>
        <v>0</v>
      </c>
      <c r="AB416" s="50"/>
      <c r="AC416" s="119">
        <v>9</v>
      </c>
      <c r="AD416" s="115">
        <f>Inputs!$A$47</f>
        <v>0</v>
      </c>
      <c r="AE416" s="44">
        <f>Inputs!$B$47</f>
        <v>0</v>
      </c>
      <c r="AF416" s="44" t="s">
        <v>58</v>
      </c>
      <c r="AG416" s="44">
        <f t="shared" si="392"/>
        <v>0</v>
      </c>
      <c r="AH416" s="50"/>
      <c r="AI416" s="44">
        <v>0</v>
      </c>
      <c r="AJ416" s="44">
        <v>0</v>
      </c>
      <c r="AK416" s="44">
        <f t="shared" si="415"/>
        <v>0</v>
      </c>
      <c r="AL416" s="50"/>
      <c r="AM416" s="44">
        <f t="shared" si="416"/>
        <v>0</v>
      </c>
      <c r="AN416" s="63">
        <f>AI416*Inputs!$F$47*Inputs!$G$47</f>
        <v>0</v>
      </c>
      <c r="AO416" s="44">
        <f>Inputs!$F$47*Inputs!$I$47*AJ416</f>
        <v>0</v>
      </c>
      <c r="AP416" s="55"/>
      <c r="AR416" s="117">
        <v>9</v>
      </c>
      <c r="AS416" s="115">
        <f>Inputs!$A$47</f>
        <v>0</v>
      </c>
      <c r="AT416" s="44">
        <f>Inputs!$B$47</f>
        <v>0</v>
      </c>
      <c r="AU416" s="44" t="s">
        <v>57</v>
      </c>
      <c r="AV416" s="44">
        <f t="shared" si="396"/>
        <v>0</v>
      </c>
      <c r="AW416" s="50"/>
      <c r="AX416" s="119">
        <v>9</v>
      </c>
      <c r="AY416" s="115">
        <f>Inputs!$A$47</f>
        <v>0</v>
      </c>
      <c r="AZ416" s="44">
        <f>Inputs!$B$47</f>
        <v>0</v>
      </c>
      <c r="BA416" s="44" t="s">
        <v>58</v>
      </c>
      <c r="BB416" s="44">
        <f t="shared" si="393"/>
        <v>0</v>
      </c>
      <c r="BC416" s="50"/>
      <c r="BD416" s="44">
        <v>0</v>
      </c>
      <c r="BE416" s="44">
        <v>0</v>
      </c>
      <c r="BF416" s="44">
        <f t="shared" si="417"/>
        <v>0</v>
      </c>
      <c r="BG416" s="50"/>
      <c r="BH416" s="44">
        <f t="shared" si="418"/>
        <v>0</v>
      </c>
      <c r="BI416" s="63">
        <f>BD416*Inputs!$F$47*Inputs!$G$47</f>
        <v>0</v>
      </c>
      <c r="BJ416" s="44">
        <f>Inputs!$F$47*Inputs!$I$47*BE416</f>
        <v>0</v>
      </c>
      <c r="BK416" s="55"/>
      <c r="BM416" s="117">
        <v>9</v>
      </c>
      <c r="BN416" s="115">
        <f>Inputs!$A$47</f>
        <v>0</v>
      </c>
      <c r="BO416" s="44">
        <f>Inputs!$B$47</f>
        <v>0</v>
      </c>
      <c r="BP416" s="44" t="s">
        <v>57</v>
      </c>
      <c r="BQ416" s="44">
        <f t="shared" si="394"/>
        <v>0</v>
      </c>
      <c r="BR416" s="50"/>
      <c r="BS416" s="119">
        <v>9</v>
      </c>
      <c r="BT416" s="115">
        <f>Inputs!$A$47</f>
        <v>0</v>
      </c>
      <c r="BU416" s="44">
        <f>Inputs!$B$47</f>
        <v>0</v>
      </c>
      <c r="BV416" s="44" t="s">
        <v>58</v>
      </c>
      <c r="BW416" s="44">
        <f t="shared" si="395"/>
        <v>0</v>
      </c>
      <c r="BX416" s="50"/>
      <c r="BY416" s="44">
        <v>0</v>
      </c>
      <c r="BZ416" s="44">
        <v>0</v>
      </c>
      <c r="CA416" s="44">
        <f t="shared" si="419"/>
        <v>0</v>
      </c>
      <c r="CB416" s="50"/>
      <c r="CC416" s="44">
        <f t="shared" si="420"/>
        <v>0</v>
      </c>
      <c r="CD416" s="63">
        <f>BY416*Inputs!$F$47*Inputs!$G$47</f>
        <v>0</v>
      </c>
      <c r="CE416" s="44">
        <f>Inputs!$F$47*Inputs!$I$47*BZ416</f>
        <v>0</v>
      </c>
      <c r="CF416" s="55"/>
    </row>
    <row r="417" spans="1:84" x14ac:dyDescent="0.25">
      <c r="A417" s="117">
        <v>10</v>
      </c>
      <c r="B417" s="115">
        <f>Inputs!$A$47</f>
        <v>0</v>
      </c>
      <c r="C417" s="44">
        <f>Inputs!$B$47</f>
        <v>0</v>
      </c>
      <c r="D417" s="44" t="s">
        <v>57</v>
      </c>
      <c r="E417" s="44">
        <v>0</v>
      </c>
      <c r="F417" s="50"/>
      <c r="G417" s="119">
        <v>10</v>
      </c>
      <c r="H417" s="115">
        <f>Inputs!$A$47</f>
        <v>0</v>
      </c>
      <c r="I417" s="44">
        <f>Inputs!$B$47</f>
        <v>0</v>
      </c>
      <c r="J417" s="44" t="s">
        <v>58</v>
      </c>
      <c r="K417" s="44">
        <v>0</v>
      </c>
      <c r="L417" s="50"/>
      <c r="M417" s="44">
        <v>0</v>
      </c>
      <c r="N417" s="44">
        <v>0</v>
      </c>
      <c r="O417" s="44">
        <f t="shared" si="413"/>
        <v>0</v>
      </c>
      <c r="P417" s="50"/>
      <c r="Q417" s="44">
        <f t="shared" si="414"/>
        <v>0</v>
      </c>
      <c r="R417" s="63">
        <f>M417*Inputs!$F$47*Inputs!$G$47</f>
        <v>0</v>
      </c>
      <c r="S417" s="44">
        <f>Inputs!$F$47*Inputs!$I$47*N417</f>
        <v>0</v>
      </c>
      <c r="T417" s="18"/>
      <c r="U417" s="91"/>
      <c r="W417" s="117">
        <v>10</v>
      </c>
      <c r="X417" s="115">
        <f>Inputs!$A$47</f>
        <v>0</v>
      </c>
      <c r="Y417" s="44">
        <f>Inputs!$B$47</f>
        <v>0</v>
      </c>
      <c r="Z417" s="44" t="s">
        <v>57</v>
      </c>
      <c r="AA417" s="44">
        <f t="shared" si="391"/>
        <v>0</v>
      </c>
      <c r="AB417" s="50"/>
      <c r="AC417" s="119">
        <v>10</v>
      </c>
      <c r="AD417" s="115">
        <f>Inputs!$A$47</f>
        <v>0</v>
      </c>
      <c r="AE417" s="44">
        <f>Inputs!$B$47</f>
        <v>0</v>
      </c>
      <c r="AF417" s="44" t="s">
        <v>58</v>
      </c>
      <c r="AG417" s="44">
        <f t="shared" si="392"/>
        <v>0</v>
      </c>
      <c r="AH417" s="50"/>
      <c r="AI417" s="44">
        <v>0</v>
      </c>
      <c r="AJ417" s="44">
        <v>0</v>
      </c>
      <c r="AK417" s="44">
        <f t="shared" si="415"/>
        <v>0</v>
      </c>
      <c r="AL417" s="50"/>
      <c r="AM417" s="44">
        <f t="shared" si="416"/>
        <v>0</v>
      </c>
      <c r="AN417" s="63">
        <f>AI417*Inputs!$F$47*Inputs!$G$47</f>
        <v>0</v>
      </c>
      <c r="AO417" s="44">
        <f>Inputs!$F$47*Inputs!$I$47*AJ417</f>
        <v>0</v>
      </c>
      <c r="AP417" s="91"/>
      <c r="AR417" s="117">
        <v>10</v>
      </c>
      <c r="AS417" s="115">
        <f>Inputs!$A$47</f>
        <v>0</v>
      </c>
      <c r="AT417" s="44">
        <f>Inputs!$B$47</f>
        <v>0</v>
      </c>
      <c r="AU417" s="44" t="s">
        <v>57</v>
      </c>
      <c r="AV417" s="44">
        <f t="shared" si="396"/>
        <v>0</v>
      </c>
      <c r="AW417" s="50"/>
      <c r="AX417" s="119">
        <v>10</v>
      </c>
      <c r="AY417" s="115">
        <f>Inputs!$A$47</f>
        <v>0</v>
      </c>
      <c r="AZ417" s="44">
        <f>Inputs!$B$47</f>
        <v>0</v>
      </c>
      <c r="BA417" s="44" t="s">
        <v>58</v>
      </c>
      <c r="BB417" s="44">
        <f t="shared" si="393"/>
        <v>0</v>
      </c>
      <c r="BC417" s="50"/>
      <c r="BD417" s="44">
        <v>0</v>
      </c>
      <c r="BE417" s="44">
        <v>0</v>
      </c>
      <c r="BF417" s="44">
        <f t="shared" si="417"/>
        <v>0</v>
      </c>
      <c r="BG417" s="50"/>
      <c r="BH417" s="44">
        <f t="shared" si="418"/>
        <v>0</v>
      </c>
      <c r="BI417" s="63">
        <f>BD417*Inputs!$F$47*Inputs!$G$47</f>
        <v>0</v>
      </c>
      <c r="BJ417" s="44">
        <f>Inputs!$F$47*Inputs!$I$47*BE417</f>
        <v>0</v>
      </c>
      <c r="BK417" s="91"/>
      <c r="BM417" s="117">
        <v>10</v>
      </c>
      <c r="BN417" s="115">
        <f>Inputs!$A$47</f>
        <v>0</v>
      </c>
      <c r="BO417" s="44">
        <f>Inputs!$B$47</f>
        <v>0</v>
      </c>
      <c r="BP417" s="44" t="s">
        <v>57</v>
      </c>
      <c r="BQ417" s="44">
        <f t="shared" si="394"/>
        <v>0</v>
      </c>
      <c r="BR417" s="50"/>
      <c r="BS417" s="119">
        <v>10</v>
      </c>
      <c r="BT417" s="115">
        <f>Inputs!$A$47</f>
        <v>0</v>
      </c>
      <c r="BU417" s="44">
        <f>Inputs!$B$47</f>
        <v>0</v>
      </c>
      <c r="BV417" s="44" t="s">
        <v>58</v>
      </c>
      <c r="BW417" s="44">
        <f t="shared" si="395"/>
        <v>0</v>
      </c>
      <c r="BX417" s="50"/>
      <c r="BY417" s="44">
        <v>0</v>
      </c>
      <c r="BZ417" s="44">
        <v>0</v>
      </c>
      <c r="CA417" s="44">
        <f t="shared" si="419"/>
        <v>0</v>
      </c>
      <c r="CB417" s="50"/>
      <c r="CC417" s="44">
        <f t="shared" si="420"/>
        <v>0</v>
      </c>
      <c r="CD417" s="63">
        <f>BY417*Inputs!$F$47*Inputs!$G$47</f>
        <v>0</v>
      </c>
      <c r="CE417" s="44">
        <f>Inputs!$F$47*Inputs!$I$47*BZ417</f>
        <v>0</v>
      </c>
      <c r="CF417" s="91"/>
    </row>
    <row r="418" spans="1:84" x14ac:dyDescent="0.25">
      <c r="A418" s="117">
        <v>11</v>
      </c>
      <c r="B418" s="115">
        <f>Inputs!$A$47</f>
        <v>0</v>
      </c>
      <c r="C418" s="44">
        <f>Inputs!$B$47</f>
        <v>0</v>
      </c>
      <c r="D418" s="44" t="s">
        <v>57</v>
      </c>
      <c r="E418" s="44">
        <v>0</v>
      </c>
      <c r="F418" s="50"/>
      <c r="G418" s="119">
        <v>11</v>
      </c>
      <c r="H418" s="115">
        <f>Inputs!$A$47</f>
        <v>0</v>
      </c>
      <c r="I418" s="44">
        <f>Inputs!$B$47</f>
        <v>0</v>
      </c>
      <c r="J418" s="44" t="s">
        <v>58</v>
      </c>
      <c r="K418" s="44">
        <v>0</v>
      </c>
      <c r="L418" s="50"/>
      <c r="M418" s="44">
        <v>0</v>
      </c>
      <c r="N418" s="44">
        <v>0</v>
      </c>
      <c r="O418" s="44">
        <f t="shared" si="413"/>
        <v>0</v>
      </c>
      <c r="P418" s="50"/>
      <c r="Q418" s="44">
        <f t="shared" si="414"/>
        <v>0</v>
      </c>
      <c r="R418" s="63">
        <f>M418*Inputs!$F$47*Inputs!$H$47</f>
        <v>0</v>
      </c>
      <c r="S418" s="44">
        <f>Inputs!$F$47*Inputs!$I$47*N418</f>
        <v>0</v>
      </c>
      <c r="T418" s="18"/>
      <c r="U418" s="56"/>
      <c r="W418" s="117">
        <v>11</v>
      </c>
      <c r="X418" s="115">
        <f>Inputs!$A$47</f>
        <v>0</v>
      </c>
      <c r="Y418" s="44">
        <f>Inputs!$B$47</f>
        <v>0</v>
      </c>
      <c r="Z418" s="44" t="s">
        <v>57</v>
      </c>
      <c r="AA418" s="44">
        <f t="shared" si="391"/>
        <v>0</v>
      </c>
      <c r="AB418" s="50"/>
      <c r="AC418" s="119">
        <v>11</v>
      </c>
      <c r="AD418" s="115">
        <f>Inputs!$A$47</f>
        <v>0</v>
      </c>
      <c r="AE418" s="44">
        <f>Inputs!$B$47</f>
        <v>0</v>
      </c>
      <c r="AF418" s="44" t="s">
        <v>58</v>
      </c>
      <c r="AG418" s="44">
        <f t="shared" si="392"/>
        <v>0</v>
      </c>
      <c r="AH418" s="50"/>
      <c r="AI418" s="44">
        <v>0</v>
      </c>
      <c r="AJ418" s="44">
        <v>0</v>
      </c>
      <c r="AK418" s="44">
        <f t="shared" si="415"/>
        <v>0</v>
      </c>
      <c r="AL418" s="50"/>
      <c r="AM418" s="44">
        <f t="shared" si="416"/>
        <v>0</v>
      </c>
      <c r="AN418" s="63">
        <f>AI418*Inputs!$F$47*Inputs!$H$47</f>
        <v>0</v>
      </c>
      <c r="AO418" s="44">
        <f>Inputs!$F$47*Inputs!$I$47*AJ418</f>
        <v>0</v>
      </c>
      <c r="AP418" s="56"/>
      <c r="AR418" s="117">
        <v>11</v>
      </c>
      <c r="AS418" s="115">
        <f>Inputs!$A$47</f>
        <v>0</v>
      </c>
      <c r="AT418" s="44">
        <f>Inputs!$B$47</f>
        <v>0</v>
      </c>
      <c r="AU418" s="44" t="s">
        <v>57</v>
      </c>
      <c r="AV418" s="44">
        <f t="shared" si="396"/>
        <v>0</v>
      </c>
      <c r="AW418" s="50"/>
      <c r="AX418" s="119">
        <v>11</v>
      </c>
      <c r="AY418" s="115">
        <f>Inputs!$A$47</f>
        <v>0</v>
      </c>
      <c r="AZ418" s="44">
        <f>Inputs!$B$47</f>
        <v>0</v>
      </c>
      <c r="BA418" s="44" t="s">
        <v>58</v>
      </c>
      <c r="BB418" s="44">
        <f t="shared" si="393"/>
        <v>0</v>
      </c>
      <c r="BC418" s="50"/>
      <c r="BD418" s="44">
        <v>0</v>
      </c>
      <c r="BE418" s="44">
        <v>0</v>
      </c>
      <c r="BF418" s="44">
        <f t="shared" si="417"/>
        <v>0</v>
      </c>
      <c r="BG418" s="50"/>
      <c r="BH418" s="44">
        <f t="shared" si="418"/>
        <v>0</v>
      </c>
      <c r="BI418" s="63">
        <f>BD418*Inputs!$F$47*Inputs!$H$47</f>
        <v>0</v>
      </c>
      <c r="BJ418" s="44">
        <f>Inputs!$F$47*Inputs!$I$47*BE418</f>
        <v>0</v>
      </c>
      <c r="BK418" s="56"/>
      <c r="BM418" s="117">
        <v>11</v>
      </c>
      <c r="BN418" s="115">
        <f>Inputs!$A$47</f>
        <v>0</v>
      </c>
      <c r="BO418" s="44">
        <f>Inputs!$B$47</f>
        <v>0</v>
      </c>
      <c r="BP418" s="44" t="s">
        <v>57</v>
      </c>
      <c r="BQ418" s="44">
        <f t="shared" si="394"/>
        <v>0</v>
      </c>
      <c r="BR418" s="50"/>
      <c r="BS418" s="119">
        <v>11</v>
      </c>
      <c r="BT418" s="115">
        <f>Inputs!$A$47</f>
        <v>0</v>
      </c>
      <c r="BU418" s="44">
        <f>Inputs!$B$47</f>
        <v>0</v>
      </c>
      <c r="BV418" s="44" t="s">
        <v>58</v>
      </c>
      <c r="BW418" s="44">
        <f t="shared" si="395"/>
        <v>0</v>
      </c>
      <c r="BX418" s="50"/>
      <c r="BY418" s="44">
        <v>0</v>
      </c>
      <c r="BZ418" s="44">
        <v>0</v>
      </c>
      <c r="CA418" s="44">
        <f t="shared" si="419"/>
        <v>0</v>
      </c>
      <c r="CB418" s="50"/>
      <c r="CC418" s="44">
        <f t="shared" si="420"/>
        <v>0</v>
      </c>
      <c r="CD418" s="63">
        <f>BY418*Inputs!$F$47*Inputs!$H$47</f>
        <v>0</v>
      </c>
      <c r="CE418" s="44">
        <f>Inputs!$F$47*Inputs!$I$47*BZ418</f>
        <v>0</v>
      </c>
      <c r="CF418" s="56"/>
    </row>
    <row r="419" spans="1:84" x14ac:dyDescent="0.25">
      <c r="A419" s="116">
        <v>3</v>
      </c>
      <c r="B419" s="114">
        <f>Inputs!$A$48</f>
        <v>0</v>
      </c>
      <c r="C419" s="45">
        <f>Inputs!$B$48</f>
        <v>0</v>
      </c>
      <c r="D419" s="45" t="s">
        <v>57</v>
      </c>
      <c r="E419" s="45">
        <v>0</v>
      </c>
      <c r="F419" s="50"/>
      <c r="G419" s="118">
        <v>3</v>
      </c>
      <c r="H419" s="114">
        <f>Inputs!$A$48</f>
        <v>0</v>
      </c>
      <c r="I419" s="45">
        <f>Inputs!$B$48</f>
        <v>0</v>
      </c>
      <c r="J419" s="45" t="s">
        <v>58</v>
      </c>
      <c r="K419" s="45">
        <v>0</v>
      </c>
      <c r="L419" s="50"/>
      <c r="M419" s="45">
        <v>0</v>
      </c>
      <c r="N419" s="45">
        <v>0</v>
      </c>
      <c r="O419" s="45">
        <f>U419-0-E419-K419</f>
        <v>0</v>
      </c>
      <c r="P419" s="50"/>
      <c r="Q419" s="45">
        <f>E419+K419+N419-U419+0-M419</f>
        <v>0</v>
      </c>
      <c r="R419" s="64">
        <f>M419*Inputs!$F$48*Inputs!$G$48</f>
        <v>0</v>
      </c>
      <c r="S419" s="45">
        <f>Inputs!$F$48*Inputs!$I$48*N419</f>
        <v>0</v>
      </c>
      <c r="T419" s="18"/>
      <c r="U419" s="54"/>
      <c r="W419" s="116">
        <v>3</v>
      </c>
      <c r="X419" s="114">
        <f>Inputs!$A$48</f>
        <v>0</v>
      </c>
      <c r="Y419" s="45">
        <f>Inputs!$B$48</f>
        <v>0</v>
      </c>
      <c r="Z419" s="45" t="s">
        <v>57</v>
      </c>
      <c r="AA419" s="45">
        <f t="shared" si="391"/>
        <v>0</v>
      </c>
      <c r="AB419" s="50"/>
      <c r="AC419" s="118">
        <v>3</v>
      </c>
      <c r="AD419" s="114">
        <f>Inputs!$A$48</f>
        <v>0</v>
      </c>
      <c r="AE419" s="45">
        <f>Inputs!$B$48</f>
        <v>0</v>
      </c>
      <c r="AF419" s="45" t="s">
        <v>58</v>
      </c>
      <c r="AG419" s="45">
        <f t="shared" si="392"/>
        <v>0</v>
      </c>
      <c r="AH419" s="50"/>
      <c r="AI419" s="45">
        <v>0</v>
      </c>
      <c r="AJ419" s="45">
        <v>0</v>
      </c>
      <c r="AK419" s="45">
        <f>AP419-0-AA419-AG419</f>
        <v>0</v>
      </c>
      <c r="AL419" s="50"/>
      <c r="AM419" s="45">
        <f>AA419+AG419+AJ419-AP419+0-AI419</f>
        <v>0</v>
      </c>
      <c r="AN419" s="64">
        <f>AI419*Inputs!$F$48*Inputs!$G$48</f>
        <v>0</v>
      </c>
      <c r="AO419" s="45">
        <f>Inputs!$F$48*Inputs!$I$48*AJ419</f>
        <v>0</v>
      </c>
      <c r="AP419" s="54"/>
      <c r="AR419" s="116">
        <v>3</v>
      </c>
      <c r="AS419" s="114">
        <f>Inputs!$A$48</f>
        <v>0</v>
      </c>
      <c r="AT419" s="45">
        <f>Inputs!$B$48</f>
        <v>0</v>
      </c>
      <c r="AU419" s="45" t="s">
        <v>57</v>
      </c>
      <c r="AV419" s="45">
        <f t="shared" si="396"/>
        <v>0</v>
      </c>
      <c r="AW419" s="50"/>
      <c r="AX419" s="118">
        <v>3</v>
      </c>
      <c r="AY419" s="114">
        <f>Inputs!$A$48</f>
        <v>0</v>
      </c>
      <c r="AZ419" s="45">
        <f>Inputs!$B$48</f>
        <v>0</v>
      </c>
      <c r="BA419" s="45" t="s">
        <v>58</v>
      </c>
      <c r="BB419" s="45">
        <f t="shared" si="393"/>
        <v>0</v>
      </c>
      <c r="BC419" s="50"/>
      <c r="BD419" s="45">
        <v>0</v>
      </c>
      <c r="BE419" s="45">
        <v>0</v>
      </c>
      <c r="BF419" s="45">
        <f>BK419-0-AV419-BB419</f>
        <v>0</v>
      </c>
      <c r="BG419" s="50"/>
      <c r="BH419" s="45">
        <f>AV419+BB419+BE419-BK419+0-BD419</f>
        <v>0</v>
      </c>
      <c r="BI419" s="64">
        <f>BD419*Inputs!$F$48*Inputs!$G$48</f>
        <v>0</v>
      </c>
      <c r="BJ419" s="45">
        <f>Inputs!$F$48*Inputs!$I$48*BE419</f>
        <v>0</v>
      </c>
      <c r="BK419" s="54"/>
      <c r="BM419" s="116">
        <v>3</v>
      </c>
      <c r="BN419" s="114">
        <f>Inputs!$A$48</f>
        <v>0</v>
      </c>
      <c r="BO419" s="45">
        <f>Inputs!$B$48</f>
        <v>0</v>
      </c>
      <c r="BP419" s="45" t="s">
        <v>57</v>
      </c>
      <c r="BQ419" s="45">
        <f t="shared" si="394"/>
        <v>0</v>
      </c>
      <c r="BR419" s="50"/>
      <c r="BS419" s="118">
        <v>3</v>
      </c>
      <c r="BT419" s="114">
        <f>Inputs!$A$48</f>
        <v>0</v>
      </c>
      <c r="BU419" s="45">
        <f>Inputs!$B$48</f>
        <v>0</v>
      </c>
      <c r="BV419" s="45" t="s">
        <v>58</v>
      </c>
      <c r="BW419" s="45">
        <f t="shared" si="395"/>
        <v>0</v>
      </c>
      <c r="BX419" s="50"/>
      <c r="BY419" s="45">
        <v>0</v>
      </c>
      <c r="BZ419" s="45">
        <v>0</v>
      </c>
      <c r="CA419" s="45">
        <f>CF419-0-BQ419-BW419</f>
        <v>0</v>
      </c>
      <c r="CB419" s="50"/>
      <c r="CC419" s="45">
        <f>BQ419+BW419+BZ419-CF419+0-BY419</f>
        <v>0</v>
      </c>
      <c r="CD419" s="64">
        <f>BY419*Inputs!$F$48*Inputs!$G$48</f>
        <v>0</v>
      </c>
      <c r="CE419" s="45">
        <f>Inputs!$F$48*Inputs!$I$48*BZ419</f>
        <v>0</v>
      </c>
      <c r="CF419" s="54"/>
    </row>
    <row r="420" spans="1:84" x14ac:dyDescent="0.25">
      <c r="A420" s="116">
        <v>4</v>
      </c>
      <c r="B420" s="114">
        <f>Inputs!$A$48</f>
        <v>0</v>
      </c>
      <c r="C420" s="45">
        <f>Inputs!$B$48</f>
        <v>0</v>
      </c>
      <c r="D420" s="45" t="s">
        <v>57</v>
      </c>
      <c r="E420" s="45">
        <v>0</v>
      </c>
      <c r="F420" s="50"/>
      <c r="G420" s="118">
        <v>4</v>
      </c>
      <c r="H420" s="114">
        <f>Inputs!$A$48</f>
        <v>0</v>
      </c>
      <c r="I420" s="45">
        <f>Inputs!$B$48</f>
        <v>0</v>
      </c>
      <c r="J420" s="45" t="s">
        <v>58</v>
      </c>
      <c r="K420" s="45">
        <v>0</v>
      </c>
      <c r="L420" s="50"/>
      <c r="M420" s="45">
        <v>0</v>
      </c>
      <c r="N420" s="45">
        <v>0</v>
      </c>
      <c r="O420" s="45">
        <f t="shared" ref="O420:O427" si="421">U420-M419-E420-K420</f>
        <v>0</v>
      </c>
      <c r="P420" s="50"/>
      <c r="Q420" s="45">
        <f t="shared" ref="Q420:Q427" si="422">E420+K420+N420-U420+M419-M420</f>
        <v>0</v>
      </c>
      <c r="R420" s="64">
        <f>M420*Inputs!$F$48*Inputs!$G$48</f>
        <v>0</v>
      </c>
      <c r="S420" s="45">
        <f>Inputs!$F$48*Inputs!$I$48*N420</f>
        <v>0</v>
      </c>
      <c r="T420" s="18"/>
      <c r="U420" s="55"/>
      <c r="W420" s="116">
        <v>4</v>
      </c>
      <c r="X420" s="114">
        <f>Inputs!$A$48</f>
        <v>0</v>
      </c>
      <c r="Y420" s="45">
        <f>Inputs!$B$48</f>
        <v>0</v>
      </c>
      <c r="Z420" s="45" t="s">
        <v>57</v>
      </c>
      <c r="AA420" s="45">
        <f t="shared" si="391"/>
        <v>0</v>
      </c>
      <c r="AB420" s="50"/>
      <c r="AC420" s="118">
        <v>4</v>
      </c>
      <c r="AD420" s="114">
        <f>Inputs!$A$48</f>
        <v>0</v>
      </c>
      <c r="AE420" s="45">
        <f>Inputs!$B$48</f>
        <v>0</v>
      </c>
      <c r="AF420" s="45" t="s">
        <v>58</v>
      </c>
      <c r="AG420" s="45">
        <f t="shared" si="392"/>
        <v>0</v>
      </c>
      <c r="AH420" s="50"/>
      <c r="AI420" s="45">
        <v>0</v>
      </c>
      <c r="AJ420" s="45">
        <v>0</v>
      </c>
      <c r="AK420" s="45">
        <f t="shared" ref="AK420:AK427" si="423">AP420-AI419-AA420-AG420</f>
        <v>0</v>
      </c>
      <c r="AL420" s="50"/>
      <c r="AM420" s="45">
        <f t="shared" ref="AM420:AM427" si="424">AA420+AG420+AJ420-AP420+AI419-AI420</f>
        <v>0</v>
      </c>
      <c r="AN420" s="64">
        <f>AI420*Inputs!$F$48*Inputs!$G$48</f>
        <v>0</v>
      </c>
      <c r="AO420" s="45">
        <f>Inputs!$F$48*Inputs!$I$48*AJ420</f>
        <v>0</v>
      </c>
      <c r="AP420" s="55"/>
      <c r="AR420" s="116">
        <v>4</v>
      </c>
      <c r="AS420" s="114">
        <f>Inputs!$A$48</f>
        <v>0</v>
      </c>
      <c r="AT420" s="45">
        <f>Inputs!$B$48</f>
        <v>0</v>
      </c>
      <c r="AU420" s="45" t="s">
        <v>57</v>
      </c>
      <c r="AV420" s="45">
        <f t="shared" si="396"/>
        <v>0</v>
      </c>
      <c r="AW420" s="50"/>
      <c r="AX420" s="118">
        <v>4</v>
      </c>
      <c r="AY420" s="114">
        <f>Inputs!$A$48</f>
        <v>0</v>
      </c>
      <c r="AZ420" s="45">
        <f>Inputs!$B$48</f>
        <v>0</v>
      </c>
      <c r="BA420" s="45" t="s">
        <v>58</v>
      </c>
      <c r="BB420" s="45">
        <f t="shared" si="393"/>
        <v>0</v>
      </c>
      <c r="BC420" s="50"/>
      <c r="BD420" s="45">
        <v>0</v>
      </c>
      <c r="BE420" s="45">
        <v>0</v>
      </c>
      <c r="BF420" s="45">
        <f t="shared" ref="BF420:BF427" si="425">BK420-BD419-AV420-BB420</f>
        <v>0</v>
      </c>
      <c r="BG420" s="50"/>
      <c r="BH420" s="45">
        <f t="shared" ref="BH420:BH427" si="426">AV420+BB420+BE420-BK420+BD419-BD420</f>
        <v>0</v>
      </c>
      <c r="BI420" s="64">
        <f>BD420*Inputs!$F$48*Inputs!$G$48</f>
        <v>0</v>
      </c>
      <c r="BJ420" s="45">
        <f>Inputs!$F$48*Inputs!$I$48*BE420</f>
        <v>0</v>
      </c>
      <c r="BK420" s="55"/>
      <c r="BM420" s="116">
        <v>4</v>
      </c>
      <c r="BN420" s="114">
        <f>Inputs!$A$48</f>
        <v>0</v>
      </c>
      <c r="BO420" s="45">
        <f>Inputs!$B$48</f>
        <v>0</v>
      </c>
      <c r="BP420" s="45" t="s">
        <v>57</v>
      </c>
      <c r="BQ420" s="45">
        <f t="shared" si="394"/>
        <v>0</v>
      </c>
      <c r="BR420" s="50"/>
      <c r="BS420" s="118">
        <v>4</v>
      </c>
      <c r="BT420" s="114">
        <f>Inputs!$A$48</f>
        <v>0</v>
      </c>
      <c r="BU420" s="45">
        <f>Inputs!$B$48</f>
        <v>0</v>
      </c>
      <c r="BV420" s="45" t="s">
        <v>58</v>
      </c>
      <c r="BW420" s="45">
        <f t="shared" si="395"/>
        <v>0</v>
      </c>
      <c r="BX420" s="50"/>
      <c r="BY420" s="45">
        <v>0</v>
      </c>
      <c r="BZ420" s="45">
        <v>0</v>
      </c>
      <c r="CA420" s="45">
        <f t="shared" ref="CA420:CA427" si="427">CF420-BY419-BQ420-BW420</f>
        <v>0</v>
      </c>
      <c r="CB420" s="50"/>
      <c r="CC420" s="45">
        <f t="shared" ref="CC420:CC427" si="428">BQ420+BW420+BZ420-CF420+BY419-BY420</f>
        <v>0</v>
      </c>
      <c r="CD420" s="64">
        <f>BY420*Inputs!$F$48*Inputs!$G$48</f>
        <v>0</v>
      </c>
      <c r="CE420" s="45">
        <f>Inputs!$F$48*Inputs!$I$48*BZ420</f>
        <v>0</v>
      </c>
      <c r="CF420" s="55"/>
    </row>
    <row r="421" spans="1:84" x14ac:dyDescent="0.25">
      <c r="A421" s="116">
        <v>5</v>
      </c>
      <c r="B421" s="114">
        <f>Inputs!$A$48</f>
        <v>0</v>
      </c>
      <c r="C421" s="45">
        <f>Inputs!$B$48</f>
        <v>0</v>
      </c>
      <c r="D421" s="45" t="s">
        <v>57</v>
      </c>
      <c r="E421" s="45">
        <v>0</v>
      </c>
      <c r="F421" s="50"/>
      <c r="G421" s="118">
        <v>5</v>
      </c>
      <c r="H421" s="114">
        <f>Inputs!$A$48</f>
        <v>0</v>
      </c>
      <c r="I421" s="45">
        <f>Inputs!$B$48</f>
        <v>0</v>
      </c>
      <c r="J421" s="45" t="s">
        <v>58</v>
      </c>
      <c r="K421" s="45">
        <v>0</v>
      </c>
      <c r="L421" s="50"/>
      <c r="M421" s="45">
        <v>0</v>
      </c>
      <c r="N421" s="45">
        <v>0</v>
      </c>
      <c r="O421" s="45">
        <f t="shared" si="421"/>
        <v>0</v>
      </c>
      <c r="P421" s="50"/>
      <c r="Q421" s="45">
        <f t="shared" si="422"/>
        <v>0</v>
      </c>
      <c r="R421" s="64">
        <f>M421*Inputs!$F$48*Inputs!$G$48</f>
        <v>0</v>
      </c>
      <c r="S421" s="45">
        <f>Inputs!$F$48*Inputs!$I$48*N421</f>
        <v>0</v>
      </c>
      <c r="T421" s="18"/>
      <c r="U421" s="55"/>
      <c r="W421" s="116">
        <v>5</v>
      </c>
      <c r="X421" s="114">
        <f>Inputs!$A$48</f>
        <v>0</v>
      </c>
      <c r="Y421" s="45">
        <f>Inputs!$B$48</f>
        <v>0</v>
      </c>
      <c r="Z421" s="45" t="s">
        <v>57</v>
      </c>
      <c r="AA421" s="45">
        <f t="shared" si="391"/>
        <v>0</v>
      </c>
      <c r="AB421" s="50"/>
      <c r="AC421" s="118">
        <v>5</v>
      </c>
      <c r="AD421" s="114">
        <f>Inputs!$A$48</f>
        <v>0</v>
      </c>
      <c r="AE421" s="45">
        <f>Inputs!$B$48</f>
        <v>0</v>
      </c>
      <c r="AF421" s="45" t="s">
        <v>58</v>
      </c>
      <c r="AG421" s="45">
        <f t="shared" si="392"/>
        <v>0</v>
      </c>
      <c r="AH421" s="50"/>
      <c r="AI421" s="45">
        <v>0</v>
      </c>
      <c r="AJ421" s="45">
        <v>0</v>
      </c>
      <c r="AK421" s="45">
        <f t="shared" si="423"/>
        <v>0</v>
      </c>
      <c r="AL421" s="50"/>
      <c r="AM421" s="45">
        <f t="shared" si="424"/>
        <v>0</v>
      </c>
      <c r="AN421" s="64">
        <f>AI421*Inputs!$F$48*Inputs!$G$48</f>
        <v>0</v>
      </c>
      <c r="AO421" s="45">
        <f>Inputs!$F$48*Inputs!$I$48*AJ421</f>
        <v>0</v>
      </c>
      <c r="AP421" s="55"/>
      <c r="AR421" s="116">
        <v>5</v>
      </c>
      <c r="AS421" s="114">
        <f>Inputs!$A$48</f>
        <v>0</v>
      </c>
      <c r="AT421" s="45">
        <f>Inputs!$B$48</f>
        <v>0</v>
      </c>
      <c r="AU421" s="45" t="s">
        <v>57</v>
      </c>
      <c r="AV421" s="45">
        <f t="shared" si="396"/>
        <v>0</v>
      </c>
      <c r="AW421" s="50"/>
      <c r="AX421" s="118">
        <v>5</v>
      </c>
      <c r="AY421" s="114">
        <f>Inputs!$A$48</f>
        <v>0</v>
      </c>
      <c r="AZ421" s="45">
        <f>Inputs!$B$48</f>
        <v>0</v>
      </c>
      <c r="BA421" s="45" t="s">
        <v>58</v>
      </c>
      <c r="BB421" s="45">
        <f t="shared" si="393"/>
        <v>0</v>
      </c>
      <c r="BC421" s="50"/>
      <c r="BD421" s="45">
        <v>0</v>
      </c>
      <c r="BE421" s="45">
        <v>0</v>
      </c>
      <c r="BF421" s="45">
        <f t="shared" si="425"/>
        <v>0</v>
      </c>
      <c r="BG421" s="50"/>
      <c r="BH421" s="45">
        <f t="shared" si="426"/>
        <v>0</v>
      </c>
      <c r="BI421" s="64">
        <f>BD421*Inputs!$F$48*Inputs!$G$48</f>
        <v>0</v>
      </c>
      <c r="BJ421" s="45">
        <f>Inputs!$F$48*Inputs!$I$48*BE421</f>
        <v>0</v>
      </c>
      <c r="BK421" s="55"/>
      <c r="BM421" s="116">
        <v>5</v>
      </c>
      <c r="BN421" s="114">
        <f>Inputs!$A$48</f>
        <v>0</v>
      </c>
      <c r="BO421" s="45">
        <f>Inputs!$B$48</f>
        <v>0</v>
      </c>
      <c r="BP421" s="45" t="s">
        <v>57</v>
      </c>
      <c r="BQ421" s="45">
        <f t="shared" si="394"/>
        <v>0</v>
      </c>
      <c r="BR421" s="50"/>
      <c r="BS421" s="118">
        <v>5</v>
      </c>
      <c r="BT421" s="114">
        <f>Inputs!$A$48</f>
        <v>0</v>
      </c>
      <c r="BU421" s="45">
        <f>Inputs!$B$48</f>
        <v>0</v>
      </c>
      <c r="BV421" s="45" t="s">
        <v>58</v>
      </c>
      <c r="BW421" s="45">
        <f t="shared" si="395"/>
        <v>0</v>
      </c>
      <c r="BX421" s="50"/>
      <c r="BY421" s="45">
        <v>0</v>
      </c>
      <c r="BZ421" s="45">
        <v>0</v>
      </c>
      <c r="CA421" s="45">
        <f t="shared" si="427"/>
        <v>0</v>
      </c>
      <c r="CB421" s="50"/>
      <c r="CC421" s="45">
        <f t="shared" si="428"/>
        <v>0</v>
      </c>
      <c r="CD421" s="64">
        <f>BY421*Inputs!$F$48*Inputs!$G$48</f>
        <v>0</v>
      </c>
      <c r="CE421" s="45">
        <f>Inputs!$F$48*Inputs!$I$48*BZ421</f>
        <v>0</v>
      </c>
      <c r="CF421" s="55"/>
    </row>
    <row r="422" spans="1:84" x14ac:dyDescent="0.25">
      <c r="A422" s="116">
        <v>6</v>
      </c>
      <c r="B422" s="114">
        <f>Inputs!$A$48</f>
        <v>0</v>
      </c>
      <c r="C422" s="45">
        <f>Inputs!$B$48</f>
        <v>0</v>
      </c>
      <c r="D422" s="45" t="s">
        <v>57</v>
      </c>
      <c r="E422" s="45">
        <v>0</v>
      </c>
      <c r="F422" s="50"/>
      <c r="G422" s="118">
        <v>6</v>
      </c>
      <c r="H422" s="114">
        <f>Inputs!$A$48</f>
        <v>0</v>
      </c>
      <c r="I422" s="45">
        <f>Inputs!$B$48</f>
        <v>0</v>
      </c>
      <c r="J422" s="45" t="s">
        <v>58</v>
      </c>
      <c r="K422" s="45">
        <v>0</v>
      </c>
      <c r="L422" s="50"/>
      <c r="M422" s="45">
        <v>0</v>
      </c>
      <c r="N422" s="45">
        <v>0</v>
      </c>
      <c r="O422" s="45">
        <f t="shared" si="421"/>
        <v>0</v>
      </c>
      <c r="P422" s="50"/>
      <c r="Q422" s="45">
        <f t="shared" si="422"/>
        <v>0</v>
      </c>
      <c r="R422" s="64">
        <f>M422*Inputs!$F$48*Inputs!$G$48</f>
        <v>0</v>
      </c>
      <c r="S422" s="45">
        <f>Inputs!$F$48*Inputs!$I$48*N422</f>
        <v>0</v>
      </c>
      <c r="T422" s="18"/>
      <c r="U422" s="55"/>
      <c r="W422" s="116">
        <v>6</v>
      </c>
      <c r="X422" s="114">
        <f>Inputs!$A$48</f>
        <v>0</v>
      </c>
      <c r="Y422" s="45">
        <f>Inputs!$B$48</f>
        <v>0</v>
      </c>
      <c r="Z422" s="45" t="s">
        <v>57</v>
      </c>
      <c r="AA422" s="45">
        <f t="shared" si="391"/>
        <v>0</v>
      </c>
      <c r="AB422" s="50"/>
      <c r="AC422" s="118">
        <v>6</v>
      </c>
      <c r="AD422" s="114">
        <f>Inputs!$A$48</f>
        <v>0</v>
      </c>
      <c r="AE422" s="45">
        <f>Inputs!$B$48</f>
        <v>0</v>
      </c>
      <c r="AF422" s="45" t="s">
        <v>58</v>
      </c>
      <c r="AG422" s="45">
        <f t="shared" si="392"/>
        <v>0</v>
      </c>
      <c r="AH422" s="50"/>
      <c r="AI422" s="45">
        <v>0</v>
      </c>
      <c r="AJ422" s="45">
        <v>0</v>
      </c>
      <c r="AK422" s="45">
        <f t="shared" si="423"/>
        <v>0</v>
      </c>
      <c r="AL422" s="50"/>
      <c r="AM422" s="45">
        <f t="shared" si="424"/>
        <v>0</v>
      </c>
      <c r="AN422" s="64">
        <f>AI422*Inputs!$F$48*Inputs!$G$48</f>
        <v>0</v>
      </c>
      <c r="AO422" s="45">
        <f>Inputs!$F$48*Inputs!$I$48*AJ422</f>
        <v>0</v>
      </c>
      <c r="AP422" s="55"/>
      <c r="AR422" s="116">
        <v>6</v>
      </c>
      <c r="AS422" s="114">
        <f>Inputs!$A$48</f>
        <v>0</v>
      </c>
      <c r="AT422" s="45">
        <f>Inputs!$B$48</f>
        <v>0</v>
      </c>
      <c r="AU422" s="45" t="s">
        <v>57</v>
      </c>
      <c r="AV422" s="45">
        <f t="shared" si="396"/>
        <v>0</v>
      </c>
      <c r="AW422" s="50"/>
      <c r="AX422" s="118">
        <v>6</v>
      </c>
      <c r="AY422" s="114">
        <f>Inputs!$A$48</f>
        <v>0</v>
      </c>
      <c r="AZ422" s="45">
        <f>Inputs!$B$48</f>
        <v>0</v>
      </c>
      <c r="BA422" s="45" t="s">
        <v>58</v>
      </c>
      <c r="BB422" s="45">
        <f t="shared" si="393"/>
        <v>0</v>
      </c>
      <c r="BC422" s="50"/>
      <c r="BD422" s="45">
        <v>0</v>
      </c>
      <c r="BE422" s="45">
        <v>0</v>
      </c>
      <c r="BF422" s="45">
        <f t="shared" si="425"/>
        <v>0</v>
      </c>
      <c r="BG422" s="50"/>
      <c r="BH422" s="45">
        <f t="shared" si="426"/>
        <v>0</v>
      </c>
      <c r="BI422" s="64">
        <f>BD422*Inputs!$F$48*Inputs!$G$48</f>
        <v>0</v>
      </c>
      <c r="BJ422" s="45">
        <f>Inputs!$F$48*Inputs!$I$48*BE422</f>
        <v>0</v>
      </c>
      <c r="BK422" s="55"/>
      <c r="BM422" s="116">
        <v>6</v>
      </c>
      <c r="BN422" s="114">
        <f>Inputs!$A$48</f>
        <v>0</v>
      </c>
      <c r="BO422" s="45">
        <f>Inputs!$B$48</f>
        <v>0</v>
      </c>
      <c r="BP422" s="45" t="s">
        <v>57</v>
      </c>
      <c r="BQ422" s="45">
        <f t="shared" si="394"/>
        <v>0</v>
      </c>
      <c r="BR422" s="50"/>
      <c r="BS422" s="118">
        <v>6</v>
      </c>
      <c r="BT422" s="114">
        <f>Inputs!$A$48</f>
        <v>0</v>
      </c>
      <c r="BU422" s="45">
        <f>Inputs!$B$48</f>
        <v>0</v>
      </c>
      <c r="BV422" s="45" t="s">
        <v>58</v>
      </c>
      <c r="BW422" s="45">
        <f t="shared" si="395"/>
        <v>0</v>
      </c>
      <c r="BX422" s="50"/>
      <c r="BY422" s="45">
        <v>0</v>
      </c>
      <c r="BZ422" s="45">
        <v>0</v>
      </c>
      <c r="CA422" s="45">
        <f t="shared" si="427"/>
        <v>0</v>
      </c>
      <c r="CB422" s="50"/>
      <c r="CC422" s="45">
        <f t="shared" si="428"/>
        <v>0</v>
      </c>
      <c r="CD422" s="64">
        <f>BY422*Inputs!$F$48*Inputs!$G$48</f>
        <v>0</v>
      </c>
      <c r="CE422" s="45">
        <f>Inputs!$F$48*Inputs!$I$48*BZ422</f>
        <v>0</v>
      </c>
      <c r="CF422" s="55"/>
    </row>
    <row r="423" spans="1:84" x14ac:dyDescent="0.25">
      <c r="A423" s="116">
        <v>7</v>
      </c>
      <c r="B423" s="114">
        <f>Inputs!$A$48</f>
        <v>0</v>
      </c>
      <c r="C423" s="45">
        <f>Inputs!$B$48</f>
        <v>0</v>
      </c>
      <c r="D423" s="45" t="s">
        <v>57</v>
      </c>
      <c r="E423" s="45">
        <v>0</v>
      </c>
      <c r="F423" s="50"/>
      <c r="G423" s="118">
        <v>7</v>
      </c>
      <c r="H423" s="114">
        <f>Inputs!$A$48</f>
        <v>0</v>
      </c>
      <c r="I423" s="45">
        <f>Inputs!$B$48</f>
        <v>0</v>
      </c>
      <c r="J423" s="45" t="s">
        <v>58</v>
      </c>
      <c r="K423" s="45">
        <v>0</v>
      </c>
      <c r="L423" s="50"/>
      <c r="M423" s="45">
        <v>0</v>
      </c>
      <c r="N423" s="45">
        <v>0</v>
      </c>
      <c r="O423" s="45">
        <f t="shared" si="421"/>
        <v>0</v>
      </c>
      <c r="P423" s="50"/>
      <c r="Q423" s="45">
        <f t="shared" si="422"/>
        <v>0</v>
      </c>
      <c r="R423" s="64">
        <f>M423*Inputs!$F$48*Inputs!$G$48</f>
        <v>0</v>
      </c>
      <c r="S423" s="45">
        <f>Inputs!$F$48*Inputs!$I$48*N423</f>
        <v>0</v>
      </c>
      <c r="T423" s="18"/>
      <c r="U423" s="55"/>
      <c r="W423" s="116">
        <v>7</v>
      </c>
      <c r="X423" s="114">
        <f>Inputs!$A$48</f>
        <v>0</v>
      </c>
      <c r="Y423" s="45">
        <f>Inputs!$B$48</f>
        <v>0</v>
      </c>
      <c r="Z423" s="45" t="s">
        <v>57</v>
      </c>
      <c r="AA423" s="45">
        <f t="shared" si="391"/>
        <v>0</v>
      </c>
      <c r="AB423" s="50"/>
      <c r="AC423" s="118">
        <v>7</v>
      </c>
      <c r="AD423" s="114">
        <f>Inputs!$A$48</f>
        <v>0</v>
      </c>
      <c r="AE423" s="45">
        <f>Inputs!$B$48</f>
        <v>0</v>
      </c>
      <c r="AF423" s="45" t="s">
        <v>58</v>
      </c>
      <c r="AG423" s="45">
        <f t="shared" si="392"/>
        <v>0</v>
      </c>
      <c r="AH423" s="50"/>
      <c r="AI423" s="45">
        <v>0</v>
      </c>
      <c r="AJ423" s="45">
        <v>0</v>
      </c>
      <c r="AK423" s="45">
        <f t="shared" si="423"/>
        <v>0</v>
      </c>
      <c r="AL423" s="50"/>
      <c r="AM423" s="45">
        <f t="shared" si="424"/>
        <v>0</v>
      </c>
      <c r="AN423" s="64">
        <f>AI423*Inputs!$F$48*Inputs!$G$48</f>
        <v>0</v>
      </c>
      <c r="AO423" s="45">
        <f>Inputs!$F$48*Inputs!$I$48*AJ423</f>
        <v>0</v>
      </c>
      <c r="AP423" s="55"/>
      <c r="AR423" s="116">
        <v>7</v>
      </c>
      <c r="AS423" s="114">
        <f>Inputs!$A$48</f>
        <v>0</v>
      </c>
      <c r="AT423" s="45">
        <f>Inputs!$B$48</f>
        <v>0</v>
      </c>
      <c r="AU423" s="45" t="s">
        <v>57</v>
      </c>
      <c r="AV423" s="45">
        <f t="shared" si="396"/>
        <v>0</v>
      </c>
      <c r="AW423" s="50"/>
      <c r="AX423" s="118">
        <v>7</v>
      </c>
      <c r="AY423" s="114">
        <f>Inputs!$A$48</f>
        <v>0</v>
      </c>
      <c r="AZ423" s="45">
        <f>Inputs!$B$48</f>
        <v>0</v>
      </c>
      <c r="BA423" s="45" t="s">
        <v>58</v>
      </c>
      <c r="BB423" s="45">
        <f t="shared" si="393"/>
        <v>0</v>
      </c>
      <c r="BC423" s="50"/>
      <c r="BD423" s="45">
        <v>0</v>
      </c>
      <c r="BE423" s="45">
        <v>0</v>
      </c>
      <c r="BF423" s="45">
        <f t="shared" si="425"/>
        <v>0</v>
      </c>
      <c r="BG423" s="50"/>
      <c r="BH423" s="45">
        <f t="shared" si="426"/>
        <v>0</v>
      </c>
      <c r="BI423" s="64">
        <f>BD423*Inputs!$F$48*Inputs!$G$48</f>
        <v>0</v>
      </c>
      <c r="BJ423" s="45">
        <f>Inputs!$F$48*Inputs!$I$48*BE423</f>
        <v>0</v>
      </c>
      <c r="BK423" s="55"/>
      <c r="BM423" s="116">
        <v>7</v>
      </c>
      <c r="BN423" s="114">
        <f>Inputs!$A$48</f>
        <v>0</v>
      </c>
      <c r="BO423" s="45">
        <f>Inputs!$B$48</f>
        <v>0</v>
      </c>
      <c r="BP423" s="45" t="s">
        <v>57</v>
      </c>
      <c r="BQ423" s="45">
        <f t="shared" si="394"/>
        <v>0</v>
      </c>
      <c r="BR423" s="50"/>
      <c r="BS423" s="118">
        <v>7</v>
      </c>
      <c r="BT423" s="114">
        <f>Inputs!$A$48</f>
        <v>0</v>
      </c>
      <c r="BU423" s="45">
        <f>Inputs!$B$48</f>
        <v>0</v>
      </c>
      <c r="BV423" s="45" t="s">
        <v>58</v>
      </c>
      <c r="BW423" s="45">
        <f t="shared" si="395"/>
        <v>0</v>
      </c>
      <c r="BX423" s="50"/>
      <c r="BY423" s="45">
        <v>0</v>
      </c>
      <c r="BZ423" s="45">
        <v>0</v>
      </c>
      <c r="CA423" s="45">
        <f t="shared" si="427"/>
        <v>0</v>
      </c>
      <c r="CB423" s="50"/>
      <c r="CC423" s="45">
        <f t="shared" si="428"/>
        <v>0</v>
      </c>
      <c r="CD423" s="64">
        <f>BY423*Inputs!$F$48*Inputs!$G$48</f>
        <v>0</v>
      </c>
      <c r="CE423" s="45">
        <f>Inputs!$F$48*Inputs!$I$48*BZ423</f>
        <v>0</v>
      </c>
      <c r="CF423" s="55"/>
    </row>
    <row r="424" spans="1:84" x14ac:dyDescent="0.25">
      <c r="A424" s="116">
        <v>8</v>
      </c>
      <c r="B424" s="114">
        <f>Inputs!$A$48</f>
        <v>0</v>
      </c>
      <c r="C424" s="45">
        <f>Inputs!$B$48</f>
        <v>0</v>
      </c>
      <c r="D424" s="45" t="s">
        <v>57</v>
      </c>
      <c r="E424" s="45">
        <v>0</v>
      </c>
      <c r="F424" s="50"/>
      <c r="G424" s="118">
        <v>8</v>
      </c>
      <c r="H424" s="114">
        <f>Inputs!$A$48</f>
        <v>0</v>
      </c>
      <c r="I424" s="45">
        <f>Inputs!$B$48</f>
        <v>0</v>
      </c>
      <c r="J424" s="45" t="s">
        <v>58</v>
      </c>
      <c r="K424" s="45">
        <v>0</v>
      </c>
      <c r="L424" s="50"/>
      <c r="M424" s="45">
        <v>0</v>
      </c>
      <c r="N424" s="45">
        <v>0</v>
      </c>
      <c r="O424" s="45">
        <f t="shared" si="421"/>
        <v>0</v>
      </c>
      <c r="P424" s="50"/>
      <c r="Q424" s="45">
        <f t="shared" si="422"/>
        <v>0</v>
      </c>
      <c r="R424" s="64">
        <f>M424*Inputs!$F$48*Inputs!$G$48</f>
        <v>0</v>
      </c>
      <c r="S424" s="45">
        <f>Inputs!$F$48*Inputs!$I$48*N424</f>
        <v>0</v>
      </c>
      <c r="T424" s="18"/>
      <c r="U424" s="55"/>
      <c r="W424" s="116">
        <v>8</v>
      </c>
      <c r="X424" s="114">
        <f>Inputs!$A$48</f>
        <v>0</v>
      </c>
      <c r="Y424" s="45">
        <f>Inputs!$B$48</f>
        <v>0</v>
      </c>
      <c r="Z424" s="45" t="s">
        <v>57</v>
      </c>
      <c r="AA424" s="45">
        <f t="shared" si="391"/>
        <v>0</v>
      </c>
      <c r="AB424" s="50"/>
      <c r="AC424" s="118">
        <v>8</v>
      </c>
      <c r="AD424" s="114">
        <f>Inputs!$A$48</f>
        <v>0</v>
      </c>
      <c r="AE424" s="45">
        <f>Inputs!$B$48</f>
        <v>0</v>
      </c>
      <c r="AF424" s="45" t="s">
        <v>58</v>
      </c>
      <c r="AG424" s="45">
        <f t="shared" si="392"/>
        <v>0</v>
      </c>
      <c r="AH424" s="50"/>
      <c r="AI424" s="45">
        <v>0</v>
      </c>
      <c r="AJ424" s="45">
        <v>0</v>
      </c>
      <c r="AK424" s="45">
        <f t="shared" si="423"/>
        <v>0</v>
      </c>
      <c r="AL424" s="50"/>
      <c r="AM424" s="45">
        <f t="shared" si="424"/>
        <v>0</v>
      </c>
      <c r="AN424" s="64">
        <f>AI424*Inputs!$F$48*Inputs!$G$48</f>
        <v>0</v>
      </c>
      <c r="AO424" s="45">
        <f>Inputs!$F$48*Inputs!$I$48*AJ424</f>
        <v>0</v>
      </c>
      <c r="AP424" s="55"/>
      <c r="AR424" s="116">
        <v>8</v>
      </c>
      <c r="AS424" s="114">
        <f>Inputs!$A$48</f>
        <v>0</v>
      </c>
      <c r="AT424" s="45">
        <f>Inputs!$B$48</f>
        <v>0</v>
      </c>
      <c r="AU424" s="45" t="s">
        <v>57</v>
      </c>
      <c r="AV424" s="45">
        <f t="shared" si="396"/>
        <v>0</v>
      </c>
      <c r="AW424" s="50"/>
      <c r="AX424" s="118">
        <v>8</v>
      </c>
      <c r="AY424" s="114">
        <f>Inputs!$A$48</f>
        <v>0</v>
      </c>
      <c r="AZ424" s="45">
        <f>Inputs!$B$48</f>
        <v>0</v>
      </c>
      <c r="BA424" s="45" t="s">
        <v>58</v>
      </c>
      <c r="BB424" s="45">
        <f t="shared" si="393"/>
        <v>0</v>
      </c>
      <c r="BC424" s="50"/>
      <c r="BD424" s="45">
        <v>0</v>
      </c>
      <c r="BE424" s="45">
        <v>0</v>
      </c>
      <c r="BF424" s="45">
        <f t="shared" si="425"/>
        <v>0</v>
      </c>
      <c r="BG424" s="50"/>
      <c r="BH424" s="45">
        <f t="shared" si="426"/>
        <v>0</v>
      </c>
      <c r="BI424" s="64">
        <f>BD424*Inputs!$F$48*Inputs!$G$48</f>
        <v>0</v>
      </c>
      <c r="BJ424" s="45">
        <f>Inputs!$F$48*Inputs!$I$48*BE424</f>
        <v>0</v>
      </c>
      <c r="BK424" s="55"/>
      <c r="BM424" s="116">
        <v>8</v>
      </c>
      <c r="BN424" s="114">
        <f>Inputs!$A$48</f>
        <v>0</v>
      </c>
      <c r="BO424" s="45">
        <f>Inputs!$B$48</f>
        <v>0</v>
      </c>
      <c r="BP424" s="45" t="s">
        <v>57</v>
      </c>
      <c r="BQ424" s="45">
        <f t="shared" si="394"/>
        <v>0</v>
      </c>
      <c r="BR424" s="50"/>
      <c r="BS424" s="118">
        <v>8</v>
      </c>
      <c r="BT424" s="114">
        <f>Inputs!$A$48</f>
        <v>0</v>
      </c>
      <c r="BU424" s="45">
        <f>Inputs!$B$48</f>
        <v>0</v>
      </c>
      <c r="BV424" s="45" t="s">
        <v>58</v>
      </c>
      <c r="BW424" s="45">
        <f t="shared" si="395"/>
        <v>0</v>
      </c>
      <c r="BX424" s="50"/>
      <c r="BY424" s="45">
        <v>0</v>
      </c>
      <c r="BZ424" s="45">
        <v>0</v>
      </c>
      <c r="CA424" s="45">
        <f t="shared" si="427"/>
        <v>0</v>
      </c>
      <c r="CB424" s="50"/>
      <c r="CC424" s="45">
        <f t="shared" si="428"/>
        <v>0</v>
      </c>
      <c r="CD424" s="64">
        <f>BY424*Inputs!$F$48*Inputs!$G$48</f>
        <v>0</v>
      </c>
      <c r="CE424" s="45">
        <f>Inputs!$F$48*Inputs!$I$48*BZ424</f>
        <v>0</v>
      </c>
      <c r="CF424" s="55"/>
    </row>
    <row r="425" spans="1:84" x14ac:dyDescent="0.25">
      <c r="A425" s="116">
        <v>9</v>
      </c>
      <c r="B425" s="114">
        <f>Inputs!$A$48</f>
        <v>0</v>
      </c>
      <c r="C425" s="45">
        <f>Inputs!$B$48</f>
        <v>0</v>
      </c>
      <c r="D425" s="45" t="s">
        <v>57</v>
      </c>
      <c r="E425" s="45">
        <v>0</v>
      </c>
      <c r="F425" s="50"/>
      <c r="G425" s="118">
        <v>9</v>
      </c>
      <c r="H425" s="114">
        <f>Inputs!$A$48</f>
        <v>0</v>
      </c>
      <c r="I425" s="45">
        <f>Inputs!$B$48</f>
        <v>0</v>
      </c>
      <c r="J425" s="45" t="s">
        <v>58</v>
      </c>
      <c r="K425" s="45">
        <v>0</v>
      </c>
      <c r="L425" s="50"/>
      <c r="M425" s="45">
        <v>0</v>
      </c>
      <c r="N425" s="45">
        <v>0</v>
      </c>
      <c r="O425" s="45">
        <f t="shared" si="421"/>
        <v>0</v>
      </c>
      <c r="P425" s="50"/>
      <c r="Q425" s="45">
        <f t="shared" si="422"/>
        <v>0</v>
      </c>
      <c r="R425" s="64">
        <f>M425*Inputs!$F$48*Inputs!$G$48</f>
        <v>0</v>
      </c>
      <c r="S425" s="45">
        <f>Inputs!$F$48*Inputs!$I$48*N425</f>
        <v>0</v>
      </c>
      <c r="T425" s="18"/>
      <c r="U425" s="55"/>
      <c r="W425" s="116">
        <v>9</v>
      </c>
      <c r="X425" s="114">
        <f>Inputs!$A$48</f>
        <v>0</v>
      </c>
      <c r="Y425" s="45">
        <f>Inputs!$B$48</f>
        <v>0</v>
      </c>
      <c r="Z425" s="45" t="s">
        <v>57</v>
      </c>
      <c r="AA425" s="45">
        <f t="shared" si="391"/>
        <v>0</v>
      </c>
      <c r="AB425" s="50"/>
      <c r="AC425" s="118">
        <v>9</v>
      </c>
      <c r="AD425" s="114">
        <f>Inputs!$A$48</f>
        <v>0</v>
      </c>
      <c r="AE425" s="45">
        <f>Inputs!$B$48</f>
        <v>0</v>
      </c>
      <c r="AF425" s="45" t="s">
        <v>58</v>
      </c>
      <c r="AG425" s="45">
        <f t="shared" si="392"/>
        <v>0</v>
      </c>
      <c r="AH425" s="50"/>
      <c r="AI425" s="45">
        <v>0</v>
      </c>
      <c r="AJ425" s="45">
        <v>0</v>
      </c>
      <c r="AK425" s="45">
        <f t="shared" si="423"/>
        <v>0</v>
      </c>
      <c r="AL425" s="50"/>
      <c r="AM425" s="45">
        <f t="shared" si="424"/>
        <v>0</v>
      </c>
      <c r="AN425" s="64">
        <f>AI425*Inputs!$F$48*Inputs!$G$48</f>
        <v>0</v>
      </c>
      <c r="AO425" s="45">
        <f>Inputs!$F$48*Inputs!$I$48*AJ425</f>
        <v>0</v>
      </c>
      <c r="AP425" s="55"/>
      <c r="AR425" s="116">
        <v>9</v>
      </c>
      <c r="AS425" s="114">
        <f>Inputs!$A$48</f>
        <v>0</v>
      </c>
      <c r="AT425" s="45">
        <f>Inputs!$B$48</f>
        <v>0</v>
      </c>
      <c r="AU425" s="45" t="s">
        <v>57</v>
      </c>
      <c r="AV425" s="45">
        <f t="shared" si="396"/>
        <v>0</v>
      </c>
      <c r="AW425" s="50"/>
      <c r="AX425" s="118">
        <v>9</v>
      </c>
      <c r="AY425" s="114">
        <f>Inputs!$A$48</f>
        <v>0</v>
      </c>
      <c r="AZ425" s="45">
        <f>Inputs!$B$48</f>
        <v>0</v>
      </c>
      <c r="BA425" s="45" t="s">
        <v>58</v>
      </c>
      <c r="BB425" s="45">
        <f t="shared" si="393"/>
        <v>0</v>
      </c>
      <c r="BC425" s="50"/>
      <c r="BD425" s="45">
        <v>0</v>
      </c>
      <c r="BE425" s="45">
        <v>0</v>
      </c>
      <c r="BF425" s="45">
        <f t="shared" si="425"/>
        <v>0</v>
      </c>
      <c r="BG425" s="50"/>
      <c r="BH425" s="45">
        <f t="shared" si="426"/>
        <v>0</v>
      </c>
      <c r="BI425" s="64">
        <f>BD425*Inputs!$F$48*Inputs!$G$48</f>
        <v>0</v>
      </c>
      <c r="BJ425" s="45">
        <f>Inputs!$F$48*Inputs!$I$48*BE425</f>
        <v>0</v>
      </c>
      <c r="BK425" s="55"/>
      <c r="BM425" s="116">
        <v>9</v>
      </c>
      <c r="BN425" s="114">
        <f>Inputs!$A$48</f>
        <v>0</v>
      </c>
      <c r="BO425" s="45">
        <f>Inputs!$B$48</f>
        <v>0</v>
      </c>
      <c r="BP425" s="45" t="s">
        <v>57</v>
      </c>
      <c r="BQ425" s="45">
        <f t="shared" si="394"/>
        <v>0</v>
      </c>
      <c r="BR425" s="50"/>
      <c r="BS425" s="118">
        <v>9</v>
      </c>
      <c r="BT425" s="114">
        <f>Inputs!$A$48</f>
        <v>0</v>
      </c>
      <c r="BU425" s="45">
        <f>Inputs!$B$48</f>
        <v>0</v>
      </c>
      <c r="BV425" s="45" t="s">
        <v>58</v>
      </c>
      <c r="BW425" s="45">
        <f t="shared" si="395"/>
        <v>0</v>
      </c>
      <c r="BX425" s="50"/>
      <c r="BY425" s="45">
        <v>0</v>
      </c>
      <c r="BZ425" s="45">
        <v>0</v>
      </c>
      <c r="CA425" s="45">
        <f t="shared" si="427"/>
        <v>0</v>
      </c>
      <c r="CB425" s="50"/>
      <c r="CC425" s="45">
        <f t="shared" si="428"/>
        <v>0</v>
      </c>
      <c r="CD425" s="64">
        <f>BY425*Inputs!$F$48*Inputs!$G$48</f>
        <v>0</v>
      </c>
      <c r="CE425" s="45">
        <f>Inputs!$F$48*Inputs!$I$48*BZ425</f>
        <v>0</v>
      </c>
      <c r="CF425" s="55"/>
    </row>
    <row r="426" spans="1:84" x14ac:dyDescent="0.25">
      <c r="A426" s="116">
        <v>10</v>
      </c>
      <c r="B426" s="114">
        <f>Inputs!$A$48</f>
        <v>0</v>
      </c>
      <c r="C426" s="45">
        <f>Inputs!$B$48</f>
        <v>0</v>
      </c>
      <c r="D426" s="45" t="s">
        <v>57</v>
      </c>
      <c r="E426" s="45">
        <v>0</v>
      </c>
      <c r="F426" s="50"/>
      <c r="G426" s="118">
        <v>10</v>
      </c>
      <c r="H426" s="114">
        <f>Inputs!$A$48</f>
        <v>0</v>
      </c>
      <c r="I426" s="45">
        <f>Inputs!$B$48</f>
        <v>0</v>
      </c>
      <c r="J426" s="45" t="s">
        <v>58</v>
      </c>
      <c r="K426" s="45">
        <v>0</v>
      </c>
      <c r="L426" s="50"/>
      <c r="M426" s="45">
        <v>0</v>
      </c>
      <c r="N426" s="45">
        <v>0</v>
      </c>
      <c r="O426" s="45">
        <f t="shared" si="421"/>
        <v>0</v>
      </c>
      <c r="P426" s="50"/>
      <c r="Q426" s="45">
        <f t="shared" si="422"/>
        <v>0</v>
      </c>
      <c r="R426" s="64">
        <f>M426*Inputs!$F$48*Inputs!$G$48</f>
        <v>0</v>
      </c>
      <c r="S426" s="45">
        <f>Inputs!$F$48*Inputs!$I$48*N426</f>
        <v>0</v>
      </c>
      <c r="T426" s="18"/>
      <c r="U426" s="91"/>
      <c r="W426" s="116">
        <v>10</v>
      </c>
      <c r="X426" s="114">
        <f>Inputs!$A$48</f>
        <v>0</v>
      </c>
      <c r="Y426" s="45">
        <f>Inputs!$B$48</f>
        <v>0</v>
      </c>
      <c r="Z426" s="45" t="s">
        <v>57</v>
      </c>
      <c r="AA426" s="45">
        <f t="shared" si="391"/>
        <v>0</v>
      </c>
      <c r="AB426" s="50"/>
      <c r="AC426" s="118">
        <v>10</v>
      </c>
      <c r="AD426" s="114">
        <f>Inputs!$A$48</f>
        <v>0</v>
      </c>
      <c r="AE426" s="45">
        <f>Inputs!$B$48</f>
        <v>0</v>
      </c>
      <c r="AF426" s="45" t="s">
        <v>58</v>
      </c>
      <c r="AG426" s="45">
        <f t="shared" si="392"/>
        <v>0</v>
      </c>
      <c r="AH426" s="50"/>
      <c r="AI426" s="45">
        <v>0</v>
      </c>
      <c r="AJ426" s="45">
        <v>0</v>
      </c>
      <c r="AK426" s="45">
        <f t="shared" si="423"/>
        <v>0</v>
      </c>
      <c r="AL426" s="50"/>
      <c r="AM426" s="45">
        <f t="shared" si="424"/>
        <v>0</v>
      </c>
      <c r="AN426" s="64">
        <f>AI426*Inputs!$F$48*Inputs!$G$48</f>
        <v>0</v>
      </c>
      <c r="AO426" s="45">
        <f>Inputs!$F$48*Inputs!$I$48*AJ426</f>
        <v>0</v>
      </c>
      <c r="AP426" s="91"/>
      <c r="AR426" s="116">
        <v>10</v>
      </c>
      <c r="AS426" s="114">
        <f>Inputs!$A$48</f>
        <v>0</v>
      </c>
      <c r="AT426" s="45">
        <f>Inputs!$B$48</f>
        <v>0</v>
      </c>
      <c r="AU426" s="45" t="s">
        <v>57</v>
      </c>
      <c r="AV426" s="45">
        <f t="shared" si="396"/>
        <v>0</v>
      </c>
      <c r="AW426" s="50"/>
      <c r="AX426" s="118">
        <v>10</v>
      </c>
      <c r="AY426" s="114">
        <f>Inputs!$A$48</f>
        <v>0</v>
      </c>
      <c r="AZ426" s="45">
        <f>Inputs!$B$48</f>
        <v>0</v>
      </c>
      <c r="BA426" s="45" t="s">
        <v>58</v>
      </c>
      <c r="BB426" s="45">
        <f t="shared" si="393"/>
        <v>0</v>
      </c>
      <c r="BC426" s="50"/>
      <c r="BD426" s="45">
        <v>0</v>
      </c>
      <c r="BE426" s="45">
        <v>0</v>
      </c>
      <c r="BF426" s="45">
        <f t="shared" si="425"/>
        <v>0</v>
      </c>
      <c r="BG426" s="50"/>
      <c r="BH426" s="45">
        <f t="shared" si="426"/>
        <v>0</v>
      </c>
      <c r="BI426" s="64">
        <f>BD426*Inputs!$F$48*Inputs!$G$48</f>
        <v>0</v>
      </c>
      <c r="BJ426" s="45">
        <f>Inputs!$F$48*Inputs!$I$48*BE426</f>
        <v>0</v>
      </c>
      <c r="BK426" s="91"/>
      <c r="BM426" s="116">
        <v>10</v>
      </c>
      <c r="BN426" s="114">
        <f>Inputs!$A$48</f>
        <v>0</v>
      </c>
      <c r="BO426" s="45">
        <f>Inputs!$B$48</f>
        <v>0</v>
      </c>
      <c r="BP426" s="45" t="s">
        <v>57</v>
      </c>
      <c r="BQ426" s="45">
        <f t="shared" si="394"/>
        <v>0</v>
      </c>
      <c r="BR426" s="50"/>
      <c r="BS426" s="118">
        <v>10</v>
      </c>
      <c r="BT426" s="114">
        <f>Inputs!$A$48</f>
        <v>0</v>
      </c>
      <c r="BU426" s="45">
        <f>Inputs!$B$48</f>
        <v>0</v>
      </c>
      <c r="BV426" s="45" t="s">
        <v>58</v>
      </c>
      <c r="BW426" s="45">
        <f t="shared" si="395"/>
        <v>0</v>
      </c>
      <c r="BX426" s="50"/>
      <c r="BY426" s="45">
        <v>0</v>
      </c>
      <c r="BZ426" s="45">
        <v>0</v>
      </c>
      <c r="CA426" s="45">
        <f t="shared" si="427"/>
        <v>0</v>
      </c>
      <c r="CB426" s="50"/>
      <c r="CC426" s="45">
        <f t="shared" si="428"/>
        <v>0</v>
      </c>
      <c r="CD426" s="64">
        <f>BY426*Inputs!$F$48*Inputs!$G$48</f>
        <v>0</v>
      </c>
      <c r="CE426" s="45">
        <f>Inputs!$F$48*Inputs!$I$48*BZ426</f>
        <v>0</v>
      </c>
      <c r="CF426" s="91"/>
    </row>
    <row r="427" spans="1:84" x14ac:dyDescent="0.25">
      <c r="A427" s="116">
        <v>11</v>
      </c>
      <c r="B427" s="114">
        <f>Inputs!$A$48</f>
        <v>0</v>
      </c>
      <c r="C427" s="45">
        <f>Inputs!$B$48</f>
        <v>0</v>
      </c>
      <c r="D427" s="45" t="s">
        <v>57</v>
      </c>
      <c r="E427" s="45">
        <v>0</v>
      </c>
      <c r="F427" s="50"/>
      <c r="G427" s="118">
        <v>11</v>
      </c>
      <c r="H427" s="114">
        <f>Inputs!$A$48</f>
        <v>0</v>
      </c>
      <c r="I427" s="45">
        <f>Inputs!$B$48</f>
        <v>0</v>
      </c>
      <c r="J427" s="45" t="s">
        <v>58</v>
      </c>
      <c r="K427" s="45">
        <v>0</v>
      </c>
      <c r="L427" s="50"/>
      <c r="M427" s="45">
        <v>0</v>
      </c>
      <c r="N427" s="45">
        <v>0</v>
      </c>
      <c r="O427" s="45">
        <f t="shared" si="421"/>
        <v>0</v>
      </c>
      <c r="P427" s="50"/>
      <c r="Q427" s="45">
        <f t="shared" si="422"/>
        <v>0</v>
      </c>
      <c r="R427" s="64">
        <f>M427*Inputs!$F$48*Inputs!$H$48</f>
        <v>0</v>
      </c>
      <c r="S427" s="45">
        <f>Inputs!$F$48*Inputs!$I$48*N427</f>
        <v>0</v>
      </c>
      <c r="T427" s="18"/>
      <c r="U427" s="56"/>
      <c r="W427" s="116">
        <v>11</v>
      </c>
      <c r="X427" s="114">
        <f>Inputs!$A$48</f>
        <v>0</v>
      </c>
      <c r="Y427" s="45">
        <f>Inputs!$B$48</f>
        <v>0</v>
      </c>
      <c r="Z427" s="45" t="s">
        <v>57</v>
      </c>
      <c r="AA427" s="45">
        <f t="shared" si="391"/>
        <v>0</v>
      </c>
      <c r="AB427" s="50"/>
      <c r="AC427" s="118">
        <v>11</v>
      </c>
      <c r="AD427" s="114">
        <f>Inputs!$A$48</f>
        <v>0</v>
      </c>
      <c r="AE427" s="45">
        <f>Inputs!$B$48</f>
        <v>0</v>
      </c>
      <c r="AF427" s="45" t="s">
        <v>58</v>
      </c>
      <c r="AG427" s="45">
        <f t="shared" si="392"/>
        <v>0</v>
      </c>
      <c r="AH427" s="50"/>
      <c r="AI427" s="45">
        <v>0</v>
      </c>
      <c r="AJ427" s="45">
        <v>0</v>
      </c>
      <c r="AK427" s="45">
        <f t="shared" si="423"/>
        <v>0</v>
      </c>
      <c r="AL427" s="50"/>
      <c r="AM427" s="45">
        <f t="shared" si="424"/>
        <v>0</v>
      </c>
      <c r="AN427" s="64">
        <f>AI427*Inputs!$F$48*Inputs!$H$48</f>
        <v>0</v>
      </c>
      <c r="AO427" s="45">
        <f>Inputs!$F$48*Inputs!$I$48*AJ427</f>
        <v>0</v>
      </c>
      <c r="AP427" s="56"/>
      <c r="AR427" s="116">
        <v>11</v>
      </c>
      <c r="AS427" s="114">
        <f>Inputs!$A$48</f>
        <v>0</v>
      </c>
      <c r="AT427" s="45">
        <f>Inputs!$B$48</f>
        <v>0</v>
      </c>
      <c r="AU427" s="45" t="s">
        <v>57</v>
      </c>
      <c r="AV427" s="45">
        <f t="shared" si="396"/>
        <v>0</v>
      </c>
      <c r="AW427" s="50"/>
      <c r="AX427" s="118">
        <v>11</v>
      </c>
      <c r="AY427" s="114">
        <f>Inputs!$A$48</f>
        <v>0</v>
      </c>
      <c r="AZ427" s="45">
        <f>Inputs!$B$48</f>
        <v>0</v>
      </c>
      <c r="BA427" s="45" t="s">
        <v>58</v>
      </c>
      <c r="BB427" s="45">
        <f t="shared" si="393"/>
        <v>0</v>
      </c>
      <c r="BC427" s="50"/>
      <c r="BD427" s="45">
        <v>0</v>
      </c>
      <c r="BE427" s="45">
        <v>0</v>
      </c>
      <c r="BF427" s="45">
        <f t="shared" si="425"/>
        <v>0</v>
      </c>
      <c r="BG427" s="50"/>
      <c r="BH427" s="45">
        <f t="shared" si="426"/>
        <v>0</v>
      </c>
      <c r="BI427" s="64">
        <f>BD427*Inputs!$F$48*Inputs!$H$48</f>
        <v>0</v>
      </c>
      <c r="BJ427" s="45">
        <f>Inputs!$F$48*Inputs!$I$48*BE427</f>
        <v>0</v>
      </c>
      <c r="BK427" s="56"/>
      <c r="BM427" s="116">
        <v>11</v>
      </c>
      <c r="BN427" s="114">
        <f>Inputs!$A$48</f>
        <v>0</v>
      </c>
      <c r="BO427" s="45">
        <f>Inputs!$B$48</f>
        <v>0</v>
      </c>
      <c r="BP427" s="45" t="s">
        <v>57</v>
      </c>
      <c r="BQ427" s="45">
        <f t="shared" si="394"/>
        <v>0</v>
      </c>
      <c r="BR427" s="50"/>
      <c r="BS427" s="118">
        <v>11</v>
      </c>
      <c r="BT427" s="114">
        <f>Inputs!$A$48</f>
        <v>0</v>
      </c>
      <c r="BU427" s="45">
        <f>Inputs!$B$48</f>
        <v>0</v>
      </c>
      <c r="BV427" s="45" t="s">
        <v>58</v>
      </c>
      <c r="BW427" s="45">
        <f t="shared" si="395"/>
        <v>0</v>
      </c>
      <c r="BX427" s="50"/>
      <c r="BY427" s="45">
        <v>0</v>
      </c>
      <c r="BZ427" s="45">
        <v>0</v>
      </c>
      <c r="CA427" s="45">
        <f t="shared" si="427"/>
        <v>0</v>
      </c>
      <c r="CB427" s="50"/>
      <c r="CC427" s="45">
        <f t="shared" si="428"/>
        <v>0</v>
      </c>
      <c r="CD427" s="64">
        <f>BY427*Inputs!$F$48*Inputs!$H$48</f>
        <v>0</v>
      </c>
      <c r="CE427" s="45">
        <f>Inputs!$F$48*Inputs!$I$48*BZ427</f>
        <v>0</v>
      </c>
      <c r="CF427" s="56"/>
    </row>
    <row r="428" spans="1:84" x14ac:dyDescent="0.25">
      <c r="A428" s="117">
        <v>3</v>
      </c>
      <c r="B428" s="115">
        <f>Inputs!$A$49</f>
        <v>0</v>
      </c>
      <c r="C428" s="44">
        <f>Inputs!$B$49</f>
        <v>0</v>
      </c>
      <c r="D428" s="44" t="s">
        <v>57</v>
      </c>
      <c r="E428" s="44">
        <v>0</v>
      </c>
      <c r="F428" s="50"/>
      <c r="G428" s="119">
        <v>3</v>
      </c>
      <c r="H428" s="115">
        <f>Inputs!$A$49</f>
        <v>0</v>
      </c>
      <c r="I428" s="44">
        <f>Inputs!$B$49</f>
        <v>0</v>
      </c>
      <c r="J428" s="44" t="s">
        <v>58</v>
      </c>
      <c r="K428" s="44">
        <v>0</v>
      </c>
      <c r="L428" s="50"/>
      <c r="M428" s="44">
        <v>0</v>
      </c>
      <c r="N428" s="44">
        <v>0</v>
      </c>
      <c r="O428" s="44">
        <f>U428-0-E428-K428</f>
        <v>0</v>
      </c>
      <c r="P428" s="50"/>
      <c r="Q428" s="44">
        <f>E428+K428+N428-U428+0-M428</f>
        <v>0</v>
      </c>
      <c r="R428" s="63">
        <f>M428*Inputs!$F$49*Inputs!$G$49</f>
        <v>0</v>
      </c>
      <c r="S428" s="44">
        <f>Inputs!$F$49*Inputs!$I$49*N428</f>
        <v>0</v>
      </c>
      <c r="T428" s="18"/>
      <c r="U428" s="54"/>
      <c r="W428" s="117">
        <v>3</v>
      </c>
      <c r="X428" s="115">
        <f>Inputs!$A$49</f>
        <v>0</v>
      </c>
      <c r="Y428" s="44">
        <f>Inputs!$B$49</f>
        <v>0</v>
      </c>
      <c r="Z428" s="44" t="s">
        <v>57</v>
      </c>
      <c r="AA428" s="44">
        <f t="shared" si="391"/>
        <v>0</v>
      </c>
      <c r="AB428" s="50"/>
      <c r="AC428" s="119">
        <v>3</v>
      </c>
      <c r="AD428" s="115">
        <f>Inputs!$A$49</f>
        <v>0</v>
      </c>
      <c r="AE428" s="44">
        <f>Inputs!$B$49</f>
        <v>0</v>
      </c>
      <c r="AF428" s="44" t="s">
        <v>58</v>
      </c>
      <c r="AG428" s="44">
        <f t="shared" si="392"/>
        <v>0</v>
      </c>
      <c r="AH428" s="50"/>
      <c r="AI428" s="44">
        <v>0</v>
      </c>
      <c r="AJ428" s="44">
        <v>0</v>
      </c>
      <c r="AK428" s="44">
        <f>AP428-0-AA428-AG428</f>
        <v>0</v>
      </c>
      <c r="AL428" s="50"/>
      <c r="AM428" s="44">
        <f>AA428+AG428+AJ428-AP428+0-AI428</f>
        <v>0</v>
      </c>
      <c r="AN428" s="63">
        <f>AI428*Inputs!$F$49*Inputs!$G$49</f>
        <v>0</v>
      </c>
      <c r="AO428" s="44">
        <f>Inputs!$F$49*Inputs!$I$49*AJ428</f>
        <v>0</v>
      </c>
      <c r="AP428" s="54"/>
      <c r="AR428" s="117">
        <v>3</v>
      </c>
      <c r="AS428" s="115">
        <f>Inputs!$A$49</f>
        <v>0</v>
      </c>
      <c r="AT428" s="44">
        <f>Inputs!$B$49</f>
        <v>0</v>
      </c>
      <c r="AU428" s="44" t="s">
        <v>57</v>
      </c>
      <c r="AV428" s="44">
        <f t="shared" si="396"/>
        <v>0</v>
      </c>
      <c r="AW428" s="50"/>
      <c r="AX428" s="119">
        <v>3</v>
      </c>
      <c r="AY428" s="115">
        <f>Inputs!$A$49</f>
        <v>0</v>
      </c>
      <c r="AZ428" s="44">
        <f>Inputs!$B$49</f>
        <v>0</v>
      </c>
      <c r="BA428" s="44" t="s">
        <v>58</v>
      </c>
      <c r="BB428" s="44">
        <f t="shared" si="393"/>
        <v>0</v>
      </c>
      <c r="BC428" s="50"/>
      <c r="BD428" s="44">
        <v>0</v>
      </c>
      <c r="BE428" s="44">
        <v>0</v>
      </c>
      <c r="BF428" s="44">
        <f>BK428-0-AV428-BB428</f>
        <v>0</v>
      </c>
      <c r="BG428" s="50"/>
      <c r="BH428" s="44">
        <f>AV428+BB428+BE428-BK428+0-BD428</f>
        <v>0</v>
      </c>
      <c r="BI428" s="63">
        <f>BD428*Inputs!$F$49*Inputs!$G$49</f>
        <v>0</v>
      </c>
      <c r="BJ428" s="44">
        <f>Inputs!$F$49*Inputs!$I$49*BE428</f>
        <v>0</v>
      </c>
      <c r="BK428" s="54"/>
      <c r="BM428" s="117">
        <v>3</v>
      </c>
      <c r="BN428" s="115">
        <f>Inputs!$A$49</f>
        <v>0</v>
      </c>
      <c r="BO428" s="44">
        <f>Inputs!$B$49</f>
        <v>0</v>
      </c>
      <c r="BP428" s="44" t="s">
        <v>57</v>
      </c>
      <c r="BQ428" s="44">
        <f t="shared" si="394"/>
        <v>0</v>
      </c>
      <c r="BR428" s="50"/>
      <c r="BS428" s="119">
        <v>3</v>
      </c>
      <c r="BT428" s="115">
        <f>Inputs!$A$49</f>
        <v>0</v>
      </c>
      <c r="BU428" s="44">
        <f>Inputs!$B$49</f>
        <v>0</v>
      </c>
      <c r="BV428" s="44" t="s">
        <v>58</v>
      </c>
      <c r="BW428" s="44">
        <f t="shared" si="395"/>
        <v>0</v>
      </c>
      <c r="BX428" s="50"/>
      <c r="BY428" s="44">
        <v>0</v>
      </c>
      <c r="BZ428" s="44">
        <v>0</v>
      </c>
      <c r="CA428" s="44">
        <f>CF428-0-BQ428-BW428</f>
        <v>0</v>
      </c>
      <c r="CB428" s="50"/>
      <c r="CC428" s="44">
        <f>BQ428+BW428+BZ428-CF428+0-BY428</f>
        <v>0</v>
      </c>
      <c r="CD428" s="63">
        <f>BY428*Inputs!$F$49*Inputs!$G$49</f>
        <v>0</v>
      </c>
      <c r="CE428" s="44">
        <f>Inputs!$F$49*Inputs!$I$49*BZ428</f>
        <v>0</v>
      </c>
      <c r="CF428" s="54"/>
    </row>
    <row r="429" spans="1:84" x14ac:dyDescent="0.25">
      <c r="A429" s="117">
        <v>4</v>
      </c>
      <c r="B429" s="115">
        <f>Inputs!$A$49</f>
        <v>0</v>
      </c>
      <c r="C429" s="44">
        <f>Inputs!$B$49</f>
        <v>0</v>
      </c>
      <c r="D429" s="44" t="s">
        <v>57</v>
      </c>
      <c r="E429" s="44">
        <v>0</v>
      </c>
      <c r="F429" s="50"/>
      <c r="G429" s="119">
        <v>4</v>
      </c>
      <c r="H429" s="115">
        <f>Inputs!$A$49</f>
        <v>0</v>
      </c>
      <c r="I429" s="44">
        <f>Inputs!$B$49</f>
        <v>0</v>
      </c>
      <c r="J429" s="44" t="s">
        <v>58</v>
      </c>
      <c r="K429" s="44">
        <v>0</v>
      </c>
      <c r="L429" s="50"/>
      <c r="M429" s="44">
        <v>0</v>
      </c>
      <c r="N429" s="44">
        <v>0</v>
      </c>
      <c r="O429" s="44">
        <f t="shared" ref="O429:O436" si="429">U429-M428-E429-K429</f>
        <v>0</v>
      </c>
      <c r="P429" s="50"/>
      <c r="Q429" s="44">
        <f t="shared" ref="Q429:Q436" si="430">E429+K429+N429-U429+M428-M429</f>
        <v>0</v>
      </c>
      <c r="R429" s="63">
        <f>M429*Inputs!$F$49*Inputs!$G$49</f>
        <v>0</v>
      </c>
      <c r="S429" s="44">
        <f>Inputs!$F$49*Inputs!$I$49*N429</f>
        <v>0</v>
      </c>
      <c r="T429" s="18"/>
      <c r="U429" s="55"/>
      <c r="W429" s="117">
        <v>4</v>
      </c>
      <c r="X429" s="115">
        <f>Inputs!$A$49</f>
        <v>0</v>
      </c>
      <c r="Y429" s="44">
        <f>Inputs!$B$49</f>
        <v>0</v>
      </c>
      <c r="Z429" s="44" t="s">
        <v>57</v>
      </c>
      <c r="AA429" s="44">
        <f t="shared" si="391"/>
        <v>0</v>
      </c>
      <c r="AB429" s="50"/>
      <c r="AC429" s="119">
        <v>4</v>
      </c>
      <c r="AD429" s="115">
        <f>Inputs!$A$49</f>
        <v>0</v>
      </c>
      <c r="AE429" s="44">
        <f>Inputs!$B$49</f>
        <v>0</v>
      </c>
      <c r="AF429" s="44" t="s">
        <v>58</v>
      </c>
      <c r="AG429" s="44">
        <f t="shared" si="392"/>
        <v>0</v>
      </c>
      <c r="AH429" s="50"/>
      <c r="AI429" s="44">
        <v>0</v>
      </c>
      <c r="AJ429" s="44">
        <v>0</v>
      </c>
      <c r="AK429" s="44">
        <f t="shared" ref="AK429:AK436" si="431">AP429-AI428-AA429-AG429</f>
        <v>0</v>
      </c>
      <c r="AL429" s="50"/>
      <c r="AM429" s="44">
        <f t="shared" ref="AM429:AM436" si="432">AA429+AG429+AJ429-AP429+AI428-AI429</f>
        <v>0</v>
      </c>
      <c r="AN429" s="63">
        <f>AI429*Inputs!$F$49*Inputs!$G$49</f>
        <v>0</v>
      </c>
      <c r="AO429" s="44">
        <f>Inputs!$F$49*Inputs!$I$49*AJ429</f>
        <v>0</v>
      </c>
      <c r="AP429" s="55"/>
      <c r="AR429" s="117">
        <v>4</v>
      </c>
      <c r="AS429" s="115">
        <f>Inputs!$A$49</f>
        <v>0</v>
      </c>
      <c r="AT429" s="44">
        <f>Inputs!$B$49</f>
        <v>0</v>
      </c>
      <c r="AU429" s="44" t="s">
        <v>57</v>
      </c>
      <c r="AV429" s="44">
        <f t="shared" si="396"/>
        <v>0</v>
      </c>
      <c r="AW429" s="50"/>
      <c r="AX429" s="119">
        <v>4</v>
      </c>
      <c r="AY429" s="115">
        <f>Inputs!$A$49</f>
        <v>0</v>
      </c>
      <c r="AZ429" s="44">
        <f>Inputs!$B$49</f>
        <v>0</v>
      </c>
      <c r="BA429" s="44" t="s">
        <v>58</v>
      </c>
      <c r="BB429" s="44">
        <f t="shared" si="393"/>
        <v>0</v>
      </c>
      <c r="BC429" s="50"/>
      <c r="BD429" s="44">
        <v>0</v>
      </c>
      <c r="BE429" s="44">
        <v>0</v>
      </c>
      <c r="BF429" s="44">
        <f t="shared" ref="BF429:BF436" si="433">BK429-BD428-AV429-BB429</f>
        <v>0</v>
      </c>
      <c r="BG429" s="50"/>
      <c r="BH429" s="44">
        <f t="shared" ref="BH429:BH436" si="434">AV429+BB429+BE429-BK429+BD428-BD429</f>
        <v>0</v>
      </c>
      <c r="BI429" s="63">
        <f>BD429*Inputs!$F$49*Inputs!$G$49</f>
        <v>0</v>
      </c>
      <c r="BJ429" s="44">
        <f>Inputs!$F$49*Inputs!$I$49*BE429</f>
        <v>0</v>
      </c>
      <c r="BK429" s="55"/>
      <c r="BM429" s="117">
        <v>4</v>
      </c>
      <c r="BN429" s="115">
        <f>Inputs!$A$49</f>
        <v>0</v>
      </c>
      <c r="BO429" s="44">
        <f>Inputs!$B$49</f>
        <v>0</v>
      </c>
      <c r="BP429" s="44" t="s">
        <v>57</v>
      </c>
      <c r="BQ429" s="44">
        <f t="shared" si="394"/>
        <v>0</v>
      </c>
      <c r="BR429" s="50"/>
      <c r="BS429" s="119">
        <v>4</v>
      </c>
      <c r="BT429" s="115">
        <f>Inputs!$A$49</f>
        <v>0</v>
      </c>
      <c r="BU429" s="44">
        <f>Inputs!$B$49</f>
        <v>0</v>
      </c>
      <c r="BV429" s="44" t="s">
        <v>58</v>
      </c>
      <c r="BW429" s="44">
        <f t="shared" si="395"/>
        <v>0</v>
      </c>
      <c r="BX429" s="50"/>
      <c r="BY429" s="44">
        <v>0</v>
      </c>
      <c r="BZ429" s="44">
        <v>0</v>
      </c>
      <c r="CA429" s="44">
        <f t="shared" ref="CA429:CA436" si="435">CF429-BY428-BQ429-BW429</f>
        <v>0</v>
      </c>
      <c r="CB429" s="50"/>
      <c r="CC429" s="44">
        <f t="shared" ref="CC429:CC436" si="436">BQ429+BW429+BZ429-CF429+BY428-BY429</f>
        <v>0</v>
      </c>
      <c r="CD429" s="63">
        <f>BY429*Inputs!$F$49*Inputs!$G$49</f>
        <v>0</v>
      </c>
      <c r="CE429" s="44">
        <f>Inputs!$F$49*Inputs!$I$49*BZ429</f>
        <v>0</v>
      </c>
      <c r="CF429" s="55"/>
    </row>
    <row r="430" spans="1:84" x14ac:dyDescent="0.25">
      <c r="A430" s="117">
        <v>5</v>
      </c>
      <c r="B430" s="115">
        <f>Inputs!$A$49</f>
        <v>0</v>
      </c>
      <c r="C430" s="44">
        <f>Inputs!$B$49</f>
        <v>0</v>
      </c>
      <c r="D430" s="44" t="s">
        <v>57</v>
      </c>
      <c r="E430" s="44">
        <v>0</v>
      </c>
      <c r="F430" s="50"/>
      <c r="G430" s="119">
        <v>5</v>
      </c>
      <c r="H430" s="115">
        <f>Inputs!$A$49</f>
        <v>0</v>
      </c>
      <c r="I430" s="44">
        <f>Inputs!$B$49</f>
        <v>0</v>
      </c>
      <c r="J430" s="44" t="s">
        <v>58</v>
      </c>
      <c r="K430" s="44">
        <v>0</v>
      </c>
      <c r="L430" s="50"/>
      <c r="M430" s="44">
        <v>0</v>
      </c>
      <c r="N430" s="44">
        <v>0</v>
      </c>
      <c r="O430" s="44">
        <f t="shared" si="429"/>
        <v>0</v>
      </c>
      <c r="P430" s="50"/>
      <c r="Q430" s="44">
        <f t="shared" si="430"/>
        <v>0</v>
      </c>
      <c r="R430" s="63">
        <f>M430*Inputs!$F$49*Inputs!$G$49</f>
        <v>0</v>
      </c>
      <c r="S430" s="44">
        <f>Inputs!$F$49*Inputs!$I$49*N430</f>
        <v>0</v>
      </c>
      <c r="T430" s="18"/>
      <c r="U430" s="55"/>
      <c r="W430" s="117">
        <v>5</v>
      </c>
      <c r="X430" s="115">
        <f>Inputs!$A$49</f>
        <v>0</v>
      </c>
      <c r="Y430" s="44">
        <f>Inputs!$B$49</f>
        <v>0</v>
      </c>
      <c r="Z430" s="44" t="s">
        <v>57</v>
      </c>
      <c r="AA430" s="44">
        <f t="shared" si="391"/>
        <v>0</v>
      </c>
      <c r="AB430" s="50"/>
      <c r="AC430" s="119">
        <v>5</v>
      </c>
      <c r="AD430" s="115">
        <f>Inputs!$A$49</f>
        <v>0</v>
      </c>
      <c r="AE430" s="44">
        <f>Inputs!$B$49</f>
        <v>0</v>
      </c>
      <c r="AF430" s="44" t="s">
        <v>58</v>
      </c>
      <c r="AG430" s="44">
        <f t="shared" si="392"/>
        <v>0</v>
      </c>
      <c r="AH430" s="50"/>
      <c r="AI430" s="44">
        <v>0</v>
      </c>
      <c r="AJ430" s="44">
        <v>0</v>
      </c>
      <c r="AK430" s="44">
        <f t="shared" si="431"/>
        <v>0</v>
      </c>
      <c r="AL430" s="50"/>
      <c r="AM430" s="44">
        <f t="shared" si="432"/>
        <v>0</v>
      </c>
      <c r="AN430" s="63">
        <f>AI430*Inputs!$F$49*Inputs!$G$49</f>
        <v>0</v>
      </c>
      <c r="AO430" s="44">
        <f>Inputs!$F$49*Inputs!$I$49*AJ430</f>
        <v>0</v>
      </c>
      <c r="AP430" s="55"/>
      <c r="AR430" s="117">
        <v>5</v>
      </c>
      <c r="AS430" s="115">
        <f>Inputs!$A$49</f>
        <v>0</v>
      </c>
      <c r="AT430" s="44">
        <f>Inputs!$B$49</f>
        <v>0</v>
      </c>
      <c r="AU430" s="44" t="s">
        <v>57</v>
      </c>
      <c r="AV430" s="44">
        <f t="shared" si="396"/>
        <v>0</v>
      </c>
      <c r="AW430" s="50"/>
      <c r="AX430" s="119">
        <v>5</v>
      </c>
      <c r="AY430" s="115">
        <f>Inputs!$A$49</f>
        <v>0</v>
      </c>
      <c r="AZ430" s="44">
        <f>Inputs!$B$49</f>
        <v>0</v>
      </c>
      <c r="BA430" s="44" t="s">
        <v>58</v>
      </c>
      <c r="BB430" s="44">
        <f t="shared" si="393"/>
        <v>0</v>
      </c>
      <c r="BC430" s="50"/>
      <c r="BD430" s="44">
        <v>0</v>
      </c>
      <c r="BE430" s="44">
        <v>0</v>
      </c>
      <c r="BF430" s="44">
        <f t="shared" si="433"/>
        <v>0</v>
      </c>
      <c r="BG430" s="50"/>
      <c r="BH430" s="44">
        <f t="shared" si="434"/>
        <v>0</v>
      </c>
      <c r="BI430" s="63">
        <f>BD430*Inputs!$F$49*Inputs!$G$49</f>
        <v>0</v>
      </c>
      <c r="BJ430" s="44">
        <f>Inputs!$F$49*Inputs!$I$49*BE430</f>
        <v>0</v>
      </c>
      <c r="BK430" s="55"/>
      <c r="BM430" s="117">
        <v>5</v>
      </c>
      <c r="BN430" s="115">
        <f>Inputs!$A$49</f>
        <v>0</v>
      </c>
      <c r="BO430" s="44">
        <f>Inputs!$B$49</f>
        <v>0</v>
      </c>
      <c r="BP430" s="44" t="s">
        <v>57</v>
      </c>
      <c r="BQ430" s="44">
        <f t="shared" si="394"/>
        <v>0</v>
      </c>
      <c r="BR430" s="50"/>
      <c r="BS430" s="119">
        <v>5</v>
      </c>
      <c r="BT430" s="115">
        <f>Inputs!$A$49</f>
        <v>0</v>
      </c>
      <c r="BU430" s="44">
        <f>Inputs!$B$49</f>
        <v>0</v>
      </c>
      <c r="BV430" s="44" t="s">
        <v>58</v>
      </c>
      <c r="BW430" s="44">
        <f t="shared" si="395"/>
        <v>0</v>
      </c>
      <c r="BX430" s="50"/>
      <c r="BY430" s="44">
        <v>0</v>
      </c>
      <c r="BZ430" s="44">
        <v>0</v>
      </c>
      <c r="CA430" s="44">
        <f t="shared" si="435"/>
        <v>0</v>
      </c>
      <c r="CB430" s="50"/>
      <c r="CC430" s="44">
        <f t="shared" si="436"/>
        <v>0</v>
      </c>
      <c r="CD430" s="63">
        <f>BY430*Inputs!$F$49*Inputs!$G$49</f>
        <v>0</v>
      </c>
      <c r="CE430" s="44">
        <f>Inputs!$F$49*Inputs!$I$49*BZ430</f>
        <v>0</v>
      </c>
      <c r="CF430" s="55"/>
    </row>
    <row r="431" spans="1:84" x14ac:dyDescent="0.25">
      <c r="A431" s="117">
        <v>6</v>
      </c>
      <c r="B431" s="115">
        <f>Inputs!$A$49</f>
        <v>0</v>
      </c>
      <c r="C431" s="44">
        <f>Inputs!$B$49</f>
        <v>0</v>
      </c>
      <c r="D431" s="44" t="s">
        <v>57</v>
      </c>
      <c r="E431" s="44">
        <v>0</v>
      </c>
      <c r="F431" s="50"/>
      <c r="G431" s="119">
        <v>6</v>
      </c>
      <c r="H431" s="115">
        <f>Inputs!$A$49</f>
        <v>0</v>
      </c>
      <c r="I431" s="44">
        <f>Inputs!$B$49</f>
        <v>0</v>
      </c>
      <c r="J431" s="44" t="s">
        <v>58</v>
      </c>
      <c r="K431" s="44">
        <v>0</v>
      </c>
      <c r="L431" s="50"/>
      <c r="M431" s="44">
        <v>0</v>
      </c>
      <c r="N431" s="44">
        <v>0</v>
      </c>
      <c r="O431" s="44">
        <f t="shared" si="429"/>
        <v>0</v>
      </c>
      <c r="P431" s="50"/>
      <c r="Q431" s="44">
        <f t="shared" si="430"/>
        <v>0</v>
      </c>
      <c r="R431" s="63">
        <f>M431*Inputs!$F$49*Inputs!$G$49</f>
        <v>0</v>
      </c>
      <c r="S431" s="44">
        <f>Inputs!$F$49*Inputs!$I$49*N431</f>
        <v>0</v>
      </c>
      <c r="T431" s="18"/>
      <c r="U431" s="55"/>
      <c r="W431" s="117">
        <v>6</v>
      </c>
      <c r="X431" s="115">
        <f>Inputs!$A$49</f>
        <v>0</v>
      </c>
      <c r="Y431" s="44">
        <f>Inputs!$B$49</f>
        <v>0</v>
      </c>
      <c r="Z431" s="44" t="s">
        <v>57</v>
      </c>
      <c r="AA431" s="44">
        <f t="shared" si="391"/>
        <v>0</v>
      </c>
      <c r="AB431" s="50"/>
      <c r="AC431" s="119">
        <v>6</v>
      </c>
      <c r="AD431" s="115">
        <f>Inputs!$A$49</f>
        <v>0</v>
      </c>
      <c r="AE431" s="44">
        <f>Inputs!$B$49</f>
        <v>0</v>
      </c>
      <c r="AF431" s="44" t="s">
        <v>58</v>
      </c>
      <c r="AG431" s="44">
        <f t="shared" si="392"/>
        <v>0</v>
      </c>
      <c r="AH431" s="50"/>
      <c r="AI431" s="44">
        <v>0</v>
      </c>
      <c r="AJ431" s="44">
        <v>0</v>
      </c>
      <c r="AK431" s="44">
        <f t="shared" si="431"/>
        <v>0</v>
      </c>
      <c r="AL431" s="50"/>
      <c r="AM431" s="44">
        <f t="shared" si="432"/>
        <v>0</v>
      </c>
      <c r="AN431" s="63">
        <f>AI431*Inputs!$F$49*Inputs!$G$49</f>
        <v>0</v>
      </c>
      <c r="AO431" s="44">
        <f>Inputs!$F$49*Inputs!$I$49*AJ431</f>
        <v>0</v>
      </c>
      <c r="AP431" s="55"/>
      <c r="AR431" s="117">
        <v>6</v>
      </c>
      <c r="AS431" s="115">
        <f>Inputs!$A$49</f>
        <v>0</v>
      </c>
      <c r="AT431" s="44">
        <f>Inputs!$B$49</f>
        <v>0</v>
      </c>
      <c r="AU431" s="44" t="s">
        <v>57</v>
      </c>
      <c r="AV431" s="44">
        <f t="shared" si="396"/>
        <v>0</v>
      </c>
      <c r="AW431" s="50"/>
      <c r="AX431" s="119">
        <v>6</v>
      </c>
      <c r="AY431" s="115">
        <f>Inputs!$A$49</f>
        <v>0</v>
      </c>
      <c r="AZ431" s="44">
        <f>Inputs!$B$49</f>
        <v>0</v>
      </c>
      <c r="BA431" s="44" t="s">
        <v>58</v>
      </c>
      <c r="BB431" s="44">
        <f t="shared" si="393"/>
        <v>0</v>
      </c>
      <c r="BC431" s="50"/>
      <c r="BD431" s="44">
        <v>0</v>
      </c>
      <c r="BE431" s="44">
        <v>0</v>
      </c>
      <c r="BF431" s="44">
        <f t="shared" si="433"/>
        <v>0</v>
      </c>
      <c r="BG431" s="50"/>
      <c r="BH431" s="44">
        <f t="shared" si="434"/>
        <v>0</v>
      </c>
      <c r="BI431" s="63">
        <f>BD431*Inputs!$F$49*Inputs!$G$49</f>
        <v>0</v>
      </c>
      <c r="BJ431" s="44">
        <f>Inputs!$F$49*Inputs!$I$49*BE431</f>
        <v>0</v>
      </c>
      <c r="BK431" s="55"/>
      <c r="BM431" s="117">
        <v>6</v>
      </c>
      <c r="BN431" s="115">
        <f>Inputs!$A$49</f>
        <v>0</v>
      </c>
      <c r="BO431" s="44">
        <f>Inputs!$B$49</f>
        <v>0</v>
      </c>
      <c r="BP431" s="44" t="s">
        <v>57</v>
      </c>
      <c r="BQ431" s="44">
        <f t="shared" si="394"/>
        <v>0</v>
      </c>
      <c r="BR431" s="50"/>
      <c r="BS431" s="119">
        <v>6</v>
      </c>
      <c r="BT431" s="115">
        <f>Inputs!$A$49</f>
        <v>0</v>
      </c>
      <c r="BU431" s="44">
        <f>Inputs!$B$49</f>
        <v>0</v>
      </c>
      <c r="BV431" s="44" t="s">
        <v>58</v>
      </c>
      <c r="BW431" s="44">
        <f t="shared" si="395"/>
        <v>0</v>
      </c>
      <c r="BX431" s="50"/>
      <c r="BY431" s="44">
        <v>0</v>
      </c>
      <c r="BZ431" s="44">
        <v>0</v>
      </c>
      <c r="CA431" s="44">
        <f t="shared" si="435"/>
        <v>0</v>
      </c>
      <c r="CB431" s="50"/>
      <c r="CC431" s="44">
        <f t="shared" si="436"/>
        <v>0</v>
      </c>
      <c r="CD431" s="63">
        <f>BY431*Inputs!$F$49*Inputs!$G$49</f>
        <v>0</v>
      </c>
      <c r="CE431" s="44">
        <f>Inputs!$F$49*Inputs!$I$49*BZ431</f>
        <v>0</v>
      </c>
      <c r="CF431" s="55"/>
    </row>
    <row r="432" spans="1:84" x14ac:dyDescent="0.25">
      <c r="A432" s="117">
        <v>7</v>
      </c>
      <c r="B432" s="115">
        <f>Inputs!$A$49</f>
        <v>0</v>
      </c>
      <c r="C432" s="44">
        <f>Inputs!$B$49</f>
        <v>0</v>
      </c>
      <c r="D432" s="44" t="s">
        <v>57</v>
      </c>
      <c r="E432" s="44">
        <v>0</v>
      </c>
      <c r="F432" s="50"/>
      <c r="G432" s="119">
        <v>7</v>
      </c>
      <c r="H432" s="115">
        <f>Inputs!$A$49</f>
        <v>0</v>
      </c>
      <c r="I432" s="44">
        <f>Inputs!$B$49</f>
        <v>0</v>
      </c>
      <c r="J432" s="44" t="s">
        <v>58</v>
      </c>
      <c r="K432" s="44">
        <v>0</v>
      </c>
      <c r="L432" s="50"/>
      <c r="M432" s="44">
        <v>0</v>
      </c>
      <c r="N432" s="44">
        <v>0</v>
      </c>
      <c r="O432" s="44">
        <f t="shared" si="429"/>
        <v>0</v>
      </c>
      <c r="P432" s="50"/>
      <c r="Q432" s="44">
        <f t="shared" si="430"/>
        <v>0</v>
      </c>
      <c r="R432" s="63">
        <f>M432*Inputs!$F$49*Inputs!$G$49</f>
        <v>0</v>
      </c>
      <c r="S432" s="44">
        <f>Inputs!$F$49*Inputs!$I$49*N432</f>
        <v>0</v>
      </c>
      <c r="T432" s="18"/>
      <c r="U432" s="55"/>
      <c r="W432" s="117">
        <v>7</v>
      </c>
      <c r="X432" s="115">
        <f>Inputs!$A$49</f>
        <v>0</v>
      </c>
      <c r="Y432" s="44">
        <f>Inputs!$B$49</f>
        <v>0</v>
      </c>
      <c r="Z432" s="44" t="s">
        <v>57</v>
      </c>
      <c r="AA432" s="44">
        <f t="shared" si="391"/>
        <v>0</v>
      </c>
      <c r="AB432" s="50"/>
      <c r="AC432" s="119">
        <v>7</v>
      </c>
      <c r="AD432" s="115">
        <f>Inputs!$A$49</f>
        <v>0</v>
      </c>
      <c r="AE432" s="44">
        <f>Inputs!$B$49</f>
        <v>0</v>
      </c>
      <c r="AF432" s="44" t="s">
        <v>58</v>
      </c>
      <c r="AG432" s="44">
        <f t="shared" si="392"/>
        <v>0</v>
      </c>
      <c r="AH432" s="50"/>
      <c r="AI432" s="44">
        <v>0</v>
      </c>
      <c r="AJ432" s="44">
        <v>0</v>
      </c>
      <c r="AK432" s="44">
        <f t="shared" si="431"/>
        <v>0</v>
      </c>
      <c r="AL432" s="50"/>
      <c r="AM432" s="44">
        <f t="shared" si="432"/>
        <v>0</v>
      </c>
      <c r="AN432" s="63">
        <f>AI432*Inputs!$F$49*Inputs!$G$49</f>
        <v>0</v>
      </c>
      <c r="AO432" s="44">
        <f>Inputs!$F$49*Inputs!$I$49*AJ432</f>
        <v>0</v>
      </c>
      <c r="AP432" s="55"/>
      <c r="AR432" s="117">
        <v>7</v>
      </c>
      <c r="AS432" s="115">
        <f>Inputs!$A$49</f>
        <v>0</v>
      </c>
      <c r="AT432" s="44">
        <f>Inputs!$B$49</f>
        <v>0</v>
      </c>
      <c r="AU432" s="44" t="s">
        <v>57</v>
      </c>
      <c r="AV432" s="44">
        <f t="shared" si="396"/>
        <v>0</v>
      </c>
      <c r="AW432" s="50"/>
      <c r="AX432" s="119">
        <v>7</v>
      </c>
      <c r="AY432" s="115">
        <f>Inputs!$A$49</f>
        <v>0</v>
      </c>
      <c r="AZ432" s="44">
        <f>Inputs!$B$49</f>
        <v>0</v>
      </c>
      <c r="BA432" s="44" t="s">
        <v>58</v>
      </c>
      <c r="BB432" s="44">
        <f t="shared" si="393"/>
        <v>0</v>
      </c>
      <c r="BC432" s="50"/>
      <c r="BD432" s="44">
        <v>0</v>
      </c>
      <c r="BE432" s="44">
        <v>0</v>
      </c>
      <c r="BF432" s="44">
        <f t="shared" si="433"/>
        <v>0</v>
      </c>
      <c r="BG432" s="50"/>
      <c r="BH432" s="44">
        <f t="shared" si="434"/>
        <v>0</v>
      </c>
      <c r="BI432" s="63">
        <f>BD432*Inputs!$F$49*Inputs!$G$49</f>
        <v>0</v>
      </c>
      <c r="BJ432" s="44">
        <f>Inputs!$F$49*Inputs!$I$49*BE432</f>
        <v>0</v>
      </c>
      <c r="BK432" s="55"/>
      <c r="BM432" s="117">
        <v>7</v>
      </c>
      <c r="BN432" s="115">
        <f>Inputs!$A$49</f>
        <v>0</v>
      </c>
      <c r="BO432" s="44">
        <f>Inputs!$B$49</f>
        <v>0</v>
      </c>
      <c r="BP432" s="44" t="s">
        <v>57</v>
      </c>
      <c r="BQ432" s="44">
        <f t="shared" si="394"/>
        <v>0</v>
      </c>
      <c r="BR432" s="50"/>
      <c r="BS432" s="119">
        <v>7</v>
      </c>
      <c r="BT432" s="115">
        <f>Inputs!$A$49</f>
        <v>0</v>
      </c>
      <c r="BU432" s="44">
        <f>Inputs!$B$49</f>
        <v>0</v>
      </c>
      <c r="BV432" s="44" t="s">
        <v>58</v>
      </c>
      <c r="BW432" s="44">
        <f t="shared" si="395"/>
        <v>0</v>
      </c>
      <c r="BX432" s="50"/>
      <c r="BY432" s="44">
        <v>0</v>
      </c>
      <c r="BZ432" s="44">
        <v>0</v>
      </c>
      <c r="CA432" s="44">
        <f t="shared" si="435"/>
        <v>0</v>
      </c>
      <c r="CB432" s="50"/>
      <c r="CC432" s="44">
        <f t="shared" si="436"/>
        <v>0</v>
      </c>
      <c r="CD432" s="63">
        <f>BY432*Inputs!$F$49*Inputs!$G$49</f>
        <v>0</v>
      </c>
      <c r="CE432" s="44">
        <f>Inputs!$F$49*Inputs!$I$49*BZ432</f>
        <v>0</v>
      </c>
      <c r="CF432" s="55"/>
    </row>
    <row r="433" spans="1:84" x14ac:dyDescent="0.25">
      <c r="A433" s="117">
        <v>8</v>
      </c>
      <c r="B433" s="115">
        <f>Inputs!$A$49</f>
        <v>0</v>
      </c>
      <c r="C433" s="44">
        <f>Inputs!$B$49</f>
        <v>0</v>
      </c>
      <c r="D433" s="44" t="s">
        <v>57</v>
      </c>
      <c r="E433" s="44">
        <v>0</v>
      </c>
      <c r="F433" s="50"/>
      <c r="G433" s="119">
        <v>8</v>
      </c>
      <c r="H433" s="115">
        <f>Inputs!$A$49</f>
        <v>0</v>
      </c>
      <c r="I433" s="44">
        <f>Inputs!$B$49</f>
        <v>0</v>
      </c>
      <c r="J433" s="44" t="s">
        <v>58</v>
      </c>
      <c r="K433" s="44">
        <v>0</v>
      </c>
      <c r="L433" s="50"/>
      <c r="M433" s="44">
        <v>0</v>
      </c>
      <c r="N433" s="44">
        <v>0</v>
      </c>
      <c r="O433" s="44">
        <f t="shared" si="429"/>
        <v>0</v>
      </c>
      <c r="P433" s="50"/>
      <c r="Q433" s="44">
        <f t="shared" si="430"/>
        <v>0</v>
      </c>
      <c r="R433" s="63">
        <f>M433*Inputs!$F$49*Inputs!$G$49</f>
        <v>0</v>
      </c>
      <c r="S433" s="44">
        <f>Inputs!$F$49*Inputs!$I$49*N433</f>
        <v>0</v>
      </c>
      <c r="T433" s="18"/>
      <c r="U433" s="55"/>
      <c r="W433" s="117">
        <v>8</v>
      </c>
      <c r="X433" s="115">
        <f>Inputs!$A$49</f>
        <v>0</v>
      </c>
      <c r="Y433" s="44">
        <f>Inputs!$B$49</f>
        <v>0</v>
      </c>
      <c r="Z433" s="44" t="s">
        <v>57</v>
      </c>
      <c r="AA433" s="44">
        <f t="shared" si="391"/>
        <v>0</v>
      </c>
      <c r="AB433" s="50"/>
      <c r="AC433" s="119">
        <v>8</v>
      </c>
      <c r="AD433" s="115">
        <f>Inputs!$A$49</f>
        <v>0</v>
      </c>
      <c r="AE433" s="44">
        <f>Inputs!$B$49</f>
        <v>0</v>
      </c>
      <c r="AF433" s="44" t="s">
        <v>58</v>
      </c>
      <c r="AG433" s="44">
        <f t="shared" si="392"/>
        <v>0</v>
      </c>
      <c r="AH433" s="50"/>
      <c r="AI433" s="44">
        <v>0</v>
      </c>
      <c r="AJ433" s="44">
        <v>0</v>
      </c>
      <c r="AK433" s="44">
        <f t="shared" si="431"/>
        <v>0</v>
      </c>
      <c r="AL433" s="50"/>
      <c r="AM433" s="44">
        <f t="shared" si="432"/>
        <v>0</v>
      </c>
      <c r="AN433" s="63">
        <f>AI433*Inputs!$F$49*Inputs!$G$49</f>
        <v>0</v>
      </c>
      <c r="AO433" s="44">
        <f>Inputs!$F$49*Inputs!$I$49*AJ433</f>
        <v>0</v>
      </c>
      <c r="AP433" s="55"/>
      <c r="AR433" s="117">
        <v>8</v>
      </c>
      <c r="AS433" s="115">
        <f>Inputs!$A$49</f>
        <v>0</v>
      </c>
      <c r="AT433" s="44">
        <f>Inputs!$B$49</f>
        <v>0</v>
      </c>
      <c r="AU433" s="44" t="s">
        <v>57</v>
      </c>
      <c r="AV433" s="44">
        <f t="shared" si="396"/>
        <v>0</v>
      </c>
      <c r="AW433" s="50"/>
      <c r="AX433" s="119">
        <v>8</v>
      </c>
      <c r="AY433" s="115">
        <f>Inputs!$A$49</f>
        <v>0</v>
      </c>
      <c r="AZ433" s="44">
        <f>Inputs!$B$49</f>
        <v>0</v>
      </c>
      <c r="BA433" s="44" t="s">
        <v>58</v>
      </c>
      <c r="BB433" s="44">
        <f t="shared" si="393"/>
        <v>0</v>
      </c>
      <c r="BC433" s="50"/>
      <c r="BD433" s="44">
        <v>0</v>
      </c>
      <c r="BE433" s="44">
        <v>0</v>
      </c>
      <c r="BF433" s="44">
        <f t="shared" si="433"/>
        <v>0</v>
      </c>
      <c r="BG433" s="50"/>
      <c r="BH433" s="44">
        <f t="shared" si="434"/>
        <v>0</v>
      </c>
      <c r="BI433" s="63">
        <f>BD433*Inputs!$F$49*Inputs!$G$49</f>
        <v>0</v>
      </c>
      <c r="BJ433" s="44">
        <f>Inputs!$F$49*Inputs!$I$49*BE433</f>
        <v>0</v>
      </c>
      <c r="BK433" s="55"/>
      <c r="BM433" s="117">
        <v>8</v>
      </c>
      <c r="BN433" s="115">
        <f>Inputs!$A$49</f>
        <v>0</v>
      </c>
      <c r="BO433" s="44">
        <f>Inputs!$B$49</f>
        <v>0</v>
      </c>
      <c r="BP433" s="44" t="s">
        <v>57</v>
      </c>
      <c r="BQ433" s="44">
        <f t="shared" si="394"/>
        <v>0</v>
      </c>
      <c r="BR433" s="50"/>
      <c r="BS433" s="119">
        <v>8</v>
      </c>
      <c r="BT433" s="115">
        <f>Inputs!$A$49</f>
        <v>0</v>
      </c>
      <c r="BU433" s="44">
        <f>Inputs!$B$49</f>
        <v>0</v>
      </c>
      <c r="BV433" s="44" t="s">
        <v>58</v>
      </c>
      <c r="BW433" s="44">
        <f t="shared" si="395"/>
        <v>0</v>
      </c>
      <c r="BX433" s="50"/>
      <c r="BY433" s="44">
        <v>0</v>
      </c>
      <c r="BZ433" s="44">
        <v>0</v>
      </c>
      <c r="CA433" s="44">
        <f t="shared" si="435"/>
        <v>0</v>
      </c>
      <c r="CB433" s="50"/>
      <c r="CC433" s="44">
        <f t="shared" si="436"/>
        <v>0</v>
      </c>
      <c r="CD433" s="63">
        <f>BY433*Inputs!$F$49*Inputs!$G$49</f>
        <v>0</v>
      </c>
      <c r="CE433" s="44">
        <f>Inputs!$F$49*Inputs!$I$49*BZ433</f>
        <v>0</v>
      </c>
      <c r="CF433" s="55"/>
    </row>
    <row r="434" spans="1:84" x14ac:dyDescent="0.25">
      <c r="A434" s="117">
        <v>9</v>
      </c>
      <c r="B434" s="115">
        <f>Inputs!$A$49</f>
        <v>0</v>
      </c>
      <c r="C434" s="44">
        <f>Inputs!$B$49</f>
        <v>0</v>
      </c>
      <c r="D434" s="44" t="s">
        <v>57</v>
      </c>
      <c r="E434" s="44">
        <v>0</v>
      </c>
      <c r="F434" s="50"/>
      <c r="G434" s="119">
        <v>9</v>
      </c>
      <c r="H434" s="115">
        <f>Inputs!$A$49</f>
        <v>0</v>
      </c>
      <c r="I434" s="44">
        <f>Inputs!$B$49</f>
        <v>0</v>
      </c>
      <c r="J434" s="44" t="s">
        <v>58</v>
      </c>
      <c r="K434" s="44">
        <v>0</v>
      </c>
      <c r="L434" s="50"/>
      <c r="M434" s="44">
        <v>0</v>
      </c>
      <c r="N434" s="44">
        <v>0</v>
      </c>
      <c r="O434" s="44">
        <f t="shared" si="429"/>
        <v>0</v>
      </c>
      <c r="P434" s="50"/>
      <c r="Q434" s="44">
        <f t="shared" si="430"/>
        <v>0</v>
      </c>
      <c r="R434" s="63">
        <f>M434*Inputs!$F$49*Inputs!$G$49</f>
        <v>0</v>
      </c>
      <c r="S434" s="44">
        <f>Inputs!$F$49*Inputs!$I$49*N434</f>
        <v>0</v>
      </c>
      <c r="T434" s="18"/>
      <c r="U434" s="55"/>
      <c r="W434" s="117">
        <v>9</v>
      </c>
      <c r="X434" s="115">
        <f>Inputs!$A$49</f>
        <v>0</v>
      </c>
      <c r="Y434" s="44">
        <f>Inputs!$B$49</f>
        <v>0</v>
      </c>
      <c r="Z434" s="44" t="s">
        <v>57</v>
      </c>
      <c r="AA434" s="44">
        <f t="shared" si="391"/>
        <v>0</v>
      </c>
      <c r="AB434" s="50"/>
      <c r="AC434" s="119">
        <v>9</v>
      </c>
      <c r="AD434" s="115">
        <f>Inputs!$A$49</f>
        <v>0</v>
      </c>
      <c r="AE434" s="44">
        <f>Inputs!$B$49</f>
        <v>0</v>
      </c>
      <c r="AF434" s="44" t="s">
        <v>58</v>
      </c>
      <c r="AG434" s="44">
        <f t="shared" si="392"/>
        <v>0</v>
      </c>
      <c r="AH434" s="50"/>
      <c r="AI434" s="44">
        <v>0</v>
      </c>
      <c r="AJ434" s="44">
        <v>0</v>
      </c>
      <c r="AK434" s="44">
        <f t="shared" si="431"/>
        <v>0</v>
      </c>
      <c r="AL434" s="50"/>
      <c r="AM434" s="44">
        <f t="shared" si="432"/>
        <v>0</v>
      </c>
      <c r="AN434" s="63">
        <f>AI434*Inputs!$F$49*Inputs!$G$49</f>
        <v>0</v>
      </c>
      <c r="AO434" s="44">
        <f>Inputs!$F$49*Inputs!$I$49*AJ434</f>
        <v>0</v>
      </c>
      <c r="AP434" s="55"/>
      <c r="AR434" s="117">
        <v>9</v>
      </c>
      <c r="AS434" s="115">
        <f>Inputs!$A$49</f>
        <v>0</v>
      </c>
      <c r="AT434" s="44">
        <f>Inputs!$B$49</f>
        <v>0</v>
      </c>
      <c r="AU434" s="44" t="s">
        <v>57</v>
      </c>
      <c r="AV434" s="44">
        <f t="shared" si="396"/>
        <v>0</v>
      </c>
      <c r="AW434" s="50"/>
      <c r="AX434" s="119">
        <v>9</v>
      </c>
      <c r="AY434" s="115">
        <f>Inputs!$A$49</f>
        <v>0</v>
      </c>
      <c r="AZ434" s="44">
        <f>Inputs!$B$49</f>
        <v>0</v>
      </c>
      <c r="BA434" s="44" t="s">
        <v>58</v>
      </c>
      <c r="BB434" s="44">
        <f t="shared" si="393"/>
        <v>0</v>
      </c>
      <c r="BC434" s="50"/>
      <c r="BD434" s="44">
        <v>0</v>
      </c>
      <c r="BE434" s="44">
        <v>0</v>
      </c>
      <c r="BF434" s="44">
        <f t="shared" si="433"/>
        <v>0</v>
      </c>
      <c r="BG434" s="50"/>
      <c r="BH434" s="44">
        <f t="shared" si="434"/>
        <v>0</v>
      </c>
      <c r="BI434" s="63">
        <f>BD434*Inputs!$F$49*Inputs!$G$49</f>
        <v>0</v>
      </c>
      <c r="BJ434" s="44">
        <f>Inputs!$F$49*Inputs!$I$49*BE434</f>
        <v>0</v>
      </c>
      <c r="BK434" s="55"/>
      <c r="BM434" s="117">
        <v>9</v>
      </c>
      <c r="BN434" s="115">
        <f>Inputs!$A$49</f>
        <v>0</v>
      </c>
      <c r="BO434" s="44">
        <f>Inputs!$B$49</f>
        <v>0</v>
      </c>
      <c r="BP434" s="44" t="s">
        <v>57</v>
      </c>
      <c r="BQ434" s="44">
        <f t="shared" si="394"/>
        <v>0</v>
      </c>
      <c r="BR434" s="50"/>
      <c r="BS434" s="119">
        <v>9</v>
      </c>
      <c r="BT434" s="115">
        <f>Inputs!$A$49</f>
        <v>0</v>
      </c>
      <c r="BU434" s="44">
        <f>Inputs!$B$49</f>
        <v>0</v>
      </c>
      <c r="BV434" s="44" t="s">
        <v>58</v>
      </c>
      <c r="BW434" s="44">
        <f t="shared" si="395"/>
        <v>0</v>
      </c>
      <c r="BX434" s="50"/>
      <c r="BY434" s="44">
        <v>0</v>
      </c>
      <c r="BZ434" s="44">
        <v>0</v>
      </c>
      <c r="CA434" s="44">
        <f t="shared" si="435"/>
        <v>0</v>
      </c>
      <c r="CB434" s="50"/>
      <c r="CC434" s="44">
        <f t="shared" si="436"/>
        <v>0</v>
      </c>
      <c r="CD434" s="63">
        <f>BY434*Inputs!$F$49*Inputs!$G$49</f>
        <v>0</v>
      </c>
      <c r="CE434" s="44">
        <f>Inputs!$F$49*Inputs!$I$49*BZ434</f>
        <v>0</v>
      </c>
      <c r="CF434" s="55"/>
    </row>
    <row r="435" spans="1:84" x14ac:dyDescent="0.25">
      <c r="A435" s="117">
        <v>10</v>
      </c>
      <c r="B435" s="115">
        <f>Inputs!$A$49</f>
        <v>0</v>
      </c>
      <c r="C435" s="44">
        <f>Inputs!$B$49</f>
        <v>0</v>
      </c>
      <c r="D435" s="44" t="s">
        <v>57</v>
      </c>
      <c r="E435" s="44">
        <v>0</v>
      </c>
      <c r="F435" s="50"/>
      <c r="G435" s="119">
        <v>10</v>
      </c>
      <c r="H435" s="115">
        <f>Inputs!$A$49</f>
        <v>0</v>
      </c>
      <c r="I435" s="44">
        <f>Inputs!$B$49</f>
        <v>0</v>
      </c>
      <c r="J435" s="44" t="s">
        <v>58</v>
      </c>
      <c r="K435" s="44">
        <v>0</v>
      </c>
      <c r="L435" s="50"/>
      <c r="M435" s="44">
        <v>0</v>
      </c>
      <c r="N435" s="44">
        <v>0</v>
      </c>
      <c r="O435" s="44">
        <f t="shared" si="429"/>
        <v>0</v>
      </c>
      <c r="P435" s="50"/>
      <c r="Q435" s="44">
        <f t="shared" si="430"/>
        <v>0</v>
      </c>
      <c r="R435" s="63">
        <f>M435*Inputs!$F$49*Inputs!$G$49</f>
        <v>0</v>
      </c>
      <c r="S435" s="44">
        <f>Inputs!$F$49*Inputs!$I$49*N435</f>
        <v>0</v>
      </c>
      <c r="T435" s="18"/>
      <c r="U435" s="91"/>
      <c r="W435" s="117">
        <v>10</v>
      </c>
      <c r="X435" s="115">
        <f>Inputs!$A$49</f>
        <v>0</v>
      </c>
      <c r="Y435" s="44">
        <f>Inputs!$B$49</f>
        <v>0</v>
      </c>
      <c r="Z435" s="44" t="s">
        <v>57</v>
      </c>
      <c r="AA435" s="44">
        <f t="shared" si="391"/>
        <v>0</v>
      </c>
      <c r="AB435" s="50"/>
      <c r="AC435" s="119">
        <v>10</v>
      </c>
      <c r="AD435" s="115">
        <f>Inputs!$A$49</f>
        <v>0</v>
      </c>
      <c r="AE435" s="44">
        <f>Inputs!$B$49</f>
        <v>0</v>
      </c>
      <c r="AF435" s="44" t="s">
        <v>58</v>
      </c>
      <c r="AG435" s="44">
        <f t="shared" si="392"/>
        <v>0</v>
      </c>
      <c r="AH435" s="50"/>
      <c r="AI435" s="44">
        <v>0</v>
      </c>
      <c r="AJ435" s="44">
        <v>0</v>
      </c>
      <c r="AK435" s="44">
        <f t="shared" si="431"/>
        <v>0</v>
      </c>
      <c r="AL435" s="50"/>
      <c r="AM435" s="44">
        <f t="shared" si="432"/>
        <v>0</v>
      </c>
      <c r="AN435" s="63">
        <f>AI435*Inputs!$F$49*Inputs!$G$49</f>
        <v>0</v>
      </c>
      <c r="AO435" s="44">
        <f>Inputs!$F$49*Inputs!$I$49*AJ435</f>
        <v>0</v>
      </c>
      <c r="AP435" s="91"/>
      <c r="AR435" s="117">
        <v>10</v>
      </c>
      <c r="AS435" s="115">
        <f>Inputs!$A$49</f>
        <v>0</v>
      </c>
      <c r="AT435" s="44">
        <f>Inputs!$B$49</f>
        <v>0</v>
      </c>
      <c r="AU435" s="44" t="s">
        <v>57</v>
      </c>
      <c r="AV435" s="44">
        <f t="shared" si="396"/>
        <v>0</v>
      </c>
      <c r="AW435" s="50"/>
      <c r="AX435" s="119">
        <v>10</v>
      </c>
      <c r="AY435" s="115">
        <f>Inputs!$A$49</f>
        <v>0</v>
      </c>
      <c r="AZ435" s="44">
        <f>Inputs!$B$49</f>
        <v>0</v>
      </c>
      <c r="BA435" s="44" t="s">
        <v>58</v>
      </c>
      <c r="BB435" s="44">
        <f t="shared" si="393"/>
        <v>0</v>
      </c>
      <c r="BC435" s="50"/>
      <c r="BD435" s="44">
        <v>0</v>
      </c>
      <c r="BE435" s="44">
        <v>0</v>
      </c>
      <c r="BF435" s="44">
        <f t="shared" si="433"/>
        <v>0</v>
      </c>
      <c r="BG435" s="50"/>
      <c r="BH435" s="44">
        <f t="shared" si="434"/>
        <v>0</v>
      </c>
      <c r="BI435" s="63">
        <f>BD435*Inputs!$F$49*Inputs!$G$49</f>
        <v>0</v>
      </c>
      <c r="BJ435" s="44">
        <f>Inputs!$F$49*Inputs!$I$49*BE435</f>
        <v>0</v>
      </c>
      <c r="BK435" s="91"/>
      <c r="BM435" s="117">
        <v>10</v>
      </c>
      <c r="BN435" s="115">
        <f>Inputs!$A$49</f>
        <v>0</v>
      </c>
      <c r="BO435" s="44">
        <f>Inputs!$B$49</f>
        <v>0</v>
      </c>
      <c r="BP435" s="44" t="s">
        <v>57</v>
      </c>
      <c r="BQ435" s="44">
        <f t="shared" si="394"/>
        <v>0</v>
      </c>
      <c r="BR435" s="50"/>
      <c r="BS435" s="119">
        <v>10</v>
      </c>
      <c r="BT435" s="115">
        <f>Inputs!$A$49</f>
        <v>0</v>
      </c>
      <c r="BU435" s="44">
        <f>Inputs!$B$49</f>
        <v>0</v>
      </c>
      <c r="BV435" s="44" t="s">
        <v>58</v>
      </c>
      <c r="BW435" s="44">
        <f t="shared" si="395"/>
        <v>0</v>
      </c>
      <c r="BX435" s="50"/>
      <c r="BY435" s="44">
        <v>0</v>
      </c>
      <c r="BZ435" s="44">
        <v>0</v>
      </c>
      <c r="CA435" s="44">
        <f t="shared" si="435"/>
        <v>0</v>
      </c>
      <c r="CB435" s="50"/>
      <c r="CC435" s="44">
        <f t="shared" si="436"/>
        <v>0</v>
      </c>
      <c r="CD435" s="63">
        <f>BY435*Inputs!$F$49*Inputs!$G$49</f>
        <v>0</v>
      </c>
      <c r="CE435" s="44">
        <f>Inputs!$F$49*Inputs!$I$49*BZ435</f>
        <v>0</v>
      </c>
      <c r="CF435" s="91"/>
    </row>
    <row r="436" spans="1:84" x14ac:dyDescent="0.25">
      <c r="A436" s="117">
        <v>11</v>
      </c>
      <c r="B436" s="115">
        <f>Inputs!$A$49</f>
        <v>0</v>
      </c>
      <c r="C436" s="44">
        <f>Inputs!$B$49</f>
        <v>0</v>
      </c>
      <c r="D436" s="44" t="s">
        <v>57</v>
      </c>
      <c r="E436" s="44">
        <v>0</v>
      </c>
      <c r="F436" s="50"/>
      <c r="G436" s="119">
        <v>11</v>
      </c>
      <c r="H436" s="115">
        <f>Inputs!$A$49</f>
        <v>0</v>
      </c>
      <c r="I436" s="44">
        <f>Inputs!$B$49</f>
        <v>0</v>
      </c>
      <c r="J436" s="44" t="s">
        <v>58</v>
      </c>
      <c r="K436" s="44">
        <v>0</v>
      </c>
      <c r="L436" s="50"/>
      <c r="M436" s="44">
        <v>0</v>
      </c>
      <c r="N436" s="44">
        <v>0</v>
      </c>
      <c r="O436" s="44">
        <f t="shared" si="429"/>
        <v>0</v>
      </c>
      <c r="P436" s="50"/>
      <c r="Q436" s="44">
        <f t="shared" si="430"/>
        <v>0</v>
      </c>
      <c r="R436" s="63">
        <f>M436*Inputs!$F$49*Inputs!$H$49</f>
        <v>0</v>
      </c>
      <c r="S436" s="44">
        <f>Inputs!$F$49*Inputs!$I$49*N436</f>
        <v>0</v>
      </c>
      <c r="T436" s="18"/>
      <c r="U436" s="56"/>
      <c r="W436" s="117">
        <v>11</v>
      </c>
      <c r="X436" s="115">
        <f>Inputs!$A$49</f>
        <v>0</v>
      </c>
      <c r="Y436" s="44">
        <f>Inputs!$B$49</f>
        <v>0</v>
      </c>
      <c r="Z436" s="44" t="s">
        <v>57</v>
      </c>
      <c r="AA436" s="44">
        <f t="shared" si="391"/>
        <v>0</v>
      </c>
      <c r="AB436" s="50"/>
      <c r="AC436" s="119">
        <v>11</v>
      </c>
      <c r="AD436" s="115">
        <f>Inputs!$A$49</f>
        <v>0</v>
      </c>
      <c r="AE436" s="44">
        <f>Inputs!$B$49</f>
        <v>0</v>
      </c>
      <c r="AF436" s="44" t="s">
        <v>58</v>
      </c>
      <c r="AG436" s="44">
        <f t="shared" si="392"/>
        <v>0</v>
      </c>
      <c r="AH436" s="50"/>
      <c r="AI436" s="44">
        <v>0</v>
      </c>
      <c r="AJ436" s="44">
        <v>0</v>
      </c>
      <c r="AK436" s="44">
        <f t="shared" si="431"/>
        <v>0</v>
      </c>
      <c r="AL436" s="50"/>
      <c r="AM436" s="44">
        <f t="shared" si="432"/>
        <v>0</v>
      </c>
      <c r="AN436" s="63">
        <f>AI436*Inputs!$F$49*Inputs!$H$49</f>
        <v>0</v>
      </c>
      <c r="AO436" s="44">
        <f>Inputs!$F$49*Inputs!$I$49*AJ436</f>
        <v>0</v>
      </c>
      <c r="AP436" s="56"/>
      <c r="AR436" s="117">
        <v>11</v>
      </c>
      <c r="AS436" s="115">
        <f>Inputs!$A$49</f>
        <v>0</v>
      </c>
      <c r="AT436" s="44">
        <f>Inputs!$B$49</f>
        <v>0</v>
      </c>
      <c r="AU436" s="44" t="s">
        <v>57</v>
      </c>
      <c r="AV436" s="44">
        <f t="shared" si="396"/>
        <v>0</v>
      </c>
      <c r="AW436" s="50"/>
      <c r="AX436" s="119">
        <v>11</v>
      </c>
      <c r="AY436" s="115">
        <f>Inputs!$A$49</f>
        <v>0</v>
      </c>
      <c r="AZ436" s="44">
        <f>Inputs!$B$49</f>
        <v>0</v>
      </c>
      <c r="BA436" s="44" t="s">
        <v>58</v>
      </c>
      <c r="BB436" s="44">
        <f t="shared" si="393"/>
        <v>0</v>
      </c>
      <c r="BC436" s="50"/>
      <c r="BD436" s="44">
        <v>0</v>
      </c>
      <c r="BE436" s="44">
        <v>0</v>
      </c>
      <c r="BF436" s="44">
        <f t="shared" si="433"/>
        <v>0</v>
      </c>
      <c r="BG436" s="50"/>
      <c r="BH436" s="44">
        <f t="shared" si="434"/>
        <v>0</v>
      </c>
      <c r="BI436" s="63">
        <f>BD436*Inputs!$F$49*Inputs!$H$49</f>
        <v>0</v>
      </c>
      <c r="BJ436" s="44">
        <f>Inputs!$F$49*Inputs!$I$49*BE436</f>
        <v>0</v>
      </c>
      <c r="BK436" s="56"/>
      <c r="BM436" s="117">
        <v>11</v>
      </c>
      <c r="BN436" s="115">
        <f>Inputs!$A$49</f>
        <v>0</v>
      </c>
      <c r="BO436" s="44">
        <f>Inputs!$B$49</f>
        <v>0</v>
      </c>
      <c r="BP436" s="44" t="s">
        <v>57</v>
      </c>
      <c r="BQ436" s="44">
        <f t="shared" si="394"/>
        <v>0</v>
      </c>
      <c r="BR436" s="50"/>
      <c r="BS436" s="119">
        <v>11</v>
      </c>
      <c r="BT436" s="115">
        <f>Inputs!$A$49</f>
        <v>0</v>
      </c>
      <c r="BU436" s="44">
        <f>Inputs!$B$49</f>
        <v>0</v>
      </c>
      <c r="BV436" s="44" t="s">
        <v>58</v>
      </c>
      <c r="BW436" s="44">
        <f t="shared" si="395"/>
        <v>0</v>
      </c>
      <c r="BX436" s="50"/>
      <c r="BY436" s="44">
        <v>0</v>
      </c>
      <c r="BZ436" s="44">
        <v>0</v>
      </c>
      <c r="CA436" s="44">
        <f t="shared" si="435"/>
        <v>0</v>
      </c>
      <c r="CB436" s="50"/>
      <c r="CC436" s="44">
        <f t="shared" si="436"/>
        <v>0</v>
      </c>
      <c r="CD436" s="63">
        <f>BY436*Inputs!$F$49*Inputs!$H$49</f>
        <v>0</v>
      </c>
      <c r="CE436" s="44">
        <f>Inputs!$F$49*Inputs!$I$49*BZ436</f>
        <v>0</v>
      </c>
      <c r="CF436" s="56"/>
    </row>
    <row r="437" spans="1:84" x14ac:dyDescent="0.25">
      <c r="A437" s="116">
        <v>3</v>
      </c>
      <c r="B437" s="114">
        <f>Inputs!$A$50</f>
        <v>0</v>
      </c>
      <c r="C437" s="45">
        <f>Inputs!$B$50</f>
        <v>0</v>
      </c>
      <c r="D437" s="45" t="s">
        <v>57</v>
      </c>
      <c r="E437" s="45">
        <v>0</v>
      </c>
      <c r="F437" s="50"/>
      <c r="G437" s="118">
        <v>3</v>
      </c>
      <c r="H437" s="114">
        <f>Inputs!$A$50</f>
        <v>0</v>
      </c>
      <c r="I437" s="45">
        <f>Inputs!$B$50</f>
        <v>0</v>
      </c>
      <c r="J437" s="45" t="s">
        <v>58</v>
      </c>
      <c r="K437" s="45">
        <v>0</v>
      </c>
      <c r="L437" s="50"/>
      <c r="M437" s="45">
        <v>0</v>
      </c>
      <c r="N437" s="45">
        <v>0</v>
      </c>
      <c r="O437" s="45">
        <f>U437-0-E437-K437</f>
        <v>0</v>
      </c>
      <c r="P437" s="50"/>
      <c r="Q437" s="45">
        <f>E437+K437+N437-U437+0-M437</f>
        <v>0</v>
      </c>
      <c r="R437" s="64">
        <f>M437*Inputs!$F$50*Inputs!$G$50</f>
        <v>0</v>
      </c>
      <c r="S437" s="45">
        <f>Inputs!$F$50*Inputs!$I$50*N437</f>
        <v>0</v>
      </c>
      <c r="T437" s="18"/>
      <c r="U437" s="54"/>
      <c r="W437" s="116">
        <v>3</v>
      </c>
      <c r="X437" s="114">
        <f>Inputs!$A$50</f>
        <v>0</v>
      </c>
      <c r="Y437" s="45">
        <f>Inputs!$B$50</f>
        <v>0</v>
      </c>
      <c r="Z437" s="45" t="s">
        <v>57</v>
      </c>
      <c r="AA437" s="45">
        <f t="shared" si="391"/>
        <v>0</v>
      </c>
      <c r="AB437" s="50"/>
      <c r="AC437" s="118">
        <v>3</v>
      </c>
      <c r="AD437" s="114">
        <f>Inputs!$A$50</f>
        <v>0</v>
      </c>
      <c r="AE437" s="45">
        <f>Inputs!$B$50</f>
        <v>0</v>
      </c>
      <c r="AF437" s="45" t="s">
        <v>58</v>
      </c>
      <c r="AG437" s="45">
        <f t="shared" si="392"/>
        <v>0</v>
      </c>
      <c r="AH437" s="50"/>
      <c r="AI437" s="45">
        <v>0</v>
      </c>
      <c r="AJ437" s="45">
        <v>0</v>
      </c>
      <c r="AK437" s="45">
        <f>AP437-0-AA437-AG437</f>
        <v>0</v>
      </c>
      <c r="AL437" s="50"/>
      <c r="AM437" s="45">
        <f>AA437+AG437+AJ437-AP437+0-AI437</f>
        <v>0</v>
      </c>
      <c r="AN437" s="64">
        <f>AI437*Inputs!$F$50*Inputs!$G$50</f>
        <v>0</v>
      </c>
      <c r="AO437" s="45">
        <f>Inputs!$F$50*Inputs!$I$50*AJ437</f>
        <v>0</v>
      </c>
      <c r="AP437" s="54"/>
      <c r="AR437" s="116">
        <v>3</v>
      </c>
      <c r="AS437" s="114">
        <f>Inputs!$A$50</f>
        <v>0</v>
      </c>
      <c r="AT437" s="45">
        <f>Inputs!$B$50</f>
        <v>0</v>
      </c>
      <c r="AU437" s="45" t="s">
        <v>57</v>
      </c>
      <c r="AV437" s="45">
        <f t="shared" si="396"/>
        <v>0</v>
      </c>
      <c r="AW437" s="50"/>
      <c r="AX437" s="118">
        <v>3</v>
      </c>
      <c r="AY437" s="114">
        <f>Inputs!$A$50</f>
        <v>0</v>
      </c>
      <c r="AZ437" s="45">
        <f>Inputs!$B$50</f>
        <v>0</v>
      </c>
      <c r="BA437" s="45" t="s">
        <v>58</v>
      </c>
      <c r="BB437" s="45">
        <f t="shared" si="393"/>
        <v>0</v>
      </c>
      <c r="BC437" s="50"/>
      <c r="BD437" s="45">
        <v>0</v>
      </c>
      <c r="BE437" s="45">
        <v>0</v>
      </c>
      <c r="BF437" s="45">
        <f>BK437-0-AV437-BB437</f>
        <v>0</v>
      </c>
      <c r="BG437" s="50"/>
      <c r="BH437" s="45">
        <f>AV437+BB437+BE437-BK437+0-BD437</f>
        <v>0</v>
      </c>
      <c r="BI437" s="64">
        <f>BD437*Inputs!$F$50*Inputs!$G$50</f>
        <v>0</v>
      </c>
      <c r="BJ437" s="45">
        <f>Inputs!$F$50*Inputs!$I$50*BE437</f>
        <v>0</v>
      </c>
      <c r="BK437" s="54"/>
      <c r="BM437" s="116">
        <v>3</v>
      </c>
      <c r="BN437" s="114">
        <f>Inputs!$A$50</f>
        <v>0</v>
      </c>
      <c r="BO437" s="45">
        <f>Inputs!$B$50</f>
        <v>0</v>
      </c>
      <c r="BP437" s="45" t="s">
        <v>57</v>
      </c>
      <c r="BQ437" s="45">
        <f t="shared" si="394"/>
        <v>0</v>
      </c>
      <c r="BR437" s="50"/>
      <c r="BS437" s="118">
        <v>3</v>
      </c>
      <c r="BT437" s="114">
        <f>Inputs!$A$50</f>
        <v>0</v>
      </c>
      <c r="BU437" s="45">
        <f>Inputs!$B$50</f>
        <v>0</v>
      </c>
      <c r="BV437" s="45" t="s">
        <v>58</v>
      </c>
      <c r="BW437" s="45">
        <f t="shared" si="395"/>
        <v>0</v>
      </c>
      <c r="BX437" s="50"/>
      <c r="BY437" s="45">
        <v>0</v>
      </c>
      <c r="BZ437" s="45">
        <v>0</v>
      </c>
      <c r="CA437" s="45">
        <f>CF437-0-BQ437-BW437</f>
        <v>0</v>
      </c>
      <c r="CB437" s="50"/>
      <c r="CC437" s="45">
        <f>BQ437+BW437+BZ437-CF437+0-BY437</f>
        <v>0</v>
      </c>
      <c r="CD437" s="64">
        <f>BY437*Inputs!$F$50*Inputs!$G$50</f>
        <v>0</v>
      </c>
      <c r="CE437" s="45">
        <f>Inputs!$F$50*Inputs!$I$50*BZ437</f>
        <v>0</v>
      </c>
      <c r="CF437" s="54"/>
    </row>
    <row r="438" spans="1:84" x14ac:dyDescent="0.25">
      <c r="A438" s="116">
        <v>4</v>
      </c>
      <c r="B438" s="114">
        <f>Inputs!$A$50</f>
        <v>0</v>
      </c>
      <c r="C438" s="45">
        <f>Inputs!$B$50</f>
        <v>0</v>
      </c>
      <c r="D438" s="45" t="s">
        <v>57</v>
      </c>
      <c r="E438" s="45">
        <v>0</v>
      </c>
      <c r="F438" s="50"/>
      <c r="G438" s="118">
        <v>4</v>
      </c>
      <c r="H438" s="114">
        <f>Inputs!$A$50</f>
        <v>0</v>
      </c>
      <c r="I438" s="45">
        <f>Inputs!$B$50</f>
        <v>0</v>
      </c>
      <c r="J438" s="45" t="s">
        <v>58</v>
      </c>
      <c r="K438" s="45">
        <v>0</v>
      </c>
      <c r="L438" s="50"/>
      <c r="M438" s="45">
        <v>0</v>
      </c>
      <c r="N438" s="45">
        <v>0</v>
      </c>
      <c r="O438" s="45">
        <f t="shared" ref="O438:O445" si="437">U438-M437-E438-K438</f>
        <v>0</v>
      </c>
      <c r="P438" s="50"/>
      <c r="Q438" s="45">
        <f t="shared" ref="Q438:Q445" si="438">E438+K438+N438-U438+M437-M438</f>
        <v>0</v>
      </c>
      <c r="R438" s="64">
        <f>M438*Inputs!$F$50*Inputs!$G$50</f>
        <v>0</v>
      </c>
      <c r="S438" s="45">
        <f>Inputs!$F$50*Inputs!$I$50*N438</f>
        <v>0</v>
      </c>
      <c r="T438" s="18"/>
      <c r="U438" s="55"/>
      <c r="W438" s="116">
        <v>4</v>
      </c>
      <c r="X438" s="114">
        <f>Inputs!$A$50</f>
        <v>0</v>
      </c>
      <c r="Y438" s="45">
        <f>Inputs!$B$50</f>
        <v>0</v>
      </c>
      <c r="Z438" s="45" t="s">
        <v>57</v>
      </c>
      <c r="AA438" s="45">
        <f t="shared" si="391"/>
        <v>0</v>
      </c>
      <c r="AB438" s="50"/>
      <c r="AC438" s="118">
        <v>4</v>
      </c>
      <c r="AD438" s="114">
        <f>Inputs!$A$50</f>
        <v>0</v>
      </c>
      <c r="AE438" s="45">
        <f>Inputs!$B$50</f>
        <v>0</v>
      </c>
      <c r="AF438" s="45" t="s">
        <v>58</v>
      </c>
      <c r="AG438" s="45">
        <f t="shared" si="392"/>
        <v>0</v>
      </c>
      <c r="AH438" s="50"/>
      <c r="AI438" s="45">
        <v>0</v>
      </c>
      <c r="AJ438" s="45">
        <v>0</v>
      </c>
      <c r="AK438" s="45">
        <f t="shared" ref="AK438:AK445" si="439">AP438-AI437-AA438-AG438</f>
        <v>0</v>
      </c>
      <c r="AL438" s="50"/>
      <c r="AM438" s="45">
        <f t="shared" ref="AM438:AM445" si="440">AA438+AG438+AJ438-AP438+AI437-AI438</f>
        <v>0</v>
      </c>
      <c r="AN438" s="64">
        <f>AI438*Inputs!$F$50*Inputs!$G$50</f>
        <v>0</v>
      </c>
      <c r="AO438" s="45">
        <f>Inputs!$F$50*Inputs!$I$50*AJ438</f>
        <v>0</v>
      </c>
      <c r="AP438" s="55"/>
      <c r="AR438" s="116">
        <v>4</v>
      </c>
      <c r="AS438" s="114">
        <f>Inputs!$A$50</f>
        <v>0</v>
      </c>
      <c r="AT438" s="45">
        <f>Inputs!$B$50</f>
        <v>0</v>
      </c>
      <c r="AU438" s="45" t="s">
        <v>57</v>
      </c>
      <c r="AV438" s="45">
        <f t="shared" si="396"/>
        <v>0</v>
      </c>
      <c r="AW438" s="50"/>
      <c r="AX438" s="118">
        <v>4</v>
      </c>
      <c r="AY438" s="114">
        <f>Inputs!$A$50</f>
        <v>0</v>
      </c>
      <c r="AZ438" s="45">
        <f>Inputs!$B$50</f>
        <v>0</v>
      </c>
      <c r="BA438" s="45" t="s">
        <v>58</v>
      </c>
      <c r="BB438" s="45">
        <f t="shared" si="393"/>
        <v>0</v>
      </c>
      <c r="BC438" s="50"/>
      <c r="BD438" s="45">
        <v>0</v>
      </c>
      <c r="BE438" s="45">
        <v>0</v>
      </c>
      <c r="BF438" s="45">
        <f t="shared" ref="BF438:BF445" si="441">BK438-BD437-AV438-BB438</f>
        <v>0</v>
      </c>
      <c r="BG438" s="50"/>
      <c r="BH438" s="45">
        <f t="shared" ref="BH438:BH445" si="442">AV438+BB438+BE438-BK438+BD437-BD438</f>
        <v>0</v>
      </c>
      <c r="BI438" s="64">
        <f>BD438*Inputs!$F$50*Inputs!$G$50</f>
        <v>0</v>
      </c>
      <c r="BJ438" s="45">
        <f>Inputs!$F$50*Inputs!$I$50*BE438</f>
        <v>0</v>
      </c>
      <c r="BK438" s="55"/>
      <c r="BM438" s="116">
        <v>4</v>
      </c>
      <c r="BN438" s="114">
        <f>Inputs!$A$50</f>
        <v>0</v>
      </c>
      <c r="BO438" s="45">
        <f>Inputs!$B$50</f>
        <v>0</v>
      </c>
      <c r="BP438" s="45" t="s">
        <v>57</v>
      </c>
      <c r="BQ438" s="45">
        <f t="shared" si="394"/>
        <v>0</v>
      </c>
      <c r="BR438" s="50"/>
      <c r="BS438" s="118">
        <v>4</v>
      </c>
      <c r="BT438" s="114">
        <f>Inputs!$A$50</f>
        <v>0</v>
      </c>
      <c r="BU438" s="45">
        <f>Inputs!$B$50</f>
        <v>0</v>
      </c>
      <c r="BV438" s="45" t="s">
        <v>58</v>
      </c>
      <c r="BW438" s="45">
        <f t="shared" si="395"/>
        <v>0</v>
      </c>
      <c r="BX438" s="50"/>
      <c r="BY438" s="45">
        <v>0</v>
      </c>
      <c r="BZ438" s="45">
        <v>0</v>
      </c>
      <c r="CA438" s="45">
        <f t="shared" ref="CA438:CA445" si="443">CF438-BY437-BQ438-BW438</f>
        <v>0</v>
      </c>
      <c r="CB438" s="50"/>
      <c r="CC438" s="45">
        <f t="shared" ref="CC438:CC445" si="444">BQ438+BW438+BZ438-CF438+BY437-BY438</f>
        <v>0</v>
      </c>
      <c r="CD438" s="64">
        <f>BY438*Inputs!$F$50*Inputs!$G$50</f>
        <v>0</v>
      </c>
      <c r="CE438" s="45">
        <f>Inputs!$F$50*Inputs!$I$50*BZ438</f>
        <v>0</v>
      </c>
      <c r="CF438" s="55"/>
    </row>
    <row r="439" spans="1:84" x14ac:dyDescent="0.25">
      <c r="A439" s="116">
        <v>5</v>
      </c>
      <c r="B439" s="114">
        <f>Inputs!$A$50</f>
        <v>0</v>
      </c>
      <c r="C439" s="45">
        <f>Inputs!$B$50</f>
        <v>0</v>
      </c>
      <c r="D439" s="45" t="s">
        <v>57</v>
      </c>
      <c r="E439" s="45">
        <v>0</v>
      </c>
      <c r="F439" s="50"/>
      <c r="G439" s="118">
        <v>5</v>
      </c>
      <c r="H439" s="114">
        <f>Inputs!$A$50</f>
        <v>0</v>
      </c>
      <c r="I439" s="45">
        <f>Inputs!$B$50</f>
        <v>0</v>
      </c>
      <c r="J439" s="45" t="s">
        <v>58</v>
      </c>
      <c r="K439" s="45">
        <v>0</v>
      </c>
      <c r="L439" s="50"/>
      <c r="M439" s="45">
        <v>0</v>
      </c>
      <c r="N439" s="45">
        <v>0</v>
      </c>
      <c r="O439" s="45">
        <f t="shared" si="437"/>
        <v>0</v>
      </c>
      <c r="P439" s="50"/>
      <c r="Q439" s="45">
        <f t="shared" si="438"/>
        <v>0</v>
      </c>
      <c r="R439" s="64">
        <f>M439*Inputs!$F$50*Inputs!$G$50</f>
        <v>0</v>
      </c>
      <c r="S439" s="45">
        <f>Inputs!$F$50*Inputs!$I$50*N439</f>
        <v>0</v>
      </c>
      <c r="T439" s="18"/>
      <c r="U439" s="55"/>
      <c r="W439" s="116">
        <v>5</v>
      </c>
      <c r="X439" s="114">
        <f>Inputs!$A$50</f>
        <v>0</v>
      </c>
      <c r="Y439" s="45">
        <f>Inputs!$B$50</f>
        <v>0</v>
      </c>
      <c r="Z439" s="45" t="s">
        <v>57</v>
      </c>
      <c r="AA439" s="45">
        <f t="shared" si="391"/>
        <v>0</v>
      </c>
      <c r="AB439" s="50"/>
      <c r="AC439" s="118">
        <v>5</v>
      </c>
      <c r="AD439" s="114">
        <f>Inputs!$A$50</f>
        <v>0</v>
      </c>
      <c r="AE439" s="45">
        <f>Inputs!$B$50</f>
        <v>0</v>
      </c>
      <c r="AF439" s="45" t="s">
        <v>58</v>
      </c>
      <c r="AG439" s="45">
        <f t="shared" si="392"/>
        <v>0</v>
      </c>
      <c r="AH439" s="50"/>
      <c r="AI439" s="45">
        <v>0</v>
      </c>
      <c r="AJ439" s="45">
        <v>0</v>
      </c>
      <c r="AK439" s="45">
        <f t="shared" si="439"/>
        <v>0</v>
      </c>
      <c r="AL439" s="50"/>
      <c r="AM439" s="45">
        <f t="shared" si="440"/>
        <v>0</v>
      </c>
      <c r="AN439" s="64">
        <f>AI439*Inputs!$F$50*Inputs!$G$50</f>
        <v>0</v>
      </c>
      <c r="AO439" s="45">
        <f>Inputs!$F$50*Inputs!$I$50*AJ439</f>
        <v>0</v>
      </c>
      <c r="AP439" s="55"/>
      <c r="AR439" s="116">
        <v>5</v>
      </c>
      <c r="AS439" s="114">
        <f>Inputs!$A$50</f>
        <v>0</v>
      </c>
      <c r="AT439" s="45">
        <f>Inputs!$B$50</f>
        <v>0</v>
      </c>
      <c r="AU439" s="45" t="s">
        <v>57</v>
      </c>
      <c r="AV439" s="45">
        <f t="shared" si="396"/>
        <v>0</v>
      </c>
      <c r="AW439" s="50"/>
      <c r="AX439" s="118">
        <v>5</v>
      </c>
      <c r="AY439" s="114">
        <f>Inputs!$A$50</f>
        <v>0</v>
      </c>
      <c r="AZ439" s="45">
        <f>Inputs!$B$50</f>
        <v>0</v>
      </c>
      <c r="BA439" s="45" t="s">
        <v>58</v>
      </c>
      <c r="BB439" s="45">
        <f t="shared" si="393"/>
        <v>0</v>
      </c>
      <c r="BC439" s="50"/>
      <c r="BD439" s="45">
        <v>0</v>
      </c>
      <c r="BE439" s="45">
        <v>0</v>
      </c>
      <c r="BF439" s="45">
        <f t="shared" si="441"/>
        <v>0</v>
      </c>
      <c r="BG439" s="50"/>
      <c r="BH439" s="45">
        <f t="shared" si="442"/>
        <v>0</v>
      </c>
      <c r="BI439" s="64">
        <f>BD439*Inputs!$F$50*Inputs!$G$50</f>
        <v>0</v>
      </c>
      <c r="BJ439" s="45">
        <f>Inputs!$F$50*Inputs!$I$50*BE439</f>
        <v>0</v>
      </c>
      <c r="BK439" s="55"/>
      <c r="BM439" s="116">
        <v>5</v>
      </c>
      <c r="BN439" s="114">
        <f>Inputs!$A$50</f>
        <v>0</v>
      </c>
      <c r="BO439" s="45">
        <f>Inputs!$B$50</f>
        <v>0</v>
      </c>
      <c r="BP439" s="45" t="s">
        <v>57</v>
      </c>
      <c r="BQ439" s="45">
        <f t="shared" si="394"/>
        <v>0</v>
      </c>
      <c r="BR439" s="50"/>
      <c r="BS439" s="118">
        <v>5</v>
      </c>
      <c r="BT439" s="114">
        <f>Inputs!$A$50</f>
        <v>0</v>
      </c>
      <c r="BU439" s="45">
        <f>Inputs!$B$50</f>
        <v>0</v>
      </c>
      <c r="BV439" s="45" t="s">
        <v>58</v>
      </c>
      <c r="BW439" s="45">
        <f t="shared" si="395"/>
        <v>0</v>
      </c>
      <c r="BX439" s="50"/>
      <c r="BY439" s="45">
        <v>0</v>
      </c>
      <c r="BZ439" s="45">
        <v>0</v>
      </c>
      <c r="CA439" s="45">
        <f t="shared" si="443"/>
        <v>0</v>
      </c>
      <c r="CB439" s="50"/>
      <c r="CC439" s="45">
        <f t="shared" si="444"/>
        <v>0</v>
      </c>
      <c r="CD439" s="64">
        <f>BY439*Inputs!$F$50*Inputs!$G$50</f>
        <v>0</v>
      </c>
      <c r="CE439" s="45">
        <f>Inputs!$F$50*Inputs!$I$50*BZ439</f>
        <v>0</v>
      </c>
      <c r="CF439" s="55"/>
    </row>
    <row r="440" spans="1:84" x14ac:dyDescent="0.25">
      <c r="A440" s="116">
        <v>6</v>
      </c>
      <c r="B440" s="114">
        <f>Inputs!$A$50</f>
        <v>0</v>
      </c>
      <c r="C440" s="45">
        <f>Inputs!$B$50</f>
        <v>0</v>
      </c>
      <c r="D440" s="45" t="s">
        <v>57</v>
      </c>
      <c r="E440" s="45">
        <v>0</v>
      </c>
      <c r="F440" s="50"/>
      <c r="G440" s="118">
        <v>6</v>
      </c>
      <c r="H440" s="114">
        <f>Inputs!$A$50</f>
        <v>0</v>
      </c>
      <c r="I440" s="45">
        <f>Inputs!$B$50</f>
        <v>0</v>
      </c>
      <c r="J440" s="45" t="s">
        <v>58</v>
      </c>
      <c r="K440" s="45">
        <v>0</v>
      </c>
      <c r="L440" s="50"/>
      <c r="M440" s="45">
        <v>0</v>
      </c>
      <c r="N440" s="45">
        <v>0</v>
      </c>
      <c r="O440" s="45">
        <f t="shared" si="437"/>
        <v>0</v>
      </c>
      <c r="P440" s="50"/>
      <c r="Q440" s="45">
        <f t="shared" si="438"/>
        <v>0</v>
      </c>
      <c r="R440" s="64">
        <f>M440*Inputs!$F$50*Inputs!$G$50</f>
        <v>0</v>
      </c>
      <c r="S440" s="45">
        <f>Inputs!$F$50*Inputs!$I$50*N440</f>
        <v>0</v>
      </c>
      <c r="T440" s="18"/>
      <c r="U440" s="55"/>
      <c r="W440" s="116">
        <v>6</v>
      </c>
      <c r="X440" s="114">
        <f>Inputs!$A$50</f>
        <v>0</v>
      </c>
      <c r="Y440" s="45">
        <f>Inputs!$B$50</f>
        <v>0</v>
      </c>
      <c r="Z440" s="45" t="s">
        <v>57</v>
      </c>
      <c r="AA440" s="45">
        <f t="shared" si="391"/>
        <v>0</v>
      </c>
      <c r="AB440" s="50"/>
      <c r="AC440" s="118">
        <v>6</v>
      </c>
      <c r="AD440" s="114">
        <f>Inputs!$A$50</f>
        <v>0</v>
      </c>
      <c r="AE440" s="45">
        <f>Inputs!$B$50</f>
        <v>0</v>
      </c>
      <c r="AF440" s="45" t="s">
        <v>58</v>
      </c>
      <c r="AG440" s="45">
        <f t="shared" si="392"/>
        <v>0</v>
      </c>
      <c r="AH440" s="50"/>
      <c r="AI440" s="45">
        <v>0</v>
      </c>
      <c r="AJ440" s="45">
        <v>0</v>
      </c>
      <c r="AK440" s="45">
        <f t="shared" si="439"/>
        <v>0</v>
      </c>
      <c r="AL440" s="50"/>
      <c r="AM440" s="45">
        <f t="shared" si="440"/>
        <v>0</v>
      </c>
      <c r="AN440" s="64">
        <f>AI440*Inputs!$F$50*Inputs!$G$50</f>
        <v>0</v>
      </c>
      <c r="AO440" s="45">
        <f>Inputs!$F$50*Inputs!$I$50*AJ440</f>
        <v>0</v>
      </c>
      <c r="AP440" s="55"/>
      <c r="AR440" s="116">
        <v>6</v>
      </c>
      <c r="AS440" s="114">
        <f>Inputs!$A$50</f>
        <v>0</v>
      </c>
      <c r="AT440" s="45">
        <f>Inputs!$B$50</f>
        <v>0</v>
      </c>
      <c r="AU440" s="45" t="s">
        <v>57</v>
      </c>
      <c r="AV440" s="45">
        <f t="shared" si="396"/>
        <v>0</v>
      </c>
      <c r="AW440" s="50"/>
      <c r="AX440" s="118">
        <v>6</v>
      </c>
      <c r="AY440" s="114">
        <f>Inputs!$A$50</f>
        <v>0</v>
      </c>
      <c r="AZ440" s="45">
        <f>Inputs!$B$50</f>
        <v>0</v>
      </c>
      <c r="BA440" s="45" t="s">
        <v>58</v>
      </c>
      <c r="BB440" s="45">
        <f t="shared" si="393"/>
        <v>0</v>
      </c>
      <c r="BC440" s="50"/>
      <c r="BD440" s="45">
        <v>0</v>
      </c>
      <c r="BE440" s="45">
        <v>0</v>
      </c>
      <c r="BF440" s="45">
        <f t="shared" si="441"/>
        <v>0</v>
      </c>
      <c r="BG440" s="50"/>
      <c r="BH440" s="45">
        <f t="shared" si="442"/>
        <v>0</v>
      </c>
      <c r="BI440" s="64">
        <f>BD440*Inputs!$F$50*Inputs!$G$50</f>
        <v>0</v>
      </c>
      <c r="BJ440" s="45">
        <f>Inputs!$F$50*Inputs!$I$50*BE440</f>
        <v>0</v>
      </c>
      <c r="BK440" s="55"/>
      <c r="BM440" s="116">
        <v>6</v>
      </c>
      <c r="BN440" s="114">
        <f>Inputs!$A$50</f>
        <v>0</v>
      </c>
      <c r="BO440" s="45">
        <f>Inputs!$B$50</f>
        <v>0</v>
      </c>
      <c r="BP440" s="45" t="s">
        <v>57</v>
      </c>
      <c r="BQ440" s="45">
        <f t="shared" si="394"/>
        <v>0</v>
      </c>
      <c r="BR440" s="50"/>
      <c r="BS440" s="118">
        <v>6</v>
      </c>
      <c r="BT440" s="114">
        <f>Inputs!$A$50</f>
        <v>0</v>
      </c>
      <c r="BU440" s="45">
        <f>Inputs!$B$50</f>
        <v>0</v>
      </c>
      <c r="BV440" s="45" t="s">
        <v>58</v>
      </c>
      <c r="BW440" s="45">
        <f t="shared" si="395"/>
        <v>0</v>
      </c>
      <c r="BX440" s="50"/>
      <c r="BY440" s="45">
        <v>0</v>
      </c>
      <c r="BZ440" s="45">
        <v>0</v>
      </c>
      <c r="CA440" s="45">
        <f t="shared" si="443"/>
        <v>0</v>
      </c>
      <c r="CB440" s="50"/>
      <c r="CC440" s="45">
        <f t="shared" si="444"/>
        <v>0</v>
      </c>
      <c r="CD440" s="64">
        <f>BY440*Inputs!$F$50*Inputs!$G$50</f>
        <v>0</v>
      </c>
      <c r="CE440" s="45">
        <f>Inputs!$F$50*Inputs!$I$50*BZ440</f>
        <v>0</v>
      </c>
      <c r="CF440" s="55"/>
    </row>
    <row r="441" spans="1:84" x14ac:dyDescent="0.25">
      <c r="A441" s="116">
        <v>7</v>
      </c>
      <c r="B441" s="114">
        <f>Inputs!$A$50</f>
        <v>0</v>
      </c>
      <c r="C441" s="45">
        <f>Inputs!$B$50</f>
        <v>0</v>
      </c>
      <c r="D441" s="45" t="s">
        <v>57</v>
      </c>
      <c r="E441" s="45">
        <v>0</v>
      </c>
      <c r="F441" s="50"/>
      <c r="G441" s="118">
        <v>7</v>
      </c>
      <c r="H441" s="114">
        <f>Inputs!$A$50</f>
        <v>0</v>
      </c>
      <c r="I441" s="45">
        <f>Inputs!$B$50</f>
        <v>0</v>
      </c>
      <c r="J441" s="45" t="s">
        <v>58</v>
      </c>
      <c r="K441" s="45">
        <v>0</v>
      </c>
      <c r="L441" s="50"/>
      <c r="M441" s="45">
        <v>0</v>
      </c>
      <c r="N441" s="45">
        <v>0</v>
      </c>
      <c r="O441" s="45">
        <f t="shared" si="437"/>
        <v>0</v>
      </c>
      <c r="P441" s="50"/>
      <c r="Q441" s="45">
        <f t="shared" si="438"/>
        <v>0</v>
      </c>
      <c r="R441" s="64">
        <f>M441*Inputs!$F$50*Inputs!$G$50</f>
        <v>0</v>
      </c>
      <c r="S441" s="45">
        <f>Inputs!$F$50*Inputs!$I$50*N441</f>
        <v>0</v>
      </c>
      <c r="T441" s="18"/>
      <c r="U441" s="55"/>
      <c r="W441" s="116">
        <v>7</v>
      </c>
      <c r="X441" s="114">
        <f>Inputs!$A$50</f>
        <v>0</v>
      </c>
      <c r="Y441" s="45">
        <f>Inputs!$B$50</f>
        <v>0</v>
      </c>
      <c r="Z441" s="45" t="s">
        <v>57</v>
      </c>
      <c r="AA441" s="45">
        <f t="shared" si="391"/>
        <v>0</v>
      </c>
      <c r="AB441" s="50"/>
      <c r="AC441" s="118">
        <v>7</v>
      </c>
      <c r="AD441" s="114">
        <f>Inputs!$A$50</f>
        <v>0</v>
      </c>
      <c r="AE441" s="45">
        <f>Inputs!$B$50</f>
        <v>0</v>
      </c>
      <c r="AF441" s="45" t="s">
        <v>58</v>
      </c>
      <c r="AG441" s="45">
        <f t="shared" si="392"/>
        <v>0</v>
      </c>
      <c r="AH441" s="50"/>
      <c r="AI441" s="45">
        <v>0</v>
      </c>
      <c r="AJ441" s="45">
        <v>0</v>
      </c>
      <c r="AK441" s="45">
        <f t="shared" si="439"/>
        <v>0</v>
      </c>
      <c r="AL441" s="50"/>
      <c r="AM441" s="45">
        <f t="shared" si="440"/>
        <v>0</v>
      </c>
      <c r="AN441" s="64">
        <f>AI441*Inputs!$F$50*Inputs!$G$50</f>
        <v>0</v>
      </c>
      <c r="AO441" s="45">
        <f>Inputs!$F$50*Inputs!$I$50*AJ441</f>
        <v>0</v>
      </c>
      <c r="AP441" s="55"/>
      <c r="AR441" s="116">
        <v>7</v>
      </c>
      <c r="AS441" s="114">
        <f>Inputs!$A$50</f>
        <v>0</v>
      </c>
      <c r="AT441" s="45">
        <f>Inputs!$B$50</f>
        <v>0</v>
      </c>
      <c r="AU441" s="45" t="s">
        <v>57</v>
      </c>
      <c r="AV441" s="45">
        <f t="shared" si="396"/>
        <v>0</v>
      </c>
      <c r="AW441" s="50"/>
      <c r="AX441" s="118">
        <v>7</v>
      </c>
      <c r="AY441" s="114">
        <f>Inputs!$A$50</f>
        <v>0</v>
      </c>
      <c r="AZ441" s="45">
        <f>Inputs!$B$50</f>
        <v>0</v>
      </c>
      <c r="BA441" s="45" t="s">
        <v>58</v>
      </c>
      <c r="BB441" s="45">
        <f t="shared" si="393"/>
        <v>0</v>
      </c>
      <c r="BC441" s="50"/>
      <c r="BD441" s="45">
        <v>0</v>
      </c>
      <c r="BE441" s="45">
        <v>0</v>
      </c>
      <c r="BF441" s="45">
        <f t="shared" si="441"/>
        <v>0</v>
      </c>
      <c r="BG441" s="50"/>
      <c r="BH441" s="45">
        <f t="shared" si="442"/>
        <v>0</v>
      </c>
      <c r="BI441" s="64">
        <f>BD441*Inputs!$F$50*Inputs!$G$50</f>
        <v>0</v>
      </c>
      <c r="BJ441" s="45">
        <f>Inputs!$F$50*Inputs!$I$50*BE441</f>
        <v>0</v>
      </c>
      <c r="BK441" s="55"/>
      <c r="BM441" s="116">
        <v>7</v>
      </c>
      <c r="BN441" s="114">
        <f>Inputs!$A$50</f>
        <v>0</v>
      </c>
      <c r="BO441" s="45">
        <f>Inputs!$B$50</f>
        <v>0</v>
      </c>
      <c r="BP441" s="45" t="s">
        <v>57</v>
      </c>
      <c r="BQ441" s="45">
        <f t="shared" si="394"/>
        <v>0</v>
      </c>
      <c r="BR441" s="50"/>
      <c r="BS441" s="118">
        <v>7</v>
      </c>
      <c r="BT441" s="114">
        <f>Inputs!$A$50</f>
        <v>0</v>
      </c>
      <c r="BU441" s="45">
        <f>Inputs!$B$50</f>
        <v>0</v>
      </c>
      <c r="BV441" s="45" t="s">
        <v>58</v>
      </c>
      <c r="BW441" s="45">
        <f t="shared" si="395"/>
        <v>0</v>
      </c>
      <c r="BX441" s="50"/>
      <c r="BY441" s="45">
        <v>0</v>
      </c>
      <c r="BZ441" s="45">
        <v>0</v>
      </c>
      <c r="CA441" s="45">
        <f t="shared" si="443"/>
        <v>0</v>
      </c>
      <c r="CB441" s="50"/>
      <c r="CC441" s="45">
        <f t="shared" si="444"/>
        <v>0</v>
      </c>
      <c r="CD441" s="64">
        <f>BY441*Inputs!$F$50*Inputs!$G$50</f>
        <v>0</v>
      </c>
      <c r="CE441" s="45">
        <f>Inputs!$F$50*Inputs!$I$50*BZ441</f>
        <v>0</v>
      </c>
      <c r="CF441" s="55"/>
    </row>
    <row r="442" spans="1:84" x14ac:dyDescent="0.25">
      <c r="A442" s="116">
        <v>8</v>
      </c>
      <c r="B442" s="114">
        <f>Inputs!$A$50</f>
        <v>0</v>
      </c>
      <c r="C442" s="45">
        <f>Inputs!$B$50</f>
        <v>0</v>
      </c>
      <c r="D442" s="45" t="s">
        <v>57</v>
      </c>
      <c r="E442" s="45">
        <v>0</v>
      </c>
      <c r="F442" s="50"/>
      <c r="G442" s="118">
        <v>8</v>
      </c>
      <c r="H442" s="114">
        <f>Inputs!$A$50</f>
        <v>0</v>
      </c>
      <c r="I442" s="45">
        <f>Inputs!$B$50</f>
        <v>0</v>
      </c>
      <c r="J442" s="45" t="s">
        <v>58</v>
      </c>
      <c r="K442" s="45">
        <v>0</v>
      </c>
      <c r="L442" s="50"/>
      <c r="M442" s="45">
        <v>0</v>
      </c>
      <c r="N442" s="45">
        <v>0</v>
      </c>
      <c r="O442" s="45">
        <f t="shared" si="437"/>
        <v>0</v>
      </c>
      <c r="P442" s="50"/>
      <c r="Q442" s="45">
        <f t="shared" si="438"/>
        <v>0</v>
      </c>
      <c r="R442" s="64">
        <f>M442*Inputs!$F$50*Inputs!$G$50</f>
        <v>0</v>
      </c>
      <c r="S442" s="45">
        <f>Inputs!$F$50*Inputs!$I$50*N442</f>
        <v>0</v>
      </c>
      <c r="T442" s="18"/>
      <c r="U442" s="55"/>
      <c r="W442" s="116">
        <v>8</v>
      </c>
      <c r="X442" s="114">
        <f>Inputs!$A$50</f>
        <v>0</v>
      </c>
      <c r="Y442" s="45">
        <f>Inputs!$B$50</f>
        <v>0</v>
      </c>
      <c r="Z442" s="45" t="s">
        <v>57</v>
      </c>
      <c r="AA442" s="45">
        <f t="shared" si="391"/>
        <v>0</v>
      </c>
      <c r="AB442" s="50"/>
      <c r="AC442" s="118">
        <v>8</v>
      </c>
      <c r="AD442" s="114">
        <f>Inputs!$A$50</f>
        <v>0</v>
      </c>
      <c r="AE442" s="45">
        <f>Inputs!$B$50</f>
        <v>0</v>
      </c>
      <c r="AF442" s="45" t="s">
        <v>58</v>
      </c>
      <c r="AG442" s="45">
        <f t="shared" si="392"/>
        <v>0</v>
      </c>
      <c r="AH442" s="50"/>
      <c r="AI442" s="45">
        <v>0</v>
      </c>
      <c r="AJ442" s="45">
        <v>0</v>
      </c>
      <c r="AK442" s="45">
        <f t="shared" si="439"/>
        <v>0</v>
      </c>
      <c r="AL442" s="50"/>
      <c r="AM442" s="45">
        <f t="shared" si="440"/>
        <v>0</v>
      </c>
      <c r="AN442" s="64">
        <f>AI442*Inputs!$F$50*Inputs!$G$50</f>
        <v>0</v>
      </c>
      <c r="AO442" s="45">
        <f>Inputs!$F$50*Inputs!$I$50*AJ442</f>
        <v>0</v>
      </c>
      <c r="AP442" s="55"/>
      <c r="AR442" s="116">
        <v>8</v>
      </c>
      <c r="AS442" s="114">
        <f>Inputs!$A$50</f>
        <v>0</v>
      </c>
      <c r="AT442" s="45">
        <f>Inputs!$B$50</f>
        <v>0</v>
      </c>
      <c r="AU442" s="45" t="s">
        <v>57</v>
      </c>
      <c r="AV442" s="45">
        <f t="shared" si="396"/>
        <v>0</v>
      </c>
      <c r="AW442" s="50"/>
      <c r="AX442" s="118">
        <v>8</v>
      </c>
      <c r="AY442" s="114">
        <f>Inputs!$A$50</f>
        <v>0</v>
      </c>
      <c r="AZ442" s="45">
        <f>Inputs!$B$50</f>
        <v>0</v>
      </c>
      <c r="BA442" s="45" t="s">
        <v>58</v>
      </c>
      <c r="BB442" s="45">
        <f t="shared" si="393"/>
        <v>0</v>
      </c>
      <c r="BC442" s="50"/>
      <c r="BD442" s="45">
        <v>0</v>
      </c>
      <c r="BE442" s="45">
        <v>0</v>
      </c>
      <c r="BF442" s="45">
        <f t="shared" si="441"/>
        <v>0</v>
      </c>
      <c r="BG442" s="50"/>
      <c r="BH442" s="45">
        <f t="shared" si="442"/>
        <v>0</v>
      </c>
      <c r="BI442" s="64">
        <f>BD442*Inputs!$F$50*Inputs!$G$50</f>
        <v>0</v>
      </c>
      <c r="BJ442" s="45">
        <f>Inputs!$F$50*Inputs!$I$50*BE442</f>
        <v>0</v>
      </c>
      <c r="BK442" s="55"/>
      <c r="BM442" s="116">
        <v>8</v>
      </c>
      <c r="BN442" s="114">
        <f>Inputs!$A$50</f>
        <v>0</v>
      </c>
      <c r="BO442" s="45">
        <f>Inputs!$B$50</f>
        <v>0</v>
      </c>
      <c r="BP442" s="45" t="s">
        <v>57</v>
      </c>
      <c r="BQ442" s="45">
        <f t="shared" si="394"/>
        <v>0</v>
      </c>
      <c r="BR442" s="50"/>
      <c r="BS442" s="118">
        <v>8</v>
      </c>
      <c r="BT442" s="114">
        <f>Inputs!$A$50</f>
        <v>0</v>
      </c>
      <c r="BU442" s="45">
        <f>Inputs!$B$50</f>
        <v>0</v>
      </c>
      <c r="BV442" s="45" t="s">
        <v>58</v>
      </c>
      <c r="BW442" s="45">
        <f t="shared" si="395"/>
        <v>0</v>
      </c>
      <c r="BX442" s="50"/>
      <c r="BY442" s="45">
        <v>0</v>
      </c>
      <c r="BZ442" s="45">
        <v>0</v>
      </c>
      <c r="CA442" s="45">
        <f t="shared" si="443"/>
        <v>0</v>
      </c>
      <c r="CB442" s="50"/>
      <c r="CC442" s="45">
        <f t="shared" si="444"/>
        <v>0</v>
      </c>
      <c r="CD442" s="64">
        <f>BY442*Inputs!$F$50*Inputs!$G$50</f>
        <v>0</v>
      </c>
      <c r="CE442" s="45">
        <f>Inputs!$F$50*Inputs!$I$50*BZ442</f>
        <v>0</v>
      </c>
      <c r="CF442" s="55"/>
    </row>
    <row r="443" spans="1:84" x14ac:dyDescent="0.25">
      <c r="A443" s="116">
        <v>9</v>
      </c>
      <c r="B443" s="114">
        <f>Inputs!$A$50</f>
        <v>0</v>
      </c>
      <c r="C443" s="45">
        <f>Inputs!$B$50</f>
        <v>0</v>
      </c>
      <c r="D443" s="45" t="s">
        <v>57</v>
      </c>
      <c r="E443" s="45">
        <v>0</v>
      </c>
      <c r="F443" s="50"/>
      <c r="G443" s="118">
        <v>9</v>
      </c>
      <c r="H443" s="114">
        <f>Inputs!$A$50</f>
        <v>0</v>
      </c>
      <c r="I443" s="45">
        <f>Inputs!$B$50</f>
        <v>0</v>
      </c>
      <c r="J443" s="45" t="s">
        <v>58</v>
      </c>
      <c r="K443" s="45">
        <v>0</v>
      </c>
      <c r="L443" s="50"/>
      <c r="M443" s="45">
        <v>0</v>
      </c>
      <c r="N443" s="45">
        <v>0</v>
      </c>
      <c r="O443" s="45">
        <f t="shared" si="437"/>
        <v>0</v>
      </c>
      <c r="P443" s="50"/>
      <c r="Q443" s="45">
        <f t="shared" si="438"/>
        <v>0</v>
      </c>
      <c r="R443" s="64">
        <f>M443*Inputs!$F$50*Inputs!$G$50</f>
        <v>0</v>
      </c>
      <c r="S443" s="45">
        <f>Inputs!$F$50*Inputs!$I$50*N443</f>
        <v>0</v>
      </c>
      <c r="T443" s="18"/>
      <c r="U443" s="55"/>
      <c r="W443" s="116">
        <v>9</v>
      </c>
      <c r="X443" s="114">
        <f>Inputs!$A$50</f>
        <v>0</v>
      </c>
      <c r="Y443" s="45">
        <f>Inputs!$B$50</f>
        <v>0</v>
      </c>
      <c r="Z443" s="45" t="s">
        <v>57</v>
      </c>
      <c r="AA443" s="45">
        <f t="shared" si="391"/>
        <v>0</v>
      </c>
      <c r="AB443" s="50"/>
      <c r="AC443" s="118">
        <v>9</v>
      </c>
      <c r="AD443" s="114">
        <f>Inputs!$A$50</f>
        <v>0</v>
      </c>
      <c r="AE443" s="45">
        <f>Inputs!$B$50</f>
        <v>0</v>
      </c>
      <c r="AF443" s="45" t="s">
        <v>58</v>
      </c>
      <c r="AG443" s="45">
        <f t="shared" si="392"/>
        <v>0</v>
      </c>
      <c r="AH443" s="50"/>
      <c r="AI443" s="45">
        <v>0</v>
      </c>
      <c r="AJ443" s="45">
        <v>0</v>
      </c>
      <c r="AK443" s="45">
        <f t="shared" si="439"/>
        <v>0</v>
      </c>
      <c r="AL443" s="50"/>
      <c r="AM443" s="45">
        <f t="shared" si="440"/>
        <v>0</v>
      </c>
      <c r="AN443" s="64">
        <f>AI443*Inputs!$F$50*Inputs!$G$50</f>
        <v>0</v>
      </c>
      <c r="AO443" s="45">
        <f>Inputs!$F$50*Inputs!$I$50*AJ443</f>
        <v>0</v>
      </c>
      <c r="AP443" s="55"/>
      <c r="AR443" s="116">
        <v>9</v>
      </c>
      <c r="AS443" s="114">
        <f>Inputs!$A$50</f>
        <v>0</v>
      </c>
      <c r="AT443" s="45">
        <f>Inputs!$B$50</f>
        <v>0</v>
      </c>
      <c r="AU443" s="45" t="s">
        <v>57</v>
      </c>
      <c r="AV443" s="45">
        <f t="shared" si="396"/>
        <v>0</v>
      </c>
      <c r="AW443" s="50"/>
      <c r="AX443" s="118">
        <v>9</v>
      </c>
      <c r="AY443" s="114">
        <f>Inputs!$A$50</f>
        <v>0</v>
      </c>
      <c r="AZ443" s="45">
        <f>Inputs!$B$50</f>
        <v>0</v>
      </c>
      <c r="BA443" s="45" t="s">
        <v>58</v>
      </c>
      <c r="BB443" s="45">
        <f t="shared" si="393"/>
        <v>0</v>
      </c>
      <c r="BC443" s="50"/>
      <c r="BD443" s="45">
        <v>0</v>
      </c>
      <c r="BE443" s="45">
        <v>0</v>
      </c>
      <c r="BF443" s="45">
        <f t="shared" si="441"/>
        <v>0</v>
      </c>
      <c r="BG443" s="50"/>
      <c r="BH443" s="45">
        <f t="shared" si="442"/>
        <v>0</v>
      </c>
      <c r="BI443" s="64">
        <f>BD443*Inputs!$F$50*Inputs!$G$50</f>
        <v>0</v>
      </c>
      <c r="BJ443" s="45">
        <f>Inputs!$F$50*Inputs!$I$50*BE443</f>
        <v>0</v>
      </c>
      <c r="BK443" s="55"/>
      <c r="BM443" s="116">
        <v>9</v>
      </c>
      <c r="BN443" s="114">
        <f>Inputs!$A$50</f>
        <v>0</v>
      </c>
      <c r="BO443" s="45">
        <f>Inputs!$B$50</f>
        <v>0</v>
      </c>
      <c r="BP443" s="45" t="s">
        <v>57</v>
      </c>
      <c r="BQ443" s="45">
        <f t="shared" si="394"/>
        <v>0</v>
      </c>
      <c r="BR443" s="50"/>
      <c r="BS443" s="118">
        <v>9</v>
      </c>
      <c r="BT443" s="114">
        <f>Inputs!$A$50</f>
        <v>0</v>
      </c>
      <c r="BU443" s="45">
        <f>Inputs!$B$50</f>
        <v>0</v>
      </c>
      <c r="BV443" s="45" t="s">
        <v>58</v>
      </c>
      <c r="BW443" s="45">
        <f t="shared" si="395"/>
        <v>0</v>
      </c>
      <c r="BX443" s="50"/>
      <c r="BY443" s="45">
        <v>0</v>
      </c>
      <c r="BZ443" s="45">
        <v>0</v>
      </c>
      <c r="CA443" s="45">
        <f t="shared" si="443"/>
        <v>0</v>
      </c>
      <c r="CB443" s="50"/>
      <c r="CC443" s="45">
        <f t="shared" si="444"/>
        <v>0</v>
      </c>
      <c r="CD443" s="64">
        <f>BY443*Inputs!$F$50*Inputs!$G$50</f>
        <v>0</v>
      </c>
      <c r="CE443" s="45">
        <f>Inputs!$F$50*Inputs!$I$50*BZ443</f>
        <v>0</v>
      </c>
      <c r="CF443" s="55"/>
    </row>
    <row r="444" spans="1:84" x14ac:dyDescent="0.25">
      <c r="A444" s="116">
        <v>10</v>
      </c>
      <c r="B444" s="114">
        <f>Inputs!$A$50</f>
        <v>0</v>
      </c>
      <c r="C444" s="45">
        <f>Inputs!$B$50</f>
        <v>0</v>
      </c>
      <c r="D444" s="45" t="s">
        <v>57</v>
      </c>
      <c r="E444" s="45">
        <v>0</v>
      </c>
      <c r="F444" s="50"/>
      <c r="G444" s="118">
        <v>10</v>
      </c>
      <c r="H444" s="114">
        <f>Inputs!$A$50</f>
        <v>0</v>
      </c>
      <c r="I444" s="45">
        <f>Inputs!$B$50</f>
        <v>0</v>
      </c>
      <c r="J444" s="45" t="s">
        <v>58</v>
      </c>
      <c r="K444" s="45">
        <v>0</v>
      </c>
      <c r="L444" s="50"/>
      <c r="M444" s="45">
        <v>0</v>
      </c>
      <c r="N444" s="45">
        <v>0</v>
      </c>
      <c r="O444" s="45">
        <f t="shared" si="437"/>
        <v>0</v>
      </c>
      <c r="P444" s="50"/>
      <c r="Q444" s="45">
        <f t="shared" si="438"/>
        <v>0</v>
      </c>
      <c r="R444" s="64">
        <f>M444*Inputs!$F$50*Inputs!$G$50</f>
        <v>0</v>
      </c>
      <c r="S444" s="45">
        <f>Inputs!$F$50*Inputs!$I$50*N444</f>
        <v>0</v>
      </c>
      <c r="T444" s="18"/>
      <c r="U444" s="91"/>
      <c r="W444" s="116">
        <v>10</v>
      </c>
      <c r="X444" s="114">
        <f>Inputs!$A$50</f>
        <v>0</v>
      </c>
      <c r="Y444" s="45">
        <f>Inputs!$B$50</f>
        <v>0</v>
      </c>
      <c r="Z444" s="45" t="s">
        <v>57</v>
      </c>
      <c r="AA444" s="45">
        <f t="shared" si="391"/>
        <v>0</v>
      </c>
      <c r="AB444" s="50"/>
      <c r="AC444" s="118">
        <v>10</v>
      </c>
      <c r="AD444" s="114">
        <f>Inputs!$A$50</f>
        <v>0</v>
      </c>
      <c r="AE444" s="45">
        <f>Inputs!$B$50</f>
        <v>0</v>
      </c>
      <c r="AF444" s="45" t="s">
        <v>58</v>
      </c>
      <c r="AG444" s="45">
        <f t="shared" si="392"/>
        <v>0</v>
      </c>
      <c r="AH444" s="50"/>
      <c r="AI444" s="45">
        <v>0</v>
      </c>
      <c r="AJ444" s="45">
        <v>0</v>
      </c>
      <c r="AK444" s="45">
        <f t="shared" si="439"/>
        <v>0</v>
      </c>
      <c r="AL444" s="50"/>
      <c r="AM444" s="45">
        <f t="shared" si="440"/>
        <v>0</v>
      </c>
      <c r="AN444" s="64">
        <f>AI444*Inputs!$F$50*Inputs!$G$50</f>
        <v>0</v>
      </c>
      <c r="AO444" s="45">
        <f>Inputs!$F$50*Inputs!$I$50*AJ444</f>
        <v>0</v>
      </c>
      <c r="AP444" s="91"/>
      <c r="AR444" s="116">
        <v>10</v>
      </c>
      <c r="AS444" s="114">
        <f>Inputs!$A$50</f>
        <v>0</v>
      </c>
      <c r="AT444" s="45">
        <f>Inputs!$B$50</f>
        <v>0</v>
      </c>
      <c r="AU444" s="45" t="s">
        <v>57</v>
      </c>
      <c r="AV444" s="45">
        <f t="shared" si="396"/>
        <v>0</v>
      </c>
      <c r="AW444" s="50"/>
      <c r="AX444" s="118">
        <v>10</v>
      </c>
      <c r="AY444" s="114">
        <f>Inputs!$A$50</f>
        <v>0</v>
      </c>
      <c r="AZ444" s="45">
        <f>Inputs!$B$50</f>
        <v>0</v>
      </c>
      <c r="BA444" s="45" t="s">
        <v>58</v>
      </c>
      <c r="BB444" s="45">
        <f t="shared" si="393"/>
        <v>0</v>
      </c>
      <c r="BC444" s="50"/>
      <c r="BD444" s="45">
        <v>0</v>
      </c>
      <c r="BE444" s="45">
        <v>0</v>
      </c>
      <c r="BF444" s="45">
        <f t="shared" si="441"/>
        <v>0</v>
      </c>
      <c r="BG444" s="50"/>
      <c r="BH444" s="45">
        <f t="shared" si="442"/>
        <v>0</v>
      </c>
      <c r="BI444" s="64">
        <f>BD444*Inputs!$F$50*Inputs!$G$50</f>
        <v>0</v>
      </c>
      <c r="BJ444" s="45">
        <f>Inputs!$F$50*Inputs!$I$50*BE444</f>
        <v>0</v>
      </c>
      <c r="BK444" s="91"/>
      <c r="BM444" s="116">
        <v>10</v>
      </c>
      <c r="BN444" s="114">
        <f>Inputs!$A$50</f>
        <v>0</v>
      </c>
      <c r="BO444" s="45">
        <f>Inputs!$B$50</f>
        <v>0</v>
      </c>
      <c r="BP444" s="45" t="s">
        <v>57</v>
      </c>
      <c r="BQ444" s="45">
        <f t="shared" si="394"/>
        <v>0</v>
      </c>
      <c r="BR444" s="50"/>
      <c r="BS444" s="118">
        <v>10</v>
      </c>
      <c r="BT444" s="114">
        <f>Inputs!$A$50</f>
        <v>0</v>
      </c>
      <c r="BU444" s="45">
        <f>Inputs!$B$50</f>
        <v>0</v>
      </c>
      <c r="BV444" s="45" t="s">
        <v>58</v>
      </c>
      <c r="BW444" s="45">
        <f t="shared" si="395"/>
        <v>0</v>
      </c>
      <c r="BX444" s="50"/>
      <c r="BY444" s="45">
        <v>0</v>
      </c>
      <c r="BZ444" s="45">
        <v>0</v>
      </c>
      <c r="CA444" s="45">
        <f t="shared" si="443"/>
        <v>0</v>
      </c>
      <c r="CB444" s="50"/>
      <c r="CC444" s="45">
        <f t="shared" si="444"/>
        <v>0</v>
      </c>
      <c r="CD444" s="64">
        <f>BY444*Inputs!$F$50*Inputs!$G$50</f>
        <v>0</v>
      </c>
      <c r="CE444" s="45">
        <f>Inputs!$F$50*Inputs!$I$50*BZ444</f>
        <v>0</v>
      </c>
      <c r="CF444" s="91"/>
    </row>
    <row r="445" spans="1:84" x14ac:dyDescent="0.25">
      <c r="A445" s="116">
        <v>11</v>
      </c>
      <c r="B445" s="114">
        <f>Inputs!$A$50</f>
        <v>0</v>
      </c>
      <c r="C445" s="45">
        <f>Inputs!$B$50</f>
        <v>0</v>
      </c>
      <c r="D445" s="45" t="s">
        <v>57</v>
      </c>
      <c r="E445" s="45">
        <v>0</v>
      </c>
      <c r="F445" s="50"/>
      <c r="G445" s="118">
        <v>11</v>
      </c>
      <c r="H445" s="114">
        <f>Inputs!$A$50</f>
        <v>0</v>
      </c>
      <c r="I445" s="45">
        <f>Inputs!$B$50</f>
        <v>0</v>
      </c>
      <c r="J445" s="45" t="s">
        <v>58</v>
      </c>
      <c r="K445" s="45">
        <v>0</v>
      </c>
      <c r="L445" s="50"/>
      <c r="M445" s="45">
        <v>0</v>
      </c>
      <c r="N445" s="45">
        <v>0</v>
      </c>
      <c r="O445" s="45">
        <f t="shared" si="437"/>
        <v>0</v>
      </c>
      <c r="P445" s="50"/>
      <c r="Q445" s="45">
        <f t="shared" si="438"/>
        <v>0</v>
      </c>
      <c r="R445" s="64">
        <f>M445*Inputs!$F$50*Inputs!$H$50</f>
        <v>0</v>
      </c>
      <c r="S445" s="45">
        <f>Inputs!$F$50*Inputs!$I$50*N445</f>
        <v>0</v>
      </c>
      <c r="T445" s="18"/>
      <c r="U445" s="56"/>
      <c r="W445" s="116">
        <v>11</v>
      </c>
      <c r="X445" s="114">
        <f>Inputs!$A$50</f>
        <v>0</v>
      </c>
      <c r="Y445" s="45">
        <f>Inputs!$B$50</f>
        <v>0</v>
      </c>
      <c r="Z445" s="45" t="s">
        <v>57</v>
      </c>
      <c r="AA445" s="45">
        <f t="shared" si="391"/>
        <v>0</v>
      </c>
      <c r="AB445" s="50"/>
      <c r="AC445" s="118">
        <v>11</v>
      </c>
      <c r="AD445" s="114">
        <f>Inputs!$A$50</f>
        <v>0</v>
      </c>
      <c r="AE445" s="45">
        <f>Inputs!$B$50</f>
        <v>0</v>
      </c>
      <c r="AF445" s="45" t="s">
        <v>58</v>
      </c>
      <c r="AG445" s="45">
        <f t="shared" si="392"/>
        <v>0</v>
      </c>
      <c r="AH445" s="50"/>
      <c r="AI445" s="45">
        <v>0</v>
      </c>
      <c r="AJ445" s="45">
        <v>0</v>
      </c>
      <c r="AK445" s="45">
        <f t="shared" si="439"/>
        <v>0</v>
      </c>
      <c r="AL445" s="50"/>
      <c r="AM445" s="45">
        <f t="shared" si="440"/>
        <v>0</v>
      </c>
      <c r="AN445" s="64">
        <f>AI445*Inputs!$F$50*Inputs!$H$50</f>
        <v>0</v>
      </c>
      <c r="AO445" s="45">
        <f>Inputs!$F$50*Inputs!$I$50*AJ445</f>
        <v>0</v>
      </c>
      <c r="AP445" s="56"/>
      <c r="AR445" s="116">
        <v>11</v>
      </c>
      <c r="AS445" s="114">
        <f>Inputs!$A$50</f>
        <v>0</v>
      </c>
      <c r="AT445" s="45">
        <f>Inputs!$B$50</f>
        <v>0</v>
      </c>
      <c r="AU445" s="45" t="s">
        <v>57</v>
      </c>
      <c r="AV445" s="45">
        <f t="shared" si="396"/>
        <v>0</v>
      </c>
      <c r="AW445" s="50"/>
      <c r="AX445" s="118">
        <v>11</v>
      </c>
      <c r="AY445" s="114">
        <f>Inputs!$A$50</f>
        <v>0</v>
      </c>
      <c r="AZ445" s="45">
        <f>Inputs!$B$50</f>
        <v>0</v>
      </c>
      <c r="BA445" s="45" t="s">
        <v>58</v>
      </c>
      <c r="BB445" s="45">
        <f t="shared" si="393"/>
        <v>0</v>
      </c>
      <c r="BC445" s="50"/>
      <c r="BD445" s="45">
        <v>0</v>
      </c>
      <c r="BE445" s="45">
        <v>0</v>
      </c>
      <c r="BF445" s="45">
        <f t="shared" si="441"/>
        <v>0</v>
      </c>
      <c r="BG445" s="50"/>
      <c r="BH445" s="45">
        <f t="shared" si="442"/>
        <v>0</v>
      </c>
      <c r="BI445" s="64">
        <f>BD445*Inputs!$F$50*Inputs!$H$50</f>
        <v>0</v>
      </c>
      <c r="BJ445" s="45">
        <f>Inputs!$F$50*Inputs!$I$50*BE445</f>
        <v>0</v>
      </c>
      <c r="BK445" s="56"/>
      <c r="BM445" s="116">
        <v>11</v>
      </c>
      <c r="BN445" s="114">
        <f>Inputs!$A$50</f>
        <v>0</v>
      </c>
      <c r="BO445" s="45">
        <f>Inputs!$B$50</f>
        <v>0</v>
      </c>
      <c r="BP445" s="45" t="s">
        <v>57</v>
      </c>
      <c r="BQ445" s="45">
        <f t="shared" si="394"/>
        <v>0</v>
      </c>
      <c r="BR445" s="50"/>
      <c r="BS445" s="118">
        <v>11</v>
      </c>
      <c r="BT445" s="114">
        <f>Inputs!$A$50</f>
        <v>0</v>
      </c>
      <c r="BU445" s="45">
        <f>Inputs!$B$50</f>
        <v>0</v>
      </c>
      <c r="BV445" s="45" t="s">
        <v>58</v>
      </c>
      <c r="BW445" s="45">
        <f t="shared" si="395"/>
        <v>0</v>
      </c>
      <c r="BX445" s="50"/>
      <c r="BY445" s="45">
        <v>0</v>
      </c>
      <c r="BZ445" s="45">
        <v>0</v>
      </c>
      <c r="CA445" s="45">
        <f t="shared" si="443"/>
        <v>0</v>
      </c>
      <c r="CB445" s="50"/>
      <c r="CC445" s="45">
        <f t="shared" si="444"/>
        <v>0</v>
      </c>
      <c r="CD445" s="64">
        <f>BY445*Inputs!$F$50*Inputs!$H$50</f>
        <v>0</v>
      </c>
      <c r="CE445" s="45">
        <f>Inputs!$F$50*Inputs!$I$50*BZ445</f>
        <v>0</v>
      </c>
      <c r="CF445" s="56"/>
    </row>
    <row r="446" spans="1:84" x14ac:dyDescent="0.25">
      <c r="A446" s="117">
        <v>3</v>
      </c>
      <c r="B446" s="115">
        <f>Inputs!$A$51</f>
        <v>0</v>
      </c>
      <c r="C446" s="44">
        <f>Inputs!$B$51</f>
        <v>0</v>
      </c>
      <c r="D446" s="44" t="s">
        <v>57</v>
      </c>
      <c r="E446" s="44">
        <v>0</v>
      </c>
      <c r="F446" s="50"/>
      <c r="G446" s="119">
        <v>3</v>
      </c>
      <c r="H446" s="115">
        <f>Inputs!$A$51</f>
        <v>0</v>
      </c>
      <c r="I446" s="44">
        <f>Inputs!$B$51</f>
        <v>0</v>
      </c>
      <c r="J446" s="44" t="s">
        <v>58</v>
      </c>
      <c r="K446" s="44">
        <v>0</v>
      </c>
      <c r="L446" s="50"/>
      <c r="M446" s="44">
        <v>0</v>
      </c>
      <c r="N446" s="44">
        <v>0</v>
      </c>
      <c r="O446" s="44">
        <f>U446-0-E446-K446</f>
        <v>0</v>
      </c>
      <c r="P446" s="50"/>
      <c r="Q446" s="44">
        <f>E446+K446+N446-U446+0-M446</f>
        <v>0</v>
      </c>
      <c r="R446" s="63">
        <f>M446*Inputs!$F$51*Inputs!$G$51</f>
        <v>0</v>
      </c>
      <c r="S446" s="44">
        <f>Inputs!$F$51*Inputs!$I$51*N446</f>
        <v>0</v>
      </c>
      <c r="T446" s="18"/>
      <c r="U446" s="54"/>
      <c r="W446" s="117">
        <v>3</v>
      </c>
      <c r="X446" s="115">
        <f>Inputs!$A$51</f>
        <v>0</v>
      </c>
      <c r="Y446" s="44">
        <f>Inputs!$B$51</f>
        <v>0</v>
      </c>
      <c r="Z446" s="44" t="s">
        <v>57</v>
      </c>
      <c r="AA446" s="44">
        <f t="shared" si="391"/>
        <v>0</v>
      </c>
      <c r="AB446" s="50"/>
      <c r="AC446" s="119">
        <v>3</v>
      </c>
      <c r="AD446" s="115">
        <f>Inputs!$A$51</f>
        <v>0</v>
      </c>
      <c r="AE446" s="44">
        <f>Inputs!$B$51</f>
        <v>0</v>
      </c>
      <c r="AF446" s="44" t="s">
        <v>58</v>
      </c>
      <c r="AG446" s="44">
        <f t="shared" si="392"/>
        <v>0</v>
      </c>
      <c r="AH446" s="50"/>
      <c r="AI446" s="44">
        <v>0</v>
      </c>
      <c r="AJ446" s="44">
        <v>0</v>
      </c>
      <c r="AK446" s="44">
        <f>AP446-0-AA446-AG446</f>
        <v>0</v>
      </c>
      <c r="AL446" s="50"/>
      <c r="AM446" s="44">
        <f>AA446+AG446+AJ446-AP446+0-AI446</f>
        <v>0</v>
      </c>
      <c r="AN446" s="63">
        <f>AI446*Inputs!$F$51*Inputs!$G$51</f>
        <v>0</v>
      </c>
      <c r="AO446" s="44">
        <f>Inputs!$F$51*Inputs!$I$51*AJ446</f>
        <v>0</v>
      </c>
      <c r="AP446" s="54"/>
      <c r="AR446" s="117">
        <v>3</v>
      </c>
      <c r="AS446" s="115">
        <f>Inputs!$A$51</f>
        <v>0</v>
      </c>
      <c r="AT446" s="44">
        <f>Inputs!$B$51</f>
        <v>0</v>
      </c>
      <c r="AU446" s="44" t="s">
        <v>57</v>
      </c>
      <c r="AV446" s="44">
        <f t="shared" si="396"/>
        <v>0</v>
      </c>
      <c r="AW446" s="50"/>
      <c r="AX446" s="119">
        <v>3</v>
      </c>
      <c r="AY446" s="115">
        <f>Inputs!$A$51</f>
        <v>0</v>
      </c>
      <c r="AZ446" s="44">
        <f>Inputs!$B$51</f>
        <v>0</v>
      </c>
      <c r="BA446" s="44" t="s">
        <v>58</v>
      </c>
      <c r="BB446" s="44">
        <f t="shared" si="393"/>
        <v>0</v>
      </c>
      <c r="BC446" s="50"/>
      <c r="BD446" s="44">
        <v>0</v>
      </c>
      <c r="BE446" s="44">
        <v>0</v>
      </c>
      <c r="BF446" s="44">
        <f>BK446-0-AV446-BB446</f>
        <v>0</v>
      </c>
      <c r="BG446" s="50"/>
      <c r="BH446" s="44">
        <f>AV446+BB446+BE446-BK446+0-BD446</f>
        <v>0</v>
      </c>
      <c r="BI446" s="63">
        <f>BD446*Inputs!$F$51*Inputs!$G$51</f>
        <v>0</v>
      </c>
      <c r="BJ446" s="44">
        <f>Inputs!$F$51*Inputs!$I$51*BE446</f>
        <v>0</v>
      </c>
      <c r="BK446" s="54"/>
      <c r="BM446" s="117">
        <v>3</v>
      </c>
      <c r="BN446" s="115">
        <f>Inputs!$A$51</f>
        <v>0</v>
      </c>
      <c r="BO446" s="44">
        <f>Inputs!$B$51</f>
        <v>0</v>
      </c>
      <c r="BP446" s="44" t="s">
        <v>57</v>
      </c>
      <c r="BQ446" s="44">
        <f t="shared" si="394"/>
        <v>0</v>
      </c>
      <c r="BR446" s="50"/>
      <c r="BS446" s="119">
        <v>3</v>
      </c>
      <c r="BT446" s="115">
        <f>Inputs!$A$51</f>
        <v>0</v>
      </c>
      <c r="BU446" s="44">
        <f>Inputs!$B$51</f>
        <v>0</v>
      </c>
      <c r="BV446" s="44" t="s">
        <v>58</v>
      </c>
      <c r="BW446" s="44">
        <f t="shared" si="395"/>
        <v>0</v>
      </c>
      <c r="BX446" s="50"/>
      <c r="BY446" s="44">
        <v>0</v>
      </c>
      <c r="BZ446" s="44">
        <v>0</v>
      </c>
      <c r="CA446" s="44">
        <f>CF446-0-BQ446-BW446</f>
        <v>0</v>
      </c>
      <c r="CB446" s="50"/>
      <c r="CC446" s="44">
        <f>BQ446+BW446+BZ446-CF446+0-BY446</f>
        <v>0</v>
      </c>
      <c r="CD446" s="63">
        <f>BY446*Inputs!$F$51*Inputs!$G$51</f>
        <v>0</v>
      </c>
      <c r="CE446" s="44">
        <f>Inputs!$F$51*Inputs!$I$51*BZ446</f>
        <v>0</v>
      </c>
      <c r="CF446" s="54"/>
    </row>
    <row r="447" spans="1:84" x14ac:dyDescent="0.25">
      <c r="A447" s="117">
        <v>4</v>
      </c>
      <c r="B447" s="115">
        <f>Inputs!$A$51</f>
        <v>0</v>
      </c>
      <c r="C447" s="44">
        <f>Inputs!$B$51</f>
        <v>0</v>
      </c>
      <c r="D447" s="44" t="s">
        <v>57</v>
      </c>
      <c r="E447" s="44">
        <v>0</v>
      </c>
      <c r="F447" s="50"/>
      <c r="G447" s="119">
        <v>4</v>
      </c>
      <c r="H447" s="115">
        <f>Inputs!$A$51</f>
        <v>0</v>
      </c>
      <c r="I447" s="44">
        <f>Inputs!$B$51</f>
        <v>0</v>
      </c>
      <c r="J447" s="44" t="s">
        <v>58</v>
      </c>
      <c r="K447" s="44">
        <v>0</v>
      </c>
      <c r="L447" s="50"/>
      <c r="M447" s="44">
        <v>0</v>
      </c>
      <c r="N447" s="44">
        <v>0</v>
      </c>
      <c r="O447" s="44">
        <f>U447-M434-E447-K447</f>
        <v>0</v>
      </c>
      <c r="P447" s="50"/>
      <c r="Q447" s="44">
        <f t="shared" ref="Q447:Q454" si="445">E447+K447+N447-U447+M446-M447</f>
        <v>0</v>
      </c>
      <c r="R447" s="63">
        <f>M447*Inputs!$F$51*Inputs!$G$51</f>
        <v>0</v>
      </c>
      <c r="S447" s="44">
        <f>Inputs!$F$51*Inputs!$I$51*N447</f>
        <v>0</v>
      </c>
      <c r="T447" s="18"/>
      <c r="U447" s="55"/>
      <c r="W447" s="117">
        <v>4</v>
      </c>
      <c r="X447" s="115">
        <f>Inputs!$A$51</f>
        <v>0</v>
      </c>
      <c r="Y447" s="44">
        <f>Inputs!$B$51</f>
        <v>0</v>
      </c>
      <c r="Z447" s="44" t="s">
        <v>57</v>
      </c>
      <c r="AA447" s="44">
        <f t="shared" si="391"/>
        <v>0</v>
      </c>
      <c r="AB447" s="50"/>
      <c r="AC447" s="119">
        <v>4</v>
      </c>
      <c r="AD447" s="115">
        <f>Inputs!$A$51</f>
        <v>0</v>
      </c>
      <c r="AE447" s="44">
        <f>Inputs!$B$51</f>
        <v>0</v>
      </c>
      <c r="AF447" s="44" t="s">
        <v>58</v>
      </c>
      <c r="AG447" s="44">
        <f t="shared" si="392"/>
        <v>0</v>
      </c>
      <c r="AH447" s="50"/>
      <c r="AI447" s="44">
        <v>0</v>
      </c>
      <c r="AJ447" s="44">
        <v>0</v>
      </c>
      <c r="AK447" s="44">
        <f>AP447-AI434-AA447-AG447</f>
        <v>0</v>
      </c>
      <c r="AL447" s="50"/>
      <c r="AM447" s="44">
        <f t="shared" ref="AM447:AM454" si="446">AA447+AG447+AJ447-AP447+AI446-AI447</f>
        <v>0</v>
      </c>
      <c r="AN447" s="63">
        <f>AI447*Inputs!$F$51*Inputs!$G$51</f>
        <v>0</v>
      </c>
      <c r="AO447" s="44">
        <f>Inputs!$F$51*Inputs!$I$51*AJ447</f>
        <v>0</v>
      </c>
      <c r="AP447" s="55"/>
      <c r="AR447" s="117">
        <v>4</v>
      </c>
      <c r="AS447" s="115">
        <f>Inputs!$A$51</f>
        <v>0</v>
      </c>
      <c r="AT447" s="44">
        <f>Inputs!$B$51</f>
        <v>0</v>
      </c>
      <c r="AU447" s="44" t="s">
        <v>57</v>
      </c>
      <c r="AV447" s="44">
        <f t="shared" si="396"/>
        <v>0</v>
      </c>
      <c r="AW447" s="50"/>
      <c r="AX447" s="119">
        <v>4</v>
      </c>
      <c r="AY447" s="115">
        <f>Inputs!$A$51</f>
        <v>0</v>
      </c>
      <c r="AZ447" s="44">
        <f>Inputs!$B$51</f>
        <v>0</v>
      </c>
      <c r="BA447" s="44" t="s">
        <v>58</v>
      </c>
      <c r="BB447" s="44">
        <f t="shared" si="393"/>
        <v>0</v>
      </c>
      <c r="BC447" s="50"/>
      <c r="BD447" s="44">
        <v>0</v>
      </c>
      <c r="BE447" s="44">
        <v>0</v>
      </c>
      <c r="BF447" s="44">
        <f>BK447-BD434-AV447-BB447</f>
        <v>0</v>
      </c>
      <c r="BG447" s="50"/>
      <c r="BH447" s="44">
        <f t="shared" ref="BH447:BH454" si="447">AV447+BB447+BE447-BK447+BD446-BD447</f>
        <v>0</v>
      </c>
      <c r="BI447" s="63">
        <f>BD447*Inputs!$F$51*Inputs!$G$51</f>
        <v>0</v>
      </c>
      <c r="BJ447" s="44">
        <f>Inputs!$F$51*Inputs!$I$51*BE447</f>
        <v>0</v>
      </c>
      <c r="BK447" s="55"/>
      <c r="BM447" s="117">
        <v>4</v>
      </c>
      <c r="BN447" s="115">
        <f>Inputs!$A$51</f>
        <v>0</v>
      </c>
      <c r="BO447" s="44">
        <f>Inputs!$B$51</f>
        <v>0</v>
      </c>
      <c r="BP447" s="44" t="s">
        <v>57</v>
      </c>
      <c r="BQ447" s="44">
        <f t="shared" si="394"/>
        <v>0</v>
      </c>
      <c r="BR447" s="50"/>
      <c r="BS447" s="119">
        <v>4</v>
      </c>
      <c r="BT447" s="115">
        <f>Inputs!$A$51</f>
        <v>0</v>
      </c>
      <c r="BU447" s="44">
        <f>Inputs!$B$51</f>
        <v>0</v>
      </c>
      <c r="BV447" s="44" t="s">
        <v>58</v>
      </c>
      <c r="BW447" s="44">
        <f t="shared" si="395"/>
        <v>0</v>
      </c>
      <c r="BX447" s="50"/>
      <c r="BY447" s="44">
        <v>0</v>
      </c>
      <c r="BZ447" s="44">
        <v>0</v>
      </c>
      <c r="CA447" s="44">
        <f>CF447-BY434-BQ447-BW447</f>
        <v>0</v>
      </c>
      <c r="CB447" s="50"/>
      <c r="CC447" s="44">
        <f t="shared" ref="CC447:CC454" si="448">BQ447+BW447+BZ447-CF447+BY446-BY447</f>
        <v>0</v>
      </c>
      <c r="CD447" s="63">
        <f>BY447*Inputs!$F$51*Inputs!$G$51</f>
        <v>0</v>
      </c>
      <c r="CE447" s="44">
        <f>Inputs!$F$51*Inputs!$I$51*BZ447</f>
        <v>0</v>
      </c>
      <c r="CF447" s="55"/>
    </row>
    <row r="448" spans="1:84" x14ac:dyDescent="0.25">
      <c r="A448" s="117">
        <v>5</v>
      </c>
      <c r="B448" s="115">
        <f>Inputs!$A$51</f>
        <v>0</v>
      </c>
      <c r="C448" s="44">
        <f>Inputs!$B$51</f>
        <v>0</v>
      </c>
      <c r="D448" s="44" t="s">
        <v>57</v>
      </c>
      <c r="E448" s="44">
        <v>0</v>
      </c>
      <c r="F448" s="50"/>
      <c r="G448" s="119">
        <v>5</v>
      </c>
      <c r="H448" s="115">
        <f>Inputs!$A$51</f>
        <v>0</v>
      </c>
      <c r="I448" s="44">
        <f>Inputs!$B$51</f>
        <v>0</v>
      </c>
      <c r="J448" s="44" t="s">
        <v>58</v>
      </c>
      <c r="K448" s="44">
        <v>0</v>
      </c>
      <c r="L448" s="50"/>
      <c r="M448" s="44">
        <v>0</v>
      </c>
      <c r="N448" s="44">
        <v>0</v>
      </c>
      <c r="O448" s="44">
        <f>U448-M435-E448-K448</f>
        <v>0</v>
      </c>
      <c r="P448" s="50"/>
      <c r="Q448" s="44">
        <f t="shared" si="445"/>
        <v>0</v>
      </c>
      <c r="R448" s="63">
        <f>M448*Inputs!$F$51*Inputs!$G$51</f>
        <v>0</v>
      </c>
      <c r="S448" s="44">
        <f>Inputs!$F$51*Inputs!$I$51*N448</f>
        <v>0</v>
      </c>
      <c r="T448" s="18"/>
      <c r="U448" s="55"/>
      <c r="W448" s="117">
        <v>5</v>
      </c>
      <c r="X448" s="115">
        <f>Inputs!$A$51</f>
        <v>0</v>
      </c>
      <c r="Y448" s="44">
        <f>Inputs!$B$51</f>
        <v>0</v>
      </c>
      <c r="Z448" s="44" t="s">
        <v>57</v>
      </c>
      <c r="AA448" s="44">
        <f t="shared" si="391"/>
        <v>0</v>
      </c>
      <c r="AB448" s="50"/>
      <c r="AC448" s="119">
        <v>5</v>
      </c>
      <c r="AD448" s="115">
        <f>Inputs!$A$51</f>
        <v>0</v>
      </c>
      <c r="AE448" s="44">
        <f>Inputs!$B$51</f>
        <v>0</v>
      </c>
      <c r="AF448" s="44" t="s">
        <v>58</v>
      </c>
      <c r="AG448" s="44">
        <f t="shared" si="392"/>
        <v>0</v>
      </c>
      <c r="AH448" s="50"/>
      <c r="AI448" s="44">
        <v>0</v>
      </c>
      <c r="AJ448" s="44">
        <v>0</v>
      </c>
      <c r="AK448" s="44">
        <f>AP448-AI435-AA448-AG448</f>
        <v>0</v>
      </c>
      <c r="AL448" s="50"/>
      <c r="AM448" s="44">
        <f t="shared" si="446"/>
        <v>0</v>
      </c>
      <c r="AN448" s="63">
        <f>AI448*Inputs!$F$51*Inputs!$G$51</f>
        <v>0</v>
      </c>
      <c r="AO448" s="44">
        <f>Inputs!$F$51*Inputs!$I$51*AJ448</f>
        <v>0</v>
      </c>
      <c r="AP448" s="55"/>
      <c r="AR448" s="117">
        <v>5</v>
      </c>
      <c r="AS448" s="115">
        <f>Inputs!$A$51</f>
        <v>0</v>
      </c>
      <c r="AT448" s="44">
        <f>Inputs!$B$51</f>
        <v>0</v>
      </c>
      <c r="AU448" s="44" t="s">
        <v>57</v>
      </c>
      <c r="AV448" s="44">
        <f t="shared" si="396"/>
        <v>0</v>
      </c>
      <c r="AW448" s="50"/>
      <c r="AX448" s="119">
        <v>5</v>
      </c>
      <c r="AY448" s="115">
        <f>Inputs!$A$51</f>
        <v>0</v>
      </c>
      <c r="AZ448" s="44">
        <f>Inputs!$B$51</f>
        <v>0</v>
      </c>
      <c r="BA448" s="44" t="s">
        <v>58</v>
      </c>
      <c r="BB448" s="44">
        <f t="shared" si="393"/>
        <v>0</v>
      </c>
      <c r="BC448" s="50"/>
      <c r="BD448" s="44">
        <v>0</v>
      </c>
      <c r="BE448" s="44">
        <v>0</v>
      </c>
      <c r="BF448" s="44">
        <f>BK448-BD435-AV448-BB448</f>
        <v>0</v>
      </c>
      <c r="BG448" s="50"/>
      <c r="BH448" s="44">
        <f t="shared" si="447"/>
        <v>0</v>
      </c>
      <c r="BI448" s="63">
        <f>BD448*Inputs!$F$51*Inputs!$G$51</f>
        <v>0</v>
      </c>
      <c r="BJ448" s="44">
        <f>Inputs!$F$51*Inputs!$I$51*BE448</f>
        <v>0</v>
      </c>
      <c r="BK448" s="55"/>
      <c r="BM448" s="117">
        <v>5</v>
      </c>
      <c r="BN448" s="115">
        <f>Inputs!$A$51</f>
        <v>0</v>
      </c>
      <c r="BO448" s="44">
        <f>Inputs!$B$51</f>
        <v>0</v>
      </c>
      <c r="BP448" s="44" t="s">
        <v>57</v>
      </c>
      <c r="BQ448" s="44">
        <f t="shared" si="394"/>
        <v>0</v>
      </c>
      <c r="BR448" s="50"/>
      <c r="BS448" s="119">
        <v>5</v>
      </c>
      <c r="BT448" s="115">
        <f>Inputs!$A$51</f>
        <v>0</v>
      </c>
      <c r="BU448" s="44">
        <f>Inputs!$B$51</f>
        <v>0</v>
      </c>
      <c r="BV448" s="44" t="s">
        <v>58</v>
      </c>
      <c r="BW448" s="44">
        <f t="shared" si="395"/>
        <v>0</v>
      </c>
      <c r="BX448" s="50"/>
      <c r="BY448" s="44">
        <v>0</v>
      </c>
      <c r="BZ448" s="44">
        <v>0</v>
      </c>
      <c r="CA448" s="44">
        <f>CF448-BY435-BQ448-BW448</f>
        <v>0</v>
      </c>
      <c r="CB448" s="50"/>
      <c r="CC448" s="44">
        <f t="shared" si="448"/>
        <v>0</v>
      </c>
      <c r="CD448" s="63">
        <f>BY448*Inputs!$F$51*Inputs!$G$51</f>
        <v>0</v>
      </c>
      <c r="CE448" s="44">
        <f>Inputs!$F$51*Inputs!$I$51*BZ448</f>
        <v>0</v>
      </c>
      <c r="CF448" s="55"/>
    </row>
    <row r="449" spans="1:84" x14ac:dyDescent="0.25">
      <c r="A449" s="117">
        <v>6</v>
      </c>
      <c r="B449" s="115">
        <f>Inputs!$A$51</f>
        <v>0</v>
      </c>
      <c r="C449" s="44">
        <f>Inputs!$B$51</f>
        <v>0</v>
      </c>
      <c r="D449" s="44" t="s">
        <v>57</v>
      </c>
      <c r="E449" s="44">
        <v>0</v>
      </c>
      <c r="F449" s="50"/>
      <c r="G449" s="119">
        <v>6</v>
      </c>
      <c r="H449" s="115">
        <f>Inputs!$A$51</f>
        <v>0</v>
      </c>
      <c r="I449" s="44">
        <f>Inputs!$B$51</f>
        <v>0</v>
      </c>
      <c r="J449" s="44" t="s">
        <v>58</v>
      </c>
      <c r="K449" s="44">
        <v>0</v>
      </c>
      <c r="L449" s="50"/>
      <c r="M449" s="44">
        <v>0</v>
      </c>
      <c r="N449" s="44">
        <v>0</v>
      </c>
      <c r="O449" s="44">
        <f t="shared" ref="O449:O454" si="449">U449-M437-E449-K449</f>
        <v>0</v>
      </c>
      <c r="P449" s="50"/>
      <c r="Q449" s="44">
        <f t="shared" si="445"/>
        <v>0</v>
      </c>
      <c r="R449" s="63">
        <f>M449*Inputs!$F$51*Inputs!$G$51</f>
        <v>0</v>
      </c>
      <c r="S449" s="44">
        <f>Inputs!$F$51*Inputs!$I$51*N449</f>
        <v>0</v>
      </c>
      <c r="T449" s="18"/>
      <c r="U449" s="55"/>
      <c r="W449" s="117">
        <v>6</v>
      </c>
      <c r="X449" s="115">
        <f>Inputs!$A$51</f>
        <v>0</v>
      </c>
      <c r="Y449" s="44">
        <f>Inputs!$B$51</f>
        <v>0</v>
      </c>
      <c r="Z449" s="44" t="s">
        <v>57</v>
      </c>
      <c r="AA449" s="44">
        <f t="shared" si="391"/>
        <v>0</v>
      </c>
      <c r="AB449" s="50"/>
      <c r="AC449" s="119">
        <v>6</v>
      </c>
      <c r="AD449" s="115">
        <f>Inputs!$A$51</f>
        <v>0</v>
      </c>
      <c r="AE449" s="44">
        <f>Inputs!$B$51</f>
        <v>0</v>
      </c>
      <c r="AF449" s="44" t="s">
        <v>58</v>
      </c>
      <c r="AG449" s="44">
        <f t="shared" si="392"/>
        <v>0</v>
      </c>
      <c r="AH449" s="50"/>
      <c r="AI449" s="44">
        <v>0</v>
      </c>
      <c r="AJ449" s="44">
        <v>0</v>
      </c>
      <c r="AK449" s="44">
        <f t="shared" ref="AK449:AK454" si="450">AP449-AI437-AA449-AG449</f>
        <v>0</v>
      </c>
      <c r="AL449" s="50"/>
      <c r="AM449" s="44">
        <f t="shared" si="446"/>
        <v>0</v>
      </c>
      <c r="AN449" s="63">
        <f>AI449*Inputs!$F$51*Inputs!$G$51</f>
        <v>0</v>
      </c>
      <c r="AO449" s="44">
        <f>Inputs!$F$51*Inputs!$I$51*AJ449</f>
        <v>0</v>
      </c>
      <c r="AP449" s="55"/>
      <c r="AR449" s="117">
        <v>6</v>
      </c>
      <c r="AS449" s="115">
        <f>Inputs!$A$51</f>
        <v>0</v>
      </c>
      <c r="AT449" s="44">
        <f>Inputs!$B$51</f>
        <v>0</v>
      </c>
      <c r="AU449" s="44" t="s">
        <v>57</v>
      </c>
      <c r="AV449" s="44">
        <f t="shared" si="396"/>
        <v>0</v>
      </c>
      <c r="AW449" s="50"/>
      <c r="AX449" s="119">
        <v>6</v>
      </c>
      <c r="AY449" s="115">
        <f>Inputs!$A$51</f>
        <v>0</v>
      </c>
      <c r="AZ449" s="44">
        <f>Inputs!$B$51</f>
        <v>0</v>
      </c>
      <c r="BA449" s="44" t="s">
        <v>58</v>
      </c>
      <c r="BB449" s="44">
        <f t="shared" si="393"/>
        <v>0</v>
      </c>
      <c r="BC449" s="50"/>
      <c r="BD449" s="44">
        <v>0</v>
      </c>
      <c r="BE449" s="44">
        <v>0</v>
      </c>
      <c r="BF449" s="44">
        <f t="shared" ref="BF449:BF454" si="451">BK449-BD437-AV449-BB449</f>
        <v>0</v>
      </c>
      <c r="BG449" s="50"/>
      <c r="BH449" s="44">
        <f t="shared" si="447"/>
        <v>0</v>
      </c>
      <c r="BI449" s="63">
        <f>BD449*Inputs!$F$51*Inputs!$G$51</f>
        <v>0</v>
      </c>
      <c r="BJ449" s="44">
        <f>Inputs!$F$51*Inputs!$I$51*BE449</f>
        <v>0</v>
      </c>
      <c r="BK449" s="55"/>
      <c r="BM449" s="117">
        <v>6</v>
      </c>
      <c r="BN449" s="115">
        <f>Inputs!$A$51</f>
        <v>0</v>
      </c>
      <c r="BO449" s="44">
        <f>Inputs!$B$51</f>
        <v>0</v>
      </c>
      <c r="BP449" s="44" t="s">
        <v>57</v>
      </c>
      <c r="BQ449" s="44">
        <f t="shared" si="394"/>
        <v>0</v>
      </c>
      <c r="BR449" s="50"/>
      <c r="BS449" s="119">
        <v>6</v>
      </c>
      <c r="BT449" s="115">
        <f>Inputs!$A$51</f>
        <v>0</v>
      </c>
      <c r="BU449" s="44">
        <f>Inputs!$B$51</f>
        <v>0</v>
      </c>
      <c r="BV449" s="44" t="s">
        <v>58</v>
      </c>
      <c r="BW449" s="44">
        <f t="shared" si="395"/>
        <v>0</v>
      </c>
      <c r="BX449" s="50"/>
      <c r="BY449" s="44">
        <v>0</v>
      </c>
      <c r="BZ449" s="44">
        <v>0</v>
      </c>
      <c r="CA449" s="44">
        <f t="shared" ref="CA449:CA454" si="452">CF449-BY437-BQ449-BW449</f>
        <v>0</v>
      </c>
      <c r="CB449" s="50"/>
      <c r="CC449" s="44">
        <f t="shared" si="448"/>
        <v>0</v>
      </c>
      <c r="CD449" s="63">
        <f>BY449*Inputs!$F$51*Inputs!$G$51</f>
        <v>0</v>
      </c>
      <c r="CE449" s="44">
        <f>Inputs!$F$51*Inputs!$I$51*BZ449</f>
        <v>0</v>
      </c>
      <c r="CF449" s="55"/>
    </row>
    <row r="450" spans="1:84" x14ac:dyDescent="0.25">
      <c r="A450" s="117">
        <v>7</v>
      </c>
      <c r="B450" s="115">
        <f>Inputs!$A$51</f>
        <v>0</v>
      </c>
      <c r="C450" s="44">
        <f>Inputs!$B$51</f>
        <v>0</v>
      </c>
      <c r="D450" s="44" t="s">
        <v>57</v>
      </c>
      <c r="E450" s="44">
        <v>0</v>
      </c>
      <c r="F450" s="50"/>
      <c r="G450" s="119">
        <v>7</v>
      </c>
      <c r="H450" s="115">
        <f>Inputs!$A$51</f>
        <v>0</v>
      </c>
      <c r="I450" s="44">
        <f>Inputs!$B$51</f>
        <v>0</v>
      </c>
      <c r="J450" s="44" t="s">
        <v>58</v>
      </c>
      <c r="K450" s="44">
        <v>0</v>
      </c>
      <c r="L450" s="50"/>
      <c r="M450" s="44">
        <v>0</v>
      </c>
      <c r="N450" s="44">
        <v>0</v>
      </c>
      <c r="O450" s="44">
        <f t="shared" si="449"/>
        <v>0</v>
      </c>
      <c r="P450" s="50"/>
      <c r="Q450" s="44">
        <f t="shared" si="445"/>
        <v>0</v>
      </c>
      <c r="R450" s="63">
        <f>M450*Inputs!$F$51*Inputs!$G$51</f>
        <v>0</v>
      </c>
      <c r="S450" s="44">
        <f>Inputs!$F$51*Inputs!$I$51*N450</f>
        <v>0</v>
      </c>
      <c r="T450" s="18"/>
      <c r="U450" s="55"/>
      <c r="W450" s="117">
        <v>7</v>
      </c>
      <c r="X450" s="115">
        <f>Inputs!$A$51</f>
        <v>0</v>
      </c>
      <c r="Y450" s="44">
        <f>Inputs!$B$51</f>
        <v>0</v>
      </c>
      <c r="Z450" s="44" t="s">
        <v>57</v>
      </c>
      <c r="AA450" s="44">
        <f t="shared" si="391"/>
        <v>0</v>
      </c>
      <c r="AB450" s="50"/>
      <c r="AC450" s="119">
        <v>7</v>
      </c>
      <c r="AD450" s="115">
        <f>Inputs!$A$51</f>
        <v>0</v>
      </c>
      <c r="AE450" s="44">
        <f>Inputs!$B$51</f>
        <v>0</v>
      </c>
      <c r="AF450" s="44" t="s">
        <v>58</v>
      </c>
      <c r="AG450" s="44">
        <f t="shared" si="392"/>
        <v>0</v>
      </c>
      <c r="AH450" s="50"/>
      <c r="AI450" s="44">
        <v>0</v>
      </c>
      <c r="AJ450" s="44">
        <v>0</v>
      </c>
      <c r="AK450" s="44">
        <f t="shared" si="450"/>
        <v>0</v>
      </c>
      <c r="AL450" s="50"/>
      <c r="AM450" s="44">
        <f t="shared" si="446"/>
        <v>0</v>
      </c>
      <c r="AN450" s="63">
        <f>AI450*Inputs!$F$51*Inputs!$G$51</f>
        <v>0</v>
      </c>
      <c r="AO450" s="44">
        <f>Inputs!$F$51*Inputs!$I$51*AJ450</f>
        <v>0</v>
      </c>
      <c r="AP450" s="55"/>
      <c r="AR450" s="117">
        <v>7</v>
      </c>
      <c r="AS450" s="115">
        <f>Inputs!$A$51</f>
        <v>0</v>
      </c>
      <c r="AT450" s="44">
        <f>Inputs!$B$51</f>
        <v>0</v>
      </c>
      <c r="AU450" s="44" t="s">
        <v>57</v>
      </c>
      <c r="AV450" s="44">
        <f t="shared" si="396"/>
        <v>0</v>
      </c>
      <c r="AW450" s="50"/>
      <c r="AX450" s="119">
        <v>7</v>
      </c>
      <c r="AY450" s="115">
        <f>Inputs!$A$51</f>
        <v>0</v>
      </c>
      <c r="AZ450" s="44">
        <f>Inputs!$B$51</f>
        <v>0</v>
      </c>
      <c r="BA450" s="44" t="s">
        <v>58</v>
      </c>
      <c r="BB450" s="44">
        <f t="shared" si="393"/>
        <v>0</v>
      </c>
      <c r="BC450" s="50"/>
      <c r="BD450" s="44">
        <v>0</v>
      </c>
      <c r="BE450" s="44">
        <v>0</v>
      </c>
      <c r="BF450" s="44">
        <f t="shared" si="451"/>
        <v>0</v>
      </c>
      <c r="BG450" s="50"/>
      <c r="BH450" s="44">
        <f t="shared" si="447"/>
        <v>0</v>
      </c>
      <c r="BI450" s="63">
        <f>BD450*Inputs!$F$51*Inputs!$G$51</f>
        <v>0</v>
      </c>
      <c r="BJ450" s="44">
        <f>Inputs!$F$51*Inputs!$I$51*BE450</f>
        <v>0</v>
      </c>
      <c r="BK450" s="55"/>
      <c r="BM450" s="117">
        <v>7</v>
      </c>
      <c r="BN450" s="115">
        <f>Inputs!$A$51</f>
        <v>0</v>
      </c>
      <c r="BO450" s="44">
        <f>Inputs!$B$51</f>
        <v>0</v>
      </c>
      <c r="BP450" s="44" t="s">
        <v>57</v>
      </c>
      <c r="BQ450" s="44">
        <f t="shared" si="394"/>
        <v>0</v>
      </c>
      <c r="BR450" s="50"/>
      <c r="BS450" s="119">
        <v>7</v>
      </c>
      <c r="BT450" s="115">
        <f>Inputs!$A$51</f>
        <v>0</v>
      </c>
      <c r="BU450" s="44">
        <f>Inputs!$B$51</f>
        <v>0</v>
      </c>
      <c r="BV450" s="44" t="s">
        <v>58</v>
      </c>
      <c r="BW450" s="44">
        <f t="shared" si="395"/>
        <v>0</v>
      </c>
      <c r="BX450" s="50"/>
      <c r="BY450" s="44">
        <v>0</v>
      </c>
      <c r="BZ450" s="44">
        <v>0</v>
      </c>
      <c r="CA450" s="44">
        <f t="shared" si="452"/>
        <v>0</v>
      </c>
      <c r="CB450" s="50"/>
      <c r="CC450" s="44">
        <f t="shared" si="448"/>
        <v>0</v>
      </c>
      <c r="CD450" s="63">
        <f>BY450*Inputs!$F$51*Inputs!$G$51</f>
        <v>0</v>
      </c>
      <c r="CE450" s="44">
        <f>Inputs!$F$51*Inputs!$I$51*BZ450</f>
        <v>0</v>
      </c>
      <c r="CF450" s="55"/>
    </row>
    <row r="451" spans="1:84" x14ac:dyDescent="0.25">
      <c r="A451" s="117">
        <v>8</v>
      </c>
      <c r="B451" s="115">
        <f>Inputs!$A$51</f>
        <v>0</v>
      </c>
      <c r="C451" s="44">
        <f>Inputs!$B$51</f>
        <v>0</v>
      </c>
      <c r="D451" s="44" t="s">
        <v>57</v>
      </c>
      <c r="E451" s="44">
        <v>0</v>
      </c>
      <c r="F451" s="50"/>
      <c r="G451" s="119">
        <v>8</v>
      </c>
      <c r="H451" s="115">
        <f>Inputs!$A$51</f>
        <v>0</v>
      </c>
      <c r="I451" s="44">
        <f>Inputs!$B$51</f>
        <v>0</v>
      </c>
      <c r="J451" s="44" t="s">
        <v>58</v>
      </c>
      <c r="K451" s="44">
        <v>0</v>
      </c>
      <c r="L451" s="50"/>
      <c r="M451" s="44">
        <v>0</v>
      </c>
      <c r="N451" s="44">
        <v>0</v>
      </c>
      <c r="O451" s="44">
        <f t="shared" si="449"/>
        <v>0</v>
      </c>
      <c r="P451" s="50"/>
      <c r="Q451" s="44">
        <f t="shared" si="445"/>
        <v>0</v>
      </c>
      <c r="R451" s="63">
        <f>M451*Inputs!$F$51*Inputs!$G$51</f>
        <v>0</v>
      </c>
      <c r="S451" s="44">
        <f>Inputs!$F$51*Inputs!$I$51*N451</f>
        <v>0</v>
      </c>
      <c r="T451" s="18"/>
      <c r="U451" s="55"/>
      <c r="W451" s="117">
        <v>8</v>
      </c>
      <c r="X451" s="115">
        <f>Inputs!$A$51</f>
        <v>0</v>
      </c>
      <c r="Y451" s="44">
        <f>Inputs!$B$51</f>
        <v>0</v>
      </c>
      <c r="Z451" s="44" t="s">
        <v>57</v>
      </c>
      <c r="AA451" s="44">
        <f t="shared" si="391"/>
        <v>0</v>
      </c>
      <c r="AB451" s="50"/>
      <c r="AC451" s="119">
        <v>8</v>
      </c>
      <c r="AD451" s="115">
        <f>Inputs!$A$51</f>
        <v>0</v>
      </c>
      <c r="AE451" s="44">
        <f>Inputs!$B$51</f>
        <v>0</v>
      </c>
      <c r="AF451" s="44" t="s">
        <v>58</v>
      </c>
      <c r="AG451" s="44">
        <f t="shared" si="392"/>
        <v>0</v>
      </c>
      <c r="AH451" s="50"/>
      <c r="AI451" s="44">
        <v>0</v>
      </c>
      <c r="AJ451" s="44">
        <v>0</v>
      </c>
      <c r="AK451" s="44">
        <f t="shared" si="450"/>
        <v>0</v>
      </c>
      <c r="AL451" s="50"/>
      <c r="AM451" s="44">
        <f t="shared" si="446"/>
        <v>0</v>
      </c>
      <c r="AN451" s="63">
        <f>AI451*Inputs!$F$51*Inputs!$G$51</f>
        <v>0</v>
      </c>
      <c r="AO451" s="44">
        <f>Inputs!$F$51*Inputs!$I$51*AJ451</f>
        <v>0</v>
      </c>
      <c r="AP451" s="55"/>
      <c r="AR451" s="117">
        <v>8</v>
      </c>
      <c r="AS451" s="115">
        <f>Inputs!$A$51</f>
        <v>0</v>
      </c>
      <c r="AT451" s="44">
        <f>Inputs!$B$51</f>
        <v>0</v>
      </c>
      <c r="AU451" s="44" t="s">
        <v>57</v>
      </c>
      <c r="AV451" s="44">
        <f t="shared" si="396"/>
        <v>0</v>
      </c>
      <c r="AW451" s="50"/>
      <c r="AX451" s="119">
        <v>8</v>
      </c>
      <c r="AY451" s="115">
        <f>Inputs!$A$51</f>
        <v>0</v>
      </c>
      <c r="AZ451" s="44">
        <f>Inputs!$B$51</f>
        <v>0</v>
      </c>
      <c r="BA451" s="44" t="s">
        <v>58</v>
      </c>
      <c r="BB451" s="44">
        <f t="shared" si="393"/>
        <v>0</v>
      </c>
      <c r="BC451" s="50"/>
      <c r="BD451" s="44">
        <v>0</v>
      </c>
      <c r="BE451" s="44">
        <v>0</v>
      </c>
      <c r="BF451" s="44">
        <f t="shared" si="451"/>
        <v>0</v>
      </c>
      <c r="BG451" s="50"/>
      <c r="BH451" s="44">
        <f t="shared" si="447"/>
        <v>0</v>
      </c>
      <c r="BI451" s="63">
        <f>BD451*Inputs!$F$51*Inputs!$G$51</f>
        <v>0</v>
      </c>
      <c r="BJ451" s="44">
        <f>Inputs!$F$51*Inputs!$I$51*BE451</f>
        <v>0</v>
      </c>
      <c r="BK451" s="55"/>
      <c r="BM451" s="117">
        <v>8</v>
      </c>
      <c r="BN451" s="115">
        <f>Inputs!$A$51</f>
        <v>0</v>
      </c>
      <c r="BO451" s="44">
        <f>Inputs!$B$51</f>
        <v>0</v>
      </c>
      <c r="BP451" s="44" t="s">
        <v>57</v>
      </c>
      <c r="BQ451" s="44">
        <f t="shared" si="394"/>
        <v>0</v>
      </c>
      <c r="BR451" s="50"/>
      <c r="BS451" s="119">
        <v>8</v>
      </c>
      <c r="BT451" s="115">
        <f>Inputs!$A$51</f>
        <v>0</v>
      </c>
      <c r="BU451" s="44">
        <f>Inputs!$B$51</f>
        <v>0</v>
      </c>
      <c r="BV451" s="44" t="s">
        <v>58</v>
      </c>
      <c r="BW451" s="44">
        <f t="shared" si="395"/>
        <v>0</v>
      </c>
      <c r="BX451" s="50"/>
      <c r="BY451" s="44">
        <v>0</v>
      </c>
      <c r="BZ451" s="44">
        <v>0</v>
      </c>
      <c r="CA451" s="44">
        <f t="shared" si="452"/>
        <v>0</v>
      </c>
      <c r="CB451" s="50"/>
      <c r="CC451" s="44">
        <f t="shared" si="448"/>
        <v>0</v>
      </c>
      <c r="CD451" s="63">
        <f>BY451*Inputs!$F$51*Inputs!$G$51</f>
        <v>0</v>
      </c>
      <c r="CE451" s="44">
        <f>Inputs!$F$51*Inputs!$I$51*BZ451</f>
        <v>0</v>
      </c>
      <c r="CF451" s="55"/>
    </row>
    <row r="452" spans="1:84" x14ac:dyDescent="0.25">
      <c r="A452" s="117">
        <v>9</v>
      </c>
      <c r="B452" s="115">
        <f>Inputs!$A$51</f>
        <v>0</v>
      </c>
      <c r="C452" s="44">
        <f>Inputs!$B$51</f>
        <v>0</v>
      </c>
      <c r="D452" s="44" t="s">
        <v>57</v>
      </c>
      <c r="E452" s="44">
        <v>0</v>
      </c>
      <c r="F452" s="50"/>
      <c r="G452" s="119">
        <v>9</v>
      </c>
      <c r="H452" s="115">
        <f>Inputs!$A$51</f>
        <v>0</v>
      </c>
      <c r="I452" s="44">
        <f>Inputs!$B$51</f>
        <v>0</v>
      </c>
      <c r="J452" s="44" t="s">
        <v>58</v>
      </c>
      <c r="K452" s="44">
        <v>0</v>
      </c>
      <c r="L452" s="50"/>
      <c r="M452" s="44">
        <v>0</v>
      </c>
      <c r="N452" s="44">
        <v>0</v>
      </c>
      <c r="O452" s="44">
        <f t="shared" si="449"/>
        <v>0</v>
      </c>
      <c r="P452" s="50"/>
      <c r="Q452" s="44">
        <f t="shared" si="445"/>
        <v>0</v>
      </c>
      <c r="R452" s="63">
        <f>M452*Inputs!$F$51*Inputs!$G$51</f>
        <v>0</v>
      </c>
      <c r="S452" s="44">
        <f>Inputs!$F$51*Inputs!$I$51*N452</f>
        <v>0</v>
      </c>
      <c r="T452" s="18"/>
      <c r="U452" s="55"/>
      <c r="W452" s="117">
        <v>9</v>
      </c>
      <c r="X452" s="115">
        <f>Inputs!$A$51</f>
        <v>0</v>
      </c>
      <c r="Y452" s="44">
        <f>Inputs!$B$51</f>
        <v>0</v>
      </c>
      <c r="Z452" s="44" t="s">
        <v>57</v>
      </c>
      <c r="AA452" s="44">
        <f t="shared" si="391"/>
        <v>0</v>
      </c>
      <c r="AB452" s="50"/>
      <c r="AC452" s="119">
        <v>9</v>
      </c>
      <c r="AD452" s="115">
        <f>Inputs!$A$51</f>
        <v>0</v>
      </c>
      <c r="AE452" s="44">
        <f>Inputs!$B$51</f>
        <v>0</v>
      </c>
      <c r="AF452" s="44" t="s">
        <v>58</v>
      </c>
      <c r="AG452" s="44">
        <f t="shared" si="392"/>
        <v>0</v>
      </c>
      <c r="AH452" s="50"/>
      <c r="AI452" s="44">
        <v>0</v>
      </c>
      <c r="AJ452" s="44">
        <v>0</v>
      </c>
      <c r="AK452" s="44">
        <f t="shared" si="450"/>
        <v>0</v>
      </c>
      <c r="AL452" s="50"/>
      <c r="AM452" s="44">
        <f t="shared" si="446"/>
        <v>0</v>
      </c>
      <c r="AN452" s="63">
        <f>AI452*Inputs!$F$51*Inputs!$G$51</f>
        <v>0</v>
      </c>
      <c r="AO452" s="44">
        <f>Inputs!$F$51*Inputs!$I$51*AJ452</f>
        <v>0</v>
      </c>
      <c r="AP452" s="55"/>
      <c r="AR452" s="117">
        <v>9</v>
      </c>
      <c r="AS452" s="115">
        <f>Inputs!$A$51</f>
        <v>0</v>
      </c>
      <c r="AT452" s="44">
        <f>Inputs!$B$51</f>
        <v>0</v>
      </c>
      <c r="AU452" s="44" t="s">
        <v>57</v>
      </c>
      <c r="AV452" s="44">
        <f t="shared" si="396"/>
        <v>0</v>
      </c>
      <c r="AW452" s="50"/>
      <c r="AX452" s="119">
        <v>9</v>
      </c>
      <c r="AY452" s="115">
        <f>Inputs!$A$51</f>
        <v>0</v>
      </c>
      <c r="AZ452" s="44">
        <f>Inputs!$B$51</f>
        <v>0</v>
      </c>
      <c r="BA452" s="44" t="s">
        <v>58</v>
      </c>
      <c r="BB452" s="44">
        <f t="shared" si="393"/>
        <v>0</v>
      </c>
      <c r="BC452" s="50"/>
      <c r="BD452" s="44">
        <v>0</v>
      </c>
      <c r="BE452" s="44">
        <v>0</v>
      </c>
      <c r="BF452" s="44">
        <f t="shared" si="451"/>
        <v>0</v>
      </c>
      <c r="BG452" s="50"/>
      <c r="BH452" s="44">
        <f t="shared" si="447"/>
        <v>0</v>
      </c>
      <c r="BI452" s="63">
        <f>BD452*Inputs!$F$51*Inputs!$G$51</f>
        <v>0</v>
      </c>
      <c r="BJ452" s="44">
        <f>Inputs!$F$51*Inputs!$I$51*BE452</f>
        <v>0</v>
      </c>
      <c r="BK452" s="55"/>
      <c r="BM452" s="117">
        <v>9</v>
      </c>
      <c r="BN452" s="115">
        <f>Inputs!$A$51</f>
        <v>0</v>
      </c>
      <c r="BO452" s="44">
        <f>Inputs!$B$51</f>
        <v>0</v>
      </c>
      <c r="BP452" s="44" t="s">
        <v>57</v>
      </c>
      <c r="BQ452" s="44">
        <f t="shared" si="394"/>
        <v>0</v>
      </c>
      <c r="BR452" s="50"/>
      <c r="BS452" s="119">
        <v>9</v>
      </c>
      <c r="BT452" s="115">
        <f>Inputs!$A$51</f>
        <v>0</v>
      </c>
      <c r="BU452" s="44">
        <f>Inputs!$B$51</f>
        <v>0</v>
      </c>
      <c r="BV452" s="44" t="s">
        <v>58</v>
      </c>
      <c r="BW452" s="44">
        <f t="shared" si="395"/>
        <v>0</v>
      </c>
      <c r="BX452" s="50"/>
      <c r="BY452" s="44">
        <v>0</v>
      </c>
      <c r="BZ452" s="44">
        <v>0</v>
      </c>
      <c r="CA452" s="44">
        <f t="shared" si="452"/>
        <v>0</v>
      </c>
      <c r="CB452" s="50"/>
      <c r="CC452" s="44">
        <f t="shared" si="448"/>
        <v>0</v>
      </c>
      <c r="CD452" s="63">
        <f>BY452*Inputs!$F$51*Inputs!$G$51</f>
        <v>0</v>
      </c>
      <c r="CE452" s="44">
        <f>Inputs!$F$51*Inputs!$I$51*BZ452</f>
        <v>0</v>
      </c>
      <c r="CF452" s="55"/>
    </row>
    <row r="453" spans="1:84" x14ac:dyDescent="0.25">
      <c r="A453" s="117">
        <v>10</v>
      </c>
      <c r="B453" s="115">
        <f>Inputs!$A$51</f>
        <v>0</v>
      </c>
      <c r="C453" s="44">
        <f>Inputs!$B$51</f>
        <v>0</v>
      </c>
      <c r="D453" s="44" t="s">
        <v>57</v>
      </c>
      <c r="E453" s="44">
        <v>0</v>
      </c>
      <c r="F453" s="50"/>
      <c r="G453" s="119">
        <v>10</v>
      </c>
      <c r="H453" s="115">
        <f>Inputs!$A$51</f>
        <v>0</v>
      </c>
      <c r="I453" s="44">
        <f>Inputs!$B$51</f>
        <v>0</v>
      </c>
      <c r="J453" s="44" t="s">
        <v>58</v>
      </c>
      <c r="K453" s="44">
        <v>0</v>
      </c>
      <c r="L453" s="50"/>
      <c r="M453" s="44">
        <v>0</v>
      </c>
      <c r="N453" s="44">
        <v>0</v>
      </c>
      <c r="O453" s="44">
        <f t="shared" si="449"/>
        <v>0</v>
      </c>
      <c r="P453" s="50"/>
      <c r="Q453" s="44">
        <f t="shared" si="445"/>
        <v>0</v>
      </c>
      <c r="R453" s="63">
        <f>M453*Inputs!$F$51*Inputs!$G$51</f>
        <v>0</v>
      </c>
      <c r="S453" s="44">
        <f>Inputs!$F$51*Inputs!$I$51*N453</f>
        <v>0</v>
      </c>
      <c r="T453" s="18"/>
      <c r="U453" s="91"/>
      <c r="W453" s="117">
        <v>10</v>
      </c>
      <c r="X453" s="115">
        <f>Inputs!$A$51</f>
        <v>0</v>
      </c>
      <c r="Y453" s="44">
        <f>Inputs!$B$51</f>
        <v>0</v>
      </c>
      <c r="Z453" s="44" t="s">
        <v>57</v>
      </c>
      <c r="AA453" s="44">
        <f t="shared" si="391"/>
        <v>0</v>
      </c>
      <c r="AB453" s="50"/>
      <c r="AC453" s="119">
        <v>10</v>
      </c>
      <c r="AD453" s="115">
        <f>Inputs!$A$51</f>
        <v>0</v>
      </c>
      <c r="AE453" s="44">
        <f>Inputs!$B$51</f>
        <v>0</v>
      </c>
      <c r="AF453" s="44" t="s">
        <v>58</v>
      </c>
      <c r="AG453" s="44">
        <f t="shared" si="392"/>
        <v>0</v>
      </c>
      <c r="AH453" s="50"/>
      <c r="AI453" s="44">
        <v>0</v>
      </c>
      <c r="AJ453" s="44">
        <v>0</v>
      </c>
      <c r="AK453" s="44">
        <f t="shared" si="450"/>
        <v>0</v>
      </c>
      <c r="AL453" s="50"/>
      <c r="AM453" s="44">
        <f t="shared" si="446"/>
        <v>0</v>
      </c>
      <c r="AN453" s="63">
        <f>AI453*Inputs!$F$51*Inputs!$G$51</f>
        <v>0</v>
      </c>
      <c r="AO453" s="44">
        <f>Inputs!$F$51*Inputs!$I$51*AJ453</f>
        <v>0</v>
      </c>
      <c r="AP453" s="91"/>
      <c r="AR453" s="117">
        <v>10</v>
      </c>
      <c r="AS453" s="115">
        <f>Inputs!$A$51</f>
        <v>0</v>
      </c>
      <c r="AT453" s="44">
        <f>Inputs!$B$51</f>
        <v>0</v>
      </c>
      <c r="AU453" s="44" t="s">
        <v>57</v>
      </c>
      <c r="AV453" s="44">
        <f t="shared" si="396"/>
        <v>0</v>
      </c>
      <c r="AW453" s="50"/>
      <c r="AX453" s="119">
        <v>10</v>
      </c>
      <c r="AY453" s="115">
        <f>Inputs!$A$51</f>
        <v>0</v>
      </c>
      <c r="AZ453" s="44">
        <f>Inputs!$B$51</f>
        <v>0</v>
      </c>
      <c r="BA453" s="44" t="s">
        <v>58</v>
      </c>
      <c r="BB453" s="44">
        <f t="shared" si="393"/>
        <v>0</v>
      </c>
      <c r="BC453" s="50"/>
      <c r="BD453" s="44">
        <v>0</v>
      </c>
      <c r="BE453" s="44">
        <v>0</v>
      </c>
      <c r="BF453" s="44">
        <f t="shared" si="451"/>
        <v>0</v>
      </c>
      <c r="BG453" s="50"/>
      <c r="BH453" s="44">
        <f t="shared" si="447"/>
        <v>0</v>
      </c>
      <c r="BI453" s="63">
        <f>BD453*Inputs!$F$51*Inputs!$G$51</f>
        <v>0</v>
      </c>
      <c r="BJ453" s="44">
        <f>Inputs!$F$51*Inputs!$I$51*BE453</f>
        <v>0</v>
      </c>
      <c r="BK453" s="91"/>
      <c r="BM453" s="117">
        <v>10</v>
      </c>
      <c r="BN453" s="115">
        <f>Inputs!$A$51</f>
        <v>0</v>
      </c>
      <c r="BO453" s="44">
        <f>Inputs!$B$51</f>
        <v>0</v>
      </c>
      <c r="BP453" s="44" t="s">
        <v>57</v>
      </c>
      <c r="BQ453" s="44">
        <f t="shared" si="394"/>
        <v>0</v>
      </c>
      <c r="BR453" s="50"/>
      <c r="BS453" s="119">
        <v>10</v>
      </c>
      <c r="BT453" s="115">
        <f>Inputs!$A$51</f>
        <v>0</v>
      </c>
      <c r="BU453" s="44">
        <f>Inputs!$B$51</f>
        <v>0</v>
      </c>
      <c r="BV453" s="44" t="s">
        <v>58</v>
      </c>
      <c r="BW453" s="44">
        <f t="shared" si="395"/>
        <v>0</v>
      </c>
      <c r="BX453" s="50"/>
      <c r="BY453" s="44">
        <v>0</v>
      </c>
      <c r="BZ453" s="44">
        <v>0</v>
      </c>
      <c r="CA453" s="44">
        <f t="shared" si="452"/>
        <v>0</v>
      </c>
      <c r="CB453" s="50"/>
      <c r="CC453" s="44">
        <f t="shared" si="448"/>
        <v>0</v>
      </c>
      <c r="CD453" s="63">
        <f>BY453*Inputs!$F$51*Inputs!$G$51</f>
        <v>0</v>
      </c>
      <c r="CE453" s="44">
        <f>Inputs!$F$51*Inputs!$I$51*BZ453</f>
        <v>0</v>
      </c>
      <c r="CF453" s="91"/>
    </row>
    <row r="454" spans="1:84" x14ac:dyDescent="0.25">
      <c r="A454" s="117">
        <v>11</v>
      </c>
      <c r="B454" s="115">
        <f>Inputs!$A$51</f>
        <v>0</v>
      </c>
      <c r="C454" s="44">
        <f>Inputs!$B$51</f>
        <v>0</v>
      </c>
      <c r="D454" s="44" t="s">
        <v>57</v>
      </c>
      <c r="E454" s="44">
        <v>0</v>
      </c>
      <c r="F454" s="50"/>
      <c r="G454" s="119">
        <v>11</v>
      </c>
      <c r="H454" s="115">
        <f>Inputs!$A$51</f>
        <v>0</v>
      </c>
      <c r="I454" s="44">
        <f>Inputs!$B$51</f>
        <v>0</v>
      </c>
      <c r="J454" s="44" t="s">
        <v>58</v>
      </c>
      <c r="K454" s="44">
        <v>0</v>
      </c>
      <c r="L454" s="50"/>
      <c r="M454" s="44">
        <v>0</v>
      </c>
      <c r="N454" s="44">
        <v>0</v>
      </c>
      <c r="O454" s="44">
        <f t="shared" si="449"/>
        <v>0</v>
      </c>
      <c r="P454" s="50"/>
      <c r="Q454" s="44">
        <f t="shared" si="445"/>
        <v>0</v>
      </c>
      <c r="R454" s="63">
        <f>M454*Inputs!$F$51*Inputs!$H$51</f>
        <v>0</v>
      </c>
      <c r="S454" s="44">
        <f>Inputs!$F$51*Inputs!$I$51*N454</f>
        <v>0</v>
      </c>
      <c r="T454" s="18"/>
      <c r="U454" s="56"/>
      <c r="W454" s="117">
        <v>11</v>
      </c>
      <c r="X454" s="115">
        <f>Inputs!$A$51</f>
        <v>0</v>
      </c>
      <c r="Y454" s="44">
        <f>Inputs!$B$51</f>
        <v>0</v>
      </c>
      <c r="Z454" s="44" t="s">
        <v>57</v>
      </c>
      <c r="AA454" s="44">
        <f t="shared" si="391"/>
        <v>0</v>
      </c>
      <c r="AB454" s="50"/>
      <c r="AC454" s="119">
        <v>11</v>
      </c>
      <c r="AD454" s="115">
        <f>Inputs!$A$51</f>
        <v>0</v>
      </c>
      <c r="AE454" s="44">
        <f>Inputs!$B$51</f>
        <v>0</v>
      </c>
      <c r="AF454" s="44" t="s">
        <v>58</v>
      </c>
      <c r="AG454" s="44">
        <f t="shared" si="392"/>
        <v>0</v>
      </c>
      <c r="AH454" s="50"/>
      <c r="AI454" s="44">
        <v>0</v>
      </c>
      <c r="AJ454" s="44">
        <v>0</v>
      </c>
      <c r="AK454" s="44">
        <f t="shared" si="450"/>
        <v>0</v>
      </c>
      <c r="AL454" s="50"/>
      <c r="AM454" s="44">
        <f t="shared" si="446"/>
        <v>0</v>
      </c>
      <c r="AN454" s="63">
        <f>AI454*Inputs!$F$51*Inputs!$H$51</f>
        <v>0</v>
      </c>
      <c r="AO454" s="44">
        <f>Inputs!$F$51*Inputs!$I$51*AJ454</f>
        <v>0</v>
      </c>
      <c r="AP454" s="56"/>
      <c r="AR454" s="117">
        <v>11</v>
      </c>
      <c r="AS454" s="115">
        <f>Inputs!$A$51</f>
        <v>0</v>
      </c>
      <c r="AT454" s="44">
        <f>Inputs!$B$51</f>
        <v>0</v>
      </c>
      <c r="AU454" s="44" t="s">
        <v>57</v>
      </c>
      <c r="AV454" s="44">
        <f t="shared" ref="AV454" si="453">E454</f>
        <v>0</v>
      </c>
      <c r="AW454" s="50"/>
      <c r="AX454" s="119">
        <v>11</v>
      </c>
      <c r="AY454" s="115">
        <f>Inputs!$A$51</f>
        <v>0</v>
      </c>
      <c r="AZ454" s="44">
        <f>Inputs!$B$51</f>
        <v>0</v>
      </c>
      <c r="BA454" s="44" t="s">
        <v>58</v>
      </c>
      <c r="BB454" s="44">
        <f t="shared" si="393"/>
        <v>0</v>
      </c>
      <c r="BC454" s="50"/>
      <c r="BD454" s="44">
        <v>0</v>
      </c>
      <c r="BE454" s="44">
        <v>0</v>
      </c>
      <c r="BF454" s="44">
        <f t="shared" si="451"/>
        <v>0</v>
      </c>
      <c r="BG454" s="50"/>
      <c r="BH454" s="44">
        <f t="shared" si="447"/>
        <v>0</v>
      </c>
      <c r="BI454" s="63">
        <f>BD454*Inputs!$F$51*Inputs!$H$51</f>
        <v>0</v>
      </c>
      <c r="BJ454" s="44">
        <f>Inputs!$F$51*Inputs!$I$51*BE454</f>
        <v>0</v>
      </c>
      <c r="BK454" s="56"/>
      <c r="BM454" s="117">
        <v>11</v>
      </c>
      <c r="BN454" s="115">
        <f>Inputs!$A$51</f>
        <v>0</v>
      </c>
      <c r="BO454" s="44">
        <f>Inputs!$B$51</f>
        <v>0</v>
      </c>
      <c r="BP454" s="44" t="s">
        <v>57</v>
      </c>
      <c r="BQ454" s="44">
        <f t="shared" si="394"/>
        <v>0</v>
      </c>
      <c r="BR454" s="50"/>
      <c r="BS454" s="119">
        <v>11</v>
      </c>
      <c r="BT454" s="115">
        <f>Inputs!$A$51</f>
        <v>0</v>
      </c>
      <c r="BU454" s="44">
        <f>Inputs!$B$51</f>
        <v>0</v>
      </c>
      <c r="BV454" s="44" t="s">
        <v>58</v>
      </c>
      <c r="BW454" s="44">
        <f t="shared" si="395"/>
        <v>0</v>
      </c>
      <c r="BX454" s="50"/>
      <c r="BY454" s="44">
        <v>0</v>
      </c>
      <c r="BZ454" s="44">
        <v>0</v>
      </c>
      <c r="CA454" s="44">
        <f t="shared" si="452"/>
        <v>0</v>
      </c>
      <c r="CB454" s="50"/>
      <c r="CC454" s="44">
        <f t="shared" si="448"/>
        <v>0</v>
      </c>
      <c r="CD454" s="63">
        <f>BY454*Inputs!$F$51*Inputs!$H$51</f>
        <v>0</v>
      </c>
      <c r="CE454" s="44">
        <f>Inputs!$F$51*Inputs!$I$51*BZ454</f>
        <v>0</v>
      </c>
      <c r="CF454" s="56"/>
    </row>
    <row r="455" spans="1:84" x14ac:dyDescent="0.25">
      <c r="A455" s="79"/>
      <c r="B455" s="80"/>
      <c r="C455" s="80"/>
      <c r="D455" s="80"/>
      <c r="E455" s="80"/>
      <c r="F455" s="82"/>
      <c r="G455" s="83"/>
      <c r="H455" s="80"/>
      <c r="I455" s="80"/>
      <c r="J455" s="80"/>
      <c r="K455" s="80"/>
      <c r="L455" s="81"/>
      <c r="M455" s="80"/>
      <c r="N455" s="80"/>
      <c r="O455" s="80"/>
      <c r="P455" s="81"/>
      <c r="Q455" s="80"/>
      <c r="R455" s="93"/>
      <c r="S455" s="80"/>
      <c r="T455" s="18"/>
      <c r="U455" s="18"/>
    </row>
    <row r="456" spans="1:84" x14ac:dyDescent="0.25">
      <c r="A456" s="79"/>
      <c r="B456" s="80"/>
      <c r="C456" s="80"/>
      <c r="D456" s="80"/>
      <c r="E456" s="80"/>
      <c r="F456" s="82"/>
      <c r="G456" s="83"/>
      <c r="H456" s="80"/>
      <c r="I456" s="80"/>
      <c r="J456" s="80"/>
      <c r="K456" s="80"/>
      <c r="L456" s="81"/>
      <c r="M456" s="80"/>
      <c r="N456" s="80"/>
      <c r="O456" s="80"/>
      <c r="P456" s="81"/>
      <c r="Q456" s="80"/>
      <c r="R456" s="80"/>
      <c r="S456" s="80"/>
      <c r="T456" s="18"/>
      <c r="U456" s="18"/>
    </row>
    <row r="457" spans="1:84" x14ac:dyDescent="0.25">
      <c r="A457" s="79"/>
      <c r="B457" s="80"/>
      <c r="C457" s="80"/>
      <c r="D457" s="80"/>
      <c r="E457" s="80"/>
      <c r="F457" s="82"/>
      <c r="G457" s="83"/>
      <c r="H457" s="80"/>
      <c r="I457" s="80"/>
      <c r="J457" s="80"/>
      <c r="K457" s="80"/>
      <c r="L457" s="81"/>
      <c r="M457" s="80"/>
      <c r="N457" s="80"/>
      <c r="O457" s="80"/>
      <c r="P457" s="81"/>
      <c r="Q457" s="80"/>
      <c r="R457" s="80"/>
      <c r="S457" s="80"/>
      <c r="T457" s="18"/>
      <c r="U457" s="18"/>
    </row>
    <row r="458" spans="1:84" x14ac:dyDescent="0.25">
      <c r="A458" s="79"/>
      <c r="B458" s="80"/>
      <c r="C458" s="80"/>
      <c r="D458" s="80"/>
      <c r="E458" s="80"/>
      <c r="F458" s="82"/>
      <c r="G458" s="83"/>
      <c r="H458" s="80"/>
      <c r="I458" s="80"/>
      <c r="J458" s="80"/>
      <c r="K458" s="80"/>
      <c r="L458" s="81"/>
      <c r="M458" s="80"/>
      <c r="N458" s="80"/>
      <c r="O458" s="80"/>
      <c r="P458" s="81"/>
      <c r="Q458" s="80"/>
      <c r="R458" s="80"/>
      <c r="S458" s="80"/>
      <c r="T458" s="18"/>
      <c r="U458" s="18"/>
    </row>
    <row r="459" spans="1:84" x14ac:dyDescent="0.25">
      <c r="A459" s="79"/>
      <c r="B459" s="80"/>
      <c r="C459" s="80"/>
      <c r="D459" s="80"/>
      <c r="E459" s="80"/>
      <c r="F459" s="82"/>
      <c r="G459" s="83"/>
      <c r="H459" s="80"/>
      <c r="I459" s="80"/>
      <c r="J459" s="80"/>
      <c r="K459" s="80"/>
      <c r="L459" s="81"/>
      <c r="M459" s="80"/>
      <c r="N459" s="80"/>
      <c r="O459" s="80"/>
      <c r="P459" s="81"/>
      <c r="Q459" s="80"/>
      <c r="R459" s="80"/>
      <c r="S459" s="80"/>
      <c r="T459" s="18"/>
      <c r="U459" s="18"/>
    </row>
    <row r="460" spans="1:84" x14ac:dyDescent="0.25">
      <c r="A460" s="79"/>
      <c r="B460" s="80"/>
      <c r="C460" s="80"/>
      <c r="D460" s="80"/>
      <c r="E460" s="80"/>
      <c r="F460" s="82"/>
      <c r="G460" s="83"/>
      <c r="H460" s="80"/>
      <c r="I460" s="80"/>
      <c r="J460" s="80"/>
      <c r="K460" s="80"/>
      <c r="L460" s="81"/>
      <c r="M460" s="80"/>
      <c r="N460" s="80"/>
      <c r="O460" s="80"/>
      <c r="P460" s="81"/>
      <c r="Q460" s="80"/>
      <c r="R460" s="80"/>
      <c r="S460" s="80"/>
      <c r="T460" s="18"/>
      <c r="U460" s="18"/>
    </row>
    <row r="461" spans="1:84" x14ac:dyDescent="0.25">
      <c r="A461" s="79"/>
      <c r="B461" s="80"/>
      <c r="C461" s="80"/>
      <c r="D461" s="80"/>
      <c r="E461" s="80"/>
      <c r="F461" s="82"/>
      <c r="G461" s="83"/>
      <c r="H461" s="80"/>
      <c r="I461" s="80"/>
      <c r="J461" s="80"/>
      <c r="K461" s="80"/>
      <c r="L461" s="81"/>
      <c r="M461" s="80"/>
      <c r="N461" s="80"/>
      <c r="O461" s="80"/>
      <c r="P461" s="81"/>
      <c r="Q461" s="80"/>
      <c r="R461" s="80"/>
      <c r="S461" s="80"/>
      <c r="T461" s="18"/>
      <c r="U461" s="18"/>
    </row>
    <row r="462" spans="1:84" x14ac:dyDescent="0.25">
      <c r="A462" s="79"/>
      <c r="B462" s="80"/>
      <c r="C462" s="80"/>
      <c r="D462" s="80"/>
      <c r="E462" s="80"/>
      <c r="F462" s="82"/>
      <c r="G462" s="83"/>
      <c r="H462" s="80"/>
      <c r="I462" s="80"/>
      <c r="J462" s="80"/>
      <c r="K462" s="80"/>
      <c r="L462" s="81"/>
      <c r="M462" s="80"/>
      <c r="N462" s="80"/>
      <c r="O462" s="80"/>
      <c r="P462" s="81"/>
      <c r="Q462" s="80"/>
      <c r="R462" s="80"/>
      <c r="S462" s="80"/>
      <c r="T462" s="18"/>
      <c r="U462" s="18"/>
    </row>
    <row r="463" spans="1:84" x14ac:dyDescent="0.25">
      <c r="A463" s="79"/>
      <c r="B463" s="80"/>
      <c r="C463" s="80"/>
      <c r="D463" s="80"/>
      <c r="E463" s="80"/>
      <c r="F463" s="82"/>
      <c r="G463" s="83"/>
      <c r="H463" s="80"/>
      <c r="I463" s="80"/>
      <c r="J463" s="80"/>
      <c r="K463" s="80"/>
      <c r="L463" s="81"/>
      <c r="M463" s="80"/>
      <c r="N463" s="80"/>
      <c r="O463" s="80"/>
      <c r="P463" s="81"/>
      <c r="Q463" s="80"/>
      <c r="R463" s="80"/>
      <c r="S463" s="80"/>
      <c r="T463" s="18"/>
      <c r="U463" s="18"/>
    </row>
    <row r="464" spans="1:84" x14ac:dyDescent="0.25">
      <c r="A464" s="79"/>
      <c r="B464" s="80"/>
      <c r="C464" s="80"/>
      <c r="D464" s="80"/>
      <c r="E464" s="80"/>
      <c r="F464" s="82"/>
      <c r="G464" s="83"/>
      <c r="H464" s="80"/>
      <c r="I464" s="80"/>
      <c r="J464" s="80"/>
      <c r="K464" s="80"/>
      <c r="L464" s="81"/>
      <c r="M464" s="80"/>
      <c r="N464" s="80"/>
      <c r="O464" s="80"/>
      <c r="P464" s="81"/>
      <c r="Q464" s="80"/>
      <c r="R464" s="80"/>
      <c r="S464" s="80"/>
      <c r="T464" s="18"/>
      <c r="U464" s="18"/>
    </row>
    <row r="465" spans="1:21" x14ac:dyDescent="0.25">
      <c r="A465" s="79"/>
      <c r="B465" s="80"/>
      <c r="C465" s="80"/>
      <c r="D465" s="80"/>
      <c r="E465" s="80"/>
      <c r="F465" s="82"/>
      <c r="G465" s="83"/>
      <c r="H465" s="80"/>
      <c r="I465" s="80"/>
      <c r="J465" s="80"/>
      <c r="K465" s="80"/>
      <c r="L465" s="81"/>
      <c r="M465" s="80"/>
      <c r="N465" s="80"/>
      <c r="O465" s="80"/>
      <c r="P465" s="81"/>
      <c r="Q465" s="80"/>
      <c r="R465" s="80"/>
      <c r="S465" s="80"/>
      <c r="T465" s="18"/>
      <c r="U465" s="18"/>
    </row>
    <row r="466" spans="1:21" x14ac:dyDescent="0.25">
      <c r="A466" s="79"/>
      <c r="B466" s="80"/>
      <c r="C466" s="80"/>
      <c r="D466" s="80"/>
      <c r="E466" s="80"/>
      <c r="F466" s="82"/>
      <c r="G466" s="83"/>
      <c r="H466" s="80"/>
      <c r="I466" s="80"/>
      <c r="J466" s="80"/>
      <c r="K466" s="80"/>
      <c r="L466" s="81"/>
      <c r="M466" s="80"/>
      <c r="N466" s="80"/>
      <c r="O466" s="80"/>
      <c r="P466" s="81"/>
      <c r="Q466" s="80"/>
      <c r="R466" s="80"/>
      <c r="S466" s="80"/>
      <c r="T466" s="18"/>
      <c r="U466" s="18"/>
    </row>
    <row r="467" spans="1:21" x14ac:dyDescent="0.25">
      <c r="A467" s="79"/>
      <c r="B467" s="80"/>
      <c r="C467" s="80"/>
      <c r="D467" s="80"/>
      <c r="E467" s="80"/>
      <c r="F467" s="82"/>
      <c r="G467" s="83"/>
      <c r="H467" s="80"/>
      <c r="I467" s="80"/>
      <c r="J467" s="80"/>
      <c r="K467" s="80"/>
      <c r="L467" s="81"/>
      <c r="M467" s="80"/>
      <c r="N467" s="80"/>
      <c r="O467" s="80"/>
      <c r="P467" s="81"/>
      <c r="Q467" s="80"/>
      <c r="R467" s="80"/>
      <c r="S467" s="80"/>
      <c r="T467" s="18"/>
      <c r="U467" s="18"/>
    </row>
    <row r="468" spans="1:21" x14ac:dyDescent="0.25">
      <c r="A468" s="79"/>
      <c r="B468" s="80"/>
      <c r="C468" s="80"/>
      <c r="D468" s="80"/>
      <c r="E468" s="80"/>
      <c r="F468" s="82"/>
      <c r="G468" s="83"/>
      <c r="H468" s="80"/>
      <c r="I468" s="80"/>
      <c r="J468" s="80"/>
      <c r="K468" s="80"/>
      <c r="L468" s="81"/>
      <c r="M468" s="80"/>
      <c r="N468" s="80"/>
      <c r="O468" s="80"/>
      <c r="P468" s="81"/>
      <c r="Q468" s="80"/>
      <c r="R468" s="80"/>
      <c r="S468" s="80"/>
      <c r="T468" s="18"/>
      <c r="U468" s="18"/>
    </row>
    <row r="469" spans="1:21" x14ac:dyDescent="0.25">
      <c r="A469" s="79"/>
      <c r="B469" s="80"/>
      <c r="C469" s="80"/>
      <c r="D469" s="80"/>
      <c r="E469" s="80"/>
      <c r="F469" s="82"/>
      <c r="G469" s="83"/>
      <c r="H469" s="80"/>
      <c r="I469" s="80"/>
      <c r="J469" s="80"/>
      <c r="K469" s="80"/>
      <c r="L469" s="81"/>
      <c r="M469" s="80"/>
      <c r="N469" s="80"/>
      <c r="O469" s="80"/>
      <c r="P469" s="81"/>
      <c r="Q469" s="80"/>
      <c r="R469" s="80"/>
      <c r="S469" s="80"/>
      <c r="T469" s="18"/>
      <c r="U469" s="18"/>
    </row>
    <row r="470" spans="1:21" x14ac:dyDescent="0.25">
      <c r="A470" s="79"/>
      <c r="B470" s="80"/>
      <c r="C470" s="80"/>
      <c r="D470" s="80"/>
      <c r="E470" s="80"/>
      <c r="F470" s="82"/>
      <c r="G470" s="83"/>
      <c r="H470" s="80"/>
      <c r="I470" s="80"/>
      <c r="J470" s="80"/>
      <c r="K470" s="80"/>
      <c r="L470" s="81"/>
      <c r="M470" s="80"/>
      <c r="N470" s="80"/>
      <c r="O470" s="80"/>
      <c r="P470" s="81"/>
      <c r="Q470" s="80"/>
      <c r="R470" s="80"/>
      <c r="S470" s="80"/>
      <c r="T470" s="18"/>
      <c r="U470" s="18"/>
    </row>
    <row r="471" spans="1:21" x14ac:dyDescent="0.25">
      <c r="A471" s="79"/>
      <c r="B471" s="80"/>
      <c r="C471" s="80"/>
      <c r="D471" s="80"/>
      <c r="E471" s="80"/>
      <c r="F471" s="82"/>
      <c r="G471" s="83"/>
      <c r="H471" s="80"/>
      <c r="I471" s="80"/>
      <c r="J471" s="80"/>
      <c r="K471" s="80"/>
      <c r="L471" s="81"/>
      <c r="M471" s="80"/>
      <c r="N471" s="80"/>
      <c r="O471" s="80"/>
      <c r="P471" s="81"/>
      <c r="Q471" s="80"/>
      <c r="R471" s="80"/>
      <c r="S471" s="80"/>
      <c r="T471" s="18"/>
      <c r="U471" s="18"/>
    </row>
    <row r="472" spans="1:21" x14ac:dyDescent="0.25">
      <c r="A472" s="79"/>
      <c r="B472" s="80"/>
      <c r="C472" s="80"/>
      <c r="D472" s="80"/>
      <c r="E472" s="80"/>
      <c r="F472" s="82"/>
      <c r="G472" s="83"/>
      <c r="H472" s="80"/>
      <c r="I472" s="80"/>
      <c r="J472" s="80"/>
      <c r="K472" s="80"/>
      <c r="L472" s="81"/>
      <c r="M472" s="80"/>
      <c r="N472" s="80"/>
      <c r="O472" s="80"/>
      <c r="P472" s="81"/>
      <c r="Q472" s="80"/>
      <c r="R472" s="80"/>
      <c r="S472" s="80"/>
      <c r="T472" s="18"/>
      <c r="U472" s="18"/>
    </row>
    <row r="473" spans="1:21" x14ac:dyDescent="0.25">
      <c r="A473" s="79"/>
      <c r="B473" s="80"/>
      <c r="C473" s="80"/>
      <c r="D473" s="80"/>
      <c r="E473" s="80"/>
      <c r="F473" s="82"/>
      <c r="G473" s="83"/>
      <c r="H473" s="80"/>
      <c r="I473" s="80"/>
      <c r="J473" s="80"/>
      <c r="K473" s="80"/>
      <c r="L473" s="81"/>
      <c r="M473" s="80"/>
      <c r="N473" s="80"/>
      <c r="O473" s="80"/>
      <c r="P473" s="81"/>
      <c r="Q473" s="80"/>
      <c r="R473" s="80"/>
      <c r="S473" s="80"/>
      <c r="T473" s="18"/>
      <c r="U473" s="18"/>
    </row>
    <row r="474" spans="1:21" x14ac:dyDescent="0.25">
      <c r="A474" s="79"/>
      <c r="B474" s="80"/>
      <c r="C474" s="80"/>
      <c r="D474" s="80"/>
      <c r="E474" s="80"/>
      <c r="F474" s="82"/>
      <c r="G474" s="83"/>
      <c r="H474" s="80"/>
      <c r="I474" s="80"/>
      <c r="J474" s="80"/>
      <c r="K474" s="80"/>
      <c r="L474" s="81"/>
      <c r="M474" s="80"/>
      <c r="N474" s="80"/>
      <c r="O474" s="80"/>
      <c r="P474" s="81"/>
      <c r="Q474" s="80"/>
      <c r="R474" s="80"/>
      <c r="S474" s="80"/>
      <c r="T474" s="18"/>
      <c r="U474" s="18"/>
    </row>
    <row r="475" spans="1:21" x14ac:dyDescent="0.25">
      <c r="A475" s="79"/>
      <c r="B475" s="80"/>
      <c r="C475" s="80"/>
      <c r="D475" s="80"/>
      <c r="E475" s="80"/>
      <c r="F475" s="82"/>
      <c r="G475" s="83"/>
      <c r="H475" s="80"/>
      <c r="I475" s="80"/>
      <c r="J475" s="80"/>
      <c r="K475" s="80"/>
      <c r="L475" s="81"/>
      <c r="M475" s="80"/>
      <c r="N475" s="80"/>
      <c r="O475" s="80"/>
      <c r="P475" s="81"/>
      <c r="Q475" s="80"/>
      <c r="R475" s="80"/>
      <c r="S475" s="80"/>
      <c r="T475" s="18"/>
      <c r="U475" s="18"/>
    </row>
    <row r="476" spans="1:21" x14ac:dyDescent="0.25">
      <c r="A476" s="79"/>
      <c r="B476" s="80"/>
      <c r="C476" s="80"/>
      <c r="D476" s="80"/>
      <c r="E476" s="80"/>
      <c r="F476" s="82"/>
      <c r="G476" s="83"/>
      <c r="H476" s="80"/>
      <c r="I476" s="80"/>
      <c r="J476" s="80"/>
      <c r="K476" s="80"/>
      <c r="L476" s="81"/>
      <c r="M476" s="80"/>
      <c r="N476" s="80"/>
      <c r="O476" s="80"/>
      <c r="P476" s="81"/>
      <c r="Q476" s="80"/>
      <c r="R476" s="80"/>
      <c r="S476" s="80"/>
      <c r="T476" s="18"/>
      <c r="U476" s="18"/>
    </row>
    <row r="477" spans="1:21" x14ac:dyDescent="0.25">
      <c r="A477" s="79"/>
      <c r="B477" s="80"/>
      <c r="C477" s="80"/>
      <c r="D477" s="80"/>
      <c r="E477" s="80"/>
      <c r="F477" s="82"/>
      <c r="G477" s="83"/>
      <c r="H477" s="80"/>
      <c r="I477" s="80"/>
      <c r="J477" s="80"/>
      <c r="K477" s="80"/>
      <c r="L477" s="81"/>
      <c r="M477" s="80"/>
      <c r="N477" s="80"/>
      <c r="O477" s="80"/>
      <c r="P477" s="81"/>
      <c r="Q477" s="80"/>
      <c r="R477" s="80"/>
      <c r="S477" s="80"/>
      <c r="T477" s="18"/>
      <c r="U477" s="18"/>
    </row>
    <row r="478" spans="1:21" x14ac:dyDescent="0.25">
      <c r="A478" s="79"/>
      <c r="B478" s="80"/>
      <c r="C478" s="80"/>
      <c r="D478" s="80"/>
      <c r="E478" s="80"/>
      <c r="F478" s="82"/>
      <c r="G478" s="83"/>
      <c r="H478" s="80"/>
      <c r="I478" s="80"/>
      <c r="J478" s="80"/>
      <c r="K478" s="80"/>
      <c r="L478" s="81"/>
      <c r="M478" s="80"/>
      <c r="N478" s="80"/>
      <c r="O478" s="80"/>
      <c r="P478" s="81"/>
      <c r="Q478" s="80"/>
      <c r="R478" s="80"/>
      <c r="S478" s="80"/>
      <c r="T478" s="18"/>
      <c r="U478" s="18"/>
    </row>
    <row r="479" spans="1:21" x14ac:dyDescent="0.25">
      <c r="A479" s="79"/>
      <c r="B479" s="80"/>
      <c r="C479" s="80"/>
      <c r="D479" s="80"/>
      <c r="E479" s="80"/>
      <c r="F479" s="82"/>
      <c r="G479" s="83"/>
      <c r="H479" s="80"/>
      <c r="I479" s="80"/>
      <c r="J479" s="80"/>
      <c r="K479" s="80"/>
      <c r="L479" s="81"/>
      <c r="M479" s="80"/>
      <c r="N479" s="80"/>
      <c r="O479" s="80"/>
      <c r="P479" s="81"/>
      <c r="Q479" s="80"/>
      <c r="R479" s="80"/>
      <c r="S479" s="80"/>
      <c r="T479" s="18"/>
      <c r="U479" s="18"/>
    </row>
    <row r="480" spans="1:21" x14ac:dyDescent="0.25">
      <c r="A480" s="79"/>
      <c r="B480" s="80"/>
      <c r="C480" s="80"/>
      <c r="D480" s="80"/>
      <c r="E480" s="80"/>
      <c r="F480" s="82"/>
      <c r="G480" s="83"/>
      <c r="H480" s="80"/>
      <c r="I480" s="80"/>
      <c r="J480" s="80"/>
      <c r="K480" s="80"/>
      <c r="L480" s="81"/>
      <c r="M480" s="80"/>
      <c r="N480" s="80"/>
      <c r="O480" s="80"/>
      <c r="P480" s="81"/>
      <c r="Q480" s="80"/>
      <c r="R480" s="80"/>
      <c r="S480" s="80"/>
      <c r="T480" s="18"/>
      <c r="U480" s="18"/>
    </row>
    <row r="481" spans="1:21" x14ac:dyDescent="0.25">
      <c r="A481" s="79"/>
      <c r="B481" s="80"/>
      <c r="C481" s="80"/>
      <c r="D481" s="80"/>
      <c r="E481" s="80"/>
      <c r="F481" s="82"/>
      <c r="G481" s="83"/>
      <c r="H481" s="80"/>
      <c r="I481" s="80"/>
      <c r="J481" s="80"/>
      <c r="K481" s="80"/>
      <c r="L481" s="81"/>
      <c r="M481" s="80"/>
      <c r="N481" s="80"/>
      <c r="O481" s="80"/>
      <c r="P481" s="81"/>
      <c r="Q481" s="80"/>
      <c r="R481" s="80"/>
      <c r="S481" s="80"/>
      <c r="T481" s="18"/>
      <c r="U481" s="18"/>
    </row>
    <row r="482" spans="1:21" x14ac:dyDescent="0.25">
      <c r="A482" s="79"/>
      <c r="B482" s="80"/>
      <c r="C482" s="80"/>
      <c r="D482" s="80"/>
      <c r="E482" s="80"/>
      <c r="F482" s="82"/>
      <c r="G482" s="83"/>
      <c r="H482" s="80"/>
      <c r="I482" s="80"/>
      <c r="J482" s="80"/>
      <c r="K482" s="80"/>
      <c r="L482" s="81"/>
      <c r="M482" s="80"/>
      <c r="N482" s="80"/>
      <c r="O482" s="80"/>
      <c r="P482" s="81"/>
      <c r="Q482" s="80"/>
      <c r="R482" s="80"/>
      <c r="S482" s="80"/>
      <c r="T482" s="18"/>
      <c r="U482" s="18"/>
    </row>
    <row r="483" spans="1:21" x14ac:dyDescent="0.25">
      <c r="A483" s="79"/>
      <c r="B483" s="80"/>
      <c r="C483" s="80"/>
      <c r="D483" s="80"/>
      <c r="E483" s="80"/>
      <c r="F483" s="82"/>
      <c r="G483" s="83"/>
      <c r="H483" s="80"/>
      <c r="I483" s="80"/>
      <c r="J483" s="80"/>
      <c r="K483" s="80"/>
      <c r="L483" s="81"/>
      <c r="M483" s="80"/>
      <c r="N483" s="80"/>
      <c r="O483" s="80"/>
      <c r="P483" s="81"/>
      <c r="Q483" s="80"/>
      <c r="R483" s="80"/>
      <c r="S483" s="80"/>
      <c r="T483" s="18"/>
      <c r="U483" s="18"/>
    </row>
    <row r="484" spans="1:21" x14ac:dyDescent="0.25">
      <c r="A484" s="79"/>
      <c r="B484" s="80"/>
      <c r="C484" s="80"/>
      <c r="D484" s="80"/>
      <c r="E484" s="80"/>
      <c r="F484" s="82"/>
      <c r="G484" s="83"/>
      <c r="H484" s="80"/>
      <c r="I484" s="80"/>
      <c r="J484" s="80"/>
      <c r="K484" s="80"/>
      <c r="L484" s="81"/>
      <c r="M484" s="80"/>
      <c r="N484" s="80"/>
      <c r="O484" s="80"/>
      <c r="P484" s="81"/>
      <c r="Q484" s="80"/>
      <c r="R484" s="80"/>
      <c r="S484" s="80"/>
      <c r="T484" s="18"/>
      <c r="U484" s="18"/>
    </row>
    <row r="485" spans="1:21" x14ac:dyDescent="0.25">
      <c r="A485" s="79"/>
      <c r="B485" s="80"/>
      <c r="C485" s="80"/>
      <c r="D485" s="80"/>
      <c r="E485" s="80"/>
      <c r="F485" s="82"/>
      <c r="G485" s="83"/>
      <c r="H485" s="80"/>
      <c r="I485" s="80"/>
      <c r="J485" s="80"/>
      <c r="K485" s="80"/>
      <c r="L485" s="81"/>
      <c r="M485" s="80"/>
      <c r="N485" s="80"/>
      <c r="O485" s="80"/>
      <c r="P485" s="81"/>
      <c r="Q485" s="80"/>
      <c r="R485" s="80"/>
      <c r="S485" s="80"/>
      <c r="T485" s="18"/>
      <c r="U485" s="18"/>
    </row>
    <row r="486" spans="1:21" x14ac:dyDescent="0.25">
      <c r="A486" s="79"/>
      <c r="B486" s="80"/>
      <c r="C486" s="80"/>
      <c r="D486" s="80"/>
      <c r="E486" s="80"/>
      <c r="F486" s="82"/>
      <c r="G486" s="83"/>
      <c r="H486" s="80"/>
      <c r="I486" s="80"/>
      <c r="J486" s="80"/>
      <c r="K486" s="80"/>
      <c r="L486" s="81"/>
      <c r="M486" s="80"/>
      <c r="N486" s="80"/>
      <c r="O486" s="80"/>
      <c r="P486" s="81"/>
      <c r="Q486" s="80"/>
      <c r="R486" s="80"/>
      <c r="S486" s="80"/>
      <c r="T486" s="18"/>
      <c r="U486" s="18"/>
    </row>
    <row r="487" spans="1:21" x14ac:dyDescent="0.25">
      <c r="A487" s="79"/>
      <c r="B487" s="80"/>
      <c r="C487" s="80"/>
      <c r="D487" s="80"/>
      <c r="E487" s="80"/>
      <c r="F487" s="82"/>
      <c r="G487" s="83"/>
      <c r="H487" s="80"/>
      <c r="I487" s="80"/>
      <c r="J487" s="80"/>
      <c r="K487" s="80"/>
      <c r="L487" s="81"/>
      <c r="M487" s="80"/>
      <c r="N487" s="80"/>
      <c r="O487" s="80"/>
      <c r="P487" s="81"/>
      <c r="Q487" s="80"/>
      <c r="R487" s="80"/>
      <c r="S487" s="80"/>
      <c r="T487" s="18"/>
      <c r="U487" s="18"/>
    </row>
    <row r="488" spans="1:21" x14ac:dyDescent="0.25">
      <c r="A488" s="79"/>
      <c r="B488" s="80"/>
      <c r="C488" s="80"/>
      <c r="D488" s="80"/>
      <c r="E488" s="80"/>
      <c r="F488" s="82"/>
      <c r="G488" s="83"/>
      <c r="H488" s="80"/>
      <c r="I488" s="80"/>
      <c r="J488" s="80"/>
      <c r="K488" s="80"/>
      <c r="L488" s="81"/>
      <c r="M488" s="80"/>
      <c r="N488" s="80"/>
      <c r="O488" s="80"/>
      <c r="P488" s="81"/>
      <c r="Q488" s="80"/>
      <c r="R488" s="80"/>
      <c r="S488" s="80"/>
      <c r="T488" s="18"/>
      <c r="U488" s="18"/>
    </row>
    <row r="489" spans="1:21" x14ac:dyDescent="0.25">
      <c r="A489" s="79"/>
      <c r="B489" s="80"/>
      <c r="C489" s="80"/>
      <c r="D489" s="80"/>
      <c r="E489" s="80"/>
      <c r="F489" s="82"/>
      <c r="G489" s="83"/>
      <c r="H489" s="80"/>
      <c r="I489" s="80"/>
      <c r="J489" s="80"/>
      <c r="K489" s="80"/>
      <c r="L489" s="81"/>
      <c r="M489" s="80"/>
      <c r="N489" s="80"/>
      <c r="O489" s="80"/>
      <c r="P489" s="81"/>
      <c r="Q489" s="80"/>
      <c r="R489" s="80"/>
      <c r="S489" s="80"/>
      <c r="T489" s="18"/>
      <c r="U489" s="18"/>
    </row>
    <row r="490" spans="1:21" x14ac:dyDescent="0.25">
      <c r="A490" s="79"/>
      <c r="B490" s="80"/>
      <c r="C490" s="80"/>
      <c r="D490" s="80"/>
      <c r="E490" s="80"/>
      <c r="F490" s="82"/>
      <c r="G490" s="83"/>
      <c r="H490" s="80"/>
      <c r="I490" s="80"/>
      <c r="J490" s="80"/>
      <c r="K490" s="80"/>
      <c r="L490" s="81"/>
      <c r="M490" s="80"/>
      <c r="N490" s="80"/>
      <c r="O490" s="80"/>
      <c r="P490" s="81"/>
      <c r="Q490" s="80"/>
      <c r="R490" s="80"/>
      <c r="S490" s="80"/>
      <c r="T490" s="18"/>
      <c r="U490" s="18"/>
    </row>
    <row r="491" spans="1:21" x14ac:dyDescent="0.25">
      <c r="A491" s="79"/>
      <c r="B491" s="80"/>
      <c r="C491" s="80"/>
      <c r="D491" s="80"/>
      <c r="E491" s="80"/>
      <c r="F491" s="82"/>
      <c r="G491" s="83"/>
      <c r="H491" s="80"/>
      <c r="I491" s="80"/>
      <c r="J491" s="80"/>
      <c r="K491" s="80"/>
      <c r="L491" s="81"/>
      <c r="M491" s="80"/>
      <c r="N491" s="80"/>
      <c r="O491" s="80"/>
      <c r="P491" s="81"/>
      <c r="Q491" s="80"/>
      <c r="R491" s="80"/>
      <c r="S491" s="80"/>
      <c r="T491" s="18"/>
      <c r="U491" s="18"/>
    </row>
    <row r="492" spans="1:21" x14ac:dyDescent="0.25">
      <c r="A492" s="79"/>
      <c r="B492" s="80"/>
      <c r="C492" s="80"/>
      <c r="D492" s="80"/>
      <c r="E492" s="80"/>
      <c r="F492" s="82"/>
      <c r="G492" s="83"/>
      <c r="H492" s="80"/>
      <c r="I492" s="80"/>
      <c r="J492" s="80"/>
      <c r="K492" s="80"/>
      <c r="L492" s="81"/>
      <c r="M492" s="80"/>
      <c r="N492" s="80"/>
      <c r="O492" s="80"/>
      <c r="P492" s="81"/>
      <c r="Q492" s="80"/>
      <c r="R492" s="80"/>
      <c r="S492" s="80"/>
      <c r="T492" s="18"/>
      <c r="U492" s="18"/>
    </row>
    <row r="493" spans="1:21" x14ac:dyDescent="0.25">
      <c r="A493" s="79"/>
      <c r="B493" s="80"/>
      <c r="C493" s="80"/>
      <c r="D493" s="80"/>
      <c r="E493" s="80"/>
      <c r="F493" s="82"/>
      <c r="G493" s="83"/>
      <c r="H493" s="80"/>
      <c r="I493" s="80"/>
      <c r="J493" s="80"/>
      <c r="K493" s="80"/>
      <c r="L493" s="81"/>
      <c r="M493" s="80"/>
      <c r="N493" s="80"/>
      <c r="O493" s="80"/>
      <c r="P493" s="81"/>
      <c r="Q493" s="80"/>
      <c r="R493" s="80"/>
      <c r="S493" s="80"/>
      <c r="T493" s="18"/>
      <c r="U493" s="18"/>
    </row>
    <row r="494" spans="1:21" x14ac:dyDescent="0.25">
      <c r="A494" s="79"/>
      <c r="B494" s="80"/>
      <c r="C494" s="80"/>
      <c r="D494" s="80"/>
      <c r="E494" s="80"/>
      <c r="F494" s="82"/>
      <c r="G494" s="83"/>
      <c r="H494" s="80"/>
      <c r="I494" s="80"/>
      <c r="J494" s="80"/>
      <c r="K494" s="80"/>
      <c r="L494" s="81"/>
      <c r="M494" s="80"/>
      <c r="N494" s="80"/>
      <c r="O494" s="80"/>
      <c r="P494" s="81"/>
      <c r="Q494" s="80"/>
      <c r="R494" s="80"/>
      <c r="S494" s="80"/>
      <c r="T494" s="18"/>
      <c r="U494" s="18"/>
    </row>
    <row r="495" spans="1:21" x14ac:dyDescent="0.25">
      <c r="A495" s="79"/>
      <c r="B495" s="80"/>
      <c r="C495" s="80"/>
      <c r="D495" s="80"/>
      <c r="E495" s="80"/>
      <c r="F495" s="82"/>
      <c r="G495" s="83"/>
      <c r="H495" s="80"/>
      <c r="I495" s="80"/>
      <c r="J495" s="80"/>
      <c r="K495" s="80"/>
      <c r="L495" s="81"/>
      <c r="M495" s="80"/>
      <c r="N495" s="80"/>
      <c r="O495" s="80"/>
      <c r="P495" s="81"/>
      <c r="Q495" s="80"/>
      <c r="R495" s="80"/>
      <c r="S495" s="80"/>
      <c r="T495" s="18"/>
      <c r="U495" s="18"/>
    </row>
    <row r="496" spans="1:21" x14ac:dyDescent="0.25">
      <c r="A496" s="79"/>
      <c r="B496" s="80"/>
      <c r="C496" s="80"/>
      <c r="D496" s="80"/>
      <c r="E496" s="80"/>
      <c r="F496" s="82"/>
      <c r="G496" s="83"/>
      <c r="H496" s="80"/>
      <c r="I496" s="80"/>
      <c r="J496" s="80"/>
      <c r="K496" s="80"/>
      <c r="L496" s="81"/>
      <c r="M496" s="80"/>
      <c r="N496" s="80"/>
      <c r="O496" s="80"/>
      <c r="P496" s="81"/>
      <c r="Q496" s="80"/>
      <c r="R496" s="80"/>
      <c r="S496" s="80"/>
      <c r="T496" s="18"/>
      <c r="U496" s="18"/>
    </row>
    <row r="497" spans="1:21" x14ac:dyDescent="0.25">
      <c r="A497" s="79"/>
      <c r="B497" s="80"/>
      <c r="C497" s="80"/>
      <c r="D497" s="80"/>
      <c r="E497" s="80"/>
      <c r="F497" s="82"/>
      <c r="G497" s="83"/>
      <c r="H497" s="80"/>
      <c r="I497" s="80"/>
      <c r="J497" s="80"/>
      <c r="K497" s="80"/>
      <c r="L497" s="81"/>
      <c r="M497" s="80"/>
      <c r="N497" s="80"/>
      <c r="O497" s="80"/>
      <c r="P497" s="81"/>
      <c r="Q497" s="80"/>
      <c r="R497" s="80"/>
      <c r="S497" s="80"/>
      <c r="T497" s="18"/>
      <c r="U497" s="18"/>
    </row>
    <row r="498" spans="1:21" x14ac:dyDescent="0.25">
      <c r="A498" s="79"/>
      <c r="B498" s="80"/>
      <c r="C498" s="80"/>
      <c r="D498" s="80"/>
      <c r="E498" s="80"/>
      <c r="F498" s="82"/>
      <c r="G498" s="83"/>
      <c r="H498" s="80"/>
      <c r="I498" s="80"/>
      <c r="J498" s="80"/>
      <c r="K498" s="80"/>
      <c r="L498" s="81"/>
      <c r="M498" s="80"/>
      <c r="N498" s="80"/>
      <c r="O498" s="80"/>
      <c r="P498" s="81"/>
      <c r="Q498" s="80"/>
      <c r="R498" s="80"/>
      <c r="S498" s="80"/>
      <c r="T498" s="18"/>
      <c r="U498" s="18"/>
    </row>
    <row r="499" spans="1:21" x14ac:dyDescent="0.25">
      <c r="A499" s="79"/>
      <c r="B499" s="80"/>
      <c r="C499" s="80"/>
      <c r="D499" s="80"/>
      <c r="E499" s="80"/>
      <c r="F499" s="82"/>
      <c r="G499" s="83"/>
      <c r="H499" s="80"/>
      <c r="I499" s="80"/>
      <c r="J499" s="80"/>
      <c r="K499" s="80"/>
      <c r="L499" s="81"/>
      <c r="M499" s="80"/>
      <c r="N499" s="80"/>
      <c r="O499" s="80"/>
      <c r="P499" s="81"/>
      <c r="Q499" s="80"/>
      <c r="R499" s="80"/>
      <c r="S499" s="80"/>
      <c r="T499" s="18"/>
      <c r="U499" s="18"/>
    </row>
    <row r="500" spans="1:21" x14ac:dyDescent="0.25">
      <c r="A500" s="79"/>
      <c r="B500" s="80"/>
      <c r="C500" s="80"/>
      <c r="D500" s="80"/>
      <c r="E500" s="80"/>
      <c r="F500" s="82"/>
      <c r="G500" s="83"/>
      <c r="H500" s="80"/>
      <c r="I500" s="80"/>
      <c r="J500" s="80"/>
      <c r="K500" s="80"/>
      <c r="L500" s="81"/>
      <c r="M500" s="80"/>
      <c r="N500" s="80"/>
      <c r="O500" s="80"/>
      <c r="P500" s="81"/>
      <c r="Q500" s="80"/>
      <c r="R500" s="80"/>
      <c r="S500" s="80"/>
      <c r="T500" s="18"/>
      <c r="U500" s="18"/>
    </row>
    <row r="501" spans="1:21" x14ac:dyDescent="0.25">
      <c r="A501" s="79"/>
      <c r="B501" s="80"/>
      <c r="C501" s="80"/>
      <c r="D501" s="80"/>
      <c r="E501" s="80"/>
      <c r="F501" s="82"/>
      <c r="G501" s="83"/>
      <c r="H501" s="80"/>
      <c r="I501" s="80"/>
      <c r="J501" s="80"/>
      <c r="K501" s="80"/>
      <c r="L501" s="81"/>
      <c r="M501" s="80"/>
      <c r="N501" s="80"/>
      <c r="O501" s="80"/>
      <c r="P501" s="81"/>
      <c r="Q501" s="80"/>
      <c r="R501" s="80"/>
      <c r="S501" s="80"/>
      <c r="T501" s="18"/>
      <c r="U501" s="18"/>
    </row>
    <row r="502" spans="1:21" x14ac:dyDescent="0.25">
      <c r="A502" s="79"/>
      <c r="B502" s="80"/>
      <c r="C502" s="80"/>
      <c r="D502" s="80"/>
      <c r="E502" s="80"/>
      <c r="F502" s="82"/>
      <c r="G502" s="83"/>
      <c r="H502" s="80"/>
      <c r="I502" s="80"/>
      <c r="J502" s="80"/>
      <c r="K502" s="80"/>
      <c r="L502" s="81"/>
      <c r="M502" s="80"/>
      <c r="N502" s="80"/>
      <c r="O502" s="80"/>
      <c r="P502" s="81"/>
      <c r="Q502" s="80"/>
      <c r="R502" s="80"/>
      <c r="S502" s="80"/>
      <c r="T502" s="18"/>
      <c r="U502" s="18"/>
    </row>
    <row r="503" spans="1:21" x14ac:dyDescent="0.25">
      <c r="A503" s="79"/>
      <c r="B503" s="80"/>
      <c r="C503" s="80"/>
      <c r="D503" s="80"/>
      <c r="E503" s="80"/>
      <c r="F503" s="82"/>
      <c r="G503" s="83"/>
      <c r="H503" s="80"/>
      <c r="I503" s="80"/>
      <c r="J503" s="80"/>
      <c r="K503" s="80"/>
      <c r="L503" s="81"/>
      <c r="M503" s="80"/>
      <c r="N503" s="80"/>
      <c r="O503" s="80"/>
      <c r="P503" s="81"/>
      <c r="Q503" s="80"/>
      <c r="R503" s="80"/>
      <c r="S503" s="80"/>
      <c r="T503" s="18"/>
      <c r="U503" s="18"/>
    </row>
    <row r="504" spans="1:21" x14ac:dyDescent="0.25">
      <c r="A504" s="79"/>
      <c r="B504" s="80"/>
      <c r="C504" s="80"/>
      <c r="D504" s="80"/>
      <c r="E504" s="80"/>
      <c r="F504" s="82"/>
      <c r="G504" s="83"/>
      <c r="H504" s="80"/>
      <c r="I504" s="80"/>
      <c r="J504" s="80"/>
      <c r="K504" s="80"/>
      <c r="L504" s="81"/>
      <c r="M504" s="80"/>
      <c r="N504" s="80"/>
      <c r="O504" s="80"/>
      <c r="P504" s="81"/>
      <c r="Q504" s="80"/>
      <c r="R504" s="80"/>
      <c r="S504" s="80"/>
      <c r="T504" s="18"/>
      <c r="U504" s="18"/>
    </row>
    <row r="505" spans="1:21" x14ac:dyDescent="0.25">
      <c r="A505" s="79"/>
      <c r="B505" s="80"/>
      <c r="C505" s="80"/>
      <c r="D505" s="80"/>
      <c r="E505" s="80"/>
      <c r="F505" s="82"/>
      <c r="G505" s="83"/>
      <c r="H505" s="80"/>
      <c r="I505" s="80"/>
      <c r="J505" s="80"/>
      <c r="K505" s="80"/>
      <c r="L505" s="81"/>
      <c r="M505" s="80"/>
      <c r="N505" s="80"/>
      <c r="O505" s="80"/>
      <c r="P505" s="81"/>
      <c r="Q505" s="80"/>
      <c r="R505" s="80"/>
      <c r="S505" s="80"/>
      <c r="T505" s="18"/>
      <c r="U505" s="18"/>
    </row>
    <row r="506" spans="1:21" x14ac:dyDescent="0.25">
      <c r="A506" s="79"/>
      <c r="B506" s="80"/>
      <c r="C506" s="80"/>
      <c r="D506" s="80"/>
      <c r="E506" s="80"/>
      <c r="F506" s="82"/>
      <c r="G506" s="83"/>
      <c r="H506" s="80"/>
      <c r="I506" s="80"/>
      <c r="J506" s="80"/>
      <c r="K506" s="80"/>
      <c r="L506" s="81"/>
      <c r="M506" s="80"/>
      <c r="N506" s="80"/>
      <c r="O506" s="80"/>
      <c r="P506" s="81"/>
      <c r="Q506" s="80"/>
      <c r="R506" s="80"/>
      <c r="S506" s="80"/>
      <c r="T506" s="18"/>
      <c r="U506" s="18"/>
    </row>
    <row r="507" spans="1:21" x14ac:dyDescent="0.25">
      <c r="A507" s="79"/>
      <c r="B507" s="80"/>
      <c r="C507" s="80"/>
      <c r="D507" s="80"/>
      <c r="E507" s="80"/>
      <c r="F507" s="82"/>
      <c r="G507" s="83"/>
      <c r="H507" s="80"/>
      <c r="I507" s="80"/>
      <c r="J507" s="80"/>
      <c r="K507" s="80"/>
      <c r="L507" s="81"/>
      <c r="M507" s="80"/>
      <c r="N507" s="80"/>
      <c r="O507" s="80"/>
      <c r="P507" s="81"/>
      <c r="Q507" s="80"/>
      <c r="R507" s="80"/>
      <c r="S507" s="80"/>
      <c r="T507" s="18"/>
      <c r="U507" s="18"/>
    </row>
    <row r="508" spans="1:21" x14ac:dyDescent="0.25">
      <c r="A508" s="79"/>
      <c r="B508" s="80"/>
      <c r="C508" s="80"/>
      <c r="D508" s="80"/>
      <c r="E508" s="80"/>
      <c r="F508" s="82"/>
      <c r="G508" s="83"/>
      <c r="H508" s="80"/>
      <c r="I508" s="80"/>
      <c r="J508" s="80"/>
      <c r="K508" s="80"/>
      <c r="L508" s="81"/>
      <c r="M508" s="80"/>
      <c r="N508" s="80"/>
      <c r="O508" s="80"/>
      <c r="P508" s="81"/>
      <c r="Q508" s="80"/>
      <c r="R508" s="80"/>
      <c r="S508" s="80"/>
      <c r="T508" s="18"/>
      <c r="U508" s="18"/>
    </row>
    <row r="509" spans="1:21" x14ac:dyDescent="0.25">
      <c r="A509" s="79"/>
      <c r="B509" s="80"/>
      <c r="C509" s="80"/>
      <c r="D509" s="80"/>
      <c r="E509" s="80"/>
      <c r="F509" s="82"/>
      <c r="G509" s="83"/>
      <c r="H509" s="80"/>
      <c r="I509" s="80"/>
      <c r="J509" s="80"/>
      <c r="K509" s="80"/>
      <c r="L509" s="81"/>
      <c r="M509" s="80"/>
      <c r="N509" s="80"/>
      <c r="O509" s="80"/>
      <c r="P509" s="81"/>
      <c r="Q509" s="80"/>
      <c r="R509" s="80"/>
      <c r="S509" s="80"/>
      <c r="T509" s="18"/>
      <c r="U509" s="18"/>
    </row>
    <row r="510" spans="1:21" x14ac:dyDescent="0.25">
      <c r="A510" s="79"/>
      <c r="B510" s="80"/>
      <c r="C510" s="80"/>
      <c r="D510" s="80"/>
      <c r="E510" s="80"/>
      <c r="F510" s="82"/>
      <c r="G510" s="83"/>
      <c r="H510" s="80"/>
      <c r="I510" s="80"/>
      <c r="J510" s="80"/>
      <c r="K510" s="80"/>
      <c r="L510" s="81"/>
      <c r="M510" s="80"/>
      <c r="N510" s="80"/>
      <c r="O510" s="80"/>
      <c r="P510" s="81"/>
      <c r="Q510" s="80"/>
      <c r="R510" s="80"/>
      <c r="S510" s="80"/>
      <c r="T510" s="18"/>
      <c r="U510" s="18"/>
    </row>
    <row r="511" spans="1:21" x14ac:dyDescent="0.25">
      <c r="A511" s="79"/>
      <c r="B511" s="80"/>
      <c r="C511" s="80"/>
      <c r="D511" s="80"/>
      <c r="E511" s="80"/>
      <c r="F511" s="82"/>
      <c r="G511" s="83"/>
      <c r="H511" s="80"/>
      <c r="I511" s="80"/>
      <c r="J511" s="80"/>
      <c r="K511" s="80"/>
      <c r="L511" s="81"/>
      <c r="M511" s="80"/>
      <c r="N511" s="80"/>
      <c r="O511" s="80"/>
      <c r="P511" s="81"/>
      <c r="Q511" s="80"/>
      <c r="R511" s="80"/>
      <c r="S511" s="80"/>
      <c r="T511" s="18"/>
      <c r="U511" s="18"/>
    </row>
    <row r="512" spans="1:21" x14ac:dyDescent="0.25">
      <c r="A512" s="79"/>
      <c r="B512" s="80"/>
      <c r="C512" s="80"/>
      <c r="D512" s="80"/>
      <c r="E512" s="80"/>
      <c r="F512" s="82"/>
      <c r="G512" s="83"/>
      <c r="H512" s="80"/>
      <c r="I512" s="80"/>
      <c r="J512" s="80"/>
      <c r="K512" s="80"/>
      <c r="L512" s="81"/>
      <c r="M512" s="80"/>
      <c r="N512" s="80"/>
      <c r="O512" s="80"/>
      <c r="P512" s="81"/>
      <c r="Q512" s="80"/>
      <c r="R512" s="80"/>
      <c r="S512" s="80"/>
      <c r="T512" s="18"/>
      <c r="U512" s="18"/>
    </row>
    <row r="513" spans="1:21" x14ac:dyDescent="0.25">
      <c r="A513" s="79"/>
      <c r="B513" s="80"/>
      <c r="C513" s="80"/>
      <c r="D513" s="80"/>
      <c r="E513" s="80"/>
      <c r="F513" s="82"/>
      <c r="G513" s="83"/>
      <c r="H513" s="80"/>
      <c r="I513" s="80"/>
      <c r="J513" s="80"/>
      <c r="K513" s="80"/>
      <c r="L513" s="81"/>
      <c r="M513" s="80"/>
      <c r="N513" s="80"/>
      <c r="O513" s="80"/>
      <c r="P513" s="81"/>
      <c r="Q513" s="80"/>
      <c r="R513" s="80"/>
      <c r="S513" s="80"/>
      <c r="T513" s="18"/>
      <c r="U513" s="18"/>
    </row>
    <row r="514" spans="1:21" x14ac:dyDescent="0.25">
      <c r="A514" s="79"/>
      <c r="B514" s="80"/>
      <c r="C514" s="80"/>
      <c r="D514" s="80"/>
      <c r="E514" s="80"/>
      <c r="F514" s="82"/>
      <c r="G514" s="83"/>
      <c r="H514" s="80"/>
      <c r="I514" s="80"/>
      <c r="J514" s="80"/>
      <c r="K514" s="80"/>
      <c r="L514" s="81"/>
      <c r="M514" s="80"/>
      <c r="N514" s="80"/>
      <c r="O514" s="80"/>
      <c r="P514" s="81"/>
      <c r="Q514" s="80"/>
      <c r="R514" s="80"/>
      <c r="S514" s="80"/>
      <c r="T514" s="18"/>
      <c r="U514" s="18"/>
    </row>
    <row r="515" spans="1:21" x14ac:dyDescent="0.25">
      <c r="A515" s="79"/>
      <c r="B515" s="80"/>
      <c r="C515" s="80"/>
      <c r="D515" s="80"/>
      <c r="E515" s="80"/>
      <c r="F515" s="82"/>
      <c r="G515" s="83"/>
      <c r="H515" s="80"/>
      <c r="I515" s="80"/>
      <c r="J515" s="80"/>
      <c r="K515" s="80"/>
      <c r="L515" s="81"/>
      <c r="M515" s="80"/>
      <c r="N515" s="80"/>
      <c r="O515" s="80"/>
      <c r="P515" s="81"/>
      <c r="Q515" s="80"/>
      <c r="R515" s="80"/>
      <c r="S515" s="80"/>
      <c r="T515" s="18"/>
      <c r="U515" s="18"/>
    </row>
    <row r="516" spans="1:21" x14ac:dyDescent="0.25">
      <c r="A516" s="79"/>
      <c r="B516" s="80"/>
      <c r="C516" s="80"/>
      <c r="D516" s="80"/>
      <c r="E516" s="80"/>
      <c r="F516" s="82"/>
      <c r="G516" s="83"/>
      <c r="H516" s="80"/>
      <c r="I516" s="80"/>
      <c r="J516" s="80"/>
      <c r="K516" s="80"/>
      <c r="L516" s="81"/>
      <c r="M516" s="80"/>
      <c r="N516" s="80"/>
      <c r="O516" s="80"/>
      <c r="P516" s="81"/>
      <c r="Q516" s="80"/>
      <c r="R516" s="80"/>
      <c r="S516" s="80"/>
      <c r="T516" s="18"/>
      <c r="U516" s="18"/>
    </row>
    <row r="517" spans="1:21" x14ac:dyDescent="0.25">
      <c r="A517" s="79"/>
      <c r="B517" s="80"/>
      <c r="C517" s="80"/>
      <c r="D517" s="80"/>
      <c r="E517" s="80"/>
      <c r="F517" s="82"/>
      <c r="G517" s="83"/>
      <c r="H517" s="80"/>
      <c r="I517" s="80"/>
      <c r="J517" s="80"/>
      <c r="K517" s="80"/>
      <c r="L517" s="81"/>
      <c r="M517" s="80"/>
      <c r="N517" s="80"/>
      <c r="O517" s="80"/>
      <c r="P517" s="81"/>
      <c r="Q517" s="80"/>
      <c r="R517" s="80"/>
      <c r="S517" s="80"/>
      <c r="T517" s="18"/>
      <c r="U517" s="18"/>
    </row>
    <row r="518" spans="1:21" x14ac:dyDescent="0.25">
      <c r="A518" s="79"/>
      <c r="B518" s="80"/>
      <c r="C518" s="80"/>
      <c r="D518" s="80"/>
      <c r="E518" s="80"/>
      <c r="F518" s="82"/>
      <c r="G518" s="83"/>
      <c r="H518" s="80"/>
      <c r="I518" s="80"/>
      <c r="J518" s="80"/>
      <c r="K518" s="80"/>
      <c r="L518" s="81"/>
      <c r="M518" s="80"/>
      <c r="N518" s="80"/>
      <c r="O518" s="80"/>
      <c r="P518" s="81"/>
      <c r="Q518" s="80"/>
      <c r="R518" s="80"/>
      <c r="S518" s="80"/>
      <c r="T518" s="18"/>
      <c r="U518" s="18"/>
    </row>
    <row r="519" spans="1:21" x14ac:dyDescent="0.25">
      <c r="A519" s="79"/>
      <c r="B519" s="80"/>
      <c r="C519" s="80"/>
      <c r="D519" s="80"/>
      <c r="E519" s="80"/>
      <c r="F519" s="82"/>
      <c r="G519" s="83"/>
      <c r="H519" s="80"/>
      <c r="I519" s="80"/>
      <c r="J519" s="80"/>
      <c r="K519" s="80"/>
      <c r="L519" s="81"/>
      <c r="M519" s="80"/>
      <c r="N519" s="80"/>
      <c r="O519" s="80"/>
      <c r="P519" s="81"/>
      <c r="Q519" s="80"/>
      <c r="R519" s="80"/>
      <c r="S519" s="80"/>
      <c r="T519" s="18"/>
      <c r="U519" s="18"/>
    </row>
    <row r="520" spans="1:21" x14ac:dyDescent="0.25">
      <c r="A520" s="79"/>
      <c r="B520" s="80"/>
      <c r="C520" s="80"/>
      <c r="D520" s="80"/>
      <c r="E520" s="80"/>
      <c r="F520" s="82"/>
      <c r="G520" s="83"/>
      <c r="H520" s="80"/>
      <c r="I520" s="80"/>
      <c r="J520" s="80"/>
      <c r="K520" s="80"/>
      <c r="L520" s="81"/>
      <c r="M520" s="80"/>
      <c r="N520" s="80"/>
      <c r="O520" s="80"/>
      <c r="P520" s="81"/>
      <c r="Q520" s="80"/>
      <c r="R520" s="80"/>
      <c r="S520" s="80"/>
      <c r="T520" s="18"/>
      <c r="U520" s="18"/>
    </row>
    <row r="521" spans="1:21" x14ac:dyDescent="0.25">
      <c r="A521" s="79"/>
      <c r="B521" s="80"/>
      <c r="C521" s="80"/>
      <c r="D521" s="80"/>
      <c r="E521" s="80"/>
      <c r="F521" s="82"/>
      <c r="G521" s="83"/>
      <c r="H521" s="80"/>
      <c r="I521" s="80"/>
      <c r="J521" s="80"/>
      <c r="K521" s="80"/>
      <c r="L521" s="81"/>
      <c r="M521" s="80"/>
      <c r="N521" s="80"/>
      <c r="O521" s="80"/>
      <c r="P521" s="81"/>
      <c r="Q521" s="80"/>
      <c r="R521" s="80"/>
      <c r="S521" s="80"/>
      <c r="T521" s="18"/>
      <c r="U521" s="18"/>
    </row>
    <row r="522" spans="1:21" x14ac:dyDescent="0.25">
      <c r="A522" s="79"/>
      <c r="B522" s="80"/>
      <c r="C522" s="80"/>
      <c r="D522" s="80"/>
      <c r="E522" s="80"/>
      <c r="F522" s="82"/>
      <c r="G522" s="83"/>
      <c r="H522" s="80"/>
      <c r="I522" s="80"/>
      <c r="J522" s="80"/>
      <c r="K522" s="80"/>
      <c r="L522" s="81"/>
      <c r="M522" s="80"/>
      <c r="N522" s="80"/>
      <c r="O522" s="80"/>
      <c r="P522" s="81"/>
      <c r="Q522" s="80"/>
      <c r="R522" s="80"/>
      <c r="S522" s="80"/>
      <c r="T522" s="18"/>
      <c r="U522" s="18"/>
    </row>
    <row r="523" spans="1:21" x14ac:dyDescent="0.25">
      <c r="A523" s="79"/>
      <c r="B523" s="80"/>
      <c r="C523" s="80"/>
      <c r="D523" s="80"/>
      <c r="E523" s="80"/>
      <c r="F523" s="82"/>
      <c r="G523" s="83"/>
      <c r="H523" s="80"/>
      <c r="I523" s="80"/>
      <c r="J523" s="80"/>
      <c r="K523" s="80"/>
      <c r="L523" s="81"/>
      <c r="M523" s="80"/>
      <c r="N523" s="80"/>
      <c r="O523" s="80"/>
      <c r="P523" s="81"/>
      <c r="Q523" s="80"/>
      <c r="R523" s="80"/>
      <c r="S523" s="80"/>
      <c r="T523" s="18"/>
      <c r="U523" s="18"/>
    </row>
    <row r="524" spans="1:21" x14ac:dyDescent="0.25">
      <c r="A524" s="79"/>
      <c r="B524" s="80"/>
      <c r="C524" s="80"/>
      <c r="D524" s="80"/>
      <c r="E524" s="80"/>
      <c r="F524" s="82"/>
      <c r="G524" s="83"/>
      <c r="H524" s="80"/>
      <c r="I524" s="80"/>
      <c r="J524" s="80"/>
      <c r="K524" s="80"/>
      <c r="L524" s="81"/>
      <c r="M524" s="80"/>
      <c r="N524" s="80"/>
      <c r="O524" s="80"/>
      <c r="P524" s="81"/>
      <c r="Q524" s="80"/>
      <c r="R524" s="80"/>
      <c r="S524" s="80"/>
      <c r="T524" s="18"/>
      <c r="U524" s="18"/>
    </row>
    <row r="525" spans="1:21" x14ac:dyDescent="0.25">
      <c r="A525" s="79"/>
      <c r="B525" s="80"/>
      <c r="C525" s="80"/>
      <c r="D525" s="80"/>
      <c r="E525" s="80"/>
      <c r="F525" s="82"/>
      <c r="G525" s="83"/>
      <c r="H525" s="80"/>
      <c r="I525" s="80"/>
      <c r="J525" s="80"/>
      <c r="K525" s="80"/>
      <c r="L525" s="81"/>
      <c r="M525" s="80"/>
      <c r="N525" s="80"/>
      <c r="O525" s="80"/>
      <c r="P525" s="81"/>
      <c r="Q525" s="80"/>
      <c r="R525" s="80"/>
      <c r="S525" s="80"/>
      <c r="T525" s="18"/>
      <c r="U525" s="18"/>
    </row>
    <row r="526" spans="1:21" x14ac:dyDescent="0.25">
      <c r="A526" s="79"/>
      <c r="B526" s="80"/>
      <c r="C526" s="80"/>
      <c r="D526" s="80"/>
      <c r="E526" s="80"/>
      <c r="F526" s="82"/>
      <c r="G526" s="83"/>
      <c r="H526" s="80"/>
      <c r="I526" s="80"/>
      <c r="J526" s="80"/>
      <c r="K526" s="80"/>
      <c r="L526" s="81"/>
      <c r="M526" s="80"/>
      <c r="N526" s="80"/>
      <c r="O526" s="80"/>
      <c r="P526" s="81"/>
      <c r="Q526" s="80"/>
      <c r="R526" s="80"/>
      <c r="S526" s="80"/>
      <c r="T526" s="18"/>
      <c r="U526" s="18"/>
    </row>
    <row r="527" spans="1:21" x14ac:dyDescent="0.25">
      <c r="A527" s="79"/>
      <c r="B527" s="80"/>
      <c r="C527" s="80"/>
      <c r="D527" s="80"/>
      <c r="E527" s="80"/>
      <c r="F527" s="82"/>
      <c r="G527" s="83"/>
      <c r="H527" s="80"/>
      <c r="I527" s="80"/>
      <c r="J527" s="80"/>
      <c r="K527" s="80"/>
      <c r="L527" s="81"/>
      <c r="M527" s="80"/>
      <c r="N527" s="80"/>
      <c r="O527" s="80"/>
      <c r="P527" s="81"/>
      <c r="Q527" s="80"/>
      <c r="R527" s="80"/>
      <c r="S527" s="80"/>
      <c r="T527" s="18"/>
      <c r="U527" s="18"/>
    </row>
    <row r="528" spans="1:21" x14ac:dyDescent="0.25">
      <c r="A528" s="79"/>
      <c r="B528" s="80"/>
      <c r="C528" s="80"/>
      <c r="D528" s="80"/>
      <c r="E528" s="80"/>
      <c r="F528" s="82"/>
      <c r="G528" s="83"/>
      <c r="H528" s="80"/>
      <c r="I528" s="80"/>
      <c r="J528" s="80"/>
      <c r="K528" s="80"/>
      <c r="L528" s="81"/>
      <c r="M528" s="80"/>
      <c r="N528" s="80"/>
      <c r="O528" s="80"/>
      <c r="P528" s="81"/>
      <c r="Q528" s="80"/>
      <c r="R528" s="80"/>
      <c r="S528" s="80"/>
      <c r="T528" s="18"/>
      <c r="U528" s="18"/>
    </row>
    <row r="529" spans="1:21" x14ac:dyDescent="0.25">
      <c r="A529" s="79"/>
      <c r="B529" s="80"/>
      <c r="C529" s="80"/>
      <c r="D529" s="80"/>
      <c r="E529" s="80"/>
      <c r="F529" s="82"/>
      <c r="G529" s="83"/>
      <c r="H529" s="80"/>
      <c r="I529" s="80"/>
      <c r="J529" s="80"/>
      <c r="K529" s="80"/>
      <c r="L529" s="81"/>
      <c r="M529" s="80"/>
      <c r="N529" s="80"/>
      <c r="O529" s="80"/>
      <c r="P529" s="81"/>
      <c r="Q529" s="80"/>
      <c r="R529" s="80"/>
      <c r="S529" s="80"/>
      <c r="T529" s="18"/>
      <c r="U529" s="18"/>
    </row>
    <row r="530" spans="1:21" x14ac:dyDescent="0.25">
      <c r="A530" s="79"/>
      <c r="B530" s="80"/>
      <c r="C530" s="80"/>
      <c r="D530" s="80"/>
      <c r="E530" s="80"/>
      <c r="F530" s="82"/>
      <c r="G530" s="83"/>
      <c r="H530" s="80"/>
      <c r="I530" s="80"/>
      <c r="J530" s="80"/>
      <c r="K530" s="80"/>
      <c r="L530" s="81"/>
      <c r="M530" s="80"/>
      <c r="N530" s="80"/>
      <c r="O530" s="80"/>
      <c r="P530" s="81"/>
      <c r="Q530" s="80"/>
      <c r="R530" s="80"/>
      <c r="S530" s="80"/>
      <c r="T530" s="18"/>
      <c r="U530" s="18"/>
    </row>
    <row r="531" spans="1:21" x14ac:dyDescent="0.25">
      <c r="A531" s="79"/>
      <c r="B531" s="80"/>
      <c r="C531" s="80"/>
      <c r="D531" s="80"/>
      <c r="E531" s="80"/>
      <c r="F531" s="82"/>
      <c r="G531" s="83"/>
      <c r="H531" s="80"/>
      <c r="I531" s="80"/>
      <c r="J531" s="80"/>
      <c r="K531" s="80"/>
      <c r="L531" s="81"/>
      <c r="M531" s="80"/>
      <c r="N531" s="80"/>
      <c r="O531" s="80"/>
      <c r="P531" s="81"/>
      <c r="Q531" s="80"/>
      <c r="R531" s="80"/>
      <c r="S531" s="80"/>
      <c r="T531" s="18"/>
      <c r="U531" s="18"/>
    </row>
    <row r="532" spans="1:21" x14ac:dyDescent="0.25">
      <c r="A532" s="79"/>
      <c r="B532" s="80"/>
      <c r="C532" s="80"/>
      <c r="D532" s="80"/>
      <c r="E532" s="80"/>
      <c r="F532" s="82"/>
      <c r="G532" s="83"/>
      <c r="H532" s="80"/>
      <c r="I532" s="80"/>
      <c r="J532" s="80"/>
      <c r="K532" s="80"/>
      <c r="L532" s="81"/>
      <c r="M532" s="80"/>
      <c r="N532" s="80"/>
      <c r="O532" s="80"/>
      <c r="P532" s="81"/>
      <c r="Q532" s="80"/>
      <c r="R532" s="80"/>
      <c r="S532" s="80"/>
      <c r="T532" s="18"/>
      <c r="U532" s="18"/>
    </row>
    <row r="533" spans="1:21" x14ac:dyDescent="0.25">
      <c r="A533" s="79"/>
      <c r="B533" s="80"/>
      <c r="C533" s="80"/>
      <c r="D533" s="80"/>
      <c r="E533" s="80"/>
      <c r="F533" s="82"/>
      <c r="G533" s="83"/>
      <c r="H533" s="80"/>
      <c r="I533" s="80"/>
      <c r="J533" s="80"/>
      <c r="K533" s="80"/>
      <c r="L533" s="81"/>
      <c r="M533" s="80"/>
      <c r="N533" s="80"/>
      <c r="O533" s="80"/>
      <c r="P533" s="81"/>
      <c r="Q533" s="80"/>
      <c r="R533" s="80"/>
      <c r="S533" s="80"/>
      <c r="T533" s="18"/>
      <c r="U533" s="18"/>
    </row>
    <row r="534" spans="1:21" x14ac:dyDescent="0.25">
      <c r="A534" s="79"/>
      <c r="B534" s="80"/>
      <c r="C534" s="80"/>
      <c r="D534" s="80"/>
      <c r="E534" s="80"/>
      <c r="F534" s="82"/>
      <c r="G534" s="83"/>
      <c r="H534" s="80"/>
      <c r="I534" s="80"/>
      <c r="J534" s="80"/>
      <c r="K534" s="80"/>
      <c r="L534" s="81"/>
      <c r="M534" s="80"/>
      <c r="N534" s="80"/>
      <c r="O534" s="80"/>
      <c r="P534" s="81"/>
      <c r="Q534" s="80"/>
      <c r="R534" s="80"/>
      <c r="S534" s="80"/>
      <c r="T534" s="18"/>
      <c r="U534" s="18"/>
    </row>
    <row r="535" spans="1:21" x14ac:dyDescent="0.25">
      <c r="A535" s="79"/>
      <c r="B535" s="80"/>
      <c r="C535" s="80"/>
      <c r="D535" s="80"/>
      <c r="E535" s="80"/>
      <c r="F535" s="82"/>
      <c r="G535" s="83"/>
      <c r="H535" s="80"/>
      <c r="I535" s="80"/>
      <c r="J535" s="80"/>
      <c r="K535" s="80"/>
      <c r="L535" s="81"/>
      <c r="M535" s="80"/>
      <c r="N535" s="80"/>
      <c r="O535" s="80"/>
      <c r="P535" s="81"/>
      <c r="Q535" s="80"/>
      <c r="R535" s="80"/>
      <c r="S535" s="80"/>
      <c r="T535" s="18"/>
      <c r="U535" s="18"/>
    </row>
    <row r="536" spans="1:21" x14ac:dyDescent="0.25">
      <c r="A536" s="79"/>
      <c r="B536" s="80"/>
      <c r="C536" s="80"/>
      <c r="D536" s="80"/>
      <c r="E536" s="80"/>
      <c r="F536" s="82"/>
      <c r="G536" s="83"/>
      <c r="H536" s="80"/>
      <c r="I536" s="80"/>
      <c r="J536" s="80"/>
      <c r="K536" s="80"/>
      <c r="L536" s="81"/>
      <c r="M536" s="80"/>
      <c r="N536" s="80"/>
      <c r="O536" s="80"/>
      <c r="P536" s="81"/>
      <c r="Q536" s="80"/>
      <c r="R536" s="80"/>
      <c r="S536" s="80"/>
      <c r="T536" s="18"/>
      <c r="U536" s="18"/>
    </row>
    <row r="537" spans="1:21" x14ac:dyDescent="0.25">
      <c r="A537" s="79"/>
      <c r="B537" s="80"/>
      <c r="C537" s="80"/>
      <c r="D537" s="80"/>
      <c r="E537" s="80"/>
      <c r="F537" s="82"/>
      <c r="G537" s="83"/>
      <c r="H537" s="80"/>
      <c r="I537" s="80"/>
      <c r="J537" s="80"/>
      <c r="K537" s="80"/>
      <c r="L537" s="81"/>
      <c r="M537" s="80"/>
      <c r="N537" s="80"/>
      <c r="O537" s="80"/>
      <c r="P537" s="81"/>
      <c r="Q537" s="80"/>
      <c r="R537" s="80"/>
      <c r="S537" s="80"/>
      <c r="T537" s="18"/>
      <c r="U537" s="18"/>
    </row>
    <row r="538" spans="1:21" x14ac:dyDescent="0.25">
      <c r="A538" s="79"/>
      <c r="B538" s="80"/>
      <c r="C538" s="80"/>
      <c r="D538" s="80"/>
      <c r="E538" s="80"/>
      <c r="F538" s="82"/>
      <c r="G538" s="83"/>
      <c r="H538" s="80"/>
      <c r="I538" s="80"/>
      <c r="J538" s="80"/>
      <c r="K538" s="80"/>
      <c r="L538" s="81"/>
      <c r="M538" s="80"/>
      <c r="N538" s="80"/>
      <c r="O538" s="80"/>
      <c r="P538" s="81"/>
      <c r="Q538" s="80"/>
      <c r="R538" s="80"/>
      <c r="S538" s="80"/>
      <c r="T538" s="18"/>
      <c r="U538" s="18"/>
    </row>
    <row r="539" spans="1:21" x14ac:dyDescent="0.25">
      <c r="A539" s="79"/>
      <c r="B539" s="80"/>
      <c r="C539" s="80"/>
      <c r="D539" s="80"/>
      <c r="E539" s="80"/>
      <c r="F539" s="82"/>
      <c r="G539" s="83"/>
      <c r="H539" s="80"/>
      <c r="I539" s="80"/>
      <c r="J539" s="80"/>
      <c r="K539" s="80"/>
      <c r="L539" s="81"/>
      <c r="M539" s="80"/>
      <c r="N539" s="80"/>
      <c r="O539" s="80"/>
      <c r="P539" s="81"/>
      <c r="Q539" s="80"/>
      <c r="R539" s="80"/>
      <c r="S539" s="80"/>
      <c r="T539" s="18"/>
      <c r="U539" s="18"/>
    </row>
    <row r="540" spans="1:21" x14ac:dyDescent="0.25">
      <c r="A540" s="79"/>
      <c r="B540" s="80"/>
      <c r="C540" s="80"/>
      <c r="D540" s="80"/>
      <c r="E540" s="80"/>
      <c r="F540" s="82"/>
      <c r="G540" s="83"/>
      <c r="H540" s="80"/>
      <c r="I540" s="80"/>
      <c r="J540" s="80"/>
      <c r="K540" s="80"/>
      <c r="L540" s="81"/>
      <c r="M540" s="80"/>
      <c r="N540" s="80"/>
      <c r="O540" s="80"/>
      <c r="P540" s="81"/>
      <c r="Q540" s="80"/>
      <c r="R540" s="80"/>
      <c r="S540" s="80"/>
      <c r="T540" s="18"/>
      <c r="U540" s="18"/>
    </row>
    <row r="541" spans="1:21" x14ac:dyDescent="0.25">
      <c r="A541" s="79"/>
      <c r="B541" s="80"/>
      <c r="C541" s="80"/>
      <c r="D541" s="80"/>
      <c r="E541" s="80"/>
      <c r="F541" s="82"/>
      <c r="G541" s="83"/>
      <c r="H541" s="80"/>
      <c r="I541" s="80"/>
      <c r="J541" s="80"/>
      <c r="K541" s="80"/>
      <c r="L541" s="81"/>
      <c r="M541" s="80"/>
      <c r="N541" s="80"/>
      <c r="O541" s="80"/>
      <c r="P541" s="81"/>
      <c r="Q541" s="80"/>
      <c r="R541" s="80"/>
      <c r="S541" s="80"/>
      <c r="T541" s="18"/>
      <c r="U541" s="18"/>
    </row>
    <row r="542" spans="1:21" x14ac:dyDescent="0.25">
      <c r="A542" s="79"/>
      <c r="B542" s="80"/>
      <c r="C542" s="80"/>
      <c r="D542" s="80"/>
      <c r="E542" s="80"/>
      <c r="F542" s="82"/>
      <c r="G542" s="83"/>
      <c r="H542" s="80"/>
      <c r="I542" s="80"/>
      <c r="J542" s="80"/>
      <c r="K542" s="80"/>
      <c r="L542" s="81"/>
      <c r="M542" s="80"/>
      <c r="N542" s="80"/>
      <c r="O542" s="80"/>
      <c r="P542" s="81"/>
      <c r="Q542" s="80"/>
      <c r="R542" s="80"/>
      <c r="S542" s="80"/>
      <c r="T542" s="18"/>
      <c r="U542" s="18"/>
    </row>
    <row r="543" spans="1:21" x14ac:dyDescent="0.25">
      <c r="A543" s="79"/>
      <c r="B543" s="80"/>
      <c r="C543" s="80"/>
      <c r="D543" s="80"/>
      <c r="E543" s="80"/>
      <c r="F543" s="82"/>
      <c r="G543" s="83"/>
      <c r="H543" s="80"/>
      <c r="I543" s="80"/>
      <c r="J543" s="80"/>
      <c r="K543" s="80"/>
      <c r="L543" s="81"/>
      <c r="M543" s="80"/>
      <c r="N543" s="80"/>
      <c r="O543" s="80"/>
      <c r="P543" s="81"/>
      <c r="Q543" s="80"/>
      <c r="R543" s="80"/>
      <c r="S543" s="80"/>
      <c r="T543" s="18"/>
      <c r="U543" s="18"/>
    </row>
    <row r="544" spans="1:21" x14ac:dyDescent="0.25">
      <c r="A544" s="79"/>
      <c r="B544" s="80"/>
      <c r="C544" s="80"/>
      <c r="D544" s="80"/>
      <c r="E544" s="80"/>
      <c r="F544" s="82"/>
      <c r="G544" s="83"/>
      <c r="H544" s="80"/>
      <c r="I544" s="80"/>
      <c r="J544" s="80"/>
      <c r="K544" s="80"/>
      <c r="L544" s="81"/>
      <c r="M544" s="80"/>
      <c r="N544" s="80"/>
      <c r="O544" s="80"/>
      <c r="P544" s="81"/>
      <c r="Q544" s="80"/>
      <c r="R544" s="80"/>
      <c r="S544" s="80"/>
      <c r="T544" s="18"/>
      <c r="U544" s="18"/>
    </row>
    <row r="545" spans="1:21" x14ac:dyDescent="0.25">
      <c r="A545" s="79"/>
      <c r="B545" s="80"/>
      <c r="C545" s="80"/>
      <c r="D545" s="80"/>
      <c r="E545" s="80"/>
      <c r="F545" s="82"/>
      <c r="G545" s="83"/>
      <c r="H545" s="80"/>
      <c r="I545" s="80"/>
      <c r="J545" s="80"/>
      <c r="K545" s="80"/>
      <c r="L545" s="81"/>
      <c r="M545" s="80"/>
      <c r="N545" s="80"/>
      <c r="O545" s="80"/>
      <c r="P545" s="81"/>
      <c r="Q545" s="80"/>
      <c r="R545" s="80"/>
      <c r="S545" s="80"/>
      <c r="T545" s="18"/>
      <c r="U545" s="18"/>
    </row>
    <row r="546" spans="1:21" x14ac:dyDescent="0.25">
      <c r="A546" s="79"/>
      <c r="B546" s="80"/>
      <c r="C546" s="80"/>
      <c r="D546" s="80"/>
      <c r="E546" s="80"/>
      <c r="F546" s="82"/>
      <c r="G546" s="83"/>
      <c r="H546" s="80"/>
      <c r="I546" s="80"/>
      <c r="J546" s="80"/>
      <c r="K546" s="80"/>
      <c r="L546" s="81"/>
      <c r="M546" s="80"/>
      <c r="N546" s="80"/>
      <c r="O546" s="80"/>
      <c r="P546" s="81"/>
      <c r="Q546" s="80"/>
      <c r="R546" s="80"/>
      <c r="S546" s="80"/>
      <c r="T546" s="18"/>
      <c r="U546" s="18"/>
    </row>
    <row r="547" spans="1:21" x14ac:dyDescent="0.25">
      <c r="A547" s="79"/>
      <c r="B547" s="80"/>
      <c r="C547" s="80"/>
      <c r="D547" s="80"/>
      <c r="E547" s="80"/>
      <c r="F547" s="82"/>
      <c r="G547" s="83"/>
      <c r="H547" s="80"/>
      <c r="I547" s="80"/>
      <c r="J547" s="80"/>
      <c r="K547" s="80"/>
      <c r="L547" s="81"/>
      <c r="M547" s="80"/>
      <c r="N547" s="80"/>
      <c r="O547" s="80"/>
      <c r="P547" s="81"/>
      <c r="Q547" s="80"/>
      <c r="R547" s="80"/>
      <c r="S547" s="80"/>
      <c r="T547" s="18"/>
      <c r="U547" s="18"/>
    </row>
    <row r="548" spans="1:21" x14ac:dyDescent="0.25">
      <c r="A548" s="79"/>
      <c r="B548" s="80"/>
      <c r="C548" s="80"/>
      <c r="D548" s="80"/>
      <c r="E548" s="80"/>
      <c r="F548" s="82"/>
      <c r="G548" s="83"/>
      <c r="H548" s="80"/>
      <c r="I548" s="80"/>
      <c r="J548" s="80"/>
      <c r="K548" s="80"/>
      <c r="L548" s="81"/>
      <c r="M548" s="80"/>
      <c r="N548" s="80"/>
      <c r="O548" s="80"/>
      <c r="P548" s="81"/>
      <c r="Q548" s="80"/>
      <c r="R548" s="80"/>
      <c r="S548" s="80"/>
      <c r="T548" s="18"/>
      <c r="U548" s="18"/>
    </row>
    <row r="549" spans="1:21" x14ac:dyDescent="0.25">
      <c r="A549" s="79"/>
      <c r="B549" s="80"/>
      <c r="C549" s="80"/>
      <c r="D549" s="80"/>
      <c r="E549" s="80"/>
      <c r="F549" s="82"/>
      <c r="G549" s="83"/>
      <c r="H549" s="80"/>
      <c r="I549" s="80"/>
      <c r="J549" s="80"/>
      <c r="K549" s="80"/>
      <c r="L549" s="81"/>
      <c r="M549" s="80"/>
      <c r="N549" s="80"/>
      <c r="O549" s="80"/>
      <c r="P549" s="81"/>
      <c r="Q549" s="80"/>
      <c r="R549" s="80"/>
      <c r="S549" s="80"/>
      <c r="T549" s="18"/>
      <c r="U549" s="18"/>
    </row>
    <row r="550" spans="1:21" x14ac:dyDescent="0.25">
      <c r="A550" s="79"/>
      <c r="B550" s="80"/>
      <c r="C550" s="80"/>
      <c r="D550" s="80"/>
      <c r="E550" s="80"/>
      <c r="F550" s="82"/>
      <c r="G550" s="83"/>
      <c r="H550" s="80"/>
      <c r="I550" s="80"/>
      <c r="J550" s="80"/>
      <c r="K550" s="80"/>
      <c r="L550" s="81"/>
      <c r="M550" s="80"/>
      <c r="N550" s="80"/>
      <c r="O550" s="80"/>
      <c r="P550" s="81"/>
      <c r="Q550" s="80"/>
      <c r="R550" s="80"/>
      <c r="S550" s="80"/>
      <c r="T550" s="18"/>
      <c r="U550" s="18"/>
    </row>
    <row r="551" spans="1:21" x14ac:dyDescent="0.25">
      <c r="A551" s="79"/>
      <c r="B551" s="80"/>
      <c r="C551" s="80"/>
      <c r="D551" s="80"/>
      <c r="E551" s="80"/>
      <c r="F551" s="82"/>
      <c r="G551" s="83"/>
      <c r="H551" s="80"/>
      <c r="I551" s="80"/>
      <c r="J551" s="80"/>
      <c r="K551" s="80"/>
      <c r="L551" s="81"/>
      <c r="M551" s="80"/>
      <c r="N551" s="80"/>
      <c r="O551" s="80"/>
      <c r="P551" s="81"/>
      <c r="Q551" s="80"/>
      <c r="R551" s="80"/>
      <c r="S551" s="80"/>
      <c r="T551" s="18"/>
      <c r="U551" s="18"/>
    </row>
    <row r="552" spans="1:21" x14ac:dyDescent="0.25">
      <c r="A552" s="79"/>
      <c r="B552" s="80"/>
      <c r="C552" s="80"/>
      <c r="D552" s="80"/>
      <c r="E552" s="80"/>
      <c r="F552" s="82"/>
      <c r="G552" s="83"/>
      <c r="H552" s="80"/>
      <c r="I552" s="80"/>
      <c r="J552" s="80"/>
      <c r="K552" s="80"/>
      <c r="L552" s="81"/>
      <c r="M552" s="80"/>
      <c r="N552" s="80"/>
      <c r="O552" s="80"/>
      <c r="P552" s="81"/>
      <c r="Q552" s="80"/>
      <c r="R552" s="80"/>
      <c r="S552" s="80"/>
      <c r="T552" s="18"/>
      <c r="U552" s="18"/>
    </row>
    <row r="553" spans="1:21" x14ac:dyDescent="0.25">
      <c r="A553" s="79"/>
      <c r="B553" s="80"/>
      <c r="C553" s="80"/>
      <c r="D553" s="80"/>
      <c r="E553" s="80"/>
      <c r="F553" s="82"/>
      <c r="G553" s="83"/>
      <c r="H553" s="80"/>
      <c r="I553" s="80"/>
      <c r="J553" s="80"/>
      <c r="K553" s="80"/>
      <c r="L553" s="81"/>
      <c r="M553" s="80"/>
      <c r="N553" s="80"/>
      <c r="O553" s="80"/>
      <c r="P553" s="81"/>
      <c r="Q553" s="80"/>
      <c r="R553" s="80"/>
      <c r="S553" s="80"/>
      <c r="T553" s="18"/>
      <c r="U553" s="18"/>
    </row>
    <row r="554" spans="1:21" x14ac:dyDescent="0.25">
      <c r="A554" s="79"/>
      <c r="B554" s="80"/>
      <c r="C554" s="80"/>
      <c r="D554" s="80"/>
      <c r="E554" s="80"/>
      <c r="F554" s="82"/>
      <c r="G554" s="83"/>
      <c r="H554" s="80"/>
      <c r="I554" s="80"/>
      <c r="J554" s="80"/>
      <c r="K554" s="80"/>
      <c r="L554" s="81"/>
      <c r="M554" s="80"/>
      <c r="N554" s="80"/>
      <c r="O554" s="80"/>
      <c r="P554" s="81"/>
      <c r="Q554" s="80"/>
      <c r="R554" s="80"/>
      <c r="S554" s="80"/>
      <c r="T554" s="18"/>
      <c r="U554" s="18"/>
    </row>
    <row r="555" spans="1:21" x14ac:dyDescent="0.25">
      <c r="A555" s="79"/>
      <c r="B555" s="80"/>
      <c r="C555" s="80"/>
      <c r="D555" s="80"/>
      <c r="E555" s="80"/>
      <c r="F555" s="82"/>
      <c r="G555" s="83"/>
      <c r="H555" s="80"/>
      <c r="I555" s="80"/>
      <c r="J555" s="80"/>
      <c r="K555" s="80"/>
      <c r="L555" s="81"/>
      <c r="M555" s="80"/>
      <c r="N555" s="80"/>
      <c r="O555" s="80"/>
      <c r="P555" s="81"/>
      <c r="Q555" s="80"/>
      <c r="R555" s="80"/>
      <c r="S555" s="80"/>
      <c r="T555" s="18"/>
      <c r="U555" s="18"/>
    </row>
    <row r="556" spans="1:21" x14ac:dyDescent="0.25">
      <c r="A556" s="79"/>
      <c r="B556" s="80"/>
      <c r="C556" s="80"/>
      <c r="D556" s="80"/>
      <c r="E556" s="80"/>
      <c r="F556" s="82"/>
      <c r="G556" s="83"/>
      <c r="H556" s="80"/>
      <c r="I556" s="80"/>
      <c r="J556" s="80"/>
      <c r="K556" s="80"/>
      <c r="L556" s="81"/>
      <c r="M556" s="80"/>
      <c r="N556" s="80"/>
      <c r="O556" s="80"/>
      <c r="P556" s="81"/>
      <c r="Q556" s="80"/>
      <c r="R556" s="80"/>
      <c r="S556" s="80"/>
      <c r="T556" s="18"/>
      <c r="U556" s="18"/>
    </row>
    <row r="557" spans="1:21" x14ac:dyDescent="0.25">
      <c r="A557" s="79"/>
      <c r="B557" s="80"/>
      <c r="C557" s="80"/>
      <c r="D557" s="80"/>
      <c r="E557" s="80"/>
      <c r="F557" s="82"/>
      <c r="G557" s="83"/>
      <c r="H557" s="80"/>
      <c r="I557" s="80"/>
      <c r="J557" s="80"/>
      <c r="K557" s="80"/>
      <c r="L557" s="81"/>
      <c r="M557" s="80"/>
      <c r="N557" s="80"/>
      <c r="O557" s="80"/>
      <c r="P557" s="81"/>
      <c r="Q557" s="80"/>
      <c r="R557" s="80"/>
      <c r="S557" s="80"/>
      <c r="T557" s="18"/>
      <c r="U557" s="18"/>
    </row>
    <row r="558" spans="1:21" x14ac:dyDescent="0.25">
      <c r="A558" s="79"/>
      <c r="B558" s="80"/>
      <c r="C558" s="80"/>
      <c r="D558" s="80"/>
      <c r="E558" s="80"/>
      <c r="F558" s="82"/>
      <c r="G558" s="83"/>
      <c r="H558" s="80"/>
      <c r="I558" s="80"/>
      <c r="J558" s="80"/>
      <c r="K558" s="80"/>
      <c r="L558" s="81"/>
      <c r="M558" s="80"/>
      <c r="N558" s="80"/>
      <c r="O558" s="80"/>
      <c r="P558" s="81"/>
      <c r="Q558" s="80"/>
      <c r="R558" s="80"/>
      <c r="S558" s="80"/>
      <c r="T558" s="18"/>
      <c r="U558" s="18"/>
    </row>
    <row r="559" spans="1:21" x14ac:dyDescent="0.25">
      <c r="A559" s="79"/>
      <c r="B559" s="80"/>
      <c r="C559" s="80"/>
      <c r="D559" s="80"/>
      <c r="E559" s="80"/>
      <c r="F559" s="82"/>
      <c r="G559" s="83"/>
      <c r="H559" s="80"/>
      <c r="I559" s="80"/>
      <c r="J559" s="80"/>
      <c r="K559" s="80"/>
      <c r="L559" s="81"/>
      <c r="M559" s="80"/>
      <c r="N559" s="80"/>
      <c r="O559" s="80"/>
      <c r="P559" s="81"/>
      <c r="Q559" s="80"/>
      <c r="R559" s="80"/>
      <c r="S559" s="80"/>
      <c r="T559" s="18"/>
      <c r="U559" s="18"/>
    </row>
    <row r="560" spans="1:21" x14ac:dyDescent="0.25">
      <c r="A560" s="79"/>
      <c r="B560" s="80"/>
      <c r="C560" s="80"/>
      <c r="D560" s="80"/>
      <c r="E560" s="80"/>
      <c r="F560" s="82"/>
      <c r="G560" s="83"/>
      <c r="H560" s="80"/>
      <c r="I560" s="80"/>
      <c r="J560" s="80"/>
      <c r="K560" s="80"/>
      <c r="L560" s="81"/>
      <c r="M560" s="80"/>
      <c r="N560" s="80"/>
      <c r="O560" s="80"/>
      <c r="P560" s="81"/>
      <c r="Q560" s="80"/>
      <c r="R560" s="80"/>
      <c r="S560" s="80"/>
      <c r="T560" s="18"/>
      <c r="U560" s="18"/>
    </row>
    <row r="561" spans="1:21" x14ac:dyDescent="0.25">
      <c r="A561" s="79"/>
      <c r="B561" s="80"/>
      <c r="C561" s="80"/>
      <c r="D561" s="80"/>
      <c r="E561" s="80"/>
      <c r="F561" s="82"/>
      <c r="G561" s="83"/>
      <c r="H561" s="80"/>
      <c r="I561" s="80"/>
      <c r="J561" s="80"/>
      <c r="K561" s="80"/>
      <c r="L561" s="81"/>
      <c r="M561" s="80"/>
      <c r="N561" s="80"/>
      <c r="O561" s="80"/>
      <c r="P561" s="81"/>
      <c r="Q561" s="80"/>
      <c r="R561" s="80"/>
      <c r="S561" s="80"/>
      <c r="T561" s="18"/>
      <c r="U561" s="18"/>
    </row>
    <row r="562" spans="1:21" x14ac:dyDescent="0.25">
      <c r="A562" s="79"/>
      <c r="B562" s="80"/>
      <c r="C562" s="80"/>
      <c r="D562" s="80"/>
      <c r="E562" s="80"/>
      <c r="F562" s="82"/>
      <c r="G562" s="83"/>
      <c r="H562" s="80"/>
      <c r="I562" s="80"/>
      <c r="J562" s="80"/>
      <c r="K562" s="80"/>
      <c r="L562" s="81"/>
      <c r="M562" s="80"/>
      <c r="N562" s="80"/>
      <c r="O562" s="80"/>
      <c r="P562" s="81"/>
      <c r="Q562" s="80"/>
      <c r="R562" s="80"/>
      <c r="S562" s="80"/>
      <c r="T562" s="18"/>
      <c r="U562" s="18"/>
    </row>
    <row r="563" spans="1:21" x14ac:dyDescent="0.25">
      <c r="A563" s="79"/>
      <c r="B563" s="80"/>
      <c r="C563" s="80"/>
      <c r="D563" s="80"/>
      <c r="E563" s="80"/>
      <c r="F563" s="82"/>
      <c r="G563" s="83"/>
      <c r="H563" s="80"/>
      <c r="I563" s="80"/>
      <c r="J563" s="80"/>
      <c r="K563" s="80"/>
      <c r="L563" s="81"/>
      <c r="M563" s="80"/>
      <c r="N563" s="80"/>
      <c r="O563" s="80"/>
      <c r="P563" s="81"/>
      <c r="Q563" s="80"/>
      <c r="R563" s="80"/>
      <c r="S563" s="80"/>
      <c r="T563" s="18"/>
      <c r="U563" s="18"/>
    </row>
    <row r="564" spans="1:21" x14ac:dyDescent="0.25">
      <c r="A564" s="79"/>
      <c r="B564" s="80"/>
      <c r="C564" s="80"/>
      <c r="D564" s="80"/>
      <c r="E564" s="80"/>
      <c r="F564" s="82"/>
      <c r="G564" s="83"/>
      <c r="H564" s="80"/>
      <c r="I564" s="80"/>
      <c r="J564" s="80"/>
      <c r="K564" s="80"/>
      <c r="L564" s="81"/>
      <c r="M564" s="80"/>
      <c r="N564" s="80"/>
      <c r="O564" s="80"/>
      <c r="P564" s="81"/>
      <c r="Q564" s="80"/>
      <c r="R564" s="80"/>
      <c r="S564" s="80"/>
      <c r="T564" s="18"/>
      <c r="U564" s="18"/>
    </row>
    <row r="565" spans="1:21" x14ac:dyDescent="0.25">
      <c r="A565" s="79"/>
      <c r="B565" s="80"/>
      <c r="C565" s="80"/>
      <c r="D565" s="80"/>
      <c r="E565" s="80"/>
      <c r="F565" s="82"/>
      <c r="G565" s="83"/>
      <c r="H565" s="80"/>
      <c r="I565" s="80"/>
      <c r="J565" s="80"/>
      <c r="K565" s="80"/>
      <c r="L565" s="81"/>
      <c r="M565" s="80"/>
      <c r="N565" s="80"/>
      <c r="O565" s="80"/>
      <c r="P565" s="81"/>
      <c r="Q565" s="80"/>
      <c r="R565" s="80"/>
      <c r="S565" s="80"/>
      <c r="T565" s="18"/>
      <c r="U565" s="18"/>
    </row>
    <row r="566" spans="1:21" x14ac:dyDescent="0.25">
      <c r="A566" s="79"/>
      <c r="B566" s="80"/>
      <c r="C566" s="80"/>
      <c r="D566" s="80"/>
      <c r="E566" s="80"/>
      <c r="F566" s="82"/>
      <c r="G566" s="83"/>
      <c r="H566" s="80"/>
      <c r="I566" s="80"/>
      <c r="J566" s="80"/>
      <c r="K566" s="80"/>
      <c r="L566" s="81"/>
      <c r="M566" s="80"/>
      <c r="N566" s="80"/>
      <c r="O566" s="80"/>
      <c r="P566" s="81"/>
      <c r="Q566" s="80"/>
      <c r="R566" s="80"/>
      <c r="S566" s="80"/>
      <c r="T566" s="18"/>
      <c r="U566" s="18"/>
    </row>
    <row r="567" spans="1:21" x14ac:dyDescent="0.25">
      <c r="A567" s="79"/>
      <c r="B567" s="80"/>
      <c r="C567" s="80"/>
      <c r="D567" s="80"/>
      <c r="E567" s="80"/>
      <c r="F567" s="82"/>
      <c r="G567" s="83"/>
      <c r="H567" s="80"/>
      <c r="I567" s="80"/>
      <c r="J567" s="80"/>
      <c r="K567" s="80"/>
      <c r="L567" s="81"/>
      <c r="M567" s="80"/>
      <c r="N567" s="80"/>
      <c r="O567" s="80"/>
      <c r="P567" s="81"/>
      <c r="Q567" s="80"/>
      <c r="R567" s="80"/>
      <c r="S567" s="80"/>
      <c r="T567" s="18"/>
      <c r="U567" s="18"/>
    </row>
    <row r="568" spans="1:21" x14ac:dyDescent="0.25">
      <c r="A568" s="79"/>
      <c r="B568" s="80"/>
      <c r="C568" s="80"/>
      <c r="D568" s="80"/>
      <c r="E568" s="80"/>
      <c r="F568" s="82"/>
      <c r="G568" s="83"/>
      <c r="H568" s="80"/>
      <c r="I568" s="80"/>
      <c r="J568" s="80"/>
      <c r="K568" s="80"/>
      <c r="L568" s="81"/>
      <c r="M568" s="80"/>
      <c r="N568" s="80"/>
      <c r="O568" s="80"/>
      <c r="P568" s="81"/>
      <c r="Q568" s="80"/>
      <c r="R568" s="80"/>
      <c r="S568" s="80"/>
      <c r="T568" s="18"/>
      <c r="U568" s="18"/>
    </row>
    <row r="569" spans="1:21" x14ac:dyDescent="0.25">
      <c r="A569" s="79"/>
      <c r="B569" s="80"/>
      <c r="C569" s="80"/>
      <c r="D569" s="80"/>
      <c r="E569" s="80"/>
      <c r="F569" s="82"/>
      <c r="G569" s="83"/>
      <c r="H569" s="80"/>
      <c r="I569" s="80"/>
      <c r="J569" s="80"/>
      <c r="K569" s="80"/>
      <c r="L569" s="81"/>
      <c r="M569" s="80"/>
      <c r="N569" s="80"/>
      <c r="O569" s="80"/>
      <c r="P569" s="81"/>
      <c r="Q569" s="80"/>
      <c r="R569" s="80"/>
      <c r="S569" s="80"/>
      <c r="T569" s="18"/>
      <c r="U569" s="18"/>
    </row>
    <row r="570" spans="1:21" x14ac:dyDescent="0.25">
      <c r="A570" s="79"/>
      <c r="B570" s="80"/>
      <c r="C570" s="80"/>
      <c r="D570" s="80"/>
      <c r="E570" s="80"/>
      <c r="F570" s="82"/>
      <c r="G570" s="83"/>
      <c r="H570" s="80"/>
      <c r="I570" s="80"/>
      <c r="J570" s="80"/>
      <c r="K570" s="80"/>
      <c r="L570" s="81"/>
      <c r="M570" s="80"/>
      <c r="N570" s="80"/>
      <c r="O570" s="80"/>
      <c r="P570" s="81"/>
      <c r="Q570" s="80"/>
      <c r="R570" s="80"/>
      <c r="S570" s="80"/>
      <c r="T570" s="18"/>
      <c r="U570" s="18"/>
    </row>
    <row r="571" spans="1:21" x14ac:dyDescent="0.25">
      <c r="A571" s="79"/>
      <c r="B571" s="80"/>
      <c r="C571" s="80"/>
      <c r="D571" s="80"/>
      <c r="E571" s="80"/>
      <c r="F571" s="82"/>
      <c r="G571" s="83"/>
      <c r="H571" s="80"/>
      <c r="I571" s="80"/>
      <c r="J571" s="80"/>
      <c r="K571" s="80"/>
      <c r="L571" s="81"/>
      <c r="M571" s="80"/>
      <c r="N571" s="80"/>
      <c r="O571" s="80"/>
      <c r="P571" s="81"/>
      <c r="Q571" s="80"/>
      <c r="R571" s="80"/>
      <c r="S571" s="80"/>
      <c r="T571" s="18"/>
      <c r="U571" s="18"/>
    </row>
    <row r="572" spans="1:21" x14ac:dyDescent="0.25">
      <c r="A572" s="79"/>
      <c r="B572" s="80"/>
      <c r="C572" s="80"/>
      <c r="D572" s="80"/>
      <c r="E572" s="80"/>
      <c r="F572" s="82"/>
      <c r="G572" s="83"/>
      <c r="H572" s="80"/>
      <c r="I572" s="80"/>
      <c r="J572" s="80"/>
      <c r="K572" s="80"/>
      <c r="L572" s="81"/>
      <c r="M572" s="80"/>
      <c r="N572" s="80"/>
      <c r="O572" s="80"/>
      <c r="P572" s="81"/>
      <c r="Q572" s="80"/>
      <c r="R572" s="80"/>
      <c r="S572" s="80"/>
      <c r="T572" s="18"/>
      <c r="U572" s="18"/>
    </row>
    <row r="573" spans="1:21" x14ac:dyDescent="0.25">
      <c r="A573" s="79"/>
      <c r="B573" s="80"/>
      <c r="C573" s="80"/>
      <c r="D573" s="80"/>
      <c r="E573" s="80"/>
      <c r="F573" s="82"/>
      <c r="G573" s="83"/>
      <c r="H573" s="80"/>
      <c r="I573" s="80"/>
      <c r="J573" s="80"/>
      <c r="K573" s="80"/>
      <c r="L573" s="81"/>
      <c r="M573" s="80"/>
      <c r="N573" s="80"/>
      <c r="O573" s="80"/>
      <c r="P573" s="81"/>
      <c r="Q573" s="80"/>
      <c r="R573" s="80"/>
      <c r="S573" s="80"/>
      <c r="T573" s="18"/>
      <c r="U573" s="18"/>
    </row>
    <row r="574" spans="1:21" x14ac:dyDescent="0.25">
      <c r="A574" s="79"/>
      <c r="B574" s="80"/>
      <c r="C574" s="80"/>
      <c r="D574" s="80"/>
      <c r="E574" s="80"/>
      <c r="F574" s="82"/>
      <c r="G574" s="83"/>
      <c r="H574" s="80"/>
      <c r="I574" s="80"/>
      <c r="J574" s="80"/>
      <c r="K574" s="80"/>
      <c r="L574" s="81"/>
      <c r="M574" s="80"/>
      <c r="N574" s="80"/>
      <c r="O574" s="80"/>
      <c r="P574" s="81"/>
      <c r="Q574" s="80"/>
      <c r="R574" s="80"/>
      <c r="S574" s="80"/>
      <c r="T574" s="18"/>
      <c r="U574" s="18"/>
    </row>
    <row r="575" spans="1:21" x14ac:dyDescent="0.25">
      <c r="A575" s="79"/>
      <c r="B575" s="80"/>
      <c r="C575" s="80"/>
      <c r="D575" s="80"/>
      <c r="E575" s="80"/>
      <c r="F575" s="82"/>
      <c r="G575" s="83"/>
      <c r="H575" s="80"/>
      <c r="I575" s="80"/>
      <c r="J575" s="80"/>
      <c r="K575" s="80"/>
      <c r="L575" s="81"/>
      <c r="M575" s="80"/>
      <c r="N575" s="80"/>
      <c r="O575" s="80"/>
      <c r="P575" s="81"/>
      <c r="Q575" s="80"/>
      <c r="R575" s="80"/>
      <c r="S575" s="80"/>
      <c r="T575" s="18"/>
      <c r="U575" s="18"/>
    </row>
    <row r="576" spans="1:21" x14ac:dyDescent="0.25">
      <c r="A576" s="79"/>
      <c r="B576" s="80"/>
      <c r="C576" s="80"/>
      <c r="D576" s="80"/>
      <c r="E576" s="80"/>
      <c r="F576" s="82"/>
      <c r="G576" s="83"/>
      <c r="H576" s="80"/>
      <c r="I576" s="80"/>
      <c r="J576" s="80"/>
      <c r="K576" s="80"/>
      <c r="L576" s="81"/>
      <c r="M576" s="80"/>
      <c r="N576" s="80"/>
      <c r="O576" s="80"/>
      <c r="P576" s="81"/>
      <c r="Q576" s="80"/>
      <c r="R576" s="80"/>
      <c r="S576" s="80"/>
      <c r="T576" s="18"/>
      <c r="U576" s="18"/>
    </row>
    <row r="577" spans="1:21" x14ac:dyDescent="0.25">
      <c r="A577" s="79"/>
      <c r="B577" s="80"/>
      <c r="C577" s="80"/>
      <c r="D577" s="80"/>
      <c r="E577" s="80"/>
      <c r="F577" s="82"/>
      <c r="G577" s="83"/>
      <c r="H577" s="80"/>
      <c r="I577" s="80"/>
      <c r="J577" s="80"/>
      <c r="K577" s="80"/>
      <c r="L577" s="81"/>
      <c r="M577" s="80"/>
      <c r="N577" s="80"/>
      <c r="O577" s="80"/>
      <c r="P577" s="81"/>
      <c r="Q577" s="80"/>
      <c r="R577" s="80"/>
      <c r="S577" s="80"/>
      <c r="T577" s="18"/>
      <c r="U577" s="18"/>
    </row>
    <row r="578" spans="1:21" x14ac:dyDescent="0.25">
      <c r="A578" s="79"/>
      <c r="B578" s="80"/>
      <c r="C578" s="80"/>
      <c r="D578" s="80"/>
      <c r="E578" s="80"/>
      <c r="F578" s="82"/>
      <c r="G578" s="83"/>
      <c r="H578" s="80"/>
      <c r="I578" s="80"/>
      <c r="J578" s="80"/>
      <c r="K578" s="80"/>
      <c r="L578" s="81"/>
      <c r="M578" s="80"/>
      <c r="N578" s="80"/>
      <c r="O578" s="80"/>
      <c r="P578" s="81"/>
      <c r="Q578" s="80"/>
      <c r="R578" s="80"/>
      <c r="S578" s="80"/>
      <c r="T578" s="18"/>
      <c r="U578" s="18"/>
    </row>
    <row r="579" spans="1:21" x14ac:dyDescent="0.25">
      <c r="A579" s="79"/>
      <c r="B579" s="80"/>
      <c r="C579" s="80"/>
      <c r="D579" s="80"/>
      <c r="E579" s="80"/>
      <c r="F579" s="82"/>
      <c r="G579" s="83"/>
      <c r="H579" s="80"/>
      <c r="I579" s="80"/>
      <c r="J579" s="80"/>
      <c r="K579" s="80"/>
      <c r="L579" s="81"/>
      <c r="M579" s="80"/>
      <c r="N579" s="80"/>
      <c r="O579" s="80"/>
      <c r="P579" s="81"/>
      <c r="Q579" s="80"/>
      <c r="R579" s="80"/>
      <c r="S579" s="80"/>
      <c r="T579" s="18"/>
      <c r="U579" s="18"/>
    </row>
    <row r="580" spans="1:21" x14ac:dyDescent="0.25">
      <c r="A580" s="79"/>
      <c r="B580" s="80"/>
      <c r="C580" s="80"/>
      <c r="D580" s="80"/>
      <c r="E580" s="80"/>
      <c r="F580" s="82"/>
      <c r="G580" s="83"/>
      <c r="H580" s="80"/>
      <c r="I580" s="80"/>
      <c r="J580" s="80"/>
      <c r="K580" s="80"/>
      <c r="L580" s="81"/>
      <c r="M580" s="80"/>
      <c r="N580" s="80"/>
      <c r="O580" s="80"/>
      <c r="P580" s="81"/>
      <c r="Q580" s="80"/>
      <c r="R580" s="80"/>
      <c r="S580" s="80"/>
      <c r="T580" s="18"/>
      <c r="U580" s="18"/>
    </row>
    <row r="581" spans="1:21" x14ac:dyDescent="0.25">
      <c r="A581" s="79"/>
      <c r="B581" s="80"/>
      <c r="C581" s="80"/>
      <c r="D581" s="80"/>
      <c r="E581" s="80"/>
      <c r="F581" s="82"/>
      <c r="G581" s="83"/>
      <c r="H581" s="80"/>
      <c r="I581" s="80"/>
      <c r="J581" s="80"/>
      <c r="K581" s="80"/>
      <c r="L581" s="81"/>
      <c r="M581" s="80"/>
      <c r="N581" s="80"/>
      <c r="O581" s="80"/>
      <c r="P581" s="81"/>
      <c r="Q581" s="80"/>
      <c r="R581" s="80"/>
      <c r="S581" s="80"/>
      <c r="T581" s="18"/>
      <c r="U581" s="18"/>
    </row>
    <row r="582" spans="1:21" x14ac:dyDescent="0.25">
      <c r="A582" s="79"/>
      <c r="B582" s="80"/>
      <c r="C582" s="80"/>
      <c r="D582" s="80"/>
      <c r="E582" s="80"/>
      <c r="F582" s="82"/>
      <c r="G582" s="83"/>
      <c r="H582" s="80"/>
      <c r="I582" s="80"/>
      <c r="J582" s="80"/>
      <c r="K582" s="80"/>
      <c r="L582" s="81"/>
      <c r="M582" s="80"/>
      <c r="N582" s="80"/>
      <c r="O582" s="80"/>
      <c r="P582" s="81"/>
      <c r="Q582" s="80"/>
      <c r="R582" s="80"/>
      <c r="S582" s="80"/>
      <c r="T582" s="18"/>
      <c r="U582" s="18"/>
    </row>
    <row r="583" spans="1:21" x14ac:dyDescent="0.25">
      <c r="A583" s="79"/>
      <c r="B583" s="80"/>
      <c r="C583" s="80"/>
      <c r="D583" s="80"/>
      <c r="E583" s="80"/>
      <c r="F583" s="82"/>
      <c r="G583" s="83"/>
      <c r="H583" s="80"/>
      <c r="I583" s="80"/>
      <c r="J583" s="80"/>
      <c r="K583" s="80"/>
      <c r="L583" s="81"/>
      <c r="M583" s="80"/>
      <c r="N583" s="80"/>
      <c r="O583" s="80"/>
      <c r="P583" s="81"/>
      <c r="Q583" s="80"/>
      <c r="R583" s="80"/>
      <c r="S583" s="80"/>
      <c r="T583" s="18"/>
      <c r="U583" s="18"/>
    </row>
    <row r="584" spans="1:21" x14ac:dyDescent="0.25">
      <c r="A584" s="79"/>
      <c r="B584" s="80"/>
      <c r="C584" s="80"/>
      <c r="D584" s="80"/>
      <c r="E584" s="80"/>
      <c r="F584" s="82"/>
      <c r="G584" s="83"/>
      <c r="H584" s="80"/>
      <c r="I584" s="80"/>
      <c r="J584" s="80"/>
      <c r="K584" s="80"/>
      <c r="L584" s="81"/>
      <c r="M584" s="80"/>
      <c r="N584" s="80"/>
      <c r="O584" s="80"/>
      <c r="P584" s="81"/>
      <c r="Q584" s="80"/>
      <c r="R584" s="80"/>
      <c r="S584" s="80"/>
      <c r="T584" s="18"/>
      <c r="U584" s="18"/>
    </row>
    <row r="585" spans="1:21" x14ac:dyDescent="0.25">
      <c r="A585" s="79"/>
      <c r="B585" s="80"/>
      <c r="C585" s="80"/>
      <c r="D585" s="80"/>
      <c r="E585" s="80"/>
      <c r="F585" s="82"/>
      <c r="G585" s="83"/>
      <c r="H585" s="80"/>
      <c r="I585" s="80"/>
      <c r="J585" s="80"/>
      <c r="K585" s="80"/>
      <c r="L585" s="81"/>
      <c r="M585" s="80"/>
      <c r="N585" s="80"/>
      <c r="O585" s="80"/>
      <c r="P585" s="81"/>
      <c r="Q585" s="80"/>
      <c r="R585" s="80"/>
      <c r="S585" s="80"/>
      <c r="T585" s="18"/>
      <c r="U585" s="18"/>
    </row>
    <row r="586" spans="1:21" x14ac:dyDescent="0.25">
      <c r="A586" s="79"/>
      <c r="B586" s="80"/>
      <c r="C586" s="80"/>
      <c r="D586" s="80"/>
      <c r="E586" s="80"/>
      <c r="F586" s="82"/>
      <c r="G586" s="83"/>
      <c r="H586" s="80"/>
      <c r="I586" s="80"/>
      <c r="J586" s="80"/>
      <c r="K586" s="80"/>
      <c r="L586" s="81"/>
      <c r="M586" s="80"/>
      <c r="N586" s="80"/>
      <c r="O586" s="80"/>
      <c r="P586" s="81"/>
      <c r="Q586" s="80"/>
      <c r="R586" s="80"/>
      <c r="S586" s="80"/>
      <c r="T586" s="18"/>
      <c r="U586" s="18"/>
    </row>
    <row r="587" spans="1:21" x14ac:dyDescent="0.25">
      <c r="A587" s="79"/>
      <c r="B587" s="80"/>
      <c r="C587" s="80"/>
      <c r="D587" s="80"/>
      <c r="E587" s="80"/>
      <c r="F587" s="82"/>
      <c r="G587" s="83"/>
      <c r="H587" s="80"/>
      <c r="I587" s="80"/>
      <c r="J587" s="80"/>
      <c r="K587" s="80"/>
      <c r="L587" s="81"/>
      <c r="M587" s="80"/>
      <c r="N587" s="80"/>
      <c r="O587" s="80"/>
      <c r="P587" s="81"/>
      <c r="Q587" s="80"/>
      <c r="R587" s="80"/>
      <c r="S587" s="80"/>
      <c r="T587" s="18"/>
      <c r="U587" s="18"/>
    </row>
    <row r="588" spans="1:21" x14ac:dyDescent="0.25">
      <c r="A588" s="79"/>
      <c r="B588" s="80"/>
      <c r="C588" s="80"/>
      <c r="D588" s="80"/>
      <c r="E588" s="80"/>
      <c r="F588" s="82"/>
      <c r="G588" s="83"/>
      <c r="H588" s="80"/>
      <c r="I588" s="80"/>
      <c r="J588" s="80"/>
      <c r="K588" s="80"/>
      <c r="L588" s="81"/>
      <c r="M588" s="80"/>
      <c r="N588" s="80"/>
      <c r="O588" s="80"/>
      <c r="P588" s="81"/>
      <c r="Q588" s="80"/>
      <c r="R588" s="80"/>
      <c r="S588" s="80"/>
      <c r="T588" s="18"/>
      <c r="U588" s="18"/>
    </row>
    <row r="589" spans="1:21" x14ac:dyDescent="0.25">
      <c r="A589" s="79"/>
      <c r="B589" s="80"/>
      <c r="C589" s="80"/>
      <c r="D589" s="80"/>
      <c r="E589" s="80"/>
      <c r="F589" s="82"/>
      <c r="G589" s="83"/>
      <c r="H589" s="80"/>
      <c r="I589" s="80"/>
      <c r="J589" s="80"/>
      <c r="K589" s="80"/>
      <c r="L589" s="81"/>
      <c r="M589" s="80"/>
      <c r="N589" s="80"/>
      <c r="O589" s="80"/>
      <c r="P589" s="81"/>
      <c r="Q589" s="80"/>
      <c r="R589" s="80"/>
      <c r="S589" s="80"/>
      <c r="T589" s="18"/>
      <c r="U589" s="18"/>
    </row>
    <row r="590" spans="1:21" x14ac:dyDescent="0.25">
      <c r="A590" s="79"/>
      <c r="B590" s="80"/>
      <c r="C590" s="80"/>
      <c r="D590" s="80"/>
      <c r="E590" s="80"/>
      <c r="F590" s="82"/>
      <c r="G590" s="83"/>
      <c r="H590" s="80"/>
      <c r="I590" s="80"/>
      <c r="J590" s="80"/>
      <c r="K590" s="80"/>
      <c r="L590" s="81"/>
      <c r="M590" s="80"/>
      <c r="N590" s="80"/>
      <c r="O590" s="80"/>
      <c r="P590" s="81"/>
      <c r="Q590" s="80"/>
      <c r="R590" s="80"/>
      <c r="S590" s="80"/>
      <c r="T590" s="18"/>
      <c r="U590" s="18"/>
    </row>
    <row r="591" spans="1:21" x14ac:dyDescent="0.25">
      <c r="A591" s="79"/>
      <c r="B591" s="80"/>
      <c r="C591" s="80"/>
      <c r="D591" s="80"/>
      <c r="E591" s="80"/>
      <c r="F591" s="82"/>
      <c r="G591" s="83"/>
      <c r="H591" s="80"/>
      <c r="I591" s="80"/>
      <c r="J591" s="80"/>
      <c r="K591" s="80"/>
      <c r="L591" s="81"/>
      <c r="M591" s="80"/>
      <c r="N591" s="80"/>
      <c r="O591" s="80"/>
      <c r="P591" s="81"/>
      <c r="Q591" s="80"/>
      <c r="R591" s="80"/>
      <c r="S591" s="80"/>
      <c r="T591" s="18"/>
      <c r="U591" s="18"/>
    </row>
    <row r="592" spans="1:21" x14ac:dyDescent="0.25">
      <c r="A592" s="79"/>
      <c r="B592" s="80"/>
      <c r="C592" s="80"/>
      <c r="D592" s="80"/>
      <c r="E592" s="80"/>
      <c r="F592" s="82"/>
      <c r="G592" s="83"/>
      <c r="H592" s="80"/>
      <c r="I592" s="80"/>
      <c r="J592" s="80"/>
      <c r="K592" s="80"/>
      <c r="L592" s="81"/>
      <c r="M592" s="80"/>
      <c r="N592" s="80"/>
      <c r="O592" s="80"/>
      <c r="P592" s="81"/>
      <c r="Q592" s="80"/>
      <c r="R592" s="80"/>
      <c r="S592" s="80"/>
      <c r="T592" s="18"/>
      <c r="U592" s="18"/>
    </row>
    <row r="593" spans="1:21" x14ac:dyDescent="0.25">
      <c r="A593" s="79"/>
      <c r="B593" s="80"/>
      <c r="C593" s="80"/>
      <c r="D593" s="80"/>
      <c r="E593" s="80"/>
      <c r="F593" s="82"/>
      <c r="G593" s="83"/>
      <c r="H593" s="80"/>
      <c r="I593" s="80"/>
      <c r="J593" s="80"/>
      <c r="K593" s="80"/>
      <c r="L593" s="81"/>
      <c r="M593" s="80"/>
      <c r="N593" s="80"/>
      <c r="O593" s="80"/>
      <c r="P593" s="81"/>
      <c r="Q593" s="80"/>
      <c r="R593" s="80"/>
      <c r="S593" s="80"/>
      <c r="T593" s="18"/>
      <c r="U593" s="18"/>
    </row>
    <row r="594" spans="1:21" x14ac:dyDescent="0.25">
      <c r="A594" s="79"/>
      <c r="B594" s="80"/>
      <c r="C594" s="80"/>
      <c r="D594" s="80"/>
      <c r="E594" s="80"/>
      <c r="F594" s="82"/>
      <c r="G594" s="83"/>
      <c r="H594" s="80"/>
      <c r="I594" s="80"/>
      <c r="J594" s="80"/>
      <c r="K594" s="80"/>
      <c r="L594" s="81"/>
      <c r="M594" s="80"/>
      <c r="N594" s="80"/>
      <c r="O594" s="80"/>
      <c r="P594" s="81"/>
      <c r="Q594" s="80"/>
      <c r="R594" s="80"/>
      <c r="S594" s="80"/>
      <c r="T594" s="18"/>
      <c r="U594" s="18"/>
    </row>
    <row r="595" spans="1:21" x14ac:dyDescent="0.25">
      <c r="A595" s="79"/>
      <c r="B595" s="80"/>
      <c r="C595" s="80"/>
      <c r="D595" s="80"/>
      <c r="E595" s="80"/>
      <c r="F595" s="82"/>
      <c r="G595" s="83"/>
      <c r="H595" s="80"/>
      <c r="I595" s="80"/>
      <c r="J595" s="80"/>
      <c r="K595" s="80"/>
      <c r="L595" s="81"/>
      <c r="M595" s="80"/>
      <c r="N595" s="80"/>
      <c r="O595" s="80"/>
      <c r="P595" s="81"/>
      <c r="Q595" s="80"/>
      <c r="R595" s="80"/>
      <c r="S595" s="80"/>
      <c r="T595" s="18"/>
      <c r="U595" s="18"/>
    </row>
    <row r="596" spans="1:21" x14ac:dyDescent="0.25">
      <c r="A596" s="79"/>
      <c r="B596" s="80"/>
      <c r="C596" s="80"/>
      <c r="D596" s="80"/>
      <c r="E596" s="80"/>
      <c r="F596" s="82"/>
      <c r="G596" s="83"/>
      <c r="H596" s="80"/>
      <c r="I596" s="80"/>
      <c r="J596" s="80"/>
      <c r="K596" s="80"/>
      <c r="L596" s="81"/>
      <c r="M596" s="80"/>
      <c r="N596" s="80"/>
      <c r="O596" s="80"/>
      <c r="P596" s="81"/>
      <c r="Q596" s="80"/>
      <c r="R596" s="80"/>
      <c r="S596" s="80"/>
      <c r="T596" s="18"/>
      <c r="U596" s="18"/>
    </row>
    <row r="597" spans="1:21" x14ac:dyDescent="0.25">
      <c r="A597" s="79"/>
      <c r="B597" s="80"/>
      <c r="C597" s="80"/>
      <c r="D597" s="80"/>
      <c r="E597" s="80"/>
      <c r="F597" s="82"/>
      <c r="G597" s="83"/>
      <c r="H597" s="80"/>
      <c r="I597" s="80"/>
      <c r="J597" s="80"/>
      <c r="K597" s="80"/>
      <c r="L597" s="81"/>
      <c r="M597" s="80"/>
      <c r="N597" s="80"/>
      <c r="O597" s="80"/>
      <c r="P597" s="81"/>
      <c r="Q597" s="80"/>
      <c r="R597" s="80"/>
      <c r="S597" s="80"/>
      <c r="T597" s="18"/>
      <c r="U597" s="18"/>
    </row>
    <row r="598" spans="1:21" x14ac:dyDescent="0.25">
      <c r="A598" s="79"/>
      <c r="B598" s="80"/>
      <c r="C598" s="80"/>
      <c r="D598" s="80"/>
      <c r="E598" s="80"/>
      <c r="F598" s="82"/>
      <c r="G598" s="83"/>
      <c r="H598" s="80"/>
      <c r="I598" s="80"/>
      <c r="J598" s="80"/>
      <c r="K598" s="80"/>
      <c r="L598" s="81"/>
      <c r="M598" s="80"/>
      <c r="N598" s="80"/>
      <c r="O598" s="80"/>
      <c r="P598" s="81"/>
      <c r="Q598" s="80"/>
      <c r="R598" s="80"/>
      <c r="S598" s="80"/>
      <c r="T598" s="18"/>
      <c r="U598" s="18"/>
    </row>
    <row r="599" spans="1:21" x14ac:dyDescent="0.25">
      <c r="A599" s="79"/>
      <c r="B599" s="80"/>
      <c r="C599" s="80"/>
      <c r="D599" s="80"/>
      <c r="E599" s="80"/>
      <c r="F599" s="82"/>
      <c r="G599" s="83"/>
      <c r="H599" s="80"/>
      <c r="I599" s="80"/>
      <c r="J599" s="80"/>
      <c r="K599" s="80"/>
      <c r="L599" s="81"/>
      <c r="M599" s="80"/>
      <c r="N599" s="80"/>
      <c r="O599" s="80"/>
      <c r="P599" s="81"/>
      <c r="Q599" s="80"/>
      <c r="R599" s="80"/>
      <c r="S599" s="80"/>
      <c r="T599" s="18"/>
      <c r="U599" s="18"/>
    </row>
    <row r="600" spans="1:21" x14ac:dyDescent="0.25">
      <c r="A600" s="79"/>
      <c r="B600" s="80"/>
      <c r="C600" s="80"/>
      <c r="D600" s="80"/>
      <c r="E600" s="80"/>
      <c r="F600" s="82"/>
      <c r="G600" s="83"/>
      <c r="H600" s="80"/>
      <c r="I600" s="80"/>
      <c r="J600" s="80"/>
      <c r="K600" s="80"/>
      <c r="L600" s="81"/>
      <c r="M600" s="80"/>
      <c r="N600" s="80"/>
      <c r="O600" s="80"/>
      <c r="P600" s="81"/>
      <c r="Q600" s="80"/>
      <c r="R600" s="80"/>
      <c r="S600" s="80"/>
      <c r="T600" s="18"/>
      <c r="U600" s="18"/>
    </row>
    <row r="601" spans="1:21" x14ac:dyDescent="0.25">
      <c r="A601" s="79"/>
      <c r="B601" s="80"/>
      <c r="C601" s="80"/>
      <c r="D601" s="80"/>
      <c r="E601" s="80"/>
      <c r="F601" s="82"/>
      <c r="G601" s="83"/>
      <c r="H601" s="80"/>
      <c r="I601" s="80"/>
      <c r="J601" s="80"/>
      <c r="K601" s="80"/>
      <c r="L601" s="81"/>
      <c r="M601" s="80"/>
      <c r="N601" s="80"/>
      <c r="O601" s="80"/>
      <c r="P601" s="81"/>
      <c r="Q601" s="80"/>
      <c r="R601" s="80"/>
      <c r="S601" s="80"/>
      <c r="T601" s="18"/>
      <c r="U601" s="18"/>
    </row>
    <row r="602" spans="1:21" x14ac:dyDescent="0.25">
      <c r="A602" s="79"/>
      <c r="B602" s="80"/>
      <c r="C602" s="80"/>
      <c r="D602" s="80"/>
      <c r="E602" s="80"/>
      <c r="F602" s="82"/>
      <c r="G602" s="83"/>
      <c r="H602" s="80"/>
      <c r="I602" s="80"/>
      <c r="J602" s="80"/>
      <c r="K602" s="80"/>
      <c r="L602" s="81"/>
      <c r="M602" s="80"/>
      <c r="N602" s="80"/>
      <c r="O602" s="80"/>
      <c r="P602" s="81"/>
      <c r="Q602" s="80"/>
      <c r="R602" s="80"/>
      <c r="S602" s="80"/>
      <c r="T602" s="18"/>
      <c r="U602" s="18"/>
    </row>
    <row r="603" spans="1:21" x14ac:dyDescent="0.25">
      <c r="A603" s="79"/>
      <c r="B603" s="80"/>
      <c r="C603" s="80"/>
      <c r="D603" s="80"/>
      <c r="E603" s="80"/>
      <c r="F603" s="82"/>
      <c r="G603" s="83"/>
      <c r="H603" s="80"/>
      <c r="I603" s="80"/>
      <c r="J603" s="80"/>
      <c r="K603" s="80"/>
      <c r="L603" s="81"/>
      <c r="M603" s="80"/>
      <c r="N603" s="80"/>
      <c r="O603" s="80"/>
      <c r="P603" s="81"/>
      <c r="Q603" s="80"/>
      <c r="R603" s="80"/>
      <c r="S603" s="80"/>
      <c r="T603" s="18"/>
      <c r="U603" s="18"/>
    </row>
    <row r="604" spans="1:21" x14ac:dyDescent="0.25">
      <c r="A604" s="79"/>
      <c r="B604" s="80"/>
      <c r="C604" s="80"/>
      <c r="D604" s="80"/>
      <c r="E604" s="80"/>
      <c r="F604" s="82"/>
      <c r="G604" s="83"/>
      <c r="H604" s="80"/>
      <c r="I604" s="80"/>
      <c r="J604" s="80"/>
      <c r="K604" s="80"/>
      <c r="L604" s="81"/>
      <c r="M604" s="80"/>
      <c r="N604" s="80"/>
      <c r="O604" s="80"/>
      <c r="P604" s="81"/>
      <c r="Q604" s="80"/>
      <c r="R604" s="80"/>
      <c r="S604" s="80"/>
      <c r="T604" s="18"/>
      <c r="U604" s="18"/>
    </row>
    <row r="605" spans="1:21" x14ac:dyDescent="0.25">
      <c r="A605" s="79"/>
      <c r="B605" s="80"/>
      <c r="C605" s="80"/>
      <c r="D605" s="80"/>
      <c r="E605" s="80"/>
      <c r="F605" s="82"/>
      <c r="G605" s="83"/>
      <c r="H605" s="80"/>
      <c r="I605" s="80"/>
      <c r="J605" s="80"/>
      <c r="K605" s="80"/>
      <c r="L605" s="81"/>
      <c r="M605" s="80"/>
      <c r="N605" s="80"/>
      <c r="O605" s="80"/>
      <c r="P605" s="81"/>
      <c r="Q605" s="80"/>
      <c r="R605" s="80"/>
      <c r="S605" s="80"/>
      <c r="T605" s="18"/>
      <c r="U605" s="18"/>
    </row>
    <row r="606" spans="1:21" x14ac:dyDescent="0.25">
      <c r="A606" s="79"/>
      <c r="B606" s="80"/>
      <c r="C606" s="80"/>
      <c r="D606" s="80"/>
      <c r="E606" s="80"/>
      <c r="F606" s="82"/>
      <c r="G606" s="83"/>
      <c r="H606" s="80"/>
      <c r="I606" s="80"/>
      <c r="J606" s="80"/>
      <c r="K606" s="80"/>
      <c r="L606" s="81"/>
      <c r="M606" s="80"/>
      <c r="N606" s="80"/>
      <c r="O606" s="80"/>
      <c r="P606" s="81"/>
      <c r="Q606" s="80"/>
      <c r="R606" s="80"/>
      <c r="S606" s="80"/>
      <c r="T606" s="18"/>
      <c r="U606" s="18"/>
    </row>
    <row r="607" spans="1:21" x14ac:dyDescent="0.25">
      <c r="A607" s="79"/>
      <c r="B607" s="80"/>
      <c r="C607" s="80"/>
      <c r="D607" s="80"/>
      <c r="E607" s="80"/>
      <c r="F607" s="82"/>
      <c r="G607" s="83"/>
      <c r="H607" s="80"/>
      <c r="I607" s="80"/>
      <c r="J607" s="80"/>
      <c r="K607" s="80"/>
      <c r="L607" s="81"/>
      <c r="M607" s="80"/>
      <c r="N607" s="80"/>
      <c r="O607" s="80"/>
      <c r="P607" s="81"/>
      <c r="Q607" s="80"/>
      <c r="R607" s="80"/>
      <c r="S607" s="80"/>
      <c r="T607" s="18"/>
      <c r="U607" s="18"/>
    </row>
    <row r="608" spans="1:21" x14ac:dyDescent="0.25">
      <c r="A608" s="79"/>
      <c r="B608" s="80"/>
      <c r="C608" s="80"/>
      <c r="D608" s="80"/>
      <c r="E608" s="80"/>
      <c r="F608" s="82"/>
      <c r="G608" s="83"/>
      <c r="H608" s="80"/>
      <c r="I608" s="80"/>
      <c r="J608" s="80"/>
      <c r="K608" s="80"/>
      <c r="L608" s="81"/>
      <c r="M608" s="80"/>
      <c r="N608" s="80"/>
      <c r="O608" s="80"/>
      <c r="P608" s="81"/>
      <c r="Q608" s="80"/>
      <c r="R608" s="80"/>
      <c r="S608" s="80"/>
      <c r="T608" s="18"/>
      <c r="U608" s="18"/>
    </row>
    <row r="609" spans="1:21" x14ac:dyDescent="0.25">
      <c r="A609" s="79"/>
      <c r="B609" s="80"/>
      <c r="C609" s="80"/>
      <c r="D609" s="80"/>
      <c r="E609" s="80"/>
      <c r="F609" s="82"/>
      <c r="G609" s="83"/>
      <c r="H609" s="80"/>
      <c r="I609" s="80"/>
      <c r="J609" s="80"/>
      <c r="K609" s="80"/>
      <c r="L609" s="81"/>
      <c r="M609" s="80"/>
      <c r="N609" s="80"/>
      <c r="O609" s="80"/>
      <c r="P609" s="81"/>
      <c r="Q609" s="80"/>
      <c r="R609" s="80"/>
      <c r="S609" s="80"/>
      <c r="T609" s="18"/>
      <c r="U609" s="18"/>
    </row>
    <row r="610" spans="1:21" x14ac:dyDescent="0.25">
      <c r="A610" s="79"/>
      <c r="B610" s="80"/>
      <c r="C610" s="80"/>
      <c r="D610" s="80"/>
      <c r="E610" s="80"/>
      <c r="F610" s="82"/>
      <c r="G610" s="83"/>
      <c r="H610" s="80"/>
      <c r="I610" s="80"/>
      <c r="J610" s="80"/>
      <c r="K610" s="80"/>
      <c r="L610" s="81"/>
      <c r="M610" s="80"/>
      <c r="N610" s="80"/>
      <c r="O610" s="80"/>
      <c r="P610" s="81"/>
      <c r="Q610" s="80"/>
      <c r="R610" s="80"/>
      <c r="S610" s="80"/>
      <c r="T610" s="18"/>
      <c r="U610" s="18"/>
    </row>
    <row r="611" spans="1:21" x14ac:dyDescent="0.25">
      <c r="A611" s="79"/>
      <c r="B611" s="80"/>
      <c r="C611" s="80"/>
      <c r="D611" s="80"/>
      <c r="E611" s="80"/>
      <c r="F611" s="82"/>
      <c r="G611" s="83"/>
      <c r="H611" s="80"/>
      <c r="I611" s="80"/>
      <c r="J611" s="80"/>
      <c r="K611" s="80"/>
      <c r="L611" s="81"/>
      <c r="M611" s="80"/>
      <c r="N611" s="80"/>
      <c r="O611" s="80"/>
      <c r="P611" s="81"/>
      <c r="Q611" s="80"/>
      <c r="R611" s="80"/>
      <c r="S611" s="80"/>
      <c r="T611" s="18"/>
      <c r="U611" s="18"/>
    </row>
    <row r="612" spans="1:21" x14ac:dyDescent="0.25">
      <c r="A612" s="79"/>
      <c r="B612" s="80"/>
      <c r="C612" s="80"/>
      <c r="D612" s="80"/>
      <c r="E612" s="80"/>
      <c r="F612" s="82"/>
      <c r="G612" s="83"/>
      <c r="H612" s="80"/>
      <c r="I612" s="80"/>
      <c r="J612" s="80"/>
      <c r="K612" s="80"/>
      <c r="L612" s="81"/>
      <c r="M612" s="80"/>
      <c r="N612" s="80"/>
      <c r="O612" s="80"/>
      <c r="P612" s="81"/>
      <c r="Q612" s="80"/>
      <c r="R612" s="80"/>
      <c r="S612" s="80"/>
      <c r="T612" s="18"/>
      <c r="U612" s="18"/>
    </row>
    <row r="613" spans="1:21" x14ac:dyDescent="0.25">
      <c r="A613" s="79"/>
      <c r="B613" s="80"/>
      <c r="C613" s="80"/>
      <c r="D613" s="80"/>
      <c r="E613" s="80"/>
      <c r="F613" s="82"/>
      <c r="G613" s="83"/>
      <c r="H613" s="80"/>
      <c r="I613" s="80"/>
      <c r="J613" s="80"/>
      <c r="K613" s="80"/>
      <c r="L613" s="81"/>
      <c r="M613" s="80"/>
      <c r="N613" s="80"/>
      <c r="O613" s="80"/>
      <c r="P613" s="81"/>
      <c r="Q613" s="80"/>
      <c r="R613" s="80"/>
      <c r="S613" s="80"/>
      <c r="T613" s="18"/>
      <c r="U613" s="18"/>
    </row>
    <row r="614" spans="1:21" x14ac:dyDescent="0.25">
      <c r="A614" s="79"/>
      <c r="B614" s="80"/>
      <c r="C614" s="80"/>
      <c r="D614" s="80"/>
      <c r="E614" s="80"/>
      <c r="F614" s="82"/>
      <c r="G614" s="83"/>
      <c r="H614" s="80"/>
      <c r="I614" s="80"/>
      <c r="J614" s="80"/>
      <c r="K614" s="80"/>
      <c r="L614" s="81"/>
      <c r="M614" s="80"/>
      <c r="N614" s="80"/>
      <c r="O614" s="80"/>
      <c r="P614" s="81"/>
      <c r="Q614" s="80"/>
      <c r="R614" s="80"/>
      <c r="S614" s="80"/>
      <c r="T614" s="18"/>
      <c r="U614" s="18"/>
    </row>
    <row r="615" spans="1:21" x14ac:dyDescent="0.25">
      <c r="A615" s="79"/>
      <c r="B615" s="80"/>
      <c r="C615" s="80"/>
      <c r="D615" s="80"/>
      <c r="E615" s="80"/>
      <c r="F615" s="82"/>
      <c r="G615" s="83"/>
      <c r="H615" s="80"/>
      <c r="I615" s="80"/>
      <c r="J615" s="80"/>
      <c r="K615" s="80"/>
      <c r="L615" s="81"/>
      <c r="M615" s="80"/>
      <c r="N615" s="80"/>
      <c r="O615" s="80"/>
      <c r="P615" s="81"/>
      <c r="Q615" s="80"/>
      <c r="R615" s="80"/>
      <c r="S615" s="80"/>
      <c r="T615" s="18"/>
      <c r="U615" s="18"/>
    </row>
    <row r="616" spans="1:21" x14ac:dyDescent="0.25">
      <c r="A616" s="79"/>
      <c r="B616" s="80"/>
      <c r="C616" s="80"/>
      <c r="D616" s="80"/>
      <c r="E616" s="80"/>
      <c r="F616" s="82"/>
      <c r="G616" s="83"/>
      <c r="H616" s="80"/>
      <c r="I616" s="80"/>
      <c r="J616" s="80"/>
      <c r="K616" s="80"/>
      <c r="L616" s="81"/>
      <c r="M616" s="80"/>
      <c r="N616" s="80"/>
      <c r="O616" s="80"/>
      <c r="P616" s="81"/>
      <c r="Q616" s="80"/>
      <c r="R616" s="80"/>
      <c r="S616" s="80"/>
      <c r="T616" s="18"/>
      <c r="U616" s="18"/>
    </row>
    <row r="617" spans="1:21" x14ac:dyDescent="0.25">
      <c r="A617" s="79"/>
      <c r="B617" s="80"/>
      <c r="C617" s="80"/>
      <c r="D617" s="80"/>
      <c r="E617" s="80"/>
      <c r="F617" s="82"/>
      <c r="G617" s="83"/>
      <c r="H617" s="80"/>
      <c r="I617" s="80"/>
      <c r="J617" s="80"/>
      <c r="K617" s="80"/>
      <c r="L617" s="81"/>
      <c r="M617" s="80"/>
      <c r="N617" s="80"/>
      <c r="O617" s="80"/>
      <c r="P617" s="81"/>
      <c r="Q617" s="80"/>
      <c r="R617" s="80"/>
      <c r="S617" s="80"/>
      <c r="T617" s="18"/>
      <c r="U617" s="18"/>
    </row>
    <row r="618" spans="1:21" x14ac:dyDescent="0.25">
      <c r="A618" s="79"/>
      <c r="B618" s="80"/>
      <c r="C618" s="80"/>
      <c r="D618" s="80"/>
      <c r="E618" s="80"/>
      <c r="F618" s="82"/>
      <c r="G618" s="83"/>
      <c r="H618" s="80"/>
      <c r="I618" s="80"/>
      <c r="J618" s="80"/>
      <c r="K618" s="80"/>
      <c r="L618" s="81"/>
      <c r="M618" s="80"/>
      <c r="N618" s="80"/>
      <c r="O618" s="80"/>
      <c r="P618" s="81"/>
      <c r="Q618" s="80"/>
      <c r="R618" s="80"/>
      <c r="S618" s="80"/>
      <c r="T618" s="18"/>
      <c r="U618" s="18"/>
    </row>
    <row r="619" spans="1:21" x14ac:dyDescent="0.25">
      <c r="A619" s="79"/>
      <c r="B619" s="80"/>
      <c r="C619" s="80"/>
      <c r="D619" s="80"/>
      <c r="E619" s="80"/>
      <c r="F619" s="82"/>
      <c r="G619" s="83"/>
      <c r="H619" s="80"/>
      <c r="I619" s="80"/>
      <c r="J619" s="80"/>
      <c r="K619" s="80"/>
      <c r="L619" s="81"/>
      <c r="M619" s="80"/>
      <c r="N619" s="80"/>
      <c r="O619" s="80"/>
      <c r="P619" s="81"/>
      <c r="Q619" s="80"/>
      <c r="R619" s="80"/>
      <c r="S619" s="80"/>
      <c r="T619" s="18"/>
      <c r="U619" s="18"/>
    </row>
    <row r="620" spans="1:21" x14ac:dyDescent="0.25">
      <c r="A620" s="79"/>
      <c r="B620" s="80"/>
      <c r="C620" s="80"/>
      <c r="D620" s="80"/>
      <c r="E620" s="80"/>
      <c r="F620" s="82"/>
      <c r="G620" s="83"/>
      <c r="H620" s="80"/>
      <c r="I620" s="80"/>
      <c r="J620" s="80"/>
      <c r="K620" s="80"/>
      <c r="L620" s="81"/>
      <c r="M620" s="80"/>
      <c r="N620" s="80"/>
      <c r="O620" s="80"/>
      <c r="P620" s="81"/>
      <c r="Q620" s="80"/>
      <c r="R620" s="80"/>
      <c r="S620" s="80"/>
      <c r="T620" s="18"/>
      <c r="U620" s="18"/>
    </row>
    <row r="621" spans="1:21" x14ac:dyDescent="0.25">
      <c r="A621" s="79"/>
      <c r="B621" s="80"/>
      <c r="C621" s="80"/>
      <c r="D621" s="80"/>
      <c r="E621" s="80"/>
      <c r="F621" s="82"/>
      <c r="G621" s="83"/>
      <c r="H621" s="80"/>
      <c r="I621" s="80"/>
      <c r="J621" s="80"/>
      <c r="K621" s="80"/>
      <c r="L621" s="81"/>
      <c r="M621" s="80"/>
      <c r="N621" s="80"/>
      <c r="O621" s="80"/>
      <c r="P621" s="81"/>
      <c r="Q621" s="80"/>
      <c r="R621" s="80"/>
      <c r="S621" s="80"/>
      <c r="T621" s="18"/>
      <c r="U621" s="18"/>
    </row>
    <row r="622" spans="1:21" x14ac:dyDescent="0.25">
      <c r="A622" s="79"/>
      <c r="B622" s="80"/>
      <c r="C622" s="80"/>
      <c r="D622" s="80"/>
      <c r="E622" s="80"/>
      <c r="F622" s="82"/>
      <c r="G622" s="83"/>
      <c r="H622" s="80"/>
      <c r="I622" s="80"/>
      <c r="J622" s="80"/>
      <c r="K622" s="80"/>
      <c r="L622" s="81"/>
      <c r="M622" s="80"/>
      <c r="N622" s="80"/>
      <c r="O622" s="80"/>
      <c r="P622" s="81"/>
      <c r="Q622" s="80"/>
      <c r="R622" s="80"/>
      <c r="S622" s="80"/>
      <c r="T622" s="18"/>
      <c r="U622" s="18"/>
    </row>
    <row r="623" spans="1:21" x14ac:dyDescent="0.25">
      <c r="A623" s="79"/>
      <c r="B623" s="80"/>
      <c r="C623" s="80"/>
      <c r="D623" s="80"/>
      <c r="E623" s="80"/>
      <c r="F623" s="82"/>
      <c r="G623" s="83"/>
      <c r="H623" s="80"/>
      <c r="I623" s="80"/>
      <c r="J623" s="80"/>
      <c r="K623" s="80"/>
      <c r="L623" s="81"/>
      <c r="M623" s="80"/>
      <c r="N623" s="80"/>
      <c r="O623" s="80"/>
      <c r="P623" s="81"/>
      <c r="Q623" s="80"/>
      <c r="R623" s="80"/>
      <c r="S623" s="80"/>
      <c r="T623" s="18"/>
      <c r="U623" s="18"/>
    </row>
    <row r="624" spans="1:21" x14ac:dyDescent="0.25">
      <c r="A624" s="79"/>
      <c r="B624" s="80"/>
      <c r="C624" s="80"/>
      <c r="D624" s="80"/>
      <c r="E624" s="80"/>
      <c r="F624" s="82"/>
      <c r="G624" s="83"/>
      <c r="H624" s="80"/>
      <c r="I624" s="80"/>
      <c r="J624" s="80"/>
      <c r="K624" s="80"/>
      <c r="L624" s="81"/>
      <c r="M624" s="80"/>
      <c r="N624" s="80"/>
      <c r="O624" s="80"/>
      <c r="P624" s="81"/>
      <c r="Q624" s="80"/>
      <c r="R624" s="80"/>
      <c r="S624" s="80"/>
      <c r="T624" s="18"/>
      <c r="U624" s="18"/>
    </row>
    <row r="625" spans="1:21" x14ac:dyDescent="0.25">
      <c r="A625" s="79"/>
      <c r="B625" s="80"/>
      <c r="C625" s="80"/>
      <c r="D625" s="80"/>
      <c r="E625" s="80"/>
      <c r="F625" s="82"/>
      <c r="G625" s="83"/>
      <c r="H625" s="80"/>
      <c r="I625" s="80"/>
      <c r="J625" s="80"/>
      <c r="K625" s="80"/>
      <c r="L625" s="81"/>
      <c r="M625" s="80"/>
      <c r="N625" s="80"/>
      <c r="O625" s="80"/>
      <c r="P625" s="81"/>
      <c r="Q625" s="80"/>
      <c r="R625" s="80"/>
      <c r="S625" s="80"/>
      <c r="T625" s="18"/>
      <c r="U625" s="18"/>
    </row>
    <row r="626" spans="1:21" x14ac:dyDescent="0.25">
      <c r="A626" s="79"/>
      <c r="B626" s="80"/>
      <c r="C626" s="80"/>
      <c r="D626" s="80"/>
      <c r="E626" s="80"/>
      <c r="F626" s="82"/>
      <c r="G626" s="83"/>
      <c r="H626" s="80"/>
      <c r="I626" s="80"/>
      <c r="J626" s="80"/>
      <c r="K626" s="80"/>
      <c r="L626" s="81"/>
      <c r="M626" s="80"/>
      <c r="N626" s="80"/>
      <c r="O626" s="80"/>
      <c r="P626" s="81"/>
      <c r="Q626" s="80"/>
      <c r="R626" s="80"/>
      <c r="S626" s="80"/>
      <c r="T626" s="18"/>
      <c r="U626" s="18"/>
    </row>
    <row r="627" spans="1:21" x14ac:dyDescent="0.25">
      <c r="A627" s="79"/>
      <c r="B627" s="80"/>
      <c r="C627" s="80"/>
      <c r="D627" s="80"/>
      <c r="E627" s="80"/>
      <c r="F627" s="82"/>
      <c r="G627" s="83"/>
      <c r="H627" s="80"/>
      <c r="I627" s="80"/>
      <c r="J627" s="80"/>
      <c r="K627" s="80"/>
      <c r="L627" s="81"/>
      <c r="M627" s="80"/>
      <c r="N627" s="80"/>
      <c r="O627" s="80"/>
      <c r="P627" s="81"/>
      <c r="Q627" s="80"/>
      <c r="R627" s="80"/>
      <c r="S627" s="80"/>
      <c r="T627" s="18"/>
      <c r="U627" s="18"/>
    </row>
    <row r="628" spans="1:21" x14ac:dyDescent="0.25">
      <c r="A628" s="79"/>
      <c r="B628" s="80"/>
      <c r="C628" s="80"/>
      <c r="D628" s="80"/>
      <c r="E628" s="80"/>
      <c r="F628" s="82"/>
      <c r="G628" s="83"/>
      <c r="H628" s="80"/>
      <c r="I628" s="80"/>
      <c r="J628" s="80"/>
      <c r="K628" s="80"/>
      <c r="L628" s="81"/>
      <c r="M628" s="80"/>
      <c r="N628" s="80"/>
      <c r="O628" s="80"/>
      <c r="P628" s="81"/>
      <c r="Q628" s="80"/>
      <c r="R628" s="80"/>
      <c r="S628" s="80"/>
      <c r="T628" s="18"/>
      <c r="U628" s="18"/>
    </row>
    <row r="629" spans="1:21" x14ac:dyDescent="0.25">
      <c r="A629" s="79"/>
      <c r="B629" s="80"/>
      <c r="C629" s="80"/>
      <c r="D629" s="80"/>
      <c r="E629" s="80"/>
      <c r="F629" s="82"/>
      <c r="G629" s="83"/>
      <c r="H629" s="80"/>
      <c r="I629" s="80"/>
      <c r="J629" s="80"/>
      <c r="K629" s="80"/>
      <c r="L629" s="81"/>
      <c r="M629" s="80"/>
      <c r="N629" s="80"/>
      <c r="O629" s="80"/>
      <c r="P629" s="81"/>
      <c r="Q629" s="80"/>
      <c r="R629" s="80"/>
      <c r="S629" s="80"/>
      <c r="T629" s="18"/>
      <c r="U629" s="18"/>
    </row>
    <row r="630" spans="1:21" x14ac:dyDescent="0.25">
      <c r="A630" s="79"/>
      <c r="B630" s="80"/>
      <c r="C630" s="80"/>
      <c r="D630" s="80"/>
      <c r="E630" s="80"/>
      <c r="F630" s="82"/>
      <c r="G630" s="83"/>
      <c r="H630" s="80"/>
      <c r="I630" s="80"/>
      <c r="J630" s="80"/>
      <c r="K630" s="80"/>
      <c r="L630" s="81"/>
      <c r="M630" s="80"/>
      <c r="N630" s="80"/>
      <c r="O630" s="80"/>
      <c r="P630" s="81"/>
      <c r="Q630" s="80"/>
      <c r="R630" s="80"/>
      <c r="S630" s="80"/>
      <c r="T630" s="18"/>
      <c r="U630" s="18"/>
    </row>
    <row r="631" spans="1:21" x14ac:dyDescent="0.25">
      <c r="B631" s="81"/>
      <c r="C631" s="81"/>
      <c r="D631" s="81"/>
      <c r="E631" s="81"/>
      <c r="F631" s="82"/>
      <c r="G631" s="82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18"/>
      <c r="U631" s="18"/>
    </row>
    <row r="632" spans="1:21" x14ac:dyDescent="0.25">
      <c r="B632" s="81"/>
      <c r="C632" s="81"/>
      <c r="D632" s="81"/>
      <c r="E632" s="81"/>
      <c r="F632" s="82"/>
      <c r="G632" s="82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18"/>
      <c r="U632" s="18"/>
    </row>
    <row r="633" spans="1:21" x14ac:dyDescent="0.25">
      <c r="B633" s="81"/>
      <c r="C633" s="81"/>
      <c r="D633" s="81"/>
      <c r="E633" s="81"/>
      <c r="F633" s="82"/>
      <c r="G633" s="82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18"/>
      <c r="U633" s="18"/>
    </row>
    <row r="634" spans="1:21" x14ac:dyDescent="0.25">
      <c r="B634" s="81"/>
      <c r="C634" s="81"/>
      <c r="D634" s="81"/>
      <c r="E634" s="81"/>
      <c r="F634" s="82"/>
      <c r="G634" s="82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18"/>
      <c r="U634" s="18"/>
    </row>
    <row r="635" spans="1:21" x14ac:dyDescent="0.25">
      <c r="B635" s="81"/>
      <c r="C635" s="81"/>
      <c r="D635" s="81"/>
      <c r="E635" s="81"/>
      <c r="F635" s="82"/>
      <c r="G635" s="82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18"/>
      <c r="U635" s="18"/>
    </row>
    <row r="636" spans="1:21" x14ac:dyDescent="0.25">
      <c r="B636" s="81"/>
      <c r="C636" s="81"/>
      <c r="D636" s="81"/>
      <c r="E636" s="81"/>
      <c r="F636" s="82"/>
      <c r="G636" s="82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18"/>
      <c r="U636" s="18"/>
    </row>
    <row r="637" spans="1:21" x14ac:dyDescent="0.25">
      <c r="B637" s="81"/>
      <c r="C637" s="81"/>
      <c r="D637" s="81"/>
      <c r="E637" s="81"/>
      <c r="F637" s="82"/>
      <c r="G637" s="82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18"/>
      <c r="U637" s="18"/>
    </row>
    <row r="638" spans="1:21" x14ac:dyDescent="0.25">
      <c r="B638" s="81"/>
      <c r="C638" s="81"/>
      <c r="D638" s="81"/>
      <c r="E638" s="81"/>
      <c r="F638" s="82"/>
      <c r="G638" s="82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18"/>
      <c r="U638" s="18"/>
    </row>
    <row r="639" spans="1:21" x14ac:dyDescent="0.25">
      <c r="B639" s="81"/>
      <c r="C639" s="81"/>
      <c r="D639" s="81"/>
      <c r="E639" s="81"/>
      <c r="F639" s="82"/>
      <c r="G639" s="82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18"/>
      <c r="U639" s="18"/>
    </row>
    <row r="640" spans="1:21" x14ac:dyDescent="0.25">
      <c r="B640" s="81"/>
      <c r="C640" s="81"/>
      <c r="D640" s="81"/>
      <c r="E640" s="81"/>
      <c r="F640" s="82"/>
      <c r="G640" s="82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18"/>
      <c r="U640" s="18"/>
    </row>
    <row r="641" spans="2:21" x14ac:dyDescent="0.25">
      <c r="B641" s="81"/>
      <c r="C641" s="81"/>
      <c r="D641" s="81"/>
      <c r="E641" s="81"/>
      <c r="F641" s="82"/>
      <c r="G641" s="82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18"/>
      <c r="U641" s="18"/>
    </row>
    <row r="642" spans="2:21" x14ac:dyDescent="0.25">
      <c r="B642" s="81"/>
      <c r="C642" s="81"/>
      <c r="D642" s="81"/>
      <c r="E642" s="81"/>
      <c r="F642" s="82"/>
      <c r="G642" s="82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18"/>
      <c r="U642" s="18"/>
    </row>
    <row r="643" spans="2:21" x14ac:dyDescent="0.25">
      <c r="B643" s="81"/>
      <c r="C643" s="81"/>
      <c r="D643" s="81"/>
      <c r="E643" s="81"/>
      <c r="F643" s="82"/>
      <c r="G643" s="82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18"/>
      <c r="U643" s="18"/>
    </row>
    <row r="644" spans="2:21" x14ac:dyDescent="0.25">
      <c r="B644" s="81"/>
      <c r="C644" s="81"/>
      <c r="D644" s="81"/>
      <c r="E644" s="81"/>
      <c r="F644" s="82"/>
      <c r="G644" s="82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18"/>
      <c r="U644" s="18"/>
    </row>
    <row r="645" spans="2:21" x14ac:dyDescent="0.25">
      <c r="B645" s="81"/>
      <c r="C645" s="81"/>
      <c r="D645" s="81"/>
      <c r="E645" s="81"/>
      <c r="F645" s="82"/>
      <c r="G645" s="82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18"/>
      <c r="U645" s="18"/>
    </row>
    <row r="646" spans="2:21" x14ac:dyDescent="0.25">
      <c r="B646" s="81"/>
      <c r="C646" s="81"/>
      <c r="D646" s="81"/>
      <c r="E646" s="81"/>
      <c r="F646" s="82"/>
      <c r="G646" s="82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18"/>
      <c r="U646" s="18"/>
    </row>
    <row r="647" spans="2:21" x14ac:dyDescent="0.25">
      <c r="B647" s="81"/>
      <c r="C647" s="81"/>
      <c r="D647" s="81"/>
      <c r="E647" s="81"/>
      <c r="F647" s="82"/>
      <c r="G647" s="82"/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18"/>
      <c r="U647" s="18"/>
    </row>
    <row r="648" spans="2:21" x14ac:dyDescent="0.25">
      <c r="B648" s="81"/>
      <c r="C648" s="81"/>
      <c r="D648" s="81"/>
      <c r="E648" s="81"/>
      <c r="F648" s="82"/>
      <c r="G648" s="82"/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18"/>
      <c r="U648" s="18"/>
    </row>
    <row r="649" spans="2:21" x14ac:dyDescent="0.25">
      <c r="B649" s="81"/>
      <c r="C649" s="81"/>
      <c r="D649" s="81"/>
      <c r="E649" s="81"/>
      <c r="F649" s="82"/>
      <c r="G649" s="82"/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18"/>
      <c r="U649" s="18"/>
    </row>
    <row r="650" spans="2:21" x14ac:dyDescent="0.25">
      <c r="B650" s="81"/>
      <c r="C650" s="81"/>
      <c r="D650" s="81"/>
      <c r="E650" s="81"/>
      <c r="F650" s="82"/>
      <c r="G650" s="82"/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18"/>
      <c r="U650" s="18"/>
    </row>
    <row r="651" spans="2:21" x14ac:dyDescent="0.25">
      <c r="B651" s="81"/>
      <c r="C651" s="81"/>
      <c r="D651" s="81"/>
      <c r="E651" s="81"/>
      <c r="F651" s="82"/>
      <c r="G651" s="82"/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18"/>
      <c r="U651" s="18"/>
    </row>
    <row r="652" spans="2:21" x14ac:dyDescent="0.25">
      <c r="B652" s="81"/>
      <c r="C652" s="81"/>
      <c r="D652" s="81"/>
      <c r="E652" s="81"/>
      <c r="F652" s="82"/>
      <c r="G652" s="82"/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18"/>
      <c r="U652" s="18"/>
    </row>
    <row r="653" spans="2:21" x14ac:dyDescent="0.25">
      <c r="B653" s="81"/>
      <c r="C653" s="81"/>
      <c r="D653" s="81"/>
      <c r="E653" s="81"/>
      <c r="F653" s="82"/>
      <c r="G653" s="82"/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18"/>
      <c r="U653" s="18"/>
    </row>
    <row r="654" spans="2:21" x14ac:dyDescent="0.25">
      <c r="B654" s="81"/>
      <c r="C654" s="81"/>
      <c r="D654" s="81"/>
      <c r="E654" s="81"/>
      <c r="F654" s="82"/>
      <c r="G654" s="82"/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18"/>
      <c r="U654" s="18"/>
    </row>
    <row r="655" spans="2:21" x14ac:dyDescent="0.25">
      <c r="B655" s="81"/>
      <c r="C655" s="81"/>
      <c r="D655" s="81"/>
      <c r="E655" s="81"/>
      <c r="F655" s="82"/>
      <c r="G655" s="82"/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18"/>
      <c r="U655" s="18"/>
    </row>
    <row r="656" spans="2:21" x14ac:dyDescent="0.25">
      <c r="B656" s="81"/>
      <c r="C656" s="81"/>
      <c r="D656" s="81"/>
      <c r="E656" s="81"/>
      <c r="F656" s="82"/>
      <c r="G656" s="82"/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18"/>
      <c r="U656" s="18"/>
    </row>
    <row r="657" spans="2:21" x14ac:dyDescent="0.25">
      <c r="B657" s="81"/>
      <c r="C657" s="81"/>
      <c r="D657" s="81"/>
      <c r="E657" s="81"/>
      <c r="F657" s="82"/>
      <c r="G657" s="82"/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18"/>
      <c r="U657" s="18"/>
    </row>
    <row r="658" spans="2:21" x14ac:dyDescent="0.25">
      <c r="B658" s="81"/>
      <c r="C658" s="81"/>
      <c r="D658" s="81"/>
      <c r="E658" s="81"/>
      <c r="F658" s="82"/>
      <c r="G658" s="82"/>
      <c r="H658" s="81"/>
      <c r="I658" s="81"/>
      <c r="J658" s="81"/>
      <c r="K658" s="81"/>
      <c r="L658" s="81"/>
      <c r="M658" s="81"/>
      <c r="N658" s="81"/>
      <c r="O658" s="81"/>
      <c r="P658" s="81"/>
      <c r="Q658" s="81"/>
      <c r="R658" s="81"/>
      <c r="S658" s="81"/>
      <c r="T658" s="18"/>
      <c r="U658" s="18"/>
    </row>
    <row r="659" spans="2:21" x14ac:dyDescent="0.25">
      <c r="B659" s="81"/>
      <c r="C659" s="81"/>
      <c r="D659" s="81"/>
      <c r="E659" s="81"/>
      <c r="F659" s="82"/>
      <c r="G659" s="82"/>
      <c r="H659" s="81"/>
      <c r="I659" s="81"/>
      <c r="J659" s="81"/>
      <c r="K659" s="81"/>
      <c r="L659" s="81"/>
      <c r="M659" s="81"/>
      <c r="N659" s="81"/>
      <c r="O659" s="81"/>
      <c r="P659" s="81"/>
      <c r="Q659" s="81"/>
      <c r="R659" s="81"/>
      <c r="S659" s="81"/>
      <c r="T659" s="18"/>
      <c r="U659" s="18"/>
    </row>
    <row r="660" spans="2:21" x14ac:dyDescent="0.25">
      <c r="B660" s="81"/>
      <c r="C660" s="81"/>
      <c r="D660" s="81"/>
      <c r="E660" s="81"/>
      <c r="F660" s="82"/>
      <c r="G660" s="82"/>
      <c r="H660" s="81"/>
      <c r="I660" s="81"/>
      <c r="J660" s="81"/>
      <c r="K660" s="81"/>
      <c r="L660" s="81"/>
      <c r="M660" s="81"/>
      <c r="N660" s="81"/>
      <c r="O660" s="81"/>
      <c r="P660" s="81"/>
      <c r="Q660" s="81"/>
      <c r="R660" s="81"/>
      <c r="S660" s="81"/>
      <c r="T660" s="18"/>
      <c r="U660" s="18"/>
    </row>
    <row r="661" spans="2:21" x14ac:dyDescent="0.25">
      <c r="B661" s="81"/>
      <c r="C661" s="81"/>
      <c r="D661" s="81"/>
      <c r="E661" s="81"/>
      <c r="F661" s="82"/>
      <c r="G661" s="82"/>
      <c r="H661" s="81"/>
      <c r="I661" s="81"/>
      <c r="J661" s="81"/>
      <c r="K661" s="81"/>
      <c r="L661" s="81"/>
      <c r="M661" s="81"/>
      <c r="N661" s="81"/>
      <c r="O661" s="81"/>
      <c r="P661" s="81"/>
      <c r="Q661" s="81"/>
      <c r="R661" s="81"/>
      <c r="S661" s="81"/>
      <c r="T661" s="18"/>
      <c r="U661" s="18"/>
    </row>
    <row r="662" spans="2:21" x14ac:dyDescent="0.25">
      <c r="B662" s="81"/>
      <c r="C662" s="81"/>
      <c r="D662" s="81"/>
      <c r="E662" s="81"/>
      <c r="F662" s="82"/>
      <c r="G662" s="82"/>
      <c r="H662" s="81"/>
      <c r="I662" s="81"/>
      <c r="J662" s="81"/>
      <c r="K662" s="81"/>
      <c r="L662" s="81"/>
      <c r="M662" s="81"/>
      <c r="N662" s="81"/>
      <c r="O662" s="81"/>
      <c r="P662" s="81"/>
      <c r="Q662" s="81"/>
      <c r="R662" s="81"/>
      <c r="S662" s="81"/>
      <c r="T662" s="18"/>
      <c r="U662" s="18"/>
    </row>
    <row r="663" spans="2:21" x14ac:dyDescent="0.25">
      <c r="B663" s="81"/>
      <c r="C663" s="81"/>
      <c r="D663" s="81"/>
      <c r="E663" s="81"/>
      <c r="F663" s="82"/>
      <c r="G663" s="82"/>
      <c r="H663" s="81"/>
      <c r="I663" s="81"/>
      <c r="J663" s="81"/>
      <c r="K663" s="81"/>
      <c r="L663" s="81"/>
      <c r="M663" s="81"/>
      <c r="N663" s="81"/>
      <c r="O663" s="81"/>
      <c r="P663" s="81"/>
      <c r="Q663" s="81"/>
      <c r="R663" s="81"/>
      <c r="S663" s="81"/>
      <c r="T663" s="18"/>
      <c r="U663" s="18"/>
    </row>
    <row r="664" spans="2:21" x14ac:dyDescent="0.25">
      <c r="B664" s="81"/>
      <c r="C664" s="81"/>
      <c r="D664" s="81"/>
      <c r="E664" s="81"/>
      <c r="F664" s="82"/>
      <c r="G664" s="82"/>
      <c r="H664" s="81"/>
      <c r="I664" s="81"/>
      <c r="J664" s="81"/>
      <c r="K664" s="81"/>
      <c r="L664" s="81"/>
      <c r="M664" s="81"/>
      <c r="N664" s="81"/>
      <c r="O664" s="81"/>
      <c r="P664" s="81"/>
      <c r="Q664" s="81"/>
      <c r="R664" s="81"/>
      <c r="S664" s="81"/>
      <c r="T664" s="18"/>
      <c r="U664" s="18"/>
    </row>
    <row r="665" spans="2:21" x14ac:dyDescent="0.25">
      <c r="B665" s="81"/>
      <c r="C665" s="81"/>
      <c r="D665" s="81"/>
      <c r="E665" s="81"/>
      <c r="F665" s="82"/>
      <c r="G665" s="82"/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18"/>
      <c r="U665" s="18"/>
    </row>
    <row r="666" spans="2:21" x14ac:dyDescent="0.25">
      <c r="B666" s="81"/>
      <c r="C666" s="81"/>
      <c r="D666" s="81"/>
      <c r="E666" s="81"/>
      <c r="F666" s="82"/>
      <c r="G666" s="82"/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18"/>
      <c r="U666" s="18"/>
    </row>
    <row r="667" spans="2:21" x14ac:dyDescent="0.25">
      <c r="B667" s="81"/>
      <c r="C667" s="81"/>
      <c r="D667" s="81"/>
      <c r="E667" s="81"/>
      <c r="F667" s="82"/>
      <c r="G667" s="82"/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18"/>
      <c r="U667" s="18"/>
    </row>
    <row r="668" spans="2:21" x14ac:dyDescent="0.25">
      <c r="B668" s="81"/>
      <c r="C668" s="81"/>
      <c r="D668" s="81"/>
      <c r="E668" s="81"/>
      <c r="F668" s="82"/>
      <c r="G668" s="82"/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18"/>
      <c r="U668" s="18"/>
    </row>
    <row r="669" spans="2:21" x14ac:dyDescent="0.25">
      <c r="B669" s="81"/>
      <c r="C669" s="81"/>
      <c r="D669" s="81"/>
      <c r="E669" s="81"/>
      <c r="F669" s="82"/>
      <c r="G669" s="82"/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18"/>
      <c r="U669" s="18"/>
    </row>
    <row r="670" spans="2:21" x14ac:dyDescent="0.25">
      <c r="B670" s="81"/>
      <c r="C670" s="81"/>
      <c r="D670" s="81"/>
      <c r="E670" s="81"/>
      <c r="F670" s="82"/>
      <c r="G670" s="82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18"/>
      <c r="U670" s="18"/>
    </row>
    <row r="671" spans="2:21" x14ac:dyDescent="0.25">
      <c r="B671" s="81"/>
      <c r="C671" s="81"/>
      <c r="D671" s="81"/>
      <c r="E671" s="81"/>
      <c r="F671" s="82"/>
      <c r="G671" s="82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18"/>
      <c r="U671" s="18"/>
    </row>
    <row r="672" spans="2:21" x14ac:dyDescent="0.25">
      <c r="B672" s="81"/>
      <c r="C672" s="81"/>
      <c r="D672" s="81"/>
      <c r="E672" s="81"/>
      <c r="F672" s="82"/>
      <c r="G672" s="82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18"/>
      <c r="U672" s="18"/>
    </row>
    <row r="673" spans="2:21" x14ac:dyDescent="0.25">
      <c r="B673" s="81"/>
      <c r="C673" s="81"/>
      <c r="D673" s="81"/>
      <c r="E673" s="81"/>
      <c r="F673" s="82"/>
      <c r="G673" s="82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18"/>
      <c r="U673" s="18"/>
    </row>
    <row r="674" spans="2:21" x14ac:dyDescent="0.25">
      <c r="B674" s="81"/>
      <c r="C674" s="81"/>
      <c r="D674" s="81"/>
      <c r="E674" s="81"/>
      <c r="F674" s="82"/>
      <c r="G674" s="82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18"/>
      <c r="U674" s="18"/>
    </row>
    <row r="675" spans="2:21" x14ac:dyDescent="0.25">
      <c r="B675" s="81"/>
      <c r="C675" s="81"/>
      <c r="D675" s="81"/>
      <c r="E675" s="81"/>
      <c r="F675" s="82"/>
      <c r="G675" s="82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18"/>
      <c r="U675" s="18"/>
    </row>
    <row r="676" spans="2:21" x14ac:dyDescent="0.25">
      <c r="B676" s="81"/>
      <c r="C676" s="81"/>
      <c r="D676" s="81"/>
      <c r="E676" s="81"/>
      <c r="F676" s="82"/>
      <c r="G676" s="82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18"/>
      <c r="U676" s="18"/>
    </row>
    <row r="677" spans="2:21" x14ac:dyDescent="0.25">
      <c r="B677" s="81"/>
      <c r="C677" s="81"/>
      <c r="D677" s="81"/>
      <c r="E677" s="81"/>
      <c r="F677" s="82"/>
      <c r="G677" s="82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18"/>
      <c r="U677" s="18"/>
    </row>
    <row r="678" spans="2:21" x14ac:dyDescent="0.25">
      <c r="B678" s="81"/>
      <c r="C678" s="81"/>
      <c r="D678" s="81"/>
      <c r="E678" s="81"/>
      <c r="F678" s="82"/>
      <c r="G678" s="82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18"/>
      <c r="U678" s="18"/>
    </row>
    <row r="679" spans="2:21" x14ac:dyDescent="0.25">
      <c r="B679" s="81"/>
      <c r="C679" s="81"/>
      <c r="D679" s="81"/>
      <c r="E679" s="81"/>
      <c r="F679" s="82"/>
      <c r="G679" s="82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18"/>
      <c r="U679" s="18"/>
    </row>
    <row r="680" spans="2:21" x14ac:dyDescent="0.25">
      <c r="B680" s="81"/>
      <c r="C680" s="81"/>
      <c r="D680" s="81"/>
      <c r="E680" s="81"/>
      <c r="F680" s="82"/>
      <c r="G680" s="82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18"/>
      <c r="U680" s="18"/>
    </row>
    <row r="681" spans="2:21" x14ac:dyDescent="0.25">
      <c r="B681" s="81"/>
      <c r="C681" s="81"/>
      <c r="D681" s="81"/>
      <c r="E681" s="81"/>
      <c r="F681" s="82"/>
      <c r="G681" s="82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18"/>
      <c r="U681" s="18"/>
    </row>
    <row r="682" spans="2:21" x14ac:dyDescent="0.25">
      <c r="B682" s="81"/>
      <c r="C682" s="81"/>
      <c r="D682" s="81"/>
      <c r="E682" s="81"/>
      <c r="F682" s="82"/>
      <c r="G682" s="82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18"/>
      <c r="U682" s="18"/>
    </row>
    <row r="683" spans="2:21" x14ac:dyDescent="0.25">
      <c r="B683" s="81"/>
      <c r="C683" s="81"/>
      <c r="D683" s="81"/>
      <c r="E683" s="81"/>
      <c r="F683" s="82"/>
      <c r="G683" s="82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18"/>
      <c r="U683" s="18"/>
    </row>
    <row r="684" spans="2:21" x14ac:dyDescent="0.25">
      <c r="B684" s="81"/>
      <c r="C684" s="81"/>
      <c r="D684" s="81"/>
      <c r="E684" s="81"/>
      <c r="F684" s="82"/>
      <c r="G684" s="82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18"/>
      <c r="U684" s="18"/>
    </row>
    <row r="685" spans="2:21" x14ac:dyDescent="0.25">
      <c r="B685" s="81"/>
      <c r="C685" s="81"/>
      <c r="D685" s="81"/>
      <c r="E685" s="81"/>
      <c r="F685" s="82"/>
      <c r="G685" s="82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18"/>
      <c r="U685" s="18"/>
    </row>
    <row r="686" spans="2:21" x14ac:dyDescent="0.25">
      <c r="B686" s="81"/>
      <c r="C686" s="81"/>
      <c r="D686" s="81"/>
      <c r="E686" s="81"/>
      <c r="F686" s="82"/>
      <c r="G686" s="82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18"/>
      <c r="U686" s="18"/>
    </row>
    <row r="687" spans="2:21" x14ac:dyDescent="0.25">
      <c r="B687" s="81"/>
      <c r="C687" s="81"/>
      <c r="D687" s="81"/>
      <c r="E687" s="81"/>
      <c r="F687" s="82"/>
      <c r="G687" s="82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18"/>
      <c r="U687" s="18"/>
    </row>
    <row r="688" spans="2:21" x14ac:dyDescent="0.25">
      <c r="B688" s="81"/>
      <c r="C688" s="81"/>
      <c r="D688" s="81"/>
      <c r="E688" s="81"/>
      <c r="F688" s="82"/>
      <c r="G688" s="82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18"/>
      <c r="U688" s="18"/>
    </row>
    <row r="689" spans="2:21" x14ac:dyDescent="0.25">
      <c r="B689" s="81"/>
      <c r="C689" s="81"/>
      <c r="D689" s="81"/>
      <c r="E689" s="81"/>
      <c r="F689" s="82"/>
      <c r="G689" s="82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18"/>
      <c r="U689" s="18"/>
    </row>
    <row r="690" spans="2:21" x14ac:dyDescent="0.25">
      <c r="B690" s="81"/>
      <c r="C690" s="81"/>
      <c r="D690" s="81"/>
      <c r="E690" s="81"/>
      <c r="F690" s="82"/>
      <c r="G690" s="82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18"/>
      <c r="U690" s="18"/>
    </row>
    <row r="691" spans="2:21" x14ac:dyDescent="0.25">
      <c r="B691" s="81"/>
      <c r="C691" s="81"/>
      <c r="D691" s="81"/>
      <c r="E691" s="81"/>
      <c r="F691" s="82"/>
      <c r="G691" s="82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18"/>
      <c r="U691" s="18"/>
    </row>
    <row r="692" spans="2:21" x14ac:dyDescent="0.25">
      <c r="B692" s="81"/>
      <c r="C692" s="81"/>
      <c r="D692" s="81"/>
      <c r="E692" s="81"/>
      <c r="F692" s="82"/>
      <c r="G692" s="82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18"/>
      <c r="U692" s="18"/>
    </row>
    <row r="693" spans="2:21" x14ac:dyDescent="0.25">
      <c r="B693" s="81"/>
      <c r="C693" s="81"/>
      <c r="D693" s="81"/>
      <c r="E693" s="81"/>
      <c r="F693" s="82"/>
      <c r="G693" s="82"/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18"/>
      <c r="U693" s="18"/>
    </row>
    <row r="694" spans="2:21" x14ac:dyDescent="0.25">
      <c r="B694" s="81"/>
      <c r="C694" s="81"/>
      <c r="D694" s="81"/>
      <c r="E694" s="81"/>
      <c r="F694" s="82"/>
      <c r="G694" s="82"/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18"/>
      <c r="U694" s="18"/>
    </row>
    <row r="695" spans="2:21" x14ac:dyDescent="0.25">
      <c r="B695" s="81"/>
      <c r="C695" s="81"/>
      <c r="D695" s="81"/>
      <c r="E695" s="81"/>
      <c r="F695" s="82"/>
      <c r="G695" s="82"/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18"/>
      <c r="U695" s="18"/>
    </row>
    <row r="696" spans="2:21" x14ac:dyDescent="0.25">
      <c r="B696" s="81"/>
      <c r="C696" s="81"/>
      <c r="D696" s="81"/>
      <c r="E696" s="81"/>
      <c r="F696" s="82"/>
      <c r="G696" s="82"/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18"/>
      <c r="U696" s="18"/>
    </row>
    <row r="697" spans="2:21" x14ac:dyDescent="0.25">
      <c r="B697" s="81"/>
      <c r="C697" s="81"/>
      <c r="D697" s="81"/>
      <c r="E697" s="81"/>
      <c r="F697" s="82"/>
      <c r="G697" s="82"/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18"/>
      <c r="U697" s="18"/>
    </row>
    <row r="698" spans="2:21" x14ac:dyDescent="0.25">
      <c r="B698" s="81"/>
      <c r="C698" s="81"/>
      <c r="D698" s="81"/>
      <c r="E698" s="81"/>
      <c r="F698" s="82"/>
      <c r="G698" s="82"/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18"/>
      <c r="U698" s="18"/>
    </row>
    <row r="699" spans="2:21" x14ac:dyDescent="0.25">
      <c r="B699" s="81"/>
      <c r="C699" s="81"/>
      <c r="D699" s="81"/>
      <c r="E699" s="81"/>
      <c r="F699" s="82"/>
      <c r="G699" s="82"/>
      <c r="H699" s="81"/>
      <c r="I699" s="81"/>
      <c r="J699" s="81"/>
      <c r="K699" s="81"/>
      <c r="L699" s="81"/>
      <c r="M699" s="81"/>
      <c r="N699" s="81"/>
      <c r="O699" s="81"/>
      <c r="P699" s="81"/>
      <c r="Q699" s="81"/>
      <c r="R699" s="81"/>
      <c r="S699" s="81"/>
      <c r="T699" s="18"/>
      <c r="U699" s="18"/>
    </row>
  </sheetData>
  <mergeCells count="6">
    <mergeCell ref="DB2:DF2"/>
    <mergeCell ref="DG2:DK2"/>
    <mergeCell ref="CJ2:CL2"/>
    <mergeCell ref="DS2:DU2"/>
    <mergeCell ref="DO2:DQ2"/>
    <mergeCell ref="CN2:CR2"/>
  </mergeCells>
  <conditionalFormatting sqref="CN5:CR53">
    <cfRule type="expression" dxfId="16" priority="8">
      <formula>$CN5=0</formula>
    </cfRule>
  </conditionalFormatting>
  <conditionalFormatting sqref="A5:U454 W5:AP454 AR5:BK454 BM5:CF454">
    <cfRule type="expression" dxfId="15" priority="7">
      <formula>$B5=0</formula>
    </cfRule>
  </conditionalFormatting>
  <conditionalFormatting sqref="DO5:DQ54">
    <cfRule type="expression" dxfId="14" priority="6">
      <formula>$DO5=0</formula>
    </cfRule>
  </conditionalFormatting>
  <conditionalFormatting sqref="DS5:DT54">
    <cfRule type="expression" dxfId="13" priority="5">
      <formula>$DS5=0</formula>
    </cfRule>
  </conditionalFormatting>
  <conditionalFormatting sqref="CG12">
    <cfRule type="expression" dxfId="12" priority="4">
      <formula>$B12=0</formula>
    </cfRule>
  </conditionalFormatting>
  <pageMargins left="0.75" right="0.75" top="1" bottom="1" header="0.5" footer="0.5"/>
  <pageSetup orientation="portrait" horizontalDpi="4294967292" vertic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BF4311"/>
  <sheetViews>
    <sheetView workbookViewId="0"/>
  </sheetViews>
  <sheetFormatPr defaultRowHeight="15" x14ac:dyDescent="0.25"/>
  <cols>
    <col min="1" max="1" width="20" style="247" customWidth="1"/>
    <col min="2" max="3" width="24.42578125" style="247" bestFit="1" customWidth="1"/>
    <col min="4" max="4" width="23.5703125" style="247" bestFit="1" customWidth="1"/>
    <col min="5" max="5" width="24.42578125" style="247" bestFit="1" customWidth="1"/>
    <col min="6" max="6" width="22.85546875" style="247" bestFit="1" customWidth="1"/>
    <col min="7" max="7" width="24.42578125" style="247" bestFit="1" customWidth="1"/>
    <col min="8" max="8" width="8.42578125" style="247" bestFit="1" customWidth="1"/>
    <col min="9" max="9" width="6.5703125" style="247" bestFit="1" customWidth="1"/>
    <col min="10" max="10" width="6.7109375" style="247" bestFit="1" customWidth="1"/>
    <col min="11" max="11" width="7" style="247" bestFit="1" customWidth="1"/>
    <col min="12" max="20" width="8.42578125" style="247" bestFit="1" customWidth="1"/>
    <col min="21" max="16384" width="9.140625" style="247"/>
  </cols>
  <sheetData>
    <row r="1" spans="1:58" s="141" customFormat="1" ht="51.75" customHeight="1" x14ac:dyDescent="0.25">
      <c r="A1" s="141" t="s">
        <v>126</v>
      </c>
      <c r="B1" s="237">
        <v>19055497.27</v>
      </c>
      <c r="C1" s="237">
        <v>0</v>
      </c>
      <c r="D1" s="142">
        <v>19055497.27</v>
      </c>
      <c r="E1" s="290"/>
      <c r="F1" s="290"/>
      <c r="G1" s="291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</row>
    <row r="2" spans="1:58" x14ac:dyDescent="0.25">
      <c r="A2" s="247" t="s">
        <v>120</v>
      </c>
      <c r="B2" s="270" t="s">
        <v>150</v>
      </c>
      <c r="C2" s="270" t="s">
        <v>151</v>
      </c>
      <c r="D2" s="271" t="s">
        <v>152</v>
      </c>
      <c r="E2" s="272" t="s">
        <v>122</v>
      </c>
      <c r="F2" s="272" t="s">
        <v>123</v>
      </c>
      <c r="G2" s="273" t="s">
        <v>124</v>
      </c>
      <c r="H2" s="274" t="s">
        <v>88</v>
      </c>
      <c r="I2" s="274" t="s">
        <v>9</v>
      </c>
      <c r="J2" s="274" t="s">
        <v>10</v>
      </c>
      <c r="K2" s="274" t="s">
        <v>11</v>
      </c>
      <c r="L2" s="274" t="s">
        <v>12</v>
      </c>
      <c r="M2" s="274" t="s">
        <v>13</v>
      </c>
      <c r="N2" s="274" t="s">
        <v>14</v>
      </c>
      <c r="O2" s="274" t="s">
        <v>111</v>
      </c>
      <c r="P2" s="274" t="s">
        <v>22</v>
      </c>
      <c r="Q2" s="274" t="s">
        <v>23</v>
      </c>
      <c r="R2" s="274" t="s">
        <v>108</v>
      </c>
      <c r="S2" s="274" t="s">
        <v>24</v>
      </c>
      <c r="T2" s="274" t="s">
        <v>109</v>
      </c>
      <c r="U2" s="274" t="s">
        <v>110</v>
      </c>
      <c r="V2" s="274" t="s">
        <v>89</v>
      </c>
      <c r="X2" s="274"/>
    </row>
    <row r="3" spans="1:58" x14ac:dyDescent="0.25">
      <c r="A3" s="247">
        <v>1</v>
      </c>
      <c r="B3" s="275">
        <v>18518408.89847843</v>
      </c>
      <c r="C3" s="275">
        <v>252394.90023731824</v>
      </c>
      <c r="D3" s="276">
        <v>18770803.798715748</v>
      </c>
      <c r="E3" s="277">
        <v>23156348.220111538</v>
      </c>
      <c r="F3" s="277">
        <v>235782.99118445526</v>
      </c>
      <c r="G3" s="278">
        <v>23392131.211295992</v>
      </c>
      <c r="H3" s="274" t="s">
        <v>127</v>
      </c>
      <c r="I3" s="274" t="s">
        <v>127</v>
      </c>
      <c r="J3" s="274" t="s">
        <v>36</v>
      </c>
      <c r="K3" s="274" t="s">
        <v>36</v>
      </c>
      <c r="L3" s="274" t="s">
        <v>36</v>
      </c>
      <c r="M3" s="274" t="s">
        <v>36</v>
      </c>
      <c r="N3" s="274" t="s">
        <v>36</v>
      </c>
      <c r="O3" s="274" t="s">
        <v>36</v>
      </c>
      <c r="P3" s="274" t="s">
        <v>36</v>
      </c>
      <c r="Q3" s="274" t="s">
        <v>36</v>
      </c>
      <c r="R3" s="274" t="s">
        <v>36</v>
      </c>
      <c r="S3" s="274" t="s">
        <v>36</v>
      </c>
      <c r="T3" s="274" t="s">
        <v>36</v>
      </c>
      <c r="U3" s="274" t="s">
        <v>36</v>
      </c>
      <c r="V3" s="274" t="s">
        <v>36</v>
      </c>
      <c r="BF3" s="247" t="e">
        <v>#N/A</v>
      </c>
    </row>
    <row r="4" spans="1:58" x14ac:dyDescent="0.25">
      <c r="A4" s="247">
        <v>2</v>
      </c>
      <c r="B4" s="275">
        <v>18669592.287705064</v>
      </c>
      <c r="C4" s="275">
        <v>254301.79098827479</v>
      </c>
      <c r="D4" s="276">
        <v>18923894.078693338</v>
      </c>
      <c r="E4" s="277">
        <v>23360549.875493456</v>
      </c>
      <c r="F4" s="277">
        <v>253665.96074545779</v>
      </c>
      <c r="G4" s="278">
        <v>23614215.836238913</v>
      </c>
      <c r="H4" s="274" t="s">
        <v>127</v>
      </c>
      <c r="I4" s="274" t="s">
        <v>127</v>
      </c>
      <c r="J4" s="274" t="s">
        <v>36</v>
      </c>
      <c r="K4" s="274" t="s">
        <v>36</v>
      </c>
      <c r="L4" s="274" t="s">
        <v>36</v>
      </c>
      <c r="M4" s="274" t="s">
        <v>36</v>
      </c>
      <c r="N4" s="274" t="s">
        <v>36</v>
      </c>
      <c r="O4" s="274" t="s">
        <v>36</v>
      </c>
      <c r="P4" s="274" t="s">
        <v>36</v>
      </c>
      <c r="Q4" s="274" t="s">
        <v>36</v>
      </c>
      <c r="R4" s="274" t="s">
        <v>36</v>
      </c>
      <c r="S4" s="274" t="s">
        <v>36</v>
      </c>
      <c r="T4" s="274" t="s">
        <v>36</v>
      </c>
      <c r="U4" s="274" t="s">
        <v>36</v>
      </c>
      <c r="V4" s="274" t="s">
        <v>36</v>
      </c>
      <c r="BF4" s="247" t="e">
        <v>#N/A</v>
      </c>
    </row>
    <row r="5" spans="1:58" x14ac:dyDescent="0.25">
      <c r="A5" s="247">
        <v>3</v>
      </c>
      <c r="B5" s="275">
        <v>18270880.544429548</v>
      </c>
      <c r="C5" s="275">
        <v>249677.57023103954</v>
      </c>
      <c r="D5" s="276">
        <v>18520558.114660587</v>
      </c>
      <c r="E5" s="277">
        <v>22948941.996489212</v>
      </c>
      <c r="F5" s="277">
        <v>244539.31844799474</v>
      </c>
      <c r="G5" s="278">
        <v>23193481.314937208</v>
      </c>
      <c r="H5" s="274" t="s">
        <v>127</v>
      </c>
      <c r="I5" s="274" t="s">
        <v>127</v>
      </c>
      <c r="J5" s="274" t="s">
        <v>36</v>
      </c>
      <c r="K5" s="274" t="s">
        <v>36</v>
      </c>
      <c r="L5" s="274" t="s">
        <v>36</v>
      </c>
      <c r="M5" s="274" t="s">
        <v>36</v>
      </c>
      <c r="N5" s="274" t="s">
        <v>36</v>
      </c>
      <c r="O5" s="274" t="s">
        <v>36</v>
      </c>
      <c r="P5" s="274" t="s">
        <v>36</v>
      </c>
      <c r="Q5" s="274" t="s">
        <v>36</v>
      </c>
      <c r="R5" s="274" t="s">
        <v>36</v>
      </c>
      <c r="S5" s="274" t="s">
        <v>36</v>
      </c>
      <c r="T5" s="274" t="s">
        <v>36</v>
      </c>
      <c r="U5" s="274" t="s">
        <v>36</v>
      </c>
      <c r="V5" s="274" t="s">
        <v>36</v>
      </c>
      <c r="BF5" s="247" t="e">
        <v>#N/A</v>
      </c>
    </row>
    <row r="6" spans="1:58" x14ac:dyDescent="0.25">
      <c r="A6" s="247">
        <v>4</v>
      </c>
      <c r="B6" s="275">
        <v>18097526.312877648</v>
      </c>
      <c r="C6" s="275">
        <v>687088.04038583802</v>
      </c>
      <c r="D6" s="276">
        <v>18784614.353263486</v>
      </c>
      <c r="E6" s="277">
        <v>22730682.028809663</v>
      </c>
      <c r="F6" s="277">
        <v>647584.60314622452</v>
      </c>
      <c r="G6" s="278">
        <v>23378266.631955888</v>
      </c>
      <c r="H6" s="274" t="s">
        <v>127</v>
      </c>
      <c r="I6" s="274" t="s">
        <v>127</v>
      </c>
      <c r="J6" s="274" t="s">
        <v>36</v>
      </c>
      <c r="K6" s="274" t="s">
        <v>36</v>
      </c>
      <c r="L6" s="274" t="s">
        <v>36</v>
      </c>
      <c r="M6" s="274" t="s">
        <v>36</v>
      </c>
      <c r="N6" s="274" t="s">
        <v>36</v>
      </c>
      <c r="O6" s="274" t="s">
        <v>36</v>
      </c>
      <c r="P6" s="274" t="s">
        <v>36</v>
      </c>
      <c r="Q6" s="274" t="s">
        <v>36</v>
      </c>
      <c r="R6" s="274" t="s">
        <v>36</v>
      </c>
      <c r="S6" s="274" t="s">
        <v>36</v>
      </c>
      <c r="T6" s="274" t="s">
        <v>36</v>
      </c>
      <c r="U6" s="274" t="s">
        <v>36</v>
      </c>
      <c r="V6" s="274" t="s">
        <v>36</v>
      </c>
      <c r="BF6" s="247" t="e">
        <v>#N/A</v>
      </c>
    </row>
    <row r="7" spans="1:58" x14ac:dyDescent="0.25">
      <c r="A7" s="247">
        <v>5</v>
      </c>
      <c r="B7" s="275">
        <v>18369709.006894354</v>
      </c>
      <c r="C7" s="275">
        <v>434789.55036054394</v>
      </c>
      <c r="D7" s="276">
        <v>18804498.557254899</v>
      </c>
      <c r="E7" s="277">
        <v>22976258.251865663</v>
      </c>
      <c r="F7" s="277">
        <v>433759.16467613325</v>
      </c>
      <c r="G7" s="278">
        <v>23410017.416541796</v>
      </c>
      <c r="H7" s="274" t="s">
        <v>127</v>
      </c>
      <c r="I7" s="274" t="s">
        <v>127</v>
      </c>
      <c r="J7" s="274" t="s">
        <v>36</v>
      </c>
      <c r="K7" s="274" t="s">
        <v>36</v>
      </c>
      <c r="L7" s="274" t="s">
        <v>36</v>
      </c>
      <c r="M7" s="274" t="s">
        <v>36</v>
      </c>
      <c r="N7" s="274" t="s">
        <v>36</v>
      </c>
      <c r="O7" s="274" t="s">
        <v>36</v>
      </c>
      <c r="P7" s="274" t="s">
        <v>36</v>
      </c>
      <c r="Q7" s="274" t="s">
        <v>36</v>
      </c>
      <c r="R7" s="274" t="s">
        <v>36</v>
      </c>
      <c r="S7" s="274" t="s">
        <v>36</v>
      </c>
      <c r="T7" s="274" t="s">
        <v>36</v>
      </c>
      <c r="U7" s="274" t="s">
        <v>36</v>
      </c>
      <c r="V7" s="274" t="s">
        <v>36</v>
      </c>
      <c r="BF7" s="247" t="e">
        <v>#N/A</v>
      </c>
    </row>
    <row r="8" spans="1:58" x14ac:dyDescent="0.25">
      <c r="A8" s="247">
        <v>6</v>
      </c>
      <c r="B8" s="275">
        <v>17717445.907526463</v>
      </c>
      <c r="C8" s="275">
        <v>797237.17649007682</v>
      </c>
      <c r="D8" s="276">
        <v>18514683.084016539</v>
      </c>
      <c r="E8" s="277">
        <v>22338147.576903909</v>
      </c>
      <c r="F8" s="277">
        <v>795382.73293061578</v>
      </c>
      <c r="G8" s="278">
        <v>23133530.309834525</v>
      </c>
      <c r="H8" s="274" t="s">
        <v>127</v>
      </c>
      <c r="I8" s="274" t="s">
        <v>127</v>
      </c>
      <c r="J8" s="274" t="s">
        <v>36</v>
      </c>
      <c r="K8" s="274" t="s">
        <v>36</v>
      </c>
      <c r="L8" s="274" t="s">
        <v>36</v>
      </c>
      <c r="M8" s="274" t="s">
        <v>36</v>
      </c>
      <c r="N8" s="274" t="s">
        <v>36</v>
      </c>
      <c r="O8" s="274" t="s">
        <v>36</v>
      </c>
      <c r="P8" s="274" t="s">
        <v>36</v>
      </c>
      <c r="Q8" s="274" t="s">
        <v>36</v>
      </c>
      <c r="R8" s="274" t="s">
        <v>36</v>
      </c>
      <c r="S8" s="274" t="s">
        <v>36</v>
      </c>
      <c r="T8" s="274" t="s">
        <v>36</v>
      </c>
      <c r="U8" s="274" t="s">
        <v>36</v>
      </c>
      <c r="V8" s="274" t="s">
        <v>36</v>
      </c>
      <c r="BF8" s="247" t="e">
        <v>#N/A</v>
      </c>
    </row>
    <row r="9" spans="1:58" x14ac:dyDescent="0.25">
      <c r="A9" s="247">
        <v>7</v>
      </c>
      <c r="B9" s="275">
        <v>18619726.505558819</v>
      </c>
      <c r="C9" s="275">
        <v>268219.86799990409</v>
      </c>
      <c r="D9" s="276">
        <v>18887946.373558722</v>
      </c>
      <c r="E9" s="277">
        <v>23269738.582354411</v>
      </c>
      <c r="F9" s="277">
        <v>267113.76933043293</v>
      </c>
      <c r="G9" s="278">
        <v>23536852.351684846</v>
      </c>
      <c r="H9" s="274" t="s">
        <v>127</v>
      </c>
      <c r="I9" s="274" t="s">
        <v>127</v>
      </c>
      <c r="J9" s="274" t="s">
        <v>36</v>
      </c>
      <c r="K9" s="274" t="s">
        <v>36</v>
      </c>
      <c r="L9" s="274" t="s">
        <v>36</v>
      </c>
      <c r="M9" s="274" t="s">
        <v>36</v>
      </c>
      <c r="N9" s="274" t="s">
        <v>36</v>
      </c>
      <c r="O9" s="274" t="s">
        <v>36</v>
      </c>
      <c r="P9" s="274" t="s">
        <v>36</v>
      </c>
      <c r="Q9" s="274" t="s">
        <v>36</v>
      </c>
      <c r="R9" s="274" t="s">
        <v>36</v>
      </c>
      <c r="S9" s="274" t="s">
        <v>36</v>
      </c>
      <c r="T9" s="274" t="s">
        <v>36</v>
      </c>
      <c r="U9" s="274" t="s">
        <v>36</v>
      </c>
      <c r="V9" s="274" t="s">
        <v>36</v>
      </c>
      <c r="BF9" s="247" t="e">
        <v>#N/A</v>
      </c>
    </row>
    <row r="10" spans="1:58" x14ac:dyDescent="0.25">
      <c r="A10" s="247">
        <v>8</v>
      </c>
      <c r="B10" s="275">
        <v>18272744.695151825</v>
      </c>
      <c r="C10" s="275">
        <v>205717.59064533061</v>
      </c>
      <c r="D10" s="276">
        <v>18478462.285797156</v>
      </c>
      <c r="E10" s="277">
        <v>22951484.867013369</v>
      </c>
      <c r="F10" s="277">
        <v>199814.21116257907</v>
      </c>
      <c r="G10" s="278">
        <v>23151299.078175947</v>
      </c>
      <c r="H10" s="274" t="s">
        <v>127</v>
      </c>
      <c r="I10" s="274" t="s">
        <v>127</v>
      </c>
      <c r="J10" s="274" t="s">
        <v>36</v>
      </c>
      <c r="K10" s="274" t="s">
        <v>36</v>
      </c>
      <c r="L10" s="274" t="s">
        <v>36</v>
      </c>
      <c r="M10" s="274" t="s">
        <v>36</v>
      </c>
      <c r="N10" s="274" t="s">
        <v>36</v>
      </c>
      <c r="O10" s="274" t="s">
        <v>36</v>
      </c>
      <c r="P10" s="274" t="s">
        <v>36</v>
      </c>
      <c r="Q10" s="274" t="s">
        <v>36</v>
      </c>
      <c r="R10" s="274" t="s">
        <v>36</v>
      </c>
      <c r="S10" s="274" t="s">
        <v>36</v>
      </c>
      <c r="T10" s="274" t="s">
        <v>36</v>
      </c>
      <c r="U10" s="274" t="s">
        <v>36</v>
      </c>
      <c r="V10" s="274" t="s">
        <v>36</v>
      </c>
      <c r="BF10" s="247" t="e">
        <v>#N/A</v>
      </c>
    </row>
    <row r="11" spans="1:58" x14ac:dyDescent="0.25">
      <c r="A11" s="247">
        <v>9</v>
      </c>
      <c r="B11" s="275">
        <v>17855901.510185715</v>
      </c>
      <c r="C11" s="275">
        <v>707926.6332736332</v>
      </c>
      <c r="D11" s="276">
        <v>18563828.14345935</v>
      </c>
      <c r="E11" s="277">
        <v>22522663.34310063</v>
      </c>
      <c r="F11" s="277">
        <v>702415.39364756597</v>
      </c>
      <c r="G11" s="278">
        <v>23225078.736748196</v>
      </c>
      <c r="H11" s="274" t="s">
        <v>127</v>
      </c>
      <c r="I11" s="274" t="s">
        <v>127</v>
      </c>
      <c r="J11" s="274" t="s">
        <v>36</v>
      </c>
      <c r="K11" s="274" t="s">
        <v>36</v>
      </c>
      <c r="L11" s="274" t="s">
        <v>36</v>
      </c>
      <c r="M11" s="274" t="s">
        <v>36</v>
      </c>
      <c r="N11" s="274" t="s">
        <v>36</v>
      </c>
      <c r="O11" s="274" t="s">
        <v>36</v>
      </c>
      <c r="P11" s="274" t="s">
        <v>36</v>
      </c>
      <c r="Q11" s="274" t="s">
        <v>36</v>
      </c>
      <c r="R11" s="274" t="s">
        <v>36</v>
      </c>
      <c r="S11" s="274" t="s">
        <v>36</v>
      </c>
      <c r="T11" s="274" t="s">
        <v>36</v>
      </c>
      <c r="U11" s="274" t="s">
        <v>36</v>
      </c>
      <c r="V11" s="274" t="s">
        <v>36</v>
      </c>
      <c r="BF11" s="247" t="e">
        <v>#N/A</v>
      </c>
    </row>
    <row r="12" spans="1:58" x14ac:dyDescent="0.25">
      <c r="A12" s="247">
        <v>10</v>
      </c>
      <c r="B12" s="275">
        <v>18293954.590284016</v>
      </c>
      <c r="C12" s="275">
        <v>426571.38087652123</v>
      </c>
      <c r="D12" s="276">
        <v>18720525.971160538</v>
      </c>
      <c r="E12" s="277">
        <v>22956129.080487251</v>
      </c>
      <c r="F12" s="277">
        <v>425405.29074753035</v>
      </c>
      <c r="G12" s="278">
        <v>23381534.371234782</v>
      </c>
      <c r="H12" s="274" t="s">
        <v>127</v>
      </c>
      <c r="I12" s="274" t="s">
        <v>127</v>
      </c>
      <c r="J12" s="274" t="s">
        <v>36</v>
      </c>
      <c r="K12" s="274" t="s">
        <v>36</v>
      </c>
      <c r="L12" s="274" t="s">
        <v>36</v>
      </c>
      <c r="M12" s="274" t="s">
        <v>36</v>
      </c>
      <c r="N12" s="274" t="s">
        <v>36</v>
      </c>
      <c r="O12" s="274" t="s">
        <v>36</v>
      </c>
      <c r="P12" s="274" t="s">
        <v>36</v>
      </c>
      <c r="Q12" s="274" t="s">
        <v>36</v>
      </c>
      <c r="R12" s="274" t="s">
        <v>36</v>
      </c>
      <c r="S12" s="274" t="s">
        <v>36</v>
      </c>
      <c r="T12" s="274" t="s">
        <v>36</v>
      </c>
      <c r="U12" s="274" t="s">
        <v>36</v>
      </c>
      <c r="V12" s="274" t="s">
        <v>36</v>
      </c>
      <c r="BF12" s="247" t="e">
        <v>#N/A</v>
      </c>
    </row>
    <row r="13" spans="1:58" x14ac:dyDescent="0.25">
      <c r="A13" s="247">
        <v>11</v>
      </c>
      <c r="B13" s="275"/>
      <c r="C13" s="275"/>
      <c r="D13" s="276"/>
      <c r="E13" s="277"/>
      <c r="F13" s="277"/>
      <c r="G13" s="278"/>
      <c r="H13" s="274"/>
      <c r="I13" s="274"/>
      <c r="J13" s="274"/>
      <c r="K13" s="274"/>
      <c r="L13" s="274"/>
      <c r="M13" s="274"/>
      <c r="N13" s="274"/>
      <c r="O13" s="274"/>
      <c r="P13" s="274"/>
      <c r="Q13" s="274"/>
      <c r="R13" s="274"/>
      <c r="S13" s="274"/>
      <c r="T13" s="274"/>
      <c r="U13" s="274"/>
      <c r="V13" s="274"/>
      <c r="BF13" s="247" t="e">
        <v>#N/A</v>
      </c>
    </row>
    <row r="14" spans="1:58" x14ac:dyDescent="0.25">
      <c r="A14" s="247">
        <v>12</v>
      </c>
      <c r="B14" s="275"/>
      <c r="C14" s="275"/>
      <c r="D14" s="276"/>
      <c r="E14" s="277"/>
      <c r="F14" s="277"/>
      <c r="G14" s="278"/>
      <c r="H14" s="274"/>
      <c r="I14" s="274"/>
      <c r="J14" s="274"/>
      <c r="K14" s="274"/>
      <c r="L14" s="274"/>
      <c r="M14" s="274"/>
      <c r="N14" s="274"/>
      <c r="O14" s="274"/>
      <c r="P14" s="274"/>
      <c r="Q14" s="274"/>
      <c r="R14" s="274"/>
      <c r="S14" s="274"/>
      <c r="T14" s="274"/>
      <c r="U14" s="274"/>
      <c r="V14" s="274"/>
      <c r="BF14" s="247" t="e">
        <v>#N/A</v>
      </c>
    </row>
    <row r="15" spans="1:58" x14ac:dyDescent="0.25">
      <c r="A15" s="247">
        <v>13</v>
      </c>
      <c r="B15" s="275"/>
      <c r="C15" s="275"/>
      <c r="D15" s="276"/>
      <c r="E15" s="277"/>
      <c r="F15" s="277"/>
      <c r="G15" s="278"/>
      <c r="H15" s="274"/>
      <c r="I15" s="274"/>
      <c r="J15" s="274"/>
      <c r="K15" s="274"/>
      <c r="L15" s="274"/>
      <c r="M15" s="274"/>
      <c r="N15" s="274"/>
      <c r="O15" s="274"/>
      <c r="P15" s="274"/>
      <c r="Q15" s="274"/>
      <c r="R15" s="274"/>
      <c r="S15" s="274"/>
      <c r="T15" s="274"/>
      <c r="U15" s="274"/>
      <c r="V15" s="274"/>
      <c r="BF15" s="247" t="e">
        <v>#N/A</v>
      </c>
    </row>
    <row r="16" spans="1:58" x14ac:dyDescent="0.25">
      <c r="A16" s="247">
        <v>14</v>
      </c>
      <c r="B16" s="275"/>
      <c r="C16" s="275"/>
      <c r="D16" s="276"/>
      <c r="E16" s="277"/>
      <c r="F16" s="277"/>
      <c r="G16" s="278"/>
      <c r="H16" s="274"/>
      <c r="I16" s="274"/>
      <c r="J16" s="274"/>
      <c r="K16" s="274"/>
      <c r="L16" s="274"/>
      <c r="M16" s="274"/>
      <c r="N16" s="274"/>
      <c r="O16" s="274"/>
      <c r="P16" s="274"/>
      <c r="Q16" s="274"/>
      <c r="R16" s="274"/>
      <c r="S16" s="274"/>
      <c r="T16" s="274"/>
      <c r="U16" s="274"/>
      <c r="V16" s="274"/>
      <c r="BF16" s="247" t="e">
        <v>#N/A</v>
      </c>
    </row>
    <row r="17" spans="1:58" x14ac:dyDescent="0.25">
      <c r="A17" s="247">
        <v>15</v>
      </c>
      <c r="B17" s="275"/>
      <c r="C17" s="275"/>
      <c r="D17" s="276"/>
      <c r="E17" s="277"/>
      <c r="F17" s="277"/>
      <c r="G17" s="278"/>
      <c r="H17" s="274"/>
      <c r="I17" s="274"/>
      <c r="J17" s="274"/>
      <c r="K17" s="274"/>
      <c r="L17" s="274"/>
      <c r="M17" s="274"/>
      <c r="N17" s="274"/>
      <c r="O17" s="274"/>
      <c r="P17" s="274"/>
      <c r="Q17" s="274"/>
      <c r="R17" s="274"/>
      <c r="S17" s="274"/>
      <c r="T17" s="274"/>
      <c r="U17" s="274"/>
      <c r="V17" s="274"/>
      <c r="BF17" s="247" t="e">
        <v>#N/A</v>
      </c>
    </row>
    <row r="18" spans="1:58" x14ac:dyDescent="0.25">
      <c r="A18" s="247">
        <v>16</v>
      </c>
      <c r="B18" s="275"/>
      <c r="C18" s="275"/>
      <c r="D18" s="276"/>
      <c r="E18" s="277"/>
      <c r="F18" s="277"/>
      <c r="G18" s="278"/>
      <c r="H18" s="274"/>
      <c r="I18" s="274"/>
      <c r="J18" s="274"/>
      <c r="K18" s="274"/>
      <c r="L18" s="274"/>
      <c r="M18" s="274"/>
      <c r="N18" s="274"/>
      <c r="O18" s="274"/>
      <c r="P18" s="274"/>
      <c r="Q18" s="274"/>
      <c r="R18" s="274"/>
      <c r="S18" s="274"/>
      <c r="T18" s="274"/>
      <c r="U18" s="274"/>
      <c r="V18" s="274"/>
      <c r="BF18" s="247" t="e">
        <v>#N/A</v>
      </c>
    </row>
    <row r="19" spans="1:58" x14ac:dyDescent="0.25">
      <c r="A19" s="247">
        <v>17</v>
      </c>
      <c r="B19" s="275"/>
      <c r="C19" s="275"/>
      <c r="D19" s="276"/>
      <c r="E19" s="277"/>
      <c r="F19" s="277"/>
      <c r="G19" s="278"/>
      <c r="H19" s="274"/>
      <c r="I19" s="274"/>
      <c r="J19" s="274"/>
      <c r="K19" s="274"/>
      <c r="L19" s="274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BF19" s="247" t="e">
        <v>#N/A</v>
      </c>
    </row>
    <row r="20" spans="1:58" x14ac:dyDescent="0.25">
      <c r="A20" s="247">
        <v>18</v>
      </c>
      <c r="B20" s="275"/>
      <c r="C20" s="275"/>
      <c r="D20" s="276"/>
      <c r="E20" s="277"/>
      <c r="F20" s="277"/>
      <c r="G20" s="278"/>
      <c r="H20" s="274"/>
      <c r="I20" s="274"/>
      <c r="J20" s="274"/>
      <c r="K20" s="274"/>
      <c r="L20" s="274"/>
      <c r="M20" s="274"/>
      <c r="N20" s="274"/>
      <c r="O20" s="274"/>
      <c r="P20" s="274"/>
      <c r="Q20" s="274"/>
      <c r="R20" s="274"/>
      <c r="S20" s="274"/>
      <c r="T20" s="274"/>
      <c r="U20" s="274"/>
      <c r="V20" s="274"/>
      <c r="BF20" s="247" t="e">
        <v>#N/A</v>
      </c>
    </row>
    <row r="21" spans="1:58" x14ac:dyDescent="0.25">
      <c r="A21" s="247">
        <v>19</v>
      </c>
      <c r="B21" s="275"/>
      <c r="C21" s="275"/>
      <c r="D21" s="276"/>
      <c r="E21" s="277"/>
      <c r="F21" s="277"/>
      <c r="G21" s="278"/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74"/>
      <c r="S21" s="274"/>
      <c r="T21" s="274"/>
      <c r="U21" s="274"/>
      <c r="V21" s="274"/>
      <c r="BF21" s="247" t="e">
        <v>#N/A</v>
      </c>
    </row>
    <row r="22" spans="1:58" x14ac:dyDescent="0.25">
      <c r="A22" s="247">
        <v>20</v>
      </c>
      <c r="B22" s="275"/>
      <c r="C22" s="275"/>
      <c r="D22" s="276"/>
      <c r="E22" s="277"/>
      <c r="F22" s="277"/>
      <c r="G22" s="278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274"/>
      <c r="V22" s="274"/>
      <c r="BF22" s="247" t="e">
        <v>#N/A</v>
      </c>
    </row>
    <row r="23" spans="1:58" x14ac:dyDescent="0.25">
      <c r="A23" s="247">
        <v>21</v>
      </c>
      <c r="B23" s="275"/>
      <c r="C23" s="275"/>
      <c r="D23" s="276"/>
      <c r="E23" s="277"/>
      <c r="F23" s="277"/>
      <c r="G23" s="278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  <c r="V23" s="274"/>
      <c r="BF23" s="247" t="e">
        <v>#N/A</v>
      </c>
    </row>
    <row r="24" spans="1:58" x14ac:dyDescent="0.25">
      <c r="A24" s="247">
        <v>22</v>
      </c>
      <c r="B24" s="275"/>
      <c r="C24" s="275"/>
      <c r="D24" s="276"/>
      <c r="E24" s="277"/>
      <c r="F24" s="277"/>
      <c r="G24" s="278"/>
      <c r="H24" s="274"/>
      <c r="I24" s="274"/>
      <c r="J24" s="274"/>
      <c r="K24" s="274"/>
      <c r="L24" s="274"/>
      <c r="M24" s="274"/>
      <c r="N24" s="274"/>
      <c r="O24" s="274"/>
      <c r="P24" s="274"/>
      <c r="Q24" s="274"/>
      <c r="R24" s="274"/>
      <c r="S24" s="274"/>
      <c r="T24" s="274"/>
      <c r="U24" s="274"/>
      <c r="V24" s="274"/>
      <c r="BF24" s="247" t="e">
        <v>#N/A</v>
      </c>
    </row>
    <row r="25" spans="1:58" x14ac:dyDescent="0.25">
      <c r="A25" s="247">
        <v>23</v>
      </c>
      <c r="B25" s="275"/>
      <c r="C25" s="275"/>
      <c r="D25" s="276"/>
      <c r="E25" s="277"/>
      <c r="F25" s="277"/>
      <c r="G25" s="278"/>
      <c r="H25" s="274"/>
      <c r="I25" s="274"/>
      <c r="J25" s="274"/>
      <c r="K25" s="274"/>
      <c r="L25" s="274"/>
      <c r="M25" s="274"/>
      <c r="N25" s="274"/>
      <c r="O25" s="274"/>
      <c r="P25" s="274"/>
      <c r="Q25" s="274"/>
      <c r="R25" s="274"/>
      <c r="S25" s="274"/>
      <c r="T25" s="274"/>
      <c r="U25" s="274"/>
      <c r="V25" s="274"/>
      <c r="BF25" s="247" t="e">
        <v>#N/A</v>
      </c>
    </row>
    <row r="26" spans="1:58" x14ac:dyDescent="0.25">
      <c r="A26" s="247">
        <v>24</v>
      </c>
      <c r="B26" s="275"/>
      <c r="C26" s="275"/>
      <c r="D26" s="276"/>
      <c r="E26" s="277"/>
      <c r="F26" s="277"/>
      <c r="G26" s="278"/>
      <c r="H26" s="274"/>
      <c r="I26" s="274"/>
      <c r="J26" s="274"/>
      <c r="K26" s="274"/>
      <c r="L26" s="274"/>
      <c r="M26" s="274"/>
      <c r="N26" s="274"/>
      <c r="O26" s="274"/>
      <c r="P26" s="274"/>
      <c r="Q26" s="274"/>
      <c r="R26" s="274"/>
      <c r="S26" s="274"/>
      <c r="T26" s="274"/>
      <c r="U26" s="274"/>
      <c r="V26" s="274"/>
      <c r="BF26" s="247" t="e">
        <v>#N/A</v>
      </c>
    </row>
    <row r="27" spans="1:58" x14ac:dyDescent="0.25">
      <c r="A27" s="247">
        <v>25</v>
      </c>
      <c r="B27" s="275"/>
      <c r="C27" s="275"/>
      <c r="D27" s="276"/>
      <c r="E27" s="277"/>
      <c r="F27" s="277"/>
      <c r="G27" s="278"/>
      <c r="H27" s="274"/>
      <c r="I27" s="274"/>
      <c r="J27" s="274"/>
      <c r="K27" s="274"/>
      <c r="L27" s="274"/>
      <c r="M27" s="274"/>
      <c r="N27" s="274"/>
      <c r="O27" s="274"/>
      <c r="P27" s="274"/>
      <c r="Q27" s="274"/>
      <c r="R27" s="274"/>
      <c r="S27" s="274"/>
      <c r="T27" s="274"/>
      <c r="U27" s="274"/>
      <c r="V27" s="274"/>
      <c r="BF27" s="247" t="e">
        <v>#N/A</v>
      </c>
    </row>
    <row r="28" spans="1:58" x14ac:dyDescent="0.25">
      <c r="A28" s="247">
        <v>26</v>
      </c>
      <c r="B28" s="275"/>
      <c r="C28" s="275"/>
      <c r="D28" s="276"/>
      <c r="E28" s="277"/>
      <c r="F28" s="277"/>
      <c r="G28" s="278"/>
      <c r="H28" s="274"/>
      <c r="I28" s="274"/>
      <c r="J28" s="274"/>
      <c r="K28" s="274"/>
      <c r="L28" s="274"/>
      <c r="M28" s="274"/>
      <c r="N28" s="274"/>
      <c r="O28" s="274"/>
      <c r="P28" s="274"/>
      <c r="Q28" s="274"/>
      <c r="R28" s="274"/>
      <c r="S28" s="274"/>
      <c r="T28" s="274"/>
      <c r="U28" s="274"/>
      <c r="V28" s="274"/>
      <c r="BF28" s="247" t="e">
        <v>#N/A</v>
      </c>
    </row>
    <row r="29" spans="1:58" x14ac:dyDescent="0.25">
      <c r="A29" s="247">
        <v>27</v>
      </c>
      <c r="B29" s="275"/>
      <c r="C29" s="275"/>
      <c r="D29" s="276"/>
      <c r="E29" s="277"/>
      <c r="F29" s="277"/>
      <c r="G29" s="278"/>
      <c r="H29" s="274"/>
      <c r="I29" s="274"/>
      <c r="J29" s="274"/>
      <c r="K29" s="274"/>
      <c r="L29" s="274"/>
      <c r="M29" s="274"/>
      <c r="N29" s="274"/>
      <c r="O29" s="274"/>
      <c r="P29" s="274"/>
      <c r="Q29" s="274"/>
      <c r="R29" s="274"/>
      <c r="S29" s="274"/>
      <c r="T29" s="274"/>
      <c r="U29" s="274"/>
      <c r="V29" s="274"/>
      <c r="BF29" s="247" t="e">
        <v>#N/A</v>
      </c>
    </row>
    <row r="30" spans="1:58" x14ac:dyDescent="0.25">
      <c r="A30" s="247">
        <v>28</v>
      </c>
      <c r="B30" s="275"/>
      <c r="C30" s="275"/>
      <c r="D30" s="276"/>
      <c r="E30" s="277"/>
      <c r="F30" s="277"/>
      <c r="G30" s="278"/>
      <c r="H30" s="274"/>
      <c r="I30" s="274"/>
      <c r="J30" s="274"/>
      <c r="K30" s="274"/>
      <c r="L30" s="274"/>
      <c r="M30" s="274"/>
      <c r="N30" s="274"/>
      <c r="O30" s="274"/>
      <c r="P30" s="274"/>
      <c r="Q30" s="274"/>
      <c r="R30" s="274"/>
      <c r="S30" s="274"/>
      <c r="T30" s="274"/>
      <c r="U30" s="274"/>
      <c r="V30" s="274"/>
      <c r="BF30" s="247" t="e">
        <v>#N/A</v>
      </c>
    </row>
    <row r="31" spans="1:58" x14ac:dyDescent="0.25">
      <c r="A31" s="247">
        <v>29</v>
      </c>
      <c r="B31" s="275"/>
      <c r="C31" s="275"/>
      <c r="D31" s="276"/>
      <c r="E31" s="277"/>
      <c r="F31" s="277"/>
      <c r="G31" s="278"/>
      <c r="H31" s="274"/>
      <c r="I31" s="274"/>
      <c r="J31" s="274"/>
      <c r="K31" s="274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BF31" s="247" t="e">
        <v>#N/A</v>
      </c>
    </row>
    <row r="32" spans="1:58" x14ac:dyDescent="0.25">
      <c r="A32" s="247">
        <v>30</v>
      </c>
      <c r="B32" s="275"/>
      <c r="C32" s="275"/>
      <c r="D32" s="276"/>
      <c r="E32" s="277"/>
      <c r="F32" s="277"/>
      <c r="G32" s="278"/>
      <c r="H32" s="274"/>
      <c r="I32" s="274"/>
      <c r="J32" s="274"/>
      <c r="K32" s="274"/>
      <c r="L32" s="274"/>
      <c r="M32" s="274"/>
      <c r="N32" s="274"/>
      <c r="O32" s="274"/>
      <c r="P32" s="274"/>
      <c r="Q32" s="274"/>
      <c r="R32" s="274"/>
      <c r="S32" s="274"/>
      <c r="T32" s="274"/>
      <c r="U32" s="274"/>
      <c r="V32" s="274"/>
      <c r="BF32" s="247" t="e">
        <v>#N/A</v>
      </c>
    </row>
    <row r="33" spans="1:58" x14ac:dyDescent="0.25">
      <c r="A33" s="247">
        <v>31</v>
      </c>
      <c r="B33" s="275"/>
      <c r="C33" s="275"/>
      <c r="D33" s="276"/>
      <c r="E33" s="277"/>
      <c r="F33" s="277"/>
      <c r="G33" s="278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4"/>
      <c r="T33" s="274"/>
      <c r="U33" s="274"/>
      <c r="V33" s="274"/>
      <c r="BF33" s="247" t="e">
        <v>#N/A</v>
      </c>
    </row>
    <row r="34" spans="1:58" x14ac:dyDescent="0.25">
      <c r="A34" s="247">
        <v>32</v>
      </c>
      <c r="B34" s="275"/>
      <c r="C34" s="275"/>
      <c r="D34" s="276"/>
      <c r="E34" s="277"/>
      <c r="F34" s="277"/>
      <c r="G34" s="278"/>
      <c r="H34" s="274"/>
      <c r="I34" s="274"/>
      <c r="J34" s="274"/>
      <c r="K34" s="274"/>
      <c r="L34" s="274"/>
      <c r="M34" s="274"/>
      <c r="N34" s="274"/>
      <c r="O34" s="274"/>
      <c r="P34" s="274"/>
      <c r="Q34" s="274"/>
      <c r="R34" s="274"/>
      <c r="S34" s="274"/>
      <c r="T34" s="274"/>
      <c r="U34" s="274"/>
      <c r="V34" s="274"/>
      <c r="BF34" s="247" t="e">
        <v>#N/A</v>
      </c>
    </row>
    <row r="35" spans="1:58" x14ac:dyDescent="0.25">
      <c r="A35" s="247">
        <v>33</v>
      </c>
      <c r="B35" s="275"/>
      <c r="C35" s="275"/>
      <c r="D35" s="276"/>
      <c r="E35" s="277"/>
      <c r="F35" s="277"/>
      <c r="G35" s="278"/>
      <c r="H35" s="274"/>
      <c r="I35" s="274"/>
      <c r="J35" s="274"/>
      <c r="K35" s="274"/>
      <c r="L35" s="274"/>
      <c r="M35" s="274"/>
      <c r="N35" s="274"/>
      <c r="O35" s="274"/>
      <c r="P35" s="274"/>
      <c r="Q35" s="274"/>
      <c r="R35" s="274"/>
      <c r="S35" s="274"/>
      <c r="T35" s="274"/>
      <c r="U35" s="274"/>
      <c r="V35" s="274"/>
      <c r="BF35" s="247" t="e">
        <v>#N/A</v>
      </c>
    </row>
    <row r="36" spans="1:58" x14ac:dyDescent="0.25">
      <c r="A36" s="247">
        <v>34</v>
      </c>
      <c r="B36" s="275"/>
      <c r="C36" s="275"/>
      <c r="D36" s="276"/>
      <c r="E36" s="277"/>
      <c r="F36" s="277"/>
      <c r="G36" s="278"/>
      <c r="H36" s="274"/>
      <c r="I36" s="274"/>
      <c r="J36" s="274"/>
      <c r="K36" s="274"/>
      <c r="L36" s="274"/>
      <c r="M36" s="274"/>
      <c r="N36" s="274"/>
      <c r="O36" s="274"/>
      <c r="P36" s="274"/>
      <c r="Q36" s="274"/>
      <c r="R36" s="274"/>
      <c r="S36" s="274"/>
      <c r="T36" s="274"/>
      <c r="U36" s="274"/>
      <c r="V36" s="274"/>
      <c r="BF36" s="247" t="e">
        <v>#N/A</v>
      </c>
    </row>
    <row r="37" spans="1:58" x14ac:dyDescent="0.25">
      <c r="A37" s="247">
        <v>35</v>
      </c>
      <c r="B37" s="275"/>
      <c r="C37" s="275"/>
      <c r="D37" s="276"/>
      <c r="E37" s="277"/>
      <c r="F37" s="277"/>
      <c r="G37" s="278"/>
      <c r="H37" s="274"/>
      <c r="I37" s="274"/>
      <c r="J37" s="274"/>
      <c r="K37" s="274"/>
      <c r="L37" s="274"/>
      <c r="M37" s="274"/>
      <c r="N37" s="274"/>
      <c r="O37" s="274"/>
      <c r="P37" s="274"/>
      <c r="Q37" s="274"/>
      <c r="R37" s="274"/>
      <c r="S37" s="274"/>
      <c r="T37" s="274"/>
      <c r="U37" s="274"/>
      <c r="V37" s="274"/>
      <c r="BF37" s="247" t="e">
        <v>#N/A</v>
      </c>
    </row>
    <row r="38" spans="1:58" x14ac:dyDescent="0.25">
      <c r="A38" s="247">
        <v>36</v>
      </c>
      <c r="B38" s="275"/>
      <c r="C38" s="275"/>
      <c r="D38" s="276"/>
      <c r="E38" s="277"/>
      <c r="F38" s="277"/>
      <c r="G38" s="278"/>
      <c r="H38" s="274"/>
      <c r="I38" s="274"/>
      <c r="J38" s="274"/>
      <c r="K38" s="274"/>
      <c r="L38" s="274"/>
      <c r="M38" s="274"/>
      <c r="N38" s="274"/>
      <c r="O38" s="274"/>
      <c r="P38" s="274"/>
      <c r="Q38" s="274"/>
      <c r="R38" s="274"/>
      <c r="S38" s="274"/>
      <c r="T38" s="274"/>
      <c r="U38" s="274"/>
      <c r="V38" s="274"/>
      <c r="BF38" s="247" t="e">
        <v>#N/A</v>
      </c>
    </row>
    <row r="39" spans="1:58" x14ac:dyDescent="0.25">
      <c r="A39" s="247">
        <v>37</v>
      </c>
      <c r="B39" s="275"/>
      <c r="C39" s="275"/>
      <c r="D39" s="276"/>
      <c r="E39" s="277"/>
      <c r="F39" s="277"/>
      <c r="G39" s="278"/>
      <c r="H39" s="274"/>
      <c r="I39" s="274"/>
      <c r="J39" s="274"/>
      <c r="K39" s="274"/>
      <c r="L39" s="274"/>
      <c r="M39" s="274"/>
      <c r="N39" s="274"/>
      <c r="O39" s="274"/>
      <c r="P39" s="274"/>
      <c r="Q39" s="274"/>
      <c r="R39" s="274"/>
      <c r="S39" s="274"/>
      <c r="T39" s="274"/>
      <c r="U39" s="274"/>
      <c r="V39" s="274"/>
      <c r="BF39" s="247" t="e">
        <v>#N/A</v>
      </c>
    </row>
    <row r="40" spans="1:58" x14ac:dyDescent="0.25">
      <c r="A40" s="247">
        <v>38</v>
      </c>
      <c r="B40" s="275"/>
      <c r="C40" s="275"/>
      <c r="D40" s="276"/>
      <c r="E40" s="277"/>
      <c r="F40" s="277"/>
      <c r="G40" s="278"/>
      <c r="H40" s="274"/>
      <c r="I40" s="274"/>
      <c r="J40" s="274"/>
      <c r="K40" s="274"/>
      <c r="L40" s="274"/>
      <c r="M40" s="274"/>
      <c r="N40" s="274"/>
      <c r="O40" s="274"/>
      <c r="P40" s="274"/>
      <c r="Q40" s="274"/>
      <c r="R40" s="274"/>
      <c r="S40" s="274"/>
      <c r="T40" s="274"/>
      <c r="U40" s="274"/>
      <c r="V40" s="274"/>
      <c r="BF40" s="247" t="e">
        <v>#N/A</v>
      </c>
    </row>
    <row r="41" spans="1:58" x14ac:dyDescent="0.25">
      <c r="A41" s="247">
        <v>39</v>
      </c>
      <c r="B41" s="275"/>
      <c r="C41" s="275"/>
      <c r="D41" s="276"/>
      <c r="E41" s="277"/>
      <c r="F41" s="277"/>
      <c r="G41" s="278"/>
      <c r="H41" s="274"/>
      <c r="I41" s="274"/>
      <c r="J41" s="274"/>
      <c r="K41" s="274"/>
      <c r="L41" s="274"/>
      <c r="M41" s="274"/>
      <c r="N41" s="274"/>
      <c r="O41" s="274"/>
      <c r="P41" s="274"/>
      <c r="Q41" s="274"/>
      <c r="R41" s="274"/>
      <c r="S41" s="274"/>
      <c r="T41" s="274"/>
      <c r="U41" s="274"/>
      <c r="V41" s="274"/>
      <c r="BF41" s="247" t="e">
        <v>#N/A</v>
      </c>
    </row>
    <row r="42" spans="1:58" x14ac:dyDescent="0.25">
      <c r="A42" s="247">
        <v>40</v>
      </c>
      <c r="B42" s="275"/>
      <c r="C42" s="275"/>
      <c r="D42" s="276"/>
      <c r="E42" s="277"/>
      <c r="F42" s="277"/>
      <c r="G42" s="278"/>
      <c r="H42" s="274"/>
      <c r="I42" s="274"/>
      <c r="J42" s="274"/>
      <c r="K42" s="274"/>
      <c r="L42" s="274"/>
      <c r="M42" s="274"/>
      <c r="N42" s="274"/>
      <c r="O42" s="274"/>
      <c r="P42" s="274"/>
      <c r="Q42" s="274"/>
      <c r="R42" s="274"/>
      <c r="S42" s="274"/>
      <c r="T42" s="274"/>
      <c r="U42" s="274"/>
      <c r="V42" s="274"/>
      <c r="BF42" s="247" t="e">
        <v>#N/A</v>
      </c>
    </row>
    <row r="43" spans="1:58" x14ac:dyDescent="0.25">
      <c r="A43" s="247">
        <v>41</v>
      </c>
      <c r="B43" s="275"/>
      <c r="C43" s="275"/>
      <c r="D43" s="276"/>
      <c r="E43" s="277"/>
      <c r="F43" s="277"/>
      <c r="G43" s="278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BF43" s="247" t="e">
        <v>#N/A</v>
      </c>
    </row>
    <row r="44" spans="1:58" x14ac:dyDescent="0.25">
      <c r="A44" s="247">
        <v>42</v>
      </c>
      <c r="B44" s="275"/>
      <c r="C44" s="275"/>
      <c r="D44" s="276"/>
      <c r="E44" s="277"/>
      <c r="F44" s="277"/>
      <c r="G44" s="278"/>
      <c r="H44" s="274"/>
      <c r="I44" s="274"/>
      <c r="J44" s="274"/>
      <c r="K44" s="274"/>
      <c r="L44" s="274"/>
      <c r="M44" s="274"/>
      <c r="N44" s="274"/>
      <c r="O44" s="274"/>
      <c r="P44" s="274"/>
      <c r="Q44" s="274"/>
      <c r="R44" s="274"/>
      <c r="S44" s="274"/>
      <c r="T44" s="274"/>
      <c r="U44" s="274"/>
      <c r="V44" s="274"/>
      <c r="BF44" s="247" t="e">
        <v>#N/A</v>
      </c>
    </row>
    <row r="45" spans="1:58" x14ac:dyDescent="0.25">
      <c r="A45" s="247">
        <v>43</v>
      </c>
      <c r="B45" s="275"/>
      <c r="C45" s="275"/>
      <c r="D45" s="276"/>
      <c r="E45" s="277"/>
      <c r="F45" s="277"/>
      <c r="G45" s="278"/>
      <c r="H45" s="274"/>
      <c r="I45" s="274"/>
      <c r="J45" s="274"/>
      <c r="K45" s="274"/>
      <c r="L45" s="274"/>
      <c r="M45" s="274"/>
      <c r="N45" s="274"/>
      <c r="O45" s="274"/>
      <c r="P45" s="274"/>
      <c r="Q45" s="274"/>
      <c r="R45" s="274"/>
      <c r="S45" s="274"/>
      <c r="T45" s="274"/>
      <c r="U45" s="274"/>
      <c r="V45" s="274"/>
      <c r="BF45" s="247" t="e">
        <v>#N/A</v>
      </c>
    </row>
    <row r="46" spans="1:58" x14ac:dyDescent="0.25">
      <c r="A46" s="247">
        <v>44</v>
      </c>
      <c r="B46" s="275"/>
      <c r="C46" s="275"/>
      <c r="D46" s="276"/>
      <c r="E46" s="277"/>
      <c r="F46" s="277"/>
      <c r="G46" s="278"/>
      <c r="H46" s="274"/>
      <c r="I46" s="274"/>
      <c r="J46" s="274"/>
      <c r="K46" s="274"/>
      <c r="L46" s="274"/>
      <c r="M46" s="274"/>
      <c r="N46" s="274"/>
      <c r="O46" s="274"/>
      <c r="P46" s="274"/>
      <c r="Q46" s="274"/>
      <c r="R46" s="274"/>
      <c r="S46" s="274"/>
      <c r="T46" s="274"/>
      <c r="U46" s="274"/>
      <c r="V46" s="274"/>
      <c r="BF46" s="247" t="e">
        <v>#N/A</v>
      </c>
    </row>
    <row r="47" spans="1:58" x14ac:dyDescent="0.25">
      <c r="A47" s="247">
        <v>45</v>
      </c>
      <c r="B47" s="275"/>
      <c r="C47" s="275"/>
      <c r="D47" s="276"/>
      <c r="E47" s="277"/>
      <c r="F47" s="277"/>
      <c r="G47" s="278"/>
      <c r="H47" s="274"/>
      <c r="I47" s="274"/>
      <c r="J47" s="274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BF47" s="247" t="e">
        <v>#N/A</v>
      </c>
    </row>
    <row r="48" spans="1:58" x14ac:dyDescent="0.25">
      <c r="A48" s="247">
        <v>46</v>
      </c>
      <c r="B48" s="275"/>
      <c r="C48" s="275"/>
      <c r="D48" s="276"/>
      <c r="E48" s="277"/>
      <c r="F48" s="277"/>
      <c r="G48" s="278"/>
      <c r="H48" s="274"/>
      <c r="I48" s="274"/>
      <c r="J48" s="274"/>
      <c r="K48" s="274"/>
      <c r="L48" s="274"/>
      <c r="M48" s="274"/>
      <c r="N48" s="274"/>
      <c r="O48" s="274"/>
      <c r="P48" s="274"/>
      <c r="Q48" s="274"/>
      <c r="R48" s="274"/>
      <c r="S48" s="274"/>
      <c r="T48" s="274"/>
      <c r="U48" s="274"/>
      <c r="V48" s="274"/>
      <c r="BF48" s="247" t="e">
        <v>#N/A</v>
      </c>
    </row>
    <row r="49" spans="1:58" x14ac:dyDescent="0.25">
      <c r="A49" s="247">
        <v>47</v>
      </c>
      <c r="B49" s="275"/>
      <c r="C49" s="275"/>
      <c r="D49" s="276"/>
      <c r="E49" s="277"/>
      <c r="F49" s="277"/>
      <c r="G49" s="278"/>
      <c r="H49" s="274"/>
      <c r="I49" s="274"/>
      <c r="J49" s="274"/>
      <c r="K49" s="274"/>
      <c r="L49" s="274"/>
      <c r="M49" s="274"/>
      <c r="N49" s="274"/>
      <c r="O49" s="274"/>
      <c r="P49" s="274"/>
      <c r="Q49" s="274"/>
      <c r="R49" s="274"/>
      <c r="S49" s="274"/>
      <c r="T49" s="274"/>
      <c r="U49" s="274"/>
      <c r="V49" s="274"/>
      <c r="BF49" s="247" t="e">
        <v>#N/A</v>
      </c>
    </row>
    <row r="50" spans="1:58" x14ac:dyDescent="0.25">
      <c r="A50" s="247">
        <v>48</v>
      </c>
      <c r="B50" s="275"/>
      <c r="C50" s="275"/>
      <c r="D50" s="276"/>
      <c r="E50" s="277"/>
      <c r="F50" s="277"/>
      <c r="G50" s="278"/>
      <c r="H50" s="274"/>
      <c r="I50" s="274"/>
      <c r="J50" s="274"/>
      <c r="K50" s="274"/>
      <c r="L50" s="274"/>
      <c r="M50" s="274"/>
      <c r="N50" s="274"/>
      <c r="O50" s="274"/>
      <c r="P50" s="274"/>
      <c r="Q50" s="274"/>
      <c r="R50" s="274"/>
      <c r="S50" s="274"/>
      <c r="T50" s="274"/>
      <c r="U50" s="274"/>
      <c r="V50" s="274"/>
      <c r="BF50" s="247" t="e">
        <v>#N/A</v>
      </c>
    </row>
    <row r="51" spans="1:58" x14ac:dyDescent="0.25">
      <c r="A51" s="247">
        <v>49</v>
      </c>
      <c r="B51" s="275"/>
      <c r="C51" s="275"/>
      <c r="D51" s="276"/>
      <c r="E51" s="277"/>
      <c r="F51" s="277"/>
      <c r="G51" s="278"/>
      <c r="H51" s="274"/>
      <c r="I51" s="274"/>
      <c r="J51" s="274"/>
      <c r="K51" s="274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BF51" s="247" t="e">
        <v>#N/A</v>
      </c>
    </row>
    <row r="52" spans="1:58" x14ac:dyDescent="0.25">
      <c r="A52" s="247">
        <v>50</v>
      </c>
      <c r="B52" s="275"/>
      <c r="C52" s="275"/>
      <c r="D52" s="276"/>
      <c r="E52" s="277"/>
      <c r="F52" s="277"/>
      <c r="G52" s="278"/>
      <c r="H52" s="274"/>
      <c r="I52" s="274"/>
      <c r="J52" s="274"/>
      <c r="K52" s="274"/>
      <c r="L52" s="274"/>
      <c r="M52" s="274"/>
      <c r="N52" s="274"/>
      <c r="O52" s="274"/>
      <c r="P52" s="274"/>
      <c r="Q52" s="274"/>
      <c r="R52" s="274"/>
      <c r="S52" s="274"/>
      <c r="T52" s="274"/>
      <c r="U52" s="274"/>
      <c r="V52" s="274"/>
      <c r="BF52" s="247" t="e">
        <v>#N/A</v>
      </c>
    </row>
    <row r="53" spans="1:58" x14ac:dyDescent="0.25">
      <c r="A53" s="247">
        <v>51</v>
      </c>
      <c r="B53" s="275"/>
      <c r="C53" s="275"/>
      <c r="D53" s="276"/>
      <c r="E53" s="277"/>
      <c r="F53" s="277"/>
      <c r="G53" s="278"/>
      <c r="H53" s="274"/>
      <c r="I53" s="274"/>
      <c r="J53" s="274"/>
      <c r="K53" s="274"/>
      <c r="L53" s="274"/>
      <c r="M53" s="274"/>
      <c r="N53" s="274"/>
      <c r="O53" s="274"/>
      <c r="P53" s="274"/>
      <c r="Q53" s="274"/>
      <c r="R53" s="274"/>
      <c r="S53" s="274"/>
      <c r="T53" s="274"/>
      <c r="U53" s="274"/>
      <c r="V53" s="274"/>
      <c r="BF53" s="247" t="e">
        <v>#N/A</v>
      </c>
    </row>
    <row r="54" spans="1:58" x14ac:dyDescent="0.25">
      <c r="A54" s="247">
        <v>52</v>
      </c>
      <c r="B54" s="275"/>
      <c r="C54" s="275"/>
      <c r="D54" s="276"/>
      <c r="E54" s="277"/>
      <c r="F54" s="277"/>
      <c r="G54" s="278"/>
      <c r="H54" s="274"/>
      <c r="I54" s="274"/>
      <c r="J54" s="274"/>
      <c r="K54" s="274"/>
      <c r="L54" s="274"/>
      <c r="M54" s="274"/>
      <c r="N54" s="274"/>
      <c r="O54" s="274"/>
      <c r="P54" s="274"/>
      <c r="Q54" s="274"/>
      <c r="R54" s="274"/>
      <c r="S54" s="274"/>
      <c r="T54" s="274"/>
      <c r="U54" s="274"/>
      <c r="V54" s="274"/>
      <c r="BF54" s="247" t="e">
        <v>#N/A</v>
      </c>
    </row>
    <row r="55" spans="1:58" x14ac:dyDescent="0.25">
      <c r="A55" s="247">
        <v>53</v>
      </c>
      <c r="B55" s="275"/>
      <c r="C55" s="275"/>
      <c r="D55" s="276"/>
      <c r="E55" s="277"/>
      <c r="F55" s="277"/>
      <c r="G55" s="278"/>
      <c r="H55" s="274"/>
      <c r="I55" s="274"/>
      <c r="J55" s="274"/>
      <c r="K55" s="274"/>
      <c r="L55" s="274"/>
      <c r="M55" s="274"/>
      <c r="N55" s="274"/>
      <c r="O55" s="274"/>
      <c r="P55" s="274"/>
      <c r="Q55" s="274"/>
      <c r="R55" s="274"/>
      <c r="S55" s="274"/>
      <c r="T55" s="274"/>
      <c r="U55" s="274"/>
      <c r="V55" s="274"/>
      <c r="BF55" s="247" t="e">
        <v>#N/A</v>
      </c>
    </row>
    <row r="56" spans="1:58" x14ac:dyDescent="0.25">
      <c r="A56" s="247">
        <v>54</v>
      </c>
      <c r="B56" s="275"/>
      <c r="C56" s="275"/>
      <c r="D56" s="276"/>
      <c r="E56" s="277"/>
      <c r="F56" s="277"/>
      <c r="G56" s="278"/>
      <c r="H56" s="274"/>
      <c r="I56" s="274"/>
      <c r="J56" s="274"/>
      <c r="K56" s="274"/>
      <c r="L56" s="274"/>
      <c r="M56" s="274"/>
      <c r="N56" s="274"/>
      <c r="O56" s="274"/>
      <c r="P56" s="274"/>
      <c r="Q56" s="274"/>
      <c r="R56" s="274"/>
      <c r="S56" s="274"/>
      <c r="T56" s="274"/>
      <c r="U56" s="274"/>
      <c r="V56" s="274"/>
      <c r="BF56" s="247" t="e">
        <v>#N/A</v>
      </c>
    </row>
    <row r="57" spans="1:58" x14ac:dyDescent="0.25">
      <c r="A57" s="247">
        <v>55</v>
      </c>
      <c r="B57" s="275"/>
      <c r="C57" s="275"/>
      <c r="D57" s="276"/>
      <c r="E57" s="277"/>
      <c r="F57" s="277"/>
      <c r="G57" s="278"/>
      <c r="H57" s="274"/>
      <c r="I57" s="274"/>
      <c r="J57" s="274"/>
      <c r="K57" s="274"/>
      <c r="L57" s="274"/>
      <c r="M57" s="274"/>
      <c r="N57" s="274"/>
      <c r="O57" s="274"/>
      <c r="P57" s="274"/>
      <c r="Q57" s="274"/>
      <c r="R57" s="274"/>
      <c r="S57" s="274"/>
      <c r="T57" s="274"/>
      <c r="U57" s="274"/>
      <c r="V57" s="274"/>
      <c r="BF57" s="247" t="e">
        <v>#N/A</v>
      </c>
    </row>
    <row r="58" spans="1:58" x14ac:dyDescent="0.25">
      <c r="A58" s="247">
        <v>56</v>
      </c>
      <c r="B58" s="275"/>
      <c r="C58" s="275"/>
      <c r="D58" s="276"/>
      <c r="E58" s="277"/>
      <c r="F58" s="277"/>
      <c r="G58" s="278"/>
      <c r="H58" s="274"/>
      <c r="I58" s="274"/>
      <c r="J58" s="274"/>
      <c r="K58" s="274"/>
      <c r="L58" s="274"/>
      <c r="M58" s="274"/>
      <c r="N58" s="274"/>
      <c r="O58" s="274"/>
      <c r="P58" s="274"/>
      <c r="Q58" s="274"/>
      <c r="R58" s="274"/>
      <c r="S58" s="274"/>
      <c r="T58" s="274"/>
      <c r="U58" s="274"/>
      <c r="V58" s="274"/>
      <c r="BF58" s="247" t="e">
        <v>#N/A</v>
      </c>
    </row>
    <row r="59" spans="1:58" x14ac:dyDescent="0.25">
      <c r="A59" s="247">
        <v>57</v>
      </c>
      <c r="B59" s="275"/>
      <c r="C59" s="275"/>
      <c r="D59" s="276"/>
      <c r="E59" s="277"/>
      <c r="F59" s="277"/>
      <c r="G59" s="278"/>
      <c r="H59" s="274"/>
      <c r="I59" s="274"/>
      <c r="J59" s="274"/>
      <c r="K59" s="274"/>
      <c r="L59" s="274"/>
      <c r="M59" s="274"/>
      <c r="N59" s="274"/>
      <c r="O59" s="274"/>
      <c r="P59" s="274"/>
      <c r="Q59" s="274"/>
      <c r="R59" s="274"/>
      <c r="S59" s="274"/>
      <c r="T59" s="274"/>
      <c r="U59" s="274"/>
      <c r="V59" s="274"/>
      <c r="BF59" s="247" t="e">
        <v>#N/A</v>
      </c>
    </row>
    <row r="60" spans="1:58" x14ac:dyDescent="0.25">
      <c r="A60" s="247">
        <v>58</v>
      </c>
      <c r="B60" s="275"/>
      <c r="C60" s="275"/>
      <c r="D60" s="276"/>
      <c r="E60" s="277"/>
      <c r="F60" s="277"/>
      <c r="G60" s="278"/>
      <c r="H60" s="274"/>
      <c r="I60" s="274"/>
      <c r="J60" s="274"/>
      <c r="K60" s="274"/>
      <c r="L60" s="274"/>
      <c r="M60" s="274"/>
      <c r="N60" s="274"/>
      <c r="O60" s="274"/>
      <c r="P60" s="274"/>
      <c r="Q60" s="274"/>
      <c r="R60" s="274"/>
      <c r="S60" s="274"/>
      <c r="T60" s="274"/>
      <c r="U60" s="274"/>
      <c r="V60" s="274"/>
      <c r="BF60" s="247" t="e">
        <v>#N/A</v>
      </c>
    </row>
    <row r="61" spans="1:58" x14ac:dyDescent="0.25">
      <c r="A61" s="247">
        <v>59</v>
      </c>
      <c r="B61" s="275"/>
      <c r="C61" s="275"/>
      <c r="D61" s="276"/>
      <c r="E61" s="277"/>
      <c r="F61" s="277"/>
      <c r="G61" s="278"/>
      <c r="H61" s="274"/>
      <c r="I61" s="274"/>
      <c r="J61" s="274"/>
      <c r="K61" s="274"/>
      <c r="L61" s="274"/>
      <c r="M61" s="274"/>
      <c r="N61" s="274"/>
      <c r="O61" s="274"/>
      <c r="P61" s="274"/>
      <c r="Q61" s="274"/>
      <c r="R61" s="274"/>
      <c r="S61" s="274"/>
      <c r="T61" s="274"/>
      <c r="U61" s="274"/>
      <c r="V61" s="274"/>
      <c r="BF61" s="247" t="e">
        <v>#N/A</v>
      </c>
    </row>
    <row r="62" spans="1:58" x14ac:dyDescent="0.25">
      <c r="A62" s="247">
        <v>60</v>
      </c>
      <c r="B62" s="275"/>
      <c r="C62" s="275"/>
      <c r="D62" s="276"/>
      <c r="E62" s="277"/>
      <c r="F62" s="277"/>
      <c r="G62" s="278"/>
      <c r="H62" s="274"/>
      <c r="I62" s="274"/>
      <c r="J62" s="274"/>
      <c r="K62" s="274"/>
      <c r="L62" s="274"/>
      <c r="M62" s="274"/>
      <c r="N62" s="274"/>
      <c r="O62" s="274"/>
      <c r="P62" s="274"/>
      <c r="Q62" s="274"/>
      <c r="R62" s="274"/>
      <c r="S62" s="274"/>
      <c r="T62" s="274"/>
      <c r="U62" s="274"/>
      <c r="V62" s="274"/>
      <c r="BF62" s="247" t="e">
        <v>#N/A</v>
      </c>
    </row>
    <row r="63" spans="1:58" x14ac:dyDescent="0.25">
      <c r="A63" s="247">
        <v>61</v>
      </c>
      <c r="B63" s="270"/>
      <c r="C63" s="270"/>
      <c r="D63" s="271"/>
      <c r="E63" s="272"/>
      <c r="F63" s="272"/>
      <c r="G63" s="273"/>
      <c r="H63" s="274"/>
      <c r="I63" s="274"/>
      <c r="J63" s="274"/>
      <c r="K63" s="274"/>
      <c r="L63" s="274"/>
      <c r="M63" s="274"/>
      <c r="N63" s="274"/>
      <c r="O63" s="274"/>
      <c r="P63" s="274"/>
      <c r="Q63" s="274"/>
      <c r="R63" s="274"/>
      <c r="S63" s="274"/>
      <c r="T63" s="274"/>
      <c r="U63" s="274"/>
      <c r="V63" s="274"/>
    </row>
    <row r="64" spans="1:58" x14ac:dyDescent="0.25">
      <c r="A64" s="247">
        <v>62</v>
      </c>
      <c r="B64" s="270"/>
      <c r="C64" s="270"/>
      <c r="D64" s="271"/>
      <c r="E64" s="272"/>
      <c r="F64" s="272"/>
      <c r="G64" s="273"/>
      <c r="H64" s="274"/>
      <c r="I64" s="274"/>
      <c r="J64" s="274"/>
      <c r="K64" s="274"/>
      <c r="L64" s="274"/>
      <c r="M64" s="274"/>
      <c r="N64" s="274"/>
      <c r="O64" s="274"/>
      <c r="P64" s="274"/>
      <c r="Q64" s="274"/>
      <c r="R64" s="274"/>
      <c r="S64" s="274"/>
      <c r="T64" s="274"/>
      <c r="U64" s="274"/>
      <c r="V64" s="274"/>
    </row>
    <row r="65" spans="1:22" x14ac:dyDescent="0.25">
      <c r="A65" s="247">
        <v>63</v>
      </c>
      <c r="B65" s="270"/>
      <c r="C65" s="270"/>
      <c r="D65" s="271"/>
      <c r="E65" s="272"/>
      <c r="F65" s="272"/>
      <c r="G65" s="273"/>
      <c r="H65" s="274"/>
      <c r="I65" s="274"/>
      <c r="J65" s="274"/>
      <c r="K65" s="274"/>
      <c r="L65" s="274"/>
      <c r="M65" s="274"/>
      <c r="N65" s="274"/>
      <c r="O65" s="274"/>
      <c r="P65" s="274"/>
      <c r="Q65" s="274"/>
      <c r="R65" s="274"/>
      <c r="S65" s="274"/>
      <c r="T65" s="274"/>
      <c r="U65" s="274"/>
      <c r="V65" s="274"/>
    </row>
    <row r="66" spans="1:22" x14ac:dyDescent="0.25">
      <c r="A66" s="247">
        <v>64</v>
      </c>
      <c r="B66" s="270"/>
      <c r="C66" s="270"/>
      <c r="D66" s="271"/>
      <c r="E66" s="272"/>
      <c r="F66" s="272"/>
      <c r="G66" s="273"/>
      <c r="H66" s="274"/>
      <c r="I66" s="274"/>
      <c r="J66" s="274"/>
      <c r="K66" s="274"/>
      <c r="L66" s="274"/>
      <c r="M66" s="274"/>
      <c r="N66" s="274"/>
      <c r="O66" s="274"/>
      <c r="P66" s="274"/>
      <c r="Q66" s="274"/>
      <c r="R66" s="274"/>
      <c r="S66" s="274"/>
      <c r="T66" s="274"/>
      <c r="U66" s="274"/>
      <c r="V66" s="274"/>
    </row>
    <row r="67" spans="1:22" x14ac:dyDescent="0.25">
      <c r="A67" s="247">
        <v>65</v>
      </c>
      <c r="B67" s="270"/>
      <c r="C67" s="270"/>
      <c r="D67" s="271"/>
      <c r="E67" s="272"/>
      <c r="F67" s="272"/>
      <c r="G67" s="273"/>
      <c r="H67" s="274"/>
      <c r="I67" s="274"/>
      <c r="J67" s="274"/>
      <c r="K67" s="274"/>
      <c r="L67" s="274"/>
      <c r="M67" s="274"/>
      <c r="N67" s="274"/>
      <c r="O67" s="274"/>
      <c r="P67" s="274"/>
      <c r="Q67" s="274"/>
      <c r="R67" s="274"/>
      <c r="S67" s="274"/>
      <c r="T67" s="274"/>
      <c r="U67" s="274"/>
      <c r="V67" s="274"/>
    </row>
    <row r="68" spans="1:22" x14ac:dyDescent="0.25">
      <c r="A68" s="247">
        <v>66</v>
      </c>
      <c r="B68" s="270"/>
      <c r="C68" s="270"/>
      <c r="D68" s="271"/>
      <c r="E68" s="272"/>
      <c r="F68" s="272"/>
      <c r="G68" s="273"/>
      <c r="H68" s="274"/>
      <c r="I68" s="274"/>
      <c r="J68" s="274"/>
      <c r="K68" s="274"/>
      <c r="L68" s="274"/>
      <c r="M68" s="274"/>
      <c r="N68" s="274"/>
      <c r="O68" s="274"/>
      <c r="P68" s="274"/>
      <c r="Q68" s="274"/>
      <c r="R68" s="274"/>
      <c r="S68" s="274"/>
      <c r="T68" s="274"/>
      <c r="U68" s="274"/>
      <c r="V68" s="274"/>
    </row>
    <row r="69" spans="1:22" x14ac:dyDescent="0.25">
      <c r="A69" s="247">
        <v>67</v>
      </c>
      <c r="B69" s="270"/>
      <c r="C69" s="270"/>
      <c r="D69" s="271"/>
      <c r="E69" s="272"/>
      <c r="F69" s="272"/>
      <c r="G69" s="273"/>
      <c r="H69" s="274"/>
      <c r="I69" s="274"/>
      <c r="J69" s="274"/>
      <c r="K69" s="274"/>
      <c r="L69" s="274"/>
      <c r="M69" s="274"/>
      <c r="N69" s="274"/>
      <c r="O69" s="274"/>
      <c r="P69" s="274"/>
      <c r="Q69" s="274"/>
      <c r="R69" s="274"/>
      <c r="S69" s="274"/>
      <c r="T69" s="274"/>
      <c r="U69" s="274"/>
      <c r="V69" s="274"/>
    </row>
    <row r="70" spans="1:22" x14ac:dyDescent="0.25">
      <c r="A70" s="247">
        <v>68</v>
      </c>
      <c r="B70" s="270"/>
      <c r="C70" s="270"/>
      <c r="D70" s="271"/>
      <c r="E70" s="272"/>
      <c r="F70" s="272"/>
      <c r="G70" s="273"/>
      <c r="H70" s="274"/>
      <c r="I70" s="274"/>
      <c r="J70" s="274"/>
      <c r="K70" s="274"/>
      <c r="L70" s="274"/>
      <c r="M70" s="274"/>
      <c r="N70" s="274"/>
      <c r="O70" s="274"/>
      <c r="P70" s="274"/>
      <c r="Q70" s="274"/>
      <c r="R70" s="274"/>
      <c r="S70" s="274"/>
      <c r="T70" s="274"/>
      <c r="U70" s="274"/>
      <c r="V70" s="274"/>
    </row>
    <row r="71" spans="1:22" x14ac:dyDescent="0.25">
      <c r="A71" s="247">
        <v>69</v>
      </c>
      <c r="B71" s="270"/>
      <c r="C71" s="270"/>
      <c r="D71" s="276"/>
      <c r="E71" s="272"/>
      <c r="F71" s="272"/>
      <c r="G71" s="273"/>
      <c r="H71" s="274"/>
      <c r="I71" s="274"/>
      <c r="J71" s="274"/>
      <c r="K71" s="274"/>
      <c r="L71" s="274"/>
      <c r="M71" s="274"/>
      <c r="N71" s="274"/>
      <c r="O71" s="274"/>
      <c r="P71" s="274"/>
      <c r="Q71" s="274"/>
      <c r="R71" s="274"/>
      <c r="S71" s="274"/>
      <c r="T71" s="274"/>
      <c r="U71" s="274"/>
      <c r="V71" s="274"/>
    </row>
    <row r="72" spans="1:22" x14ac:dyDescent="0.25">
      <c r="A72" s="247">
        <v>70</v>
      </c>
      <c r="B72" s="270"/>
      <c r="C72" s="270"/>
      <c r="D72" s="276"/>
      <c r="E72" s="272"/>
      <c r="F72" s="272"/>
      <c r="G72" s="273"/>
      <c r="H72" s="274"/>
      <c r="I72" s="274"/>
      <c r="J72" s="274"/>
      <c r="K72" s="274"/>
      <c r="L72" s="274"/>
      <c r="M72" s="274"/>
      <c r="N72" s="274"/>
      <c r="O72" s="274"/>
      <c r="P72" s="274"/>
      <c r="Q72" s="274"/>
      <c r="R72" s="274"/>
      <c r="S72" s="274"/>
      <c r="T72" s="274"/>
      <c r="U72" s="274"/>
      <c r="V72" s="274"/>
    </row>
    <row r="73" spans="1:22" x14ac:dyDescent="0.25">
      <c r="A73" s="247">
        <v>71</v>
      </c>
      <c r="B73" s="270"/>
      <c r="C73" s="270"/>
      <c r="D73" s="276"/>
      <c r="E73" s="272"/>
      <c r="F73" s="272"/>
      <c r="G73" s="273"/>
      <c r="H73" s="274"/>
      <c r="I73" s="274"/>
      <c r="J73" s="274"/>
      <c r="K73" s="274"/>
      <c r="L73" s="274"/>
      <c r="M73" s="274"/>
      <c r="N73" s="274"/>
      <c r="O73" s="274"/>
      <c r="P73" s="274"/>
      <c r="Q73" s="274"/>
      <c r="R73" s="274"/>
      <c r="S73" s="274"/>
      <c r="T73" s="274"/>
      <c r="U73" s="274"/>
      <c r="V73" s="274"/>
    </row>
    <row r="74" spans="1:22" x14ac:dyDescent="0.25">
      <c r="A74" s="247">
        <v>72</v>
      </c>
      <c r="B74" s="270"/>
      <c r="C74" s="270"/>
      <c r="D74" s="276"/>
      <c r="E74" s="272"/>
      <c r="F74" s="272"/>
      <c r="G74" s="273"/>
      <c r="H74" s="274"/>
      <c r="I74" s="274"/>
      <c r="J74" s="274"/>
      <c r="K74" s="274"/>
      <c r="L74" s="274"/>
      <c r="M74" s="274"/>
      <c r="N74" s="274"/>
      <c r="O74" s="274"/>
      <c r="P74" s="274"/>
      <c r="Q74" s="274"/>
      <c r="R74" s="274"/>
      <c r="S74" s="274"/>
      <c r="T74" s="274"/>
      <c r="U74" s="274"/>
      <c r="V74" s="274"/>
    </row>
    <row r="75" spans="1:22" x14ac:dyDescent="0.25">
      <c r="A75" s="247">
        <v>73</v>
      </c>
      <c r="B75" s="270"/>
      <c r="C75" s="270"/>
      <c r="D75" s="276"/>
      <c r="E75" s="272"/>
      <c r="F75" s="272"/>
      <c r="G75" s="273"/>
      <c r="H75" s="274"/>
      <c r="I75" s="274"/>
      <c r="J75" s="274"/>
      <c r="K75" s="274"/>
      <c r="L75" s="274"/>
      <c r="M75" s="274"/>
      <c r="N75" s="274"/>
      <c r="O75" s="274"/>
      <c r="P75" s="274"/>
      <c r="Q75" s="274"/>
      <c r="R75" s="274"/>
      <c r="S75" s="274"/>
      <c r="T75" s="274"/>
      <c r="U75" s="274"/>
      <c r="V75" s="274"/>
    </row>
    <row r="76" spans="1:22" x14ac:dyDescent="0.25">
      <c r="A76" s="247">
        <v>74</v>
      </c>
      <c r="B76" s="270"/>
      <c r="C76" s="270"/>
      <c r="D76" s="276"/>
      <c r="E76" s="272"/>
      <c r="F76" s="272"/>
      <c r="G76" s="273"/>
      <c r="H76" s="274"/>
      <c r="I76" s="274"/>
      <c r="J76" s="274"/>
      <c r="K76" s="274"/>
      <c r="L76" s="274"/>
      <c r="M76" s="274"/>
      <c r="N76" s="274"/>
      <c r="O76" s="274"/>
      <c r="P76" s="274"/>
      <c r="Q76" s="274"/>
      <c r="R76" s="274"/>
      <c r="S76" s="274"/>
      <c r="T76" s="274"/>
      <c r="U76" s="274"/>
      <c r="V76" s="274"/>
    </row>
    <row r="77" spans="1:22" x14ac:dyDescent="0.25">
      <c r="A77" s="247">
        <v>75</v>
      </c>
      <c r="B77" s="270"/>
      <c r="C77" s="270"/>
      <c r="D77" s="276"/>
      <c r="E77" s="272"/>
      <c r="F77" s="272"/>
      <c r="G77" s="273"/>
      <c r="H77" s="274"/>
      <c r="I77" s="274"/>
      <c r="J77" s="274"/>
      <c r="K77" s="274"/>
      <c r="L77" s="274"/>
      <c r="M77" s="274"/>
      <c r="N77" s="274"/>
      <c r="O77" s="274"/>
      <c r="P77" s="274"/>
      <c r="Q77" s="274"/>
      <c r="R77" s="274"/>
      <c r="S77" s="274"/>
      <c r="T77" s="274"/>
      <c r="U77" s="274"/>
      <c r="V77" s="274"/>
    </row>
    <row r="78" spans="1:22" x14ac:dyDescent="0.25">
      <c r="A78" s="247">
        <v>76</v>
      </c>
      <c r="B78" s="270"/>
      <c r="C78" s="270"/>
      <c r="D78" s="276"/>
      <c r="E78" s="272"/>
      <c r="F78" s="272"/>
      <c r="G78" s="273"/>
      <c r="H78" s="274"/>
      <c r="I78" s="274"/>
      <c r="J78" s="274"/>
      <c r="K78" s="274"/>
      <c r="L78" s="274"/>
      <c r="M78" s="274"/>
      <c r="N78" s="274"/>
      <c r="O78" s="274"/>
      <c r="P78" s="274"/>
      <c r="Q78" s="274"/>
      <c r="R78" s="274"/>
      <c r="S78" s="274"/>
      <c r="T78" s="274"/>
      <c r="U78" s="274"/>
      <c r="V78" s="274"/>
    </row>
    <row r="79" spans="1:22" x14ac:dyDescent="0.25">
      <c r="A79" s="247">
        <v>77</v>
      </c>
      <c r="B79" s="270"/>
      <c r="C79" s="270"/>
      <c r="D79" s="276"/>
      <c r="E79" s="272"/>
      <c r="F79" s="272"/>
      <c r="G79" s="273"/>
      <c r="H79" s="274"/>
      <c r="I79" s="274"/>
      <c r="J79" s="274"/>
      <c r="K79" s="274"/>
      <c r="L79" s="274"/>
      <c r="M79" s="274"/>
      <c r="N79" s="274"/>
      <c r="O79" s="274"/>
      <c r="P79" s="274"/>
      <c r="Q79" s="274"/>
      <c r="R79" s="274"/>
      <c r="S79" s="274"/>
      <c r="T79" s="274"/>
      <c r="U79" s="274"/>
      <c r="V79" s="274"/>
    </row>
    <row r="80" spans="1:22" x14ac:dyDescent="0.25">
      <c r="A80" s="247">
        <v>78</v>
      </c>
      <c r="B80" s="270"/>
      <c r="C80" s="270"/>
      <c r="D80" s="276"/>
      <c r="E80" s="272"/>
      <c r="F80" s="272"/>
      <c r="G80" s="273"/>
      <c r="H80" s="274"/>
      <c r="I80" s="274"/>
      <c r="J80" s="274"/>
      <c r="K80" s="274"/>
      <c r="L80" s="274"/>
      <c r="M80" s="274"/>
      <c r="N80" s="274"/>
      <c r="O80" s="274"/>
      <c r="P80" s="274"/>
      <c r="Q80" s="274"/>
      <c r="R80" s="274"/>
      <c r="S80" s="274"/>
      <c r="T80" s="274"/>
      <c r="U80" s="274"/>
      <c r="V80" s="274"/>
    </row>
    <row r="81" spans="1:22" x14ac:dyDescent="0.25">
      <c r="A81" s="247">
        <v>79</v>
      </c>
      <c r="B81" s="270"/>
      <c r="C81" s="270"/>
      <c r="D81" s="276"/>
      <c r="E81" s="272"/>
      <c r="F81" s="272"/>
      <c r="G81" s="273"/>
      <c r="H81" s="274"/>
      <c r="I81" s="274"/>
      <c r="J81" s="274"/>
      <c r="K81" s="274"/>
      <c r="L81" s="274"/>
      <c r="M81" s="274"/>
      <c r="N81" s="274"/>
      <c r="O81" s="274"/>
      <c r="P81" s="274"/>
      <c r="Q81" s="274"/>
      <c r="R81" s="274"/>
      <c r="S81" s="274"/>
      <c r="T81" s="274"/>
      <c r="U81" s="274"/>
      <c r="V81" s="274"/>
    </row>
    <row r="82" spans="1:22" x14ac:dyDescent="0.25">
      <c r="A82" s="247">
        <v>80</v>
      </c>
      <c r="B82" s="270"/>
      <c r="C82" s="270"/>
      <c r="D82" s="276"/>
      <c r="E82" s="272"/>
      <c r="F82" s="272"/>
      <c r="G82" s="273"/>
      <c r="H82" s="274"/>
      <c r="I82" s="274"/>
      <c r="J82" s="274"/>
      <c r="K82" s="274"/>
      <c r="L82" s="274"/>
      <c r="M82" s="274"/>
      <c r="N82" s="274"/>
      <c r="O82" s="274"/>
      <c r="P82" s="274"/>
      <c r="Q82" s="274"/>
      <c r="R82" s="274"/>
      <c r="S82" s="274"/>
      <c r="T82" s="274"/>
      <c r="U82" s="274"/>
      <c r="V82" s="274"/>
    </row>
    <row r="83" spans="1:22" x14ac:dyDescent="0.25">
      <c r="A83" s="247">
        <v>81</v>
      </c>
      <c r="B83" s="270"/>
      <c r="C83" s="270"/>
      <c r="D83" s="276"/>
      <c r="E83" s="272"/>
      <c r="F83" s="272"/>
      <c r="G83" s="273"/>
      <c r="H83" s="274"/>
      <c r="I83" s="274"/>
      <c r="J83" s="274"/>
      <c r="K83" s="274"/>
      <c r="L83" s="274"/>
      <c r="M83" s="274"/>
      <c r="N83" s="274"/>
      <c r="O83" s="274"/>
      <c r="P83" s="274"/>
      <c r="Q83" s="274"/>
      <c r="R83" s="274"/>
      <c r="S83" s="274"/>
      <c r="T83" s="274"/>
      <c r="U83" s="274"/>
      <c r="V83" s="274"/>
    </row>
    <row r="84" spans="1:22" x14ac:dyDescent="0.25">
      <c r="A84" s="247">
        <v>82</v>
      </c>
      <c r="B84" s="270"/>
      <c r="C84" s="270"/>
      <c r="D84" s="276"/>
      <c r="E84" s="272"/>
      <c r="F84" s="272"/>
      <c r="G84" s="273"/>
      <c r="H84" s="274"/>
      <c r="I84" s="274"/>
      <c r="J84" s="274"/>
      <c r="K84" s="274"/>
      <c r="L84" s="274"/>
      <c r="M84" s="274"/>
      <c r="N84" s="274"/>
      <c r="O84" s="274"/>
      <c r="P84" s="274"/>
      <c r="Q84" s="274"/>
      <c r="R84" s="274"/>
      <c r="S84" s="274"/>
      <c r="T84" s="274"/>
      <c r="U84" s="274"/>
      <c r="V84" s="274"/>
    </row>
    <row r="85" spans="1:22" x14ac:dyDescent="0.25">
      <c r="A85" s="247">
        <v>83</v>
      </c>
      <c r="B85" s="270"/>
      <c r="C85" s="270"/>
      <c r="D85" s="276"/>
      <c r="E85" s="272"/>
      <c r="F85" s="272"/>
      <c r="G85" s="273"/>
      <c r="H85" s="274"/>
      <c r="I85" s="274"/>
      <c r="J85" s="274"/>
      <c r="K85" s="274"/>
      <c r="L85" s="274"/>
      <c r="M85" s="274"/>
      <c r="N85" s="274"/>
      <c r="O85" s="274"/>
      <c r="P85" s="274"/>
      <c r="Q85" s="274"/>
      <c r="R85" s="274"/>
      <c r="S85" s="274"/>
      <c r="T85" s="274"/>
      <c r="U85" s="274"/>
      <c r="V85" s="274"/>
    </row>
    <row r="86" spans="1:22" x14ac:dyDescent="0.25">
      <c r="A86" s="247">
        <v>84</v>
      </c>
      <c r="B86" s="270"/>
      <c r="C86" s="270"/>
      <c r="D86" s="276"/>
      <c r="E86" s="272"/>
      <c r="F86" s="272"/>
      <c r="G86" s="273"/>
      <c r="H86" s="274"/>
      <c r="I86" s="274"/>
      <c r="J86" s="274"/>
      <c r="K86" s="274"/>
      <c r="L86" s="274"/>
      <c r="M86" s="274"/>
      <c r="N86" s="274"/>
      <c r="O86" s="274"/>
      <c r="P86" s="274"/>
      <c r="Q86" s="274"/>
      <c r="R86" s="274"/>
      <c r="S86" s="274"/>
      <c r="T86" s="274"/>
      <c r="U86" s="274"/>
      <c r="V86" s="274"/>
    </row>
    <row r="87" spans="1:22" x14ac:dyDescent="0.25">
      <c r="A87" s="247">
        <v>85</v>
      </c>
      <c r="B87" s="270"/>
      <c r="C87" s="270"/>
      <c r="D87" s="276"/>
      <c r="E87" s="272"/>
      <c r="F87" s="272"/>
      <c r="G87" s="273"/>
      <c r="H87" s="274"/>
      <c r="I87" s="274"/>
      <c r="J87" s="274"/>
      <c r="K87" s="274"/>
      <c r="L87" s="274"/>
      <c r="M87" s="274"/>
      <c r="N87" s="274"/>
      <c r="O87" s="274"/>
      <c r="P87" s="274"/>
      <c r="Q87" s="274"/>
      <c r="R87" s="274"/>
      <c r="S87" s="274"/>
      <c r="T87" s="274"/>
      <c r="U87" s="274"/>
      <c r="V87" s="274"/>
    </row>
    <row r="88" spans="1:22" x14ac:dyDescent="0.25">
      <c r="A88" s="247">
        <v>86</v>
      </c>
      <c r="B88" s="270"/>
      <c r="C88" s="270"/>
      <c r="D88" s="276"/>
      <c r="E88" s="272"/>
      <c r="F88" s="272"/>
      <c r="G88" s="273"/>
      <c r="H88" s="274"/>
      <c r="I88" s="274"/>
      <c r="J88" s="274"/>
      <c r="K88" s="274"/>
      <c r="L88" s="274"/>
      <c r="M88" s="274"/>
      <c r="N88" s="274"/>
      <c r="O88" s="274"/>
      <c r="P88" s="274"/>
      <c r="Q88" s="274"/>
      <c r="R88" s="274"/>
      <c r="S88" s="274"/>
      <c r="T88" s="274"/>
      <c r="U88" s="274"/>
      <c r="V88" s="274"/>
    </row>
    <row r="89" spans="1:22" x14ac:dyDescent="0.25">
      <c r="A89" s="247">
        <v>87</v>
      </c>
      <c r="B89" s="270"/>
      <c r="C89" s="270"/>
      <c r="D89" s="276"/>
      <c r="E89" s="272"/>
      <c r="F89" s="272"/>
      <c r="G89" s="273"/>
      <c r="H89" s="274"/>
      <c r="I89" s="274"/>
      <c r="J89" s="274"/>
      <c r="K89" s="274"/>
      <c r="L89" s="274"/>
      <c r="M89" s="274"/>
      <c r="N89" s="274"/>
      <c r="O89" s="274"/>
      <c r="P89" s="274"/>
      <c r="Q89" s="274"/>
      <c r="R89" s="274"/>
      <c r="S89" s="274"/>
      <c r="T89" s="274"/>
      <c r="U89" s="274"/>
      <c r="V89" s="274"/>
    </row>
    <row r="90" spans="1:22" x14ac:dyDescent="0.25">
      <c r="A90" s="247">
        <v>88</v>
      </c>
      <c r="B90" s="270"/>
      <c r="C90" s="270"/>
      <c r="D90" s="276"/>
      <c r="E90" s="272"/>
      <c r="F90" s="272"/>
      <c r="G90" s="273"/>
      <c r="H90" s="274"/>
      <c r="I90" s="274"/>
      <c r="J90" s="274"/>
      <c r="K90" s="274"/>
      <c r="L90" s="274"/>
      <c r="M90" s="274"/>
      <c r="N90" s="274"/>
      <c r="O90" s="274"/>
      <c r="P90" s="274"/>
      <c r="Q90" s="274"/>
      <c r="R90" s="274"/>
      <c r="S90" s="274"/>
      <c r="T90" s="274"/>
      <c r="U90" s="274"/>
      <c r="V90" s="274"/>
    </row>
    <row r="91" spans="1:22" x14ac:dyDescent="0.25">
      <c r="A91" s="247">
        <v>89</v>
      </c>
      <c r="B91" s="270"/>
      <c r="C91" s="270"/>
      <c r="D91" s="276"/>
      <c r="E91" s="272"/>
      <c r="F91" s="272"/>
      <c r="G91" s="273"/>
      <c r="H91" s="274"/>
      <c r="I91" s="274"/>
      <c r="J91" s="274"/>
      <c r="K91" s="274"/>
      <c r="L91" s="274"/>
      <c r="M91" s="274"/>
      <c r="N91" s="274"/>
      <c r="O91" s="274"/>
      <c r="P91" s="274"/>
      <c r="Q91" s="274"/>
      <c r="R91" s="274"/>
      <c r="S91" s="274"/>
      <c r="T91" s="274"/>
      <c r="U91" s="274"/>
      <c r="V91" s="274"/>
    </row>
    <row r="92" spans="1:22" x14ac:dyDescent="0.25">
      <c r="A92" s="247">
        <v>90</v>
      </c>
      <c r="B92" s="270"/>
      <c r="C92" s="270"/>
      <c r="D92" s="276"/>
      <c r="E92" s="272"/>
      <c r="F92" s="272"/>
      <c r="G92" s="273"/>
      <c r="H92" s="274"/>
      <c r="I92" s="274"/>
      <c r="J92" s="274"/>
      <c r="K92" s="274"/>
      <c r="L92" s="274"/>
      <c r="M92" s="274"/>
      <c r="N92" s="274"/>
      <c r="O92" s="274"/>
      <c r="P92" s="274"/>
      <c r="Q92" s="274"/>
      <c r="R92" s="274"/>
      <c r="S92" s="274"/>
      <c r="T92" s="274"/>
      <c r="U92" s="274"/>
      <c r="V92" s="274"/>
    </row>
    <row r="93" spans="1:22" x14ac:dyDescent="0.25">
      <c r="A93" s="247">
        <v>91</v>
      </c>
      <c r="B93" s="270"/>
      <c r="C93" s="270"/>
      <c r="D93" s="276"/>
      <c r="E93" s="272"/>
      <c r="F93" s="272"/>
      <c r="G93" s="273"/>
      <c r="H93" s="274"/>
      <c r="I93" s="274"/>
      <c r="J93" s="274"/>
      <c r="K93" s="274"/>
      <c r="L93" s="274"/>
      <c r="M93" s="274"/>
      <c r="N93" s="274"/>
      <c r="O93" s="274"/>
      <c r="P93" s="274"/>
      <c r="Q93" s="274"/>
      <c r="R93" s="274"/>
      <c r="S93" s="274"/>
      <c r="T93" s="274"/>
      <c r="U93" s="274"/>
      <c r="V93" s="274"/>
    </row>
    <row r="94" spans="1:22" x14ac:dyDescent="0.25">
      <c r="A94" s="247">
        <v>92</v>
      </c>
      <c r="B94" s="270"/>
      <c r="C94" s="270"/>
      <c r="D94" s="276"/>
      <c r="E94" s="272"/>
      <c r="F94" s="272"/>
      <c r="G94" s="273"/>
      <c r="H94" s="274"/>
      <c r="I94" s="274"/>
      <c r="J94" s="274"/>
      <c r="K94" s="274"/>
      <c r="L94" s="274"/>
      <c r="M94" s="274"/>
      <c r="N94" s="274"/>
      <c r="O94" s="274"/>
      <c r="P94" s="274"/>
      <c r="Q94" s="274"/>
      <c r="R94" s="274"/>
      <c r="S94" s="274"/>
      <c r="T94" s="274"/>
      <c r="U94" s="274"/>
      <c r="V94" s="274"/>
    </row>
    <row r="95" spans="1:22" x14ac:dyDescent="0.25">
      <c r="A95" s="247">
        <v>93</v>
      </c>
      <c r="B95" s="270"/>
      <c r="C95" s="270"/>
      <c r="D95" s="276"/>
      <c r="E95" s="272"/>
      <c r="F95" s="272"/>
      <c r="G95" s="273"/>
      <c r="H95" s="274"/>
      <c r="I95" s="274"/>
      <c r="J95" s="274"/>
      <c r="K95" s="274"/>
      <c r="L95" s="274"/>
      <c r="M95" s="274"/>
      <c r="N95" s="274"/>
      <c r="O95" s="274"/>
      <c r="P95" s="274"/>
      <c r="Q95" s="274"/>
      <c r="R95" s="274"/>
      <c r="S95" s="274"/>
      <c r="T95" s="274"/>
      <c r="U95" s="274"/>
      <c r="V95" s="274"/>
    </row>
    <row r="96" spans="1:22" x14ac:dyDescent="0.25">
      <c r="A96" s="247">
        <v>94</v>
      </c>
      <c r="B96" s="270"/>
      <c r="C96" s="270"/>
      <c r="D96" s="276"/>
      <c r="E96" s="272"/>
      <c r="F96" s="272"/>
      <c r="G96" s="273"/>
      <c r="H96" s="274"/>
      <c r="I96" s="274"/>
      <c r="J96" s="274"/>
      <c r="K96" s="274"/>
      <c r="L96" s="274"/>
      <c r="M96" s="274"/>
      <c r="N96" s="274"/>
      <c r="O96" s="274"/>
      <c r="P96" s="274"/>
      <c r="Q96" s="274"/>
      <c r="R96" s="274"/>
      <c r="S96" s="274"/>
      <c r="T96" s="274"/>
      <c r="U96" s="274"/>
      <c r="V96" s="274"/>
    </row>
    <row r="97" spans="1:22" x14ac:dyDescent="0.25">
      <c r="A97" s="247">
        <v>95</v>
      </c>
      <c r="B97" s="270"/>
      <c r="C97" s="270"/>
      <c r="D97" s="276"/>
      <c r="E97" s="272"/>
      <c r="F97" s="272"/>
      <c r="G97" s="273"/>
      <c r="H97" s="274"/>
      <c r="I97" s="274"/>
      <c r="J97" s="274"/>
      <c r="K97" s="274"/>
      <c r="L97" s="274"/>
      <c r="M97" s="274"/>
      <c r="N97" s="274"/>
      <c r="O97" s="274"/>
      <c r="P97" s="274"/>
      <c r="Q97" s="274"/>
      <c r="R97" s="274"/>
      <c r="S97" s="274"/>
      <c r="T97" s="274"/>
      <c r="U97" s="274"/>
      <c r="V97" s="274"/>
    </row>
    <row r="98" spans="1:22" x14ac:dyDescent="0.25">
      <c r="A98" s="247">
        <v>96</v>
      </c>
      <c r="B98" s="270"/>
      <c r="C98" s="270"/>
      <c r="D98" s="276"/>
      <c r="E98" s="272"/>
      <c r="F98" s="272"/>
      <c r="G98" s="273"/>
      <c r="H98" s="274"/>
      <c r="I98" s="274"/>
      <c r="J98" s="274"/>
      <c r="K98" s="274"/>
      <c r="L98" s="274"/>
      <c r="M98" s="274"/>
      <c r="N98" s="274"/>
      <c r="O98" s="274"/>
      <c r="P98" s="274"/>
      <c r="Q98" s="274"/>
      <c r="R98" s="274"/>
      <c r="S98" s="274"/>
      <c r="T98" s="274"/>
      <c r="U98" s="274"/>
      <c r="V98" s="274"/>
    </row>
    <row r="99" spans="1:22" x14ac:dyDescent="0.25">
      <c r="A99" s="247">
        <v>97</v>
      </c>
      <c r="B99" s="270"/>
      <c r="C99" s="270"/>
      <c r="D99" s="276"/>
      <c r="E99" s="272"/>
      <c r="F99" s="272"/>
      <c r="G99" s="273"/>
      <c r="H99" s="274"/>
      <c r="I99" s="274"/>
      <c r="J99" s="274"/>
      <c r="K99" s="274"/>
      <c r="L99" s="274"/>
      <c r="M99" s="274"/>
      <c r="N99" s="274"/>
      <c r="O99" s="274"/>
      <c r="P99" s="274"/>
      <c r="Q99" s="274"/>
      <c r="R99" s="274"/>
      <c r="S99" s="274"/>
      <c r="T99" s="274"/>
      <c r="U99" s="274"/>
      <c r="V99" s="274"/>
    </row>
    <row r="100" spans="1:22" x14ac:dyDescent="0.25">
      <c r="A100" s="247">
        <v>98</v>
      </c>
      <c r="B100" s="270"/>
      <c r="C100" s="270"/>
      <c r="D100" s="276"/>
      <c r="E100" s="272"/>
      <c r="F100" s="272"/>
      <c r="G100" s="273"/>
      <c r="H100" s="274"/>
      <c r="I100" s="274"/>
      <c r="J100" s="274"/>
      <c r="K100" s="274"/>
      <c r="L100" s="274"/>
      <c r="M100" s="274"/>
      <c r="N100" s="274"/>
      <c r="O100" s="274"/>
      <c r="P100" s="274"/>
      <c r="Q100" s="274"/>
      <c r="R100" s="274"/>
      <c r="S100" s="274"/>
      <c r="T100" s="274"/>
      <c r="U100" s="274"/>
      <c r="V100" s="274"/>
    </row>
    <row r="101" spans="1:22" x14ac:dyDescent="0.25">
      <c r="A101" s="247">
        <v>99</v>
      </c>
      <c r="B101" s="270"/>
      <c r="C101" s="270"/>
      <c r="D101" s="276"/>
      <c r="E101" s="272"/>
      <c r="F101" s="272"/>
      <c r="G101" s="273"/>
      <c r="H101" s="274"/>
      <c r="I101" s="274"/>
      <c r="J101" s="274"/>
      <c r="K101" s="274"/>
      <c r="L101" s="274"/>
      <c r="M101" s="274"/>
      <c r="N101" s="274"/>
      <c r="O101" s="274"/>
      <c r="P101" s="274"/>
      <c r="Q101" s="274"/>
      <c r="R101" s="274"/>
      <c r="S101" s="274"/>
      <c r="T101" s="274"/>
      <c r="U101" s="274"/>
      <c r="V101" s="274"/>
    </row>
    <row r="102" spans="1:22" x14ac:dyDescent="0.25">
      <c r="A102" s="247">
        <v>100</v>
      </c>
      <c r="B102" s="270"/>
      <c r="C102" s="270"/>
      <c r="D102" s="276"/>
      <c r="E102" s="272"/>
      <c r="F102" s="272"/>
      <c r="G102" s="273"/>
      <c r="H102" s="274"/>
      <c r="I102" s="274"/>
      <c r="J102" s="274"/>
      <c r="K102" s="274"/>
      <c r="L102" s="274"/>
      <c r="M102" s="274"/>
      <c r="N102" s="274"/>
      <c r="O102" s="274"/>
      <c r="P102" s="274"/>
      <c r="Q102" s="274"/>
      <c r="R102" s="274"/>
      <c r="S102" s="274"/>
      <c r="T102" s="274"/>
      <c r="U102" s="274"/>
      <c r="V102" s="274"/>
    </row>
    <row r="103" spans="1:22" x14ac:dyDescent="0.25">
      <c r="A103" s="247">
        <v>101</v>
      </c>
      <c r="B103" s="270"/>
      <c r="C103" s="270"/>
      <c r="D103" s="276"/>
      <c r="E103" s="272"/>
      <c r="F103" s="272"/>
      <c r="G103" s="273"/>
      <c r="H103" s="274"/>
      <c r="I103" s="274"/>
      <c r="J103" s="274"/>
      <c r="K103" s="274"/>
      <c r="L103" s="274"/>
      <c r="M103" s="274"/>
      <c r="N103" s="274"/>
      <c r="O103" s="274"/>
      <c r="P103" s="274"/>
      <c r="Q103" s="274"/>
      <c r="R103" s="274"/>
      <c r="S103" s="274"/>
      <c r="T103" s="274"/>
      <c r="U103" s="274"/>
      <c r="V103" s="274"/>
    </row>
    <row r="104" spans="1:22" x14ac:dyDescent="0.25">
      <c r="A104" s="247">
        <v>102</v>
      </c>
      <c r="B104" s="270"/>
      <c r="C104" s="270"/>
      <c r="D104" s="276"/>
      <c r="E104" s="272"/>
      <c r="F104" s="272"/>
      <c r="G104" s="273"/>
      <c r="H104" s="274"/>
      <c r="I104" s="274"/>
      <c r="J104" s="274"/>
      <c r="K104" s="274"/>
      <c r="L104" s="274"/>
      <c r="M104" s="274"/>
      <c r="N104" s="274"/>
      <c r="O104" s="274"/>
      <c r="P104" s="274"/>
      <c r="Q104" s="274"/>
      <c r="R104" s="274"/>
      <c r="S104" s="274"/>
      <c r="T104" s="274"/>
      <c r="U104" s="274"/>
      <c r="V104" s="274"/>
    </row>
    <row r="105" spans="1:22" x14ac:dyDescent="0.25">
      <c r="A105" s="247">
        <v>103</v>
      </c>
      <c r="B105" s="270"/>
      <c r="C105" s="270"/>
      <c r="D105" s="276"/>
      <c r="E105" s="272"/>
      <c r="F105" s="272"/>
      <c r="G105" s="273"/>
      <c r="H105" s="274"/>
      <c r="I105" s="274"/>
      <c r="J105" s="274"/>
      <c r="K105" s="274"/>
      <c r="L105" s="274"/>
      <c r="M105" s="274"/>
      <c r="N105" s="274"/>
      <c r="O105" s="274"/>
      <c r="P105" s="274"/>
      <c r="Q105" s="274"/>
      <c r="R105" s="274"/>
      <c r="S105" s="274"/>
      <c r="T105" s="274"/>
      <c r="U105" s="274"/>
      <c r="V105" s="274"/>
    </row>
    <row r="106" spans="1:22" x14ac:dyDescent="0.25">
      <c r="A106" s="247">
        <v>104</v>
      </c>
      <c r="B106" s="270"/>
      <c r="C106" s="270"/>
      <c r="D106" s="276"/>
      <c r="E106" s="272"/>
      <c r="F106" s="272"/>
      <c r="G106" s="273"/>
      <c r="H106" s="274"/>
      <c r="I106" s="274"/>
      <c r="J106" s="274"/>
      <c r="K106" s="274"/>
      <c r="L106" s="274"/>
      <c r="M106" s="274"/>
      <c r="N106" s="274"/>
      <c r="O106" s="274"/>
      <c r="P106" s="274"/>
      <c r="Q106" s="274"/>
      <c r="R106" s="274"/>
      <c r="S106" s="274"/>
      <c r="T106" s="274"/>
      <c r="U106" s="274"/>
      <c r="V106" s="274"/>
    </row>
    <row r="107" spans="1:22" x14ac:dyDescent="0.25">
      <c r="A107" s="247">
        <v>105</v>
      </c>
      <c r="B107" s="270"/>
      <c r="C107" s="270"/>
      <c r="D107" s="276"/>
      <c r="E107" s="272"/>
      <c r="F107" s="272"/>
      <c r="G107" s="273"/>
      <c r="H107" s="274"/>
      <c r="I107" s="274"/>
      <c r="J107" s="274"/>
      <c r="K107" s="274"/>
      <c r="L107" s="274"/>
      <c r="M107" s="274"/>
      <c r="N107" s="274"/>
      <c r="O107" s="274"/>
      <c r="P107" s="274"/>
      <c r="Q107" s="274"/>
      <c r="R107" s="274"/>
      <c r="S107" s="274"/>
      <c r="T107" s="274"/>
      <c r="U107" s="274"/>
      <c r="V107" s="274"/>
    </row>
    <row r="108" spans="1:22" x14ac:dyDescent="0.25">
      <c r="A108" s="247">
        <v>106</v>
      </c>
      <c r="B108" s="270"/>
      <c r="C108" s="270"/>
      <c r="D108" s="276"/>
      <c r="E108" s="272"/>
      <c r="F108" s="272"/>
      <c r="G108" s="273"/>
      <c r="H108" s="274"/>
      <c r="I108" s="274"/>
      <c r="J108" s="274"/>
      <c r="K108" s="274"/>
      <c r="L108" s="274"/>
      <c r="M108" s="274"/>
      <c r="N108" s="274"/>
      <c r="O108" s="274"/>
      <c r="P108" s="274"/>
      <c r="Q108" s="274"/>
      <c r="R108" s="274"/>
      <c r="S108" s="274"/>
      <c r="T108" s="274"/>
      <c r="U108" s="274"/>
      <c r="V108" s="274"/>
    </row>
    <row r="109" spans="1:22" x14ac:dyDescent="0.25">
      <c r="A109" s="247">
        <v>107</v>
      </c>
      <c r="B109" s="270"/>
      <c r="C109" s="270"/>
      <c r="D109" s="276"/>
      <c r="E109" s="272"/>
      <c r="F109" s="272"/>
      <c r="G109" s="273"/>
      <c r="H109" s="274"/>
      <c r="I109" s="274"/>
      <c r="J109" s="274"/>
      <c r="K109" s="274"/>
      <c r="L109" s="274"/>
      <c r="M109" s="274"/>
      <c r="N109" s="274"/>
      <c r="O109" s="274"/>
      <c r="P109" s="274"/>
      <c r="Q109" s="274"/>
      <c r="R109" s="274"/>
      <c r="S109" s="274"/>
      <c r="T109" s="274"/>
      <c r="U109" s="274"/>
      <c r="V109" s="274"/>
    </row>
    <row r="110" spans="1:22" x14ac:dyDescent="0.25">
      <c r="A110" s="247">
        <v>108</v>
      </c>
      <c r="B110" s="270"/>
      <c r="C110" s="270"/>
      <c r="D110" s="276"/>
      <c r="E110" s="272"/>
      <c r="F110" s="272"/>
      <c r="G110" s="273"/>
      <c r="H110" s="274"/>
      <c r="I110" s="274"/>
      <c r="J110" s="274"/>
      <c r="K110" s="274"/>
      <c r="L110" s="274"/>
      <c r="M110" s="274"/>
      <c r="N110" s="274"/>
      <c r="O110" s="274"/>
      <c r="P110" s="274"/>
      <c r="Q110" s="274"/>
      <c r="R110" s="274"/>
      <c r="S110" s="274"/>
      <c r="T110" s="274"/>
      <c r="U110" s="274"/>
      <c r="V110" s="274"/>
    </row>
    <row r="111" spans="1:22" x14ac:dyDescent="0.25">
      <c r="A111" s="247">
        <v>109</v>
      </c>
      <c r="B111" s="270"/>
      <c r="C111" s="270"/>
      <c r="D111" s="276"/>
      <c r="E111" s="272"/>
      <c r="F111" s="272"/>
      <c r="G111" s="273"/>
      <c r="H111" s="274"/>
      <c r="I111" s="274"/>
      <c r="J111" s="274"/>
      <c r="K111" s="274"/>
      <c r="L111" s="274"/>
      <c r="M111" s="274"/>
      <c r="N111" s="274"/>
      <c r="O111" s="274"/>
      <c r="P111" s="274"/>
      <c r="Q111" s="274"/>
      <c r="R111" s="274"/>
      <c r="S111" s="274"/>
      <c r="T111" s="274"/>
      <c r="U111" s="274"/>
      <c r="V111" s="274"/>
    </row>
    <row r="112" spans="1:22" x14ac:dyDescent="0.25">
      <c r="A112" s="247">
        <v>110</v>
      </c>
      <c r="B112" s="270"/>
      <c r="C112" s="270"/>
      <c r="D112" s="276"/>
      <c r="E112" s="272"/>
      <c r="F112" s="272"/>
      <c r="G112" s="273"/>
      <c r="H112" s="274"/>
      <c r="I112" s="274"/>
      <c r="J112" s="274"/>
      <c r="K112" s="274"/>
      <c r="L112" s="274"/>
      <c r="M112" s="274"/>
      <c r="N112" s="274"/>
      <c r="O112" s="274"/>
      <c r="P112" s="274"/>
      <c r="Q112" s="274"/>
      <c r="R112" s="274"/>
      <c r="S112" s="274"/>
      <c r="T112" s="274"/>
      <c r="U112" s="274"/>
      <c r="V112" s="274"/>
    </row>
    <row r="113" spans="1:22" x14ac:dyDescent="0.25">
      <c r="A113" s="247">
        <v>111</v>
      </c>
      <c r="B113" s="270"/>
      <c r="C113" s="270"/>
      <c r="D113" s="276"/>
      <c r="E113" s="272"/>
      <c r="F113" s="272"/>
      <c r="G113" s="273"/>
      <c r="H113" s="274"/>
      <c r="I113" s="274"/>
      <c r="J113" s="274"/>
      <c r="K113" s="274"/>
      <c r="L113" s="274"/>
      <c r="M113" s="274"/>
      <c r="N113" s="274"/>
      <c r="O113" s="274"/>
      <c r="P113" s="274"/>
      <c r="Q113" s="274"/>
      <c r="R113" s="274"/>
      <c r="S113" s="274"/>
      <c r="T113" s="274"/>
      <c r="U113" s="274"/>
      <c r="V113" s="274"/>
    </row>
    <row r="114" spans="1:22" x14ac:dyDescent="0.25">
      <c r="A114" s="247">
        <v>112</v>
      </c>
      <c r="B114" s="270"/>
      <c r="C114" s="270"/>
      <c r="D114" s="276"/>
      <c r="E114" s="272"/>
      <c r="F114" s="272"/>
      <c r="G114" s="273"/>
      <c r="H114" s="274"/>
      <c r="I114" s="274"/>
      <c r="J114" s="274"/>
      <c r="K114" s="274"/>
      <c r="L114" s="274"/>
      <c r="M114" s="274"/>
      <c r="N114" s="274"/>
      <c r="O114" s="274"/>
      <c r="P114" s="274"/>
      <c r="Q114" s="274"/>
      <c r="R114" s="274"/>
      <c r="S114" s="274"/>
      <c r="T114" s="274"/>
      <c r="U114" s="274"/>
      <c r="V114" s="274"/>
    </row>
    <row r="115" spans="1:22" x14ac:dyDescent="0.25">
      <c r="A115" s="247">
        <v>113</v>
      </c>
      <c r="B115" s="270"/>
      <c r="C115" s="270"/>
      <c r="D115" s="276"/>
      <c r="E115" s="272"/>
      <c r="F115" s="272"/>
      <c r="G115" s="273"/>
      <c r="H115" s="274"/>
      <c r="I115" s="274"/>
      <c r="J115" s="274"/>
      <c r="K115" s="274"/>
      <c r="L115" s="274"/>
      <c r="M115" s="274"/>
      <c r="N115" s="274"/>
      <c r="O115" s="274"/>
      <c r="P115" s="274"/>
      <c r="Q115" s="274"/>
      <c r="R115" s="274"/>
      <c r="S115" s="274"/>
      <c r="T115" s="274"/>
      <c r="U115" s="274"/>
      <c r="V115" s="274"/>
    </row>
    <row r="116" spans="1:22" x14ac:dyDescent="0.25">
      <c r="A116" s="247">
        <v>114</v>
      </c>
      <c r="B116" s="270"/>
      <c r="C116" s="270"/>
      <c r="D116" s="276"/>
      <c r="E116" s="272"/>
      <c r="F116" s="272"/>
      <c r="G116" s="273"/>
      <c r="H116" s="274"/>
      <c r="I116" s="274"/>
      <c r="J116" s="274"/>
      <c r="K116" s="274"/>
      <c r="L116" s="274"/>
      <c r="M116" s="274"/>
      <c r="N116" s="274"/>
      <c r="O116" s="274"/>
      <c r="P116" s="274"/>
      <c r="Q116" s="274"/>
      <c r="R116" s="274"/>
      <c r="S116" s="274"/>
      <c r="T116" s="274"/>
      <c r="U116" s="274"/>
      <c r="V116" s="274"/>
    </row>
    <row r="117" spans="1:22" x14ac:dyDescent="0.25">
      <c r="A117" s="247">
        <v>115</v>
      </c>
      <c r="B117" s="270"/>
      <c r="C117" s="270"/>
      <c r="D117" s="276"/>
      <c r="E117" s="272"/>
      <c r="F117" s="272"/>
      <c r="G117" s="273"/>
      <c r="H117" s="274"/>
      <c r="I117" s="274"/>
      <c r="J117" s="274"/>
      <c r="K117" s="274"/>
      <c r="L117" s="274"/>
      <c r="M117" s="274"/>
      <c r="N117" s="274"/>
      <c r="O117" s="274"/>
      <c r="P117" s="274"/>
      <c r="Q117" s="274"/>
      <c r="R117" s="274"/>
      <c r="S117" s="274"/>
      <c r="T117" s="274"/>
      <c r="U117" s="274"/>
      <c r="V117" s="274"/>
    </row>
    <row r="118" spans="1:22" x14ac:dyDescent="0.25">
      <c r="A118" s="247">
        <v>116</v>
      </c>
      <c r="B118" s="270"/>
      <c r="C118" s="270"/>
      <c r="D118" s="276"/>
      <c r="E118" s="272"/>
      <c r="F118" s="272"/>
      <c r="G118" s="273"/>
      <c r="H118" s="274"/>
      <c r="I118" s="274"/>
      <c r="J118" s="274"/>
      <c r="K118" s="274"/>
      <c r="L118" s="274"/>
      <c r="M118" s="274"/>
      <c r="N118" s="274"/>
      <c r="O118" s="274"/>
      <c r="P118" s="274"/>
      <c r="Q118" s="274"/>
      <c r="R118" s="274"/>
      <c r="S118" s="274"/>
      <c r="T118" s="274"/>
      <c r="U118" s="274"/>
      <c r="V118" s="274"/>
    </row>
    <row r="119" spans="1:22" x14ac:dyDescent="0.25">
      <c r="A119" s="247">
        <v>117</v>
      </c>
      <c r="B119" s="270"/>
      <c r="C119" s="270"/>
      <c r="D119" s="276"/>
      <c r="E119" s="272"/>
      <c r="F119" s="272"/>
      <c r="G119" s="273"/>
      <c r="H119" s="274"/>
      <c r="I119" s="274"/>
      <c r="J119" s="274"/>
      <c r="K119" s="274"/>
      <c r="L119" s="274"/>
      <c r="M119" s="274"/>
      <c r="N119" s="274"/>
      <c r="O119" s="274"/>
      <c r="P119" s="274"/>
      <c r="Q119" s="274"/>
      <c r="R119" s="274"/>
      <c r="S119" s="274"/>
      <c r="T119" s="274"/>
      <c r="U119" s="274"/>
      <c r="V119" s="274"/>
    </row>
    <row r="120" spans="1:22" x14ac:dyDescent="0.25">
      <c r="A120" s="247">
        <v>118</v>
      </c>
      <c r="B120" s="270"/>
      <c r="C120" s="270"/>
      <c r="D120" s="276"/>
      <c r="E120" s="272"/>
      <c r="F120" s="272"/>
      <c r="G120" s="273"/>
      <c r="H120" s="274"/>
      <c r="I120" s="274"/>
      <c r="J120" s="274"/>
      <c r="K120" s="274"/>
      <c r="L120" s="274"/>
      <c r="M120" s="274"/>
      <c r="N120" s="274"/>
      <c r="O120" s="274"/>
      <c r="P120" s="274"/>
      <c r="Q120" s="274"/>
      <c r="R120" s="274"/>
      <c r="S120" s="274"/>
      <c r="T120" s="274"/>
      <c r="U120" s="274"/>
      <c r="V120" s="274"/>
    </row>
    <row r="121" spans="1:22" x14ac:dyDescent="0.25">
      <c r="A121" s="247">
        <v>119</v>
      </c>
      <c r="B121" s="270"/>
      <c r="C121" s="270"/>
      <c r="D121" s="276"/>
      <c r="E121" s="272"/>
      <c r="F121" s="272"/>
      <c r="G121" s="273"/>
      <c r="H121" s="274"/>
      <c r="I121" s="274"/>
      <c r="J121" s="274"/>
      <c r="K121" s="274"/>
      <c r="L121" s="274"/>
      <c r="M121" s="274"/>
      <c r="N121" s="274"/>
      <c r="O121" s="274"/>
      <c r="P121" s="274"/>
      <c r="Q121" s="274"/>
      <c r="R121" s="274"/>
      <c r="S121" s="274"/>
      <c r="T121" s="274"/>
      <c r="U121" s="274"/>
      <c r="V121" s="274"/>
    </row>
    <row r="122" spans="1:22" x14ac:dyDescent="0.25">
      <c r="A122" s="247">
        <v>120</v>
      </c>
      <c r="B122" s="270"/>
      <c r="C122" s="270"/>
      <c r="D122" s="276"/>
      <c r="E122" s="272"/>
      <c r="F122" s="272"/>
      <c r="G122" s="273"/>
      <c r="H122" s="274"/>
      <c r="I122" s="274"/>
      <c r="J122" s="274"/>
      <c r="K122" s="274"/>
      <c r="L122" s="274"/>
      <c r="M122" s="274"/>
      <c r="N122" s="274"/>
      <c r="O122" s="274"/>
      <c r="P122" s="274"/>
      <c r="Q122" s="274"/>
      <c r="R122" s="274"/>
      <c r="S122" s="274"/>
      <c r="T122" s="274"/>
      <c r="U122" s="274"/>
      <c r="V122" s="274"/>
    </row>
    <row r="123" spans="1:22" x14ac:dyDescent="0.25">
      <c r="A123" s="247">
        <v>121</v>
      </c>
      <c r="B123" s="270"/>
      <c r="C123" s="270"/>
      <c r="D123" s="276"/>
      <c r="E123" s="272"/>
      <c r="F123" s="272"/>
      <c r="G123" s="273"/>
      <c r="H123" s="274"/>
      <c r="I123" s="274"/>
      <c r="J123" s="274"/>
      <c r="K123" s="274"/>
      <c r="L123" s="274"/>
      <c r="M123" s="274"/>
      <c r="N123" s="274"/>
      <c r="O123" s="274"/>
      <c r="P123" s="274"/>
      <c r="Q123" s="274"/>
      <c r="R123" s="274"/>
      <c r="S123" s="274"/>
      <c r="T123" s="274"/>
      <c r="U123" s="274"/>
      <c r="V123" s="274"/>
    </row>
    <row r="124" spans="1:22" x14ac:dyDescent="0.25">
      <c r="A124" s="247">
        <v>122</v>
      </c>
      <c r="B124" s="270"/>
      <c r="C124" s="270"/>
      <c r="D124" s="276"/>
      <c r="E124" s="272"/>
      <c r="F124" s="272"/>
      <c r="G124" s="273"/>
      <c r="H124" s="274"/>
      <c r="I124" s="274"/>
      <c r="J124" s="274"/>
      <c r="K124" s="274"/>
      <c r="L124" s="274"/>
      <c r="M124" s="274"/>
      <c r="N124" s="274"/>
      <c r="O124" s="274"/>
      <c r="P124" s="274"/>
      <c r="Q124" s="274"/>
      <c r="R124" s="274"/>
      <c r="S124" s="274"/>
      <c r="T124" s="274"/>
      <c r="U124" s="274"/>
      <c r="V124" s="274"/>
    </row>
    <row r="125" spans="1:22" x14ac:dyDescent="0.25">
      <c r="A125" s="247">
        <v>123</v>
      </c>
      <c r="B125" s="270"/>
      <c r="C125" s="270"/>
      <c r="D125" s="276"/>
      <c r="E125" s="272"/>
      <c r="F125" s="272"/>
      <c r="G125" s="273"/>
      <c r="H125" s="274"/>
      <c r="I125" s="274"/>
      <c r="J125" s="274"/>
      <c r="K125" s="274"/>
      <c r="L125" s="274"/>
      <c r="M125" s="274"/>
      <c r="N125" s="274"/>
      <c r="O125" s="274"/>
      <c r="P125" s="274"/>
      <c r="Q125" s="274"/>
      <c r="R125" s="274"/>
      <c r="S125" s="274"/>
      <c r="T125" s="274"/>
      <c r="U125" s="274"/>
      <c r="V125" s="274"/>
    </row>
    <row r="126" spans="1:22" x14ac:dyDescent="0.25">
      <c r="A126" s="247">
        <v>124</v>
      </c>
      <c r="B126" s="270"/>
      <c r="C126" s="270"/>
      <c r="D126" s="276"/>
      <c r="E126" s="272"/>
      <c r="F126" s="272"/>
      <c r="G126" s="273"/>
      <c r="H126" s="274"/>
      <c r="I126" s="274"/>
      <c r="J126" s="274"/>
      <c r="K126" s="274"/>
      <c r="L126" s="274"/>
      <c r="M126" s="274"/>
      <c r="N126" s="274"/>
      <c r="O126" s="274"/>
      <c r="P126" s="274"/>
      <c r="Q126" s="274"/>
      <c r="R126" s="274"/>
      <c r="S126" s="274"/>
      <c r="T126" s="274"/>
      <c r="U126" s="274"/>
      <c r="V126" s="274"/>
    </row>
    <row r="127" spans="1:22" x14ac:dyDescent="0.25">
      <c r="A127" s="247">
        <v>125</v>
      </c>
      <c r="B127" s="270"/>
      <c r="C127" s="270"/>
      <c r="D127" s="276"/>
      <c r="E127" s="272"/>
      <c r="F127" s="272"/>
      <c r="G127" s="273"/>
      <c r="H127" s="274"/>
      <c r="I127" s="274"/>
      <c r="J127" s="274"/>
      <c r="K127" s="274"/>
      <c r="L127" s="274"/>
      <c r="M127" s="274"/>
      <c r="N127" s="274"/>
      <c r="O127" s="274"/>
      <c r="P127" s="274"/>
      <c r="Q127" s="274"/>
      <c r="R127" s="274"/>
      <c r="S127" s="274"/>
      <c r="T127" s="274"/>
      <c r="U127" s="274"/>
      <c r="V127" s="274"/>
    </row>
    <row r="128" spans="1:22" x14ac:dyDescent="0.25">
      <c r="A128" s="247">
        <v>126</v>
      </c>
      <c r="B128" s="270"/>
      <c r="C128" s="270"/>
      <c r="D128" s="276"/>
      <c r="E128" s="272"/>
      <c r="F128" s="272"/>
      <c r="G128" s="273"/>
      <c r="H128" s="274"/>
      <c r="I128" s="274"/>
      <c r="J128" s="274"/>
      <c r="K128" s="274"/>
      <c r="L128" s="274"/>
      <c r="M128" s="274"/>
      <c r="N128" s="274"/>
      <c r="O128" s="274"/>
      <c r="P128" s="274"/>
      <c r="Q128" s="274"/>
      <c r="R128" s="274"/>
      <c r="S128" s="274"/>
      <c r="T128" s="274"/>
      <c r="U128" s="274"/>
      <c r="V128" s="274"/>
    </row>
    <row r="129" spans="1:22" x14ac:dyDescent="0.25">
      <c r="A129" s="247">
        <v>127</v>
      </c>
      <c r="B129" s="270"/>
      <c r="C129" s="270"/>
      <c r="D129" s="276"/>
      <c r="E129" s="272"/>
      <c r="F129" s="272"/>
      <c r="G129" s="273"/>
      <c r="H129" s="274"/>
      <c r="I129" s="274"/>
      <c r="J129" s="274"/>
      <c r="K129" s="274"/>
      <c r="L129" s="274"/>
      <c r="M129" s="274"/>
      <c r="N129" s="274"/>
      <c r="O129" s="274"/>
      <c r="P129" s="274"/>
      <c r="Q129" s="274"/>
      <c r="R129" s="274"/>
      <c r="S129" s="274"/>
      <c r="T129" s="274"/>
      <c r="U129" s="274"/>
      <c r="V129" s="274"/>
    </row>
    <row r="130" spans="1:22" x14ac:dyDescent="0.25">
      <c r="A130" s="247">
        <v>128</v>
      </c>
      <c r="B130" s="270"/>
      <c r="C130" s="270"/>
      <c r="D130" s="276"/>
      <c r="E130" s="272"/>
      <c r="F130" s="272"/>
      <c r="G130" s="273"/>
      <c r="H130" s="274"/>
      <c r="I130" s="274"/>
      <c r="J130" s="274"/>
      <c r="K130" s="274"/>
      <c r="L130" s="274"/>
      <c r="M130" s="274"/>
      <c r="N130" s="274"/>
      <c r="O130" s="274"/>
      <c r="P130" s="274"/>
      <c r="Q130" s="274"/>
      <c r="R130" s="274"/>
      <c r="S130" s="274"/>
      <c r="T130" s="274"/>
      <c r="U130" s="274"/>
      <c r="V130" s="274"/>
    </row>
    <row r="131" spans="1:22" x14ac:dyDescent="0.25">
      <c r="A131" s="247">
        <v>129</v>
      </c>
      <c r="B131" s="270"/>
      <c r="C131" s="270"/>
      <c r="D131" s="276"/>
      <c r="E131" s="272"/>
      <c r="F131" s="272"/>
      <c r="G131" s="273"/>
      <c r="H131" s="274"/>
      <c r="I131" s="274"/>
      <c r="J131" s="274"/>
      <c r="K131" s="274"/>
      <c r="L131" s="274"/>
      <c r="M131" s="274"/>
      <c r="N131" s="274"/>
      <c r="O131" s="274"/>
      <c r="P131" s="274"/>
      <c r="Q131" s="274"/>
      <c r="R131" s="274"/>
      <c r="S131" s="274"/>
      <c r="T131" s="274"/>
      <c r="U131" s="274"/>
      <c r="V131" s="274"/>
    </row>
    <row r="132" spans="1:22" x14ac:dyDescent="0.25">
      <c r="A132" s="247">
        <v>130</v>
      </c>
      <c r="B132" s="270"/>
      <c r="C132" s="270"/>
      <c r="D132" s="271"/>
      <c r="E132" s="272"/>
      <c r="F132" s="272"/>
      <c r="G132" s="273"/>
      <c r="H132" s="274"/>
      <c r="I132" s="274"/>
      <c r="J132" s="274"/>
      <c r="K132" s="274"/>
      <c r="L132" s="274"/>
      <c r="M132" s="274"/>
      <c r="N132" s="274"/>
      <c r="O132" s="274"/>
      <c r="P132" s="274"/>
      <c r="Q132" s="274"/>
      <c r="R132" s="274"/>
      <c r="S132" s="274"/>
      <c r="T132" s="274"/>
      <c r="U132" s="274"/>
      <c r="V132" s="274"/>
    </row>
    <row r="133" spans="1:22" x14ac:dyDescent="0.25">
      <c r="A133" s="247">
        <v>131</v>
      </c>
      <c r="B133" s="270"/>
      <c r="C133" s="270"/>
      <c r="D133" s="271"/>
      <c r="E133" s="272"/>
      <c r="F133" s="272"/>
      <c r="G133" s="273"/>
      <c r="H133" s="274"/>
      <c r="I133" s="274"/>
      <c r="J133" s="274"/>
      <c r="K133" s="274"/>
      <c r="L133" s="274"/>
      <c r="M133" s="274"/>
      <c r="N133" s="274"/>
      <c r="O133" s="274"/>
      <c r="P133" s="274"/>
      <c r="Q133" s="274"/>
      <c r="R133" s="274"/>
      <c r="S133" s="274"/>
      <c r="T133" s="274"/>
      <c r="U133" s="274"/>
      <c r="V133" s="274"/>
    </row>
    <row r="134" spans="1:22" x14ac:dyDescent="0.25">
      <c r="A134" s="247">
        <v>132</v>
      </c>
      <c r="B134" s="270"/>
      <c r="C134" s="270"/>
      <c r="D134" s="271"/>
      <c r="E134" s="272"/>
      <c r="F134" s="272"/>
      <c r="G134" s="273"/>
      <c r="H134" s="274"/>
      <c r="I134" s="274"/>
      <c r="J134" s="274"/>
      <c r="K134" s="274"/>
      <c r="L134" s="274"/>
      <c r="M134" s="274"/>
      <c r="N134" s="274"/>
      <c r="O134" s="274"/>
      <c r="P134" s="274"/>
      <c r="Q134" s="274"/>
      <c r="R134" s="274"/>
      <c r="S134" s="274"/>
      <c r="T134" s="274"/>
      <c r="U134" s="274"/>
      <c r="V134" s="274"/>
    </row>
    <row r="135" spans="1:22" x14ac:dyDescent="0.25">
      <c r="A135" s="247">
        <v>133</v>
      </c>
      <c r="B135" s="270"/>
      <c r="C135" s="270"/>
      <c r="D135" s="271"/>
      <c r="E135" s="272"/>
      <c r="F135" s="272"/>
      <c r="G135" s="273"/>
      <c r="H135" s="274"/>
      <c r="I135" s="274"/>
      <c r="J135" s="274"/>
      <c r="K135" s="274"/>
      <c r="L135" s="274"/>
      <c r="M135" s="274"/>
      <c r="N135" s="274"/>
      <c r="O135" s="274"/>
      <c r="P135" s="274"/>
      <c r="Q135" s="274"/>
      <c r="R135" s="274"/>
      <c r="S135" s="274"/>
      <c r="T135" s="274"/>
      <c r="U135" s="274"/>
      <c r="V135" s="274"/>
    </row>
    <row r="136" spans="1:22" x14ac:dyDescent="0.25">
      <c r="A136" s="247">
        <v>134</v>
      </c>
      <c r="B136" s="270"/>
      <c r="C136" s="270"/>
      <c r="D136" s="271"/>
      <c r="E136" s="272"/>
      <c r="F136" s="272"/>
      <c r="G136" s="273"/>
      <c r="H136" s="274"/>
      <c r="I136" s="274"/>
      <c r="J136" s="274"/>
      <c r="K136" s="274"/>
      <c r="L136" s="274"/>
      <c r="M136" s="274"/>
      <c r="N136" s="274"/>
      <c r="O136" s="274"/>
      <c r="P136" s="274"/>
      <c r="Q136" s="274"/>
      <c r="R136" s="274"/>
      <c r="S136" s="274"/>
      <c r="T136" s="274"/>
      <c r="U136" s="274"/>
      <c r="V136" s="274"/>
    </row>
    <row r="137" spans="1:22" x14ac:dyDescent="0.25">
      <c r="A137" s="247">
        <v>135</v>
      </c>
      <c r="B137" s="270"/>
      <c r="C137" s="270"/>
      <c r="D137" s="271"/>
      <c r="E137" s="272"/>
      <c r="F137" s="272"/>
      <c r="G137" s="273"/>
      <c r="H137" s="274"/>
      <c r="I137" s="274"/>
      <c r="J137" s="274"/>
      <c r="K137" s="274"/>
      <c r="L137" s="274"/>
      <c r="M137" s="274"/>
      <c r="N137" s="274"/>
      <c r="O137" s="274"/>
      <c r="P137" s="274"/>
      <c r="Q137" s="274"/>
      <c r="R137" s="274"/>
      <c r="S137" s="274"/>
      <c r="T137" s="274"/>
      <c r="U137" s="274"/>
      <c r="V137" s="274"/>
    </row>
    <row r="138" spans="1:22" x14ac:dyDescent="0.25">
      <c r="A138" s="247">
        <v>136</v>
      </c>
      <c r="B138" s="270"/>
      <c r="C138" s="270"/>
      <c r="D138" s="271"/>
      <c r="E138" s="272"/>
      <c r="F138" s="272"/>
      <c r="G138" s="273"/>
      <c r="H138" s="274"/>
      <c r="I138" s="274"/>
      <c r="J138" s="274"/>
      <c r="K138" s="274"/>
      <c r="L138" s="274"/>
      <c r="M138" s="274"/>
      <c r="N138" s="274"/>
      <c r="O138" s="274"/>
      <c r="P138" s="274"/>
      <c r="Q138" s="274"/>
      <c r="R138" s="274"/>
      <c r="S138" s="274"/>
      <c r="T138" s="274"/>
      <c r="U138" s="274"/>
      <c r="V138" s="274"/>
    </row>
    <row r="139" spans="1:22" x14ac:dyDescent="0.25">
      <c r="A139" s="247">
        <v>137</v>
      </c>
      <c r="B139" s="270"/>
      <c r="C139" s="270"/>
      <c r="D139" s="271"/>
      <c r="E139" s="272"/>
      <c r="F139" s="272"/>
      <c r="G139" s="273"/>
      <c r="H139" s="274"/>
      <c r="I139" s="274"/>
      <c r="J139" s="274"/>
      <c r="K139" s="274"/>
      <c r="L139" s="274"/>
      <c r="M139" s="274"/>
      <c r="N139" s="274"/>
      <c r="O139" s="274"/>
      <c r="P139" s="274"/>
      <c r="Q139" s="274"/>
      <c r="R139" s="274"/>
      <c r="S139" s="274"/>
      <c r="T139" s="274"/>
      <c r="U139" s="274"/>
      <c r="V139" s="274"/>
    </row>
    <row r="140" spans="1:22" x14ac:dyDescent="0.25">
      <c r="A140" s="247">
        <v>138</v>
      </c>
      <c r="B140" s="270"/>
      <c r="C140" s="270"/>
      <c r="D140" s="271"/>
      <c r="E140" s="272"/>
      <c r="F140" s="272"/>
      <c r="G140" s="273"/>
      <c r="H140" s="274"/>
      <c r="I140" s="274"/>
      <c r="J140" s="274"/>
      <c r="K140" s="274"/>
      <c r="L140" s="274"/>
      <c r="M140" s="274"/>
      <c r="N140" s="274"/>
      <c r="O140" s="274"/>
      <c r="P140" s="274"/>
      <c r="Q140" s="274"/>
      <c r="R140" s="274"/>
      <c r="S140" s="274"/>
      <c r="T140" s="274"/>
      <c r="U140" s="274"/>
      <c r="V140" s="274"/>
    </row>
    <row r="141" spans="1:22" x14ac:dyDescent="0.25">
      <c r="A141" s="247">
        <v>139</v>
      </c>
      <c r="B141" s="270"/>
      <c r="C141" s="270"/>
      <c r="D141" s="271"/>
      <c r="E141" s="272"/>
      <c r="F141" s="272"/>
      <c r="G141" s="273"/>
      <c r="H141" s="274"/>
      <c r="I141" s="274"/>
      <c r="J141" s="274"/>
      <c r="K141" s="274"/>
      <c r="L141" s="274"/>
      <c r="M141" s="274"/>
      <c r="N141" s="274"/>
      <c r="O141" s="274"/>
      <c r="P141" s="274"/>
      <c r="Q141" s="274"/>
      <c r="R141" s="274"/>
      <c r="S141" s="274"/>
      <c r="T141" s="274"/>
      <c r="U141" s="274"/>
      <c r="V141" s="274"/>
    </row>
    <row r="142" spans="1:22" x14ac:dyDescent="0.25">
      <c r="A142" s="247">
        <v>140</v>
      </c>
      <c r="B142" s="270"/>
      <c r="C142" s="270"/>
      <c r="D142" s="271"/>
      <c r="E142" s="272"/>
      <c r="F142" s="272"/>
      <c r="G142" s="273"/>
      <c r="H142" s="274"/>
      <c r="I142" s="274"/>
      <c r="J142" s="274"/>
      <c r="K142" s="274"/>
      <c r="L142" s="274"/>
      <c r="M142" s="274"/>
      <c r="N142" s="274"/>
      <c r="O142" s="274"/>
      <c r="P142" s="274"/>
      <c r="Q142" s="274"/>
      <c r="R142" s="274"/>
      <c r="S142" s="274"/>
      <c r="T142" s="274"/>
      <c r="U142" s="274"/>
      <c r="V142" s="274"/>
    </row>
    <row r="143" spans="1:22" x14ac:dyDescent="0.25">
      <c r="A143" s="247">
        <v>141</v>
      </c>
      <c r="B143" s="270"/>
      <c r="C143" s="270"/>
      <c r="D143" s="271"/>
      <c r="E143" s="272"/>
      <c r="F143" s="272"/>
      <c r="G143" s="273"/>
      <c r="H143" s="274"/>
      <c r="I143" s="274"/>
      <c r="J143" s="274"/>
      <c r="K143" s="274"/>
      <c r="L143" s="274"/>
      <c r="M143" s="274"/>
      <c r="N143" s="274"/>
      <c r="O143" s="274"/>
      <c r="P143" s="274"/>
      <c r="Q143" s="274"/>
      <c r="R143" s="274"/>
      <c r="S143" s="274"/>
      <c r="T143" s="274"/>
      <c r="U143" s="274"/>
      <c r="V143" s="274"/>
    </row>
    <row r="144" spans="1:22" x14ac:dyDescent="0.25">
      <c r="A144" s="247">
        <v>142</v>
      </c>
      <c r="B144" s="270"/>
      <c r="C144" s="270"/>
      <c r="D144" s="271"/>
      <c r="E144" s="272"/>
      <c r="F144" s="272"/>
      <c r="G144" s="273"/>
      <c r="H144" s="274"/>
      <c r="I144" s="274"/>
      <c r="J144" s="274"/>
      <c r="K144" s="274"/>
      <c r="L144" s="274"/>
      <c r="M144" s="274"/>
      <c r="N144" s="274"/>
      <c r="O144" s="274"/>
      <c r="P144" s="274"/>
      <c r="Q144" s="274"/>
      <c r="R144" s="274"/>
      <c r="S144" s="274"/>
      <c r="T144" s="274"/>
      <c r="U144" s="274"/>
      <c r="V144" s="274"/>
    </row>
    <row r="145" spans="1:22" x14ac:dyDescent="0.25">
      <c r="A145" s="247">
        <v>143</v>
      </c>
      <c r="B145" s="270"/>
      <c r="C145" s="270"/>
      <c r="D145" s="271"/>
      <c r="E145" s="272"/>
      <c r="F145" s="272"/>
      <c r="G145" s="273"/>
      <c r="H145" s="274"/>
      <c r="I145" s="274"/>
      <c r="J145" s="274"/>
      <c r="K145" s="274"/>
      <c r="L145" s="274"/>
      <c r="M145" s="274"/>
      <c r="N145" s="274"/>
      <c r="O145" s="274"/>
      <c r="P145" s="274"/>
      <c r="Q145" s="274"/>
      <c r="R145" s="274"/>
      <c r="S145" s="274"/>
      <c r="T145" s="274"/>
      <c r="U145" s="274"/>
      <c r="V145" s="274"/>
    </row>
    <row r="146" spans="1:22" x14ac:dyDescent="0.25">
      <c r="A146" s="247">
        <v>144</v>
      </c>
      <c r="B146" s="270"/>
      <c r="C146" s="270"/>
      <c r="D146" s="271"/>
      <c r="E146" s="272"/>
      <c r="F146" s="272"/>
      <c r="G146" s="273"/>
      <c r="H146" s="274"/>
      <c r="I146" s="274"/>
      <c r="J146" s="274"/>
      <c r="K146" s="274"/>
      <c r="L146" s="274"/>
      <c r="M146" s="274"/>
      <c r="N146" s="274"/>
      <c r="O146" s="274"/>
      <c r="P146" s="274"/>
      <c r="Q146" s="274"/>
      <c r="R146" s="274"/>
      <c r="S146" s="274"/>
      <c r="T146" s="274"/>
      <c r="U146" s="274"/>
      <c r="V146" s="274"/>
    </row>
    <row r="147" spans="1:22" x14ac:dyDescent="0.25">
      <c r="A147" s="247">
        <v>145</v>
      </c>
      <c r="B147" s="270"/>
      <c r="C147" s="270"/>
      <c r="D147" s="271"/>
      <c r="E147" s="272"/>
      <c r="F147" s="272"/>
      <c r="G147" s="273"/>
      <c r="H147" s="274"/>
      <c r="I147" s="274"/>
      <c r="J147" s="274"/>
      <c r="K147" s="274"/>
      <c r="L147" s="274"/>
      <c r="M147" s="274"/>
      <c r="N147" s="274"/>
      <c r="O147" s="274"/>
      <c r="P147" s="274"/>
      <c r="Q147" s="274"/>
      <c r="R147" s="274"/>
      <c r="S147" s="274"/>
      <c r="T147" s="274"/>
      <c r="U147" s="274"/>
      <c r="V147" s="274"/>
    </row>
    <row r="148" spans="1:22" x14ac:dyDescent="0.25">
      <c r="A148" s="247">
        <v>146</v>
      </c>
      <c r="B148" s="270"/>
      <c r="C148" s="270"/>
      <c r="D148" s="271"/>
      <c r="E148" s="272"/>
      <c r="F148" s="272"/>
      <c r="G148" s="273"/>
      <c r="H148" s="274"/>
      <c r="I148" s="274"/>
      <c r="J148" s="274"/>
      <c r="K148" s="274"/>
      <c r="L148" s="274"/>
      <c r="M148" s="274"/>
      <c r="N148" s="274"/>
      <c r="O148" s="274"/>
      <c r="P148" s="274"/>
      <c r="Q148" s="274"/>
      <c r="R148" s="274"/>
      <c r="S148" s="274"/>
      <c r="T148" s="274"/>
      <c r="U148" s="274"/>
      <c r="V148" s="274"/>
    </row>
    <row r="149" spans="1:22" x14ac:dyDescent="0.25">
      <c r="A149" s="247">
        <v>147</v>
      </c>
      <c r="B149" s="270"/>
      <c r="C149" s="270"/>
      <c r="D149" s="271"/>
      <c r="E149" s="272"/>
      <c r="F149" s="272"/>
      <c r="G149" s="273"/>
      <c r="H149" s="274"/>
      <c r="I149" s="274"/>
      <c r="J149" s="274"/>
      <c r="K149" s="274"/>
      <c r="L149" s="274"/>
      <c r="M149" s="274"/>
      <c r="N149" s="274"/>
      <c r="O149" s="274"/>
      <c r="P149" s="274"/>
      <c r="Q149" s="274"/>
      <c r="R149" s="274"/>
      <c r="S149" s="274"/>
      <c r="T149" s="274"/>
      <c r="U149" s="274"/>
      <c r="V149" s="274"/>
    </row>
    <row r="150" spans="1:22" x14ac:dyDescent="0.25">
      <c r="A150" s="247">
        <v>148</v>
      </c>
      <c r="B150" s="270"/>
      <c r="C150" s="270"/>
      <c r="D150" s="271"/>
      <c r="E150" s="272"/>
      <c r="F150" s="272"/>
      <c r="G150" s="273"/>
      <c r="H150" s="274"/>
      <c r="I150" s="274"/>
      <c r="J150" s="274"/>
      <c r="K150" s="274"/>
      <c r="L150" s="274"/>
      <c r="M150" s="274"/>
      <c r="N150" s="274"/>
      <c r="O150" s="274"/>
      <c r="P150" s="274"/>
      <c r="Q150" s="274"/>
      <c r="R150" s="274"/>
      <c r="S150" s="274"/>
      <c r="T150" s="274"/>
      <c r="U150" s="274"/>
      <c r="V150" s="274"/>
    </row>
    <row r="151" spans="1:22" x14ac:dyDescent="0.25">
      <c r="A151" s="247">
        <v>149</v>
      </c>
      <c r="B151" s="270"/>
      <c r="C151" s="270"/>
      <c r="D151" s="271"/>
      <c r="E151" s="272"/>
      <c r="F151" s="272"/>
      <c r="G151" s="273"/>
      <c r="H151" s="274"/>
      <c r="I151" s="274"/>
      <c r="J151" s="274"/>
      <c r="K151" s="274"/>
      <c r="L151" s="274"/>
      <c r="M151" s="274"/>
      <c r="N151" s="274"/>
      <c r="O151" s="274"/>
      <c r="P151" s="274"/>
      <c r="Q151" s="274"/>
      <c r="R151" s="274"/>
      <c r="S151" s="274"/>
      <c r="T151" s="274"/>
      <c r="U151" s="274"/>
      <c r="V151" s="274"/>
    </row>
    <row r="152" spans="1:22" x14ac:dyDescent="0.25">
      <c r="A152" s="247">
        <v>150</v>
      </c>
      <c r="B152" s="270"/>
      <c r="C152" s="270"/>
      <c r="D152" s="271"/>
      <c r="E152" s="272"/>
      <c r="F152" s="272"/>
      <c r="G152" s="273"/>
      <c r="H152" s="274"/>
      <c r="I152" s="274"/>
      <c r="J152" s="274"/>
      <c r="K152" s="274"/>
      <c r="L152" s="274"/>
      <c r="M152" s="274"/>
      <c r="N152" s="274"/>
      <c r="O152" s="274"/>
      <c r="P152" s="274"/>
      <c r="Q152" s="274"/>
      <c r="R152" s="274"/>
      <c r="S152" s="274"/>
      <c r="T152" s="274"/>
      <c r="U152" s="274"/>
      <c r="V152" s="274"/>
    </row>
    <row r="153" spans="1:22" x14ac:dyDescent="0.25">
      <c r="A153" s="247">
        <v>151</v>
      </c>
      <c r="B153" s="270"/>
      <c r="C153" s="270"/>
      <c r="D153" s="271"/>
      <c r="E153" s="272"/>
      <c r="F153" s="272"/>
      <c r="G153" s="273"/>
      <c r="H153" s="274"/>
      <c r="I153" s="274"/>
      <c r="J153" s="274"/>
      <c r="K153" s="274"/>
      <c r="L153" s="274"/>
      <c r="M153" s="274"/>
      <c r="N153" s="274"/>
      <c r="O153" s="274"/>
      <c r="P153" s="274"/>
      <c r="Q153" s="274"/>
      <c r="R153" s="274"/>
      <c r="S153" s="274"/>
      <c r="T153" s="274"/>
      <c r="U153" s="274"/>
      <c r="V153" s="274"/>
    </row>
    <row r="154" spans="1:22" x14ac:dyDescent="0.25">
      <c r="A154" s="247">
        <v>152</v>
      </c>
      <c r="B154" s="270"/>
      <c r="C154" s="270"/>
      <c r="D154" s="271"/>
      <c r="E154" s="272"/>
      <c r="F154" s="272"/>
      <c r="G154" s="273"/>
      <c r="H154" s="274"/>
      <c r="I154" s="274"/>
      <c r="J154" s="274"/>
      <c r="K154" s="274"/>
      <c r="L154" s="274"/>
      <c r="M154" s="274"/>
      <c r="N154" s="274"/>
      <c r="O154" s="274"/>
      <c r="P154" s="274"/>
      <c r="Q154" s="274"/>
      <c r="R154" s="274"/>
      <c r="S154" s="274"/>
      <c r="T154" s="274"/>
      <c r="U154" s="274"/>
      <c r="V154" s="274"/>
    </row>
    <row r="155" spans="1:22" x14ac:dyDescent="0.25">
      <c r="A155" s="247">
        <v>153</v>
      </c>
      <c r="B155" s="270"/>
      <c r="C155" s="270"/>
      <c r="D155" s="271"/>
      <c r="E155" s="272"/>
      <c r="F155" s="272"/>
      <c r="G155" s="273"/>
      <c r="H155" s="274"/>
      <c r="I155" s="274"/>
      <c r="J155" s="274"/>
      <c r="K155" s="274"/>
      <c r="L155" s="274"/>
      <c r="M155" s="274"/>
      <c r="N155" s="274"/>
      <c r="O155" s="274"/>
      <c r="P155" s="274"/>
      <c r="Q155" s="274"/>
      <c r="R155" s="274"/>
      <c r="S155" s="274"/>
      <c r="T155" s="274"/>
      <c r="U155" s="274"/>
      <c r="V155" s="274"/>
    </row>
    <row r="156" spans="1:22" x14ac:dyDescent="0.25">
      <c r="A156" s="247">
        <v>154</v>
      </c>
      <c r="B156" s="270"/>
      <c r="C156" s="270"/>
      <c r="D156" s="271"/>
      <c r="E156" s="272"/>
      <c r="F156" s="272"/>
      <c r="G156" s="273"/>
      <c r="H156" s="274"/>
      <c r="I156" s="274"/>
      <c r="J156" s="274"/>
      <c r="K156" s="274"/>
      <c r="L156" s="274"/>
      <c r="M156" s="274"/>
      <c r="N156" s="274"/>
      <c r="O156" s="274"/>
      <c r="P156" s="274"/>
      <c r="Q156" s="274"/>
      <c r="R156" s="274"/>
      <c r="S156" s="274"/>
      <c r="T156" s="274"/>
      <c r="U156" s="274"/>
      <c r="V156" s="274"/>
    </row>
    <row r="157" spans="1:22" x14ac:dyDescent="0.25">
      <c r="A157" s="247">
        <v>155</v>
      </c>
      <c r="B157" s="270"/>
      <c r="C157" s="270"/>
      <c r="D157" s="271"/>
      <c r="E157" s="272"/>
      <c r="F157" s="272"/>
      <c r="G157" s="273"/>
      <c r="H157" s="274"/>
      <c r="I157" s="274"/>
      <c r="J157" s="274"/>
      <c r="K157" s="274"/>
      <c r="L157" s="274"/>
      <c r="M157" s="274"/>
      <c r="N157" s="274"/>
      <c r="O157" s="274"/>
      <c r="P157" s="274"/>
      <c r="Q157" s="274"/>
      <c r="R157" s="274"/>
      <c r="S157" s="274"/>
      <c r="T157" s="274"/>
      <c r="U157" s="274"/>
      <c r="V157" s="274"/>
    </row>
    <row r="158" spans="1:22" x14ac:dyDescent="0.25">
      <c r="A158" s="247">
        <v>156</v>
      </c>
      <c r="B158" s="270"/>
      <c r="C158" s="270"/>
      <c r="D158" s="271"/>
      <c r="E158" s="272"/>
      <c r="F158" s="272"/>
      <c r="G158" s="273"/>
      <c r="H158" s="274"/>
      <c r="I158" s="274"/>
      <c r="J158" s="274"/>
      <c r="K158" s="274"/>
      <c r="L158" s="274"/>
      <c r="M158" s="274"/>
      <c r="N158" s="274"/>
      <c r="O158" s="274"/>
      <c r="P158" s="274"/>
      <c r="Q158" s="274"/>
      <c r="R158" s="274"/>
      <c r="S158" s="274"/>
      <c r="T158" s="274"/>
      <c r="U158" s="274"/>
      <c r="V158" s="274"/>
    </row>
    <row r="159" spans="1:22" x14ac:dyDescent="0.25">
      <c r="A159" s="247">
        <v>157</v>
      </c>
      <c r="B159" s="270"/>
      <c r="C159" s="270"/>
      <c r="D159" s="271"/>
      <c r="E159" s="272"/>
      <c r="F159" s="272"/>
      <c r="G159" s="273"/>
      <c r="H159" s="274"/>
      <c r="I159" s="274"/>
      <c r="J159" s="274"/>
      <c r="K159" s="274"/>
      <c r="L159" s="274"/>
      <c r="M159" s="274"/>
      <c r="N159" s="274"/>
      <c r="O159" s="274"/>
      <c r="P159" s="274"/>
      <c r="Q159" s="274"/>
      <c r="R159" s="274"/>
      <c r="S159" s="274"/>
      <c r="T159" s="274"/>
      <c r="U159" s="274"/>
      <c r="V159" s="274"/>
    </row>
    <row r="160" spans="1:22" x14ac:dyDescent="0.25">
      <c r="A160" s="247">
        <v>158</v>
      </c>
      <c r="B160" s="270"/>
      <c r="C160" s="270"/>
      <c r="D160" s="271"/>
      <c r="E160" s="272"/>
      <c r="F160" s="272"/>
      <c r="G160" s="273"/>
      <c r="H160" s="274"/>
      <c r="I160" s="274"/>
      <c r="J160" s="274"/>
      <c r="K160" s="274"/>
      <c r="L160" s="274"/>
      <c r="M160" s="274"/>
      <c r="N160" s="274"/>
      <c r="O160" s="274"/>
      <c r="P160" s="274"/>
      <c r="Q160" s="274"/>
      <c r="R160" s="274"/>
      <c r="S160" s="274"/>
      <c r="T160" s="274"/>
      <c r="U160" s="274"/>
      <c r="V160" s="274"/>
    </row>
    <row r="161" spans="1:22" x14ac:dyDescent="0.25">
      <c r="A161" s="247">
        <v>159</v>
      </c>
      <c r="B161" s="270"/>
      <c r="C161" s="270"/>
      <c r="D161" s="271"/>
      <c r="E161" s="272"/>
      <c r="F161" s="272"/>
      <c r="G161" s="273"/>
      <c r="H161" s="274"/>
      <c r="I161" s="274"/>
      <c r="J161" s="274"/>
      <c r="K161" s="274"/>
      <c r="L161" s="274"/>
      <c r="M161" s="274"/>
      <c r="N161" s="274"/>
      <c r="O161" s="274"/>
      <c r="P161" s="274"/>
      <c r="Q161" s="274"/>
      <c r="R161" s="274"/>
      <c r="S161" s="274"/>
      <c r="T161" s="274"/>
      <c r="U161" s="274"/>
      <c r="V161" s="274"/>
    </row>
    <row r="162" spans="1:22" x14ac:dyDescent="0.25">
      <c r="A162" s="247">
        <v>160</v>
      </c>
      <c r="B162" s="270"/>
      <c r="C162" s="270"/>
      <c r="D162" s="271"/>
      <c r="E162" s="272"/>
      <c r="F162" s="272"/>
      <c r="G162" s="273"/>
      <c r="H162" s="274"/>
      <c r="I162" s="274"/>
      <c r="J162" s="274"/>
      <c r="K162" s="274"/>
      <c r="L162" s="274"/>
      <c r="M162" s="274"/>
      <c r="N162" s="274"/>
      <c r="O162" s="274"/>
      <c r="P162" s="274"/>
      <c r="Q162" s="274"/>
      <c r="R162" s="274"/>
      <c r="S162" s="274"/>
      <c r="T162" s="274"/>
      <c r="U162" s="274"/>
      <c r="V162" s="274"/>
    </row>
    <row r="163" spans="1:22" x14ac:dyDescent="0.25">
      <c r="A163" s="247">
        <v>161</v>
      </c>
      <c r="B163" s="270"/>
      <c r="C163" s="270"/>
      <c r="D163" s="271"/>
      <c r="E163" s="272"/>
      <c r="F163" s="272"/>
      <c r="G163" s="273"/>
      <c r="H163" s="274"/>
      <c r="I163" s="274"/>
      <c r="J163" s="274"/>
      <c r="K163" s="274"/>
      <c r="L163" s="274"/>
      <c r="M163" s="274"/>
      <c r="N163" s="274"/>
      <c r="O163" s="274"/>
      <c r="P163" s="274"/>
      <c r="Q163" s="274"/>
      <c r="R163" s="274"/>
      <c r="S163" s="274"/>
      <c r="T163" s="274"/>
      <c r="U163" s="274"/>
      <c r="V163" s="274"/>
    </row>
    <row r="164" spans="1:22" x14ac:dyDescent="0.25">
      <c r="A164" s="247">
        <v>162</v>
      </c>
      <c r="B164" s="270"/>
      <c r="C164" s="270"/>
      <c r="D164" s="271"/>
      <c r="E164" s="272"/>
      <c r="F164" s="272"/>
      <c r="G164" s="273"/>
      <c r="H164" s="274"/>
      <c r="I164" s="274"/>
      <c r="J164" s="274"/>
      <c r="K164" s="274"/>
      <c r="L164" s="274"/>
      <c r="M164" s="274"/>
      <c r="N164" s="274"/>
      <c r="O164" s="274"/>
      <c r="P164" s="274"/>
      <c r="Q164" s="274"/>
      <c r="R164" s="274"/>
      <c r="S164" s="274"/>
      <c r="T164" s="274"/>
      <c r="U164" s="274"/>
      <c r="V164" s="274"/>
    </row>
    <row r="165" spans="1:22" x14ac:dyDescent="0.25">
      <c r="A165" s="247">
        <v>163</v>
      </c>
      <c r="B165" s="270"/>
      <c r="C165" s="270"/>
      <c r="D165" s="271"/>
      <c r="E165" s="272"/>
      <c r="F165" s="272"/>
      <c r="G165" s="273"/>
      <c r="H165" s="274"/>
      <c r="I165" s="274"/>
      <c r="J165" s="274"/>
      <c r="K165" s="274"/>
      <c r="L165" s="274"/>
      <c r="M165" s="274"/>
      <c r="N165" s="274"/>
      <c r="O165" s="274"/>
      <c r="P165" s="274"/>
      <c r="Q165" s="274"/>
      <c r="R165" s="274"/>
      <c r="S165" s="274"/>
      <c r="T165" s="274"/>
      <c r="U165" s="274"/>
      <c r="V165" s="274"/>
    </row>
    <row r="166" spans="1:22" x14ac:dyDescent="0.25">
      <c r="A166" s="247">
        <v>164</v>
      </c>
      <c r="B166" s="270"/>
      <c r="C166" s="270"/>
      <c r="D166" s="271"/>
      <c r="E166" s="272"/>
      <c r="F166" s="272"/>
      <c r="G166" s="273"/>
      <c r="H166" s="274"/>
      <c r="I166" s="274"/>
      <c r="J166" s="274"/>
      <c r="K166" s="274"/>
      <c r="L166" s="274"/>
      <c r="M166" s="274"/>
      <c r="N166" s="274"/>
      <c r="O166" s="274"/>
      <c r="P166" s="274"/>
      <c r="Q166" s="274"/>
      <c r="R166" s="274"/>
      <c r="S166" s="274"/>
      <c r="T166" s="274"/>
      <c r="U166" s="274"/>
      <c r="V166" s="274"/>
    </row>
    <row r="167" spans="1:22" x14ac:dyDescent="0.25">
      <c r="A167" s="247">
        <v>165</v>
      </c>
      <c r="B167" s="270"/>
      <c r="C167" s="270"/>
      <c r="D167" s="271"/>
      <c r="E167" s="272"/>
      <c r="F167" s="272"/>
      <c r="G167" s="273"/>
      <c r="H167" s="274"/>
      <c r="I167" s="274"/>
      <c r="J167" s="274"/>
      <c r="K167" s="274"/>
      <c r="L167" s="274"/>
      <c r="M167" s="274"/>
      <c r="N167" s="274"/>
      <c r="O167" s="274"/>
      <c r="P167" s="274"/>
      <c r="Q167" s="274"/>
      <c r="R167" s="274"/>
      <c r="S167" s="274"/>
      <c r="T167" s="274"/>
      <c r="U167" s="274"/>
      <c r="V167" s="274"/>
    </row>
    <row r="168" spans="1:22" x14ac:dyDescent="0.25">
      <c r="A168" s="247">
        <v>166</v>
      </c>
      <c r="B168" s="270"/>
      <c r="C168" s="270"/>
      <c r="D168" s="271"/>
      <c r="E168" s="272"/>
      <c r="F168" s="272"/>
      <c r="G168" s="273"/>
      <c r="H168" s="274"/>
      <c r="I168" s="274"/>
      <c r="J168" s="274"/>
      <c r="K168" s="274"/>
      <c r="L168" s="274"/>
      <c r="M168" s="274"/>
      <c r="N168" s="274"/>
      <c r="O168" s="274"/>
      <c r="P168" s="274"/>
      <c r="Q168" s="274"/>
      <c r="R168" s="274"/>
      <c r="S168" s="274"/>
      <c r="T168" s="274"/>
      <c r="U168" s="274"/>
      <c r="V168" s="274"/>
    </row>
    <row r="169" spans="1:22" x14ac:dyDescent="0.25">
      <c r="A169" s="247">
        <v>167</v>
      </c>
      <c r="B169" s="270"/>
      <c r="C169" s="270"/>
      <c r="D169" s="271"/>
      <c r="E169" s="272"/>
      <c r="F169" s="272"/>
      <c r="G169" s="273"/>
      <c r="H169" s="274"/>
      <c r="I169" s="274"/>
      <c r="J169" s="274"/>
      <c r="K169" s="274"/>
      <c r="L169" s="274"/>
      <c r="M169" s="274"/>
      <c r="N169" s="274"/>
      <c r="O169" s="274"/>
      <c r="P169" s="274"/>
      <c r="Q169" s="274"/>
      <c r="R169" s="274"/>
      <c r="S169" s="274"/>
      <c r="T169" s="274"/>
      <c r="U169" s="274"/>
      <c r="V169" s="274"/>
    </row>
    <row r="170" spans="1:22" x14ac:dyDescent="0.25">
      <c r="A170" s="247">
        <v>168</v>
      </c>
      <c r="B170" s="270"/>
      <c r="C170" s="270"/>
      <c r="D170" s="271"/>
      <c r="E170" s="272"/>
      <c r="F170" s="272"/>
      <c r="G170" s="273"/>
      <c r="H170" s="274"/>
      <c r="I170" s="274"/>
      <c r="J170" s="274"/>
      <c r="K170" s="274"/>
      <c r="L170" s="274"/>
      <c r="M170" s="274"/>
      <c r="N170" s="274"/>
      <c r="O170" s="274"/>
      <c r="P170" s="274"/>
      <c r="Q170" s="274"/>
      <c r="R170" s="274"/>
      <c r="S170" s="274"/>
      <c r="T170" s="274"/>
      <c r="U170" s="274"/>
      <c r="V170" s="274"/>
    </row>
    <row r="171" spans="1:22" x14ac:dyDescent="0.25">
      <c r="A171" s="247">
        <v>169</v>
      </c>
      <c r="B171" s="270"/>
      <c r="C171" s="270"/>
      <c r="D171" s="271"/>
      <c r="E171" s="272"/>
      <c r="F171" s="272"/>
      <c r="G171" s="273"/>
      <c r="H171" s="274"/>
      <c r="I171" s="274"/>
      <c r="J171" s="274"/>
      <c r="K171" s="274"/>
      <c r="L171" s="274"/>
      <c r="M171" s="274"/>
      <c r="N171" s="274"/>
      <c r="O171" s="274"/>
      <c r="P171" s="274"/>
      <c r="Q171" s="274"/>
      <c r="R171" s="274"/>
      <c r="S171" s="274"/>
      <c r="T171" s="274"/>
      <c r="U171" s="274"/>
      <c r="V171" s="274"/>
    </row>
    <row r="172" spans="1:22" x14ac:dyDescent="0.25">
      <c r="A172" s="247">
        <v>170</v>
      </c>
      <c r="B172" s="270"/>
      <c r="C172" s="270"/>
      <c r="D172" s="271"/>
      <c r="E172" s="272"/>
      <c r="F172" s="272"/>
      <c r="G172" s="273"/>
      <c r="H172" s="274"/>
      <c r="I172" s="274"/>
      <c r="J172" s="274"/>
      <c r="K172" s="274"/>
      <c r="L172" s="274"/>
      <c r="M172" s="274"/>
      <c r="N172" s="274"/>
      <c r="O172" s="274"/>
      <c r="P172" s="274"/>
      <c r="Q172" s="274"/>
      <c r="R172" s="274"/>
      <c r="S172" s="274"/>
      <c r="T172" s="274"/>
      <c r="U172" s="274"/>
      <c r="V172" s="274"/>
    </row>
    <row r="173" spans="1:22" x14ac:dyDescent="0.25">
      <c r="A173" s="247">
        <v>171</v>
      </c>
      <c r="B173" s="270"/>
      <c r="C173" s="270"/>
      <c r="D173" s="271"/>
      <c r="E173" s="272"/>
      <c r="F173" s="272"/>
      <c r="G173" s="273"/>
      <c r="H173" s="274"/>
      <c r="I173" s="274"/>
      <c r="J173" s="274"/>
      <c r="K173" s="274"/>
      <c r="L173" s="274"/>
      <c r="M173" s="274"/>
      <c r="N173" s="274"/>
      <c r="O173" s="274"/>
      <c r="P173" s="274"/>
      <c r="Q173" s="274"/>
      <c r="R173" s="274"/>
      <c r="S173" s="274"/>
      <c r="T173" s="274"/>
      <c r="U173" s="274"/>
      <c r="V173" s="274"/>
    </row>
    <row r="174" spans="1:22" x14ac:dyDescent="0.25">
      <c r="A174" s="247">
        <v>172</v>
      </c>
      <c r="B174" s="270"/>
      <c r="C174" s="270"/>
      <c r="D174" s="271"/>
      <c r="E174" s="272"/>
      <c r="F174" s="272"/>
      <c r="G174" s="273"/>
      <c r="H174" s="274"/>
      <c r="I174" s="274"/>
      <c r="J174" s="274"/>
      <c r="K174" s="274"/>
      <c r="L174" s="274"/>
      <c r="M174" s="274"/>
      <c r="N174" s="274"/>
      <c r="O174" s="274"/>
      <c r="P174" s="274"/>
      <c r="Q174" s="274"/>
      <c r="R174" s="274"/>
      <c r="S174" s="274"/>
      <c r="T174" s="274"/>
      <c r="U174" s="274"/>
      <c r="V174" s="274"/>
    </row>
    <row r="175" spans="1:22" x14ac:dyDescent="0.25">
      <c r="A175" s="247">
        <v>173</v>
      </c>
      <c r="B175" s="270"/>
      <c r="C175" s="270"/>
      <c r="D175" s="271"/>
      <c r="E175" s="272"/>
      <c r="F175" s="272"/>
      <c r="G175" s="273"/>
      <c r="H175" s="274"/>
      <c r="I175" s="274"/>
      <c r="J175" s="274"/>
      <c r="K175" s="274"/>
      <c r="L175" s="274"/>
      <c r="M175" s="274"/>
      <c r="N175" s="274"/>
      <c r="O175" s="274"/>
      <c r="P175" s="274"/>
      <c r="Q175" s="274"/>
      <c r="R175" s="274"/>
      <c r="S175" s="274"/>
      <c r="T175" s="274"/>
      <c r="U175" s="274"/>
      <c r="V175" s="274"/>
    </row>
    <row r="176" spans="1:22" x14ac:dyDescent="0.25">
      <c r="A176" s="247">
        <v>174</v>
      </c>
      <c r="B176" s="270"/>
      <c r="C176" s="270"/>
      <c r="D176" s="271"/>
      <c r="E176" s="272"/>
      <c r="F176" s="272"/>
      <c r="G176" s="273"/>
      <c r="H176" s="274"/>
      <c r="I176" s="274"/>
      <c r="J176" s="274"/>
      <c r="K176" s="274"/>
      <c r="L176" s="274"/>
      <c r="M176" s="274"/>
      <c r="N176" s="274"/>
      <c r="O176" s="274"/>
      <c r="P176" s="274"/>
      <c r="Q176" s="274"/>
      <c r="R176" s="274"/>
      <c r="S176" s="274"/>
      <c r="T176" s="274"/>
      <c r="U176" s="274"/>
      <c r="V176" s="274"/>
    </row>
    <row r="177" spans="1:22" x14ac:dyDescent="0.25">
      <c r="A177" s="247">
        <v>175</v>
      </c>
      <c r="B177" s="270"/>
      <c r="C177" s="270"/>
      <c r="D177" s="271"/>
      <c r="E177" s="272"/>
      <c r="F177" s="272"/>
      <c r="G177" s="273"/>
      <c r="H177" s="274"/>
      <c r="I177" s="274"/>
      <c r="J177" s="274"/>
      <c r="K177" s="274"/>
      <c r="L177" s="274"/>
      <c r="M177" s="274"/>
      <c r="N177" s="274"/>
      <c r="O177" s="274"/>
      <c r="P177" s="274"/>
      <c r="Q177" s="274"/>
      <c r="R177" s="274"/>
      <c r="S177" s="274"/>
      <c r="T177" s="274"/>
      <c r="U177" s="274"/>
      <c r="V177" s="274"/>
    </row>
    <row r="178" spans="1:22" x14ac:dyDescent="0.25">
      <c r="A178" s="247">
        <v>176</v>
      </c>
      <c r="B178" s="270"/>
      <c r="C178" s="270"/>
      <c r="D178" s="271"/>
      <c r="E178" s="272"/>
      <c r="F178" s="272"/>
      <c r="G178" s="273"/>
      <c r="H178" s="274"/>
      <c r="I178" s="274"/>
      <c r="J178" s="274"/>
      <c r="K178" s="274"/>
      <c r="L178" s="274"/>
      <c r="M178" s="274"/>
      <c r="N178" s="274"/>
      <c r="O178" s="274"/>
      <c r="P178" s="274"/>
      <c r="Q178" s="274"/>
      <c r="R178" s="274"/>
      <c r="S178" s="274"/>
      <c r="T178" s="274"/>
      <c r="U178" s="274"/>
      <c r="V178" s="274"/>
    </row>
    <row r="179" spans="1:22" x14ac:dyDescent="0.25">
      <c r="A179" s="247">
        <v>177</v>
      </c>
      <c r="B179" s="270"/>
      <c r="C179" s="270"/>
      <c r="D179" s="271"/>
      <c r="E179" s="272"/>
      <c r="F179" s="272"/>
      <c r="G179" s="273"/>
      <c r="H179" s="274"/>
      <c r="I179" s="274"/>
      <c r="J179" s="274"/>
      <c r="K179" s="274"/>
      <c r="L179" s="274"/>
      <c r="M179" s="274"/>
      <c r="N179" s="274"/>
      <c r="O179" s="274"/>
      <c r="P179" s="274"/>
      <c r="Q179" s="274"/>
      <c r="R179" s="274"/>
      <c r="S179" s="274"/>
      <c r="T179" s="274"/>
      <c r="U179" s="274"/>
      <c r="V179" s="274"/>
    </row>
    <row r="180" spans="1:22" x14ac:dyDescent="0.25">
      <c r="A180" s="247">
        <v>178</v>
      </c>
      <c r="B180" s="270"/>
      <c r="C180" s="270"/>
      <c r="D180" s="271"/>
      <c r="E180" s="272"/>
      <c r="F180" s="272"/>
      <c r="G180" s="273"/>
      <c r="H180" s="274"/>
      <c r="I180" s="274"/>
      <c r="J180" s="274"/>
      <c r="K180" s="274"/>
      <c r="L180" s="274"/>
      <c r="M180" s="274"/>
      <c r="N180" s="274"/>
      <c r="O180" s="274"/>
      <c r="P180" s="274"/>
      <c r="Q180" s="274"/>
      <c r="R180" s="274"/>
      <c r="S180" s="274"/>
      <c r="T180" s="274"/>
      <c r="U180" s="274"/>
      <c r="V180" s="274"/>
    </row>
    <row r="181" spans="1:22" x14ac:dyDescent="0.25">
      <c r="A181" s="247">
        <v>179</v>
      </c>
      <c r="B181" s="270"/>
      <c r="C181" s="270"/>
      <c r="D181" s="271"/>
      <c r="E181" s="272"/>
      <c r="F181" s="272"/>
      <c r="G181" s="273"/>
      <c r="H181" s="274"/>
      <c r="I181" s="274"/>
      <c r="J181" s="274"/>
      <c r="K181" s="274"/>
      <c r="L181" s="274"/>
      <c r="M181" s="274"/>
      <c r="N181" s="274"/>
      <c r="O181" s="274"/>
      <c r="P181" s="274"/>
      <c r="Q181" s="274"/>
      <c r="R181" s="274"/>
      <c r="S181" s="274"/>
      <c r="T181" s="274"/>
      <c r="U181" s="274"/>
      <c r="V181" s="274"/>
    </row>
    <row r="182" spans="1:22" x14ac:dyDescent="0.25">
      <c r="A182" s="247">
        <v>180</v>
      </c>
      <c r="B182" s="270"/>
      <c r="C182" s="270"/>
      <c r="D182" s="271"/>
      <c r="E182" s="272"/>
      <c r="F182" s="272"/>
      <c r="G182" s="273"/>
      <c r="H182" s="274"/>
      <c r="I182" s="274"/>
      <c r="J182" s="274"/>
      <c r="K182" s="274"/>
      <c r="L182" s="274"/>
      <c r="M182" s="274"/>
      <c r="N182" s="274"/>
      <c r="O182" s="274"/>
      <c r="P182" s="274"/>
      <c r="Q182" s="274"/>
      <c r="R182" s="274"/>
      <c r="S182" s="274"/>
      <c r="T182" s="274"/>
      <c r="U182" s="274"/>
      <c r="V182" s="274"/>
    </row>
    <row r="183" spans="1:22" x14ac:dyDescent="0.25">
      <c r="A183" s="247">
        <v>181</v>
      </c>
      <c r="B183" s="270"/>
      <c r="C183" s="270"/>
      <c r="D183" s="271"/>
      <c r="E183" s="272"/>
      <c r="F183" s="272"/>
      <c r="G183" s="273"/>
      <c r="H183" s="274"/>
      <c r="I183" s="274"/>
      <c r="J183" s="274"/>
      <c r="K183" s="274"/>
      <c r="L183" s="274"/>
      <c r="M183" s="274"/>
      <c r="N183" s="274"/>
      <c r="O183" s="274"/>
      <c r="P183" s="274"/>
      <c r="Q183" s="274"/>
      <c r="R183" s="274"/>
      <c r="S183" s="274"/>
      <c r="T183" s="274"/>
      <c r="U183" s="274"/>
      <c r="V183" s="274"/>
    </row>
    <row r="184" spans="1:22" x14ac:dyDescent="0.25">
      <c r="A184" s="247">
        <v>182</v>
      </c>
      <c r="B184" s="270"/>
      <c r="C184" s="270"/>
      <c r="D184" s="271"/>
      <c r="E184" s="272"/>
      <c r="F184" s="272"/>
      <c r="G184" s="273"/>
      <c r="H184" s="274"/>
      <c r="I184" s="274"/>
      <c r="J184" s="274"/>
      <c r="K184" s="274"/>
      <c r="L184" s="274"/>
      <c r="M184" s="274"/>
      <c r="N184" s="274"/>
      <c r="O184" s="274"/>
      <c r="P184" s="274"/>
      <c r="Q184" s="274"/>
      <c r="R184" s="274"/>
      <c r="S184" s="274"/>
      <c r="T184" s="274"/>
      <c r="U184" s="274"/>
      <c r="V184" s="274"/>
    </row>
    <row r="185" spans="1:22" x14ac:dyDescent="0.25">
      <c r="A185" s="247">
        <v>183</v>
      </c>
      <c r="B185" s="270"/>
      <c r="C185" s="270"/>
      <c r="D185" s="271"/>
      <c r="E185" s="272"/>
      <c r="F185" s="272"/>
      <c r="G185" s="273"/>
      <c r="H185" s="274"/>
      <c r="I185" s="274"/>
      <c r="J185" s="274"/>
      <c r="K185" s="274"/>
      <c r="L185" s="274"/>
      <c r="M185" s="274"/>
      <c r="N185" s="274"/>
      <c r="O185" s="274"/>
      <c r="P185" s="274"/>
      <c r="Q185" s="274"/>
      <c r="R185" s="274"/>
      <c r="S185" s="274"/>
      <c r="T185" s="274"/>
      <c r="U185" s="274"/>
      <c r="V185" s="274"/>
    </row>
    <row r="186" spans="1:22" x14ac:dyDescent="0.25">
      <c r="A186" s="247">
        <v>184</v>
      </c>
      <c r="B186" s="270"/>
      <c r="C186" s="270"/>
      <c r="D186" s="271"/>
      <c r="E186" s="272"/>
      <c r="F186" s="272"/>
      <c r="G186" s="273"/>
      <c r="H186" s="274"/>
      <c r="I186" s="274"/>
      <c r="J186" s="274"/>
      <c r="K186" s="274"/>
      <c r="L186" s="274"/>
      <c r="M186" s="274"/>
      <c r="N186" s="274"/>
      <c r="O186" s="274"/>
      <c r="P186" s="274"/>
      <c r="Q186" s="274"/>
      <c r="R186" s="274"/>
      <c r="S186" s="274"/>
      <c r="T186" s="274"/>
      <c r="U186" s="274"/>
      <c r="V186" s="274"/>
    </row>
    <row r="187" spans="1:22" x14ac:dyDescent="0.25">
      <c r="A187" s="247">
        <v>185</v>
      </c>
      <c r="B187" s="270"/>
      <c r="C187" s="270"/>
      <c r="D187" s="271"/>
      <c r="E187" s="272"/>
      <c r="F187" s="272"/>
      <c r="G187" s="273"/>
      <c r="H187" s="274"/>
      <c r="I187" s="274"/>
      <c r="J187" s="274"/>
      <c r="K187" s="274"/>
      <c r="L187" s="274"/>
      <c r="M187" s="274"/>
      <c r="N187" s="274"/>
      <c r="O187" s="274"/>
      <c r="P187" s="274"/>
      <c r="Q187" s="274"/>
      <c r="R187" s="274"/>
      <c r="S187" s="274"/>
      <c r="T187" s="274"/>
      <c r="U187" s="274"/>
      <c r="V187" s="274"/>
    </row>
    <row r="188" spans="1:22" x14ac:dyDescent="0.25">
      <c r="A188" s="247">
        <v>186</v>
      </c>
      <c r="B188" s="270"/>
      <c r="C188" s="270"/>
      <c r="D188" s="271"/>
      <c r="E188" s="272"/>
      <c r="F188" s="272"/>
      <c r="G188" s="273"/>
      <c r="H188" s="274"/>
      <c r="I188" s="274"/>
      <c r="J188" s="274"/>
      <c r="K188" s="274"/>
      <c r="L188" s="274"/>
      <c r="M188" s="274"/>
      <c r="N188" s="274"/>
      <c r="O188" s="274"/>
      <c r="P188" s="274"/>
      <c r="Q188" s="274"/>
      <c r="R188" s="274"/>
      <c r="S188" s="274"/>
      <c r="T188" s="274"/>
      <c r="U188" s="274"/>
      <c r="V188" s="274"/>
    </row>
    <row r="189" spans="1:22" x14ac:dyDescent="0.25">
      <c r="A189" s="247">
        <v>187</v>
      </c>
      <c r="B189" s="270"/>
      <c r="C189" s="270"/>
      <c r="D189" s="271"/>
      <c r="E189" s="272"/>
      <c r="F189" s="272"/>
      <c r="G189" s="273"/>
      <c r="H189" s="274"/>
      <c r="I189" s="274"/>
      <c r="J189" s="274"/>
      <c r="K189" s="274"/>
      <c r="L189" s="274"/>
      <c r="M189" s="274"/>
      <c r="N189" s="274"/>
      <c r="O189" s="274"/>
      <c r="P189" s="274"/>
      <c r="Q189" s="274"/>
      <c r="R189" s="274"/>
      <c r="S189" s="274"/>
      <c r="T189" s="274"/>
      <c r="U189" s="274"/>
      <c r="V189" s="274"/>
    </row>
    <row r="190" spans="1:22" x14ac:dyDescent="0.25">
      <c r="A190" s="247">
        <v>188</v>
      </c>
      <c r="B190" s="270"/>
      <c r="C190" s="270"/>
      <c r="D190" s="271"/>
      <c r="E190" s="272"/>
      <c r="F190" s="272"/>
      <c r="G190" s="273"/>
      <c r="H190" s="274"/>
      <c r="I190" s="274"/>
      <c r="J190" s="274"/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U190" s="274"/>
      <c r="V190" s="274"/>
    </row>
    <row r="191" spans="1:22" x14ac:dyDescent="0.25">
      <c r="A191" s="247">
        <v>189</v>
      </c>
      <c r="B191" s="270"/>
      <c r="C191" s="270"/>
      <c r="D191" s="271"/>
      <c r="E191" s="272"/>
      <c r="F191" s="272"/>
      <c r="G191" s="273"/>
      <c r="H191" s="274"/>
      <c r="I191" s="274"/>
      <c r="J191" s="274"/>
      <c r="K191" s="274"/>
      <c r="L191" s="274"/>
      <c r="M191" s="274"/>
      <c r="N191" s="274"/>
      <c r="O191" s="274"/>
      <c r="P191" s="274"/>
      <c r="Q191" s="274"/>
      <c r="R191" s="274"/>
      <c r="S191" s="274"/>
      <c r="T191" s="274"/>
      <c r="U191" s="274"/>
      <c r="V191" s="274"/>
    </row>
    <row r="192" spans="1:22" x14ac:dyDescent="0.25">
      <c r="A192" s="247">
        <v>190</v>
      </c>
      <c r="B192" s="270"/>
      <c r="C192" s="270"/>
      <c r="D192" s="271"/>
      <c r="E192" s="272"/>
      <c r="F192" s="272"/>
      <c r="G192" s="273"/>
      <c r="H192" s="274"/>
      <c r="I192" s="274"/>
      <c r="J192" s="274"/>
      <c r="K192" s="274"/>
      <c r="L192" s="274"/>
      <c r="M192" s="274"/>
      <c r="N192" s="274"/>
      <c r="O192" s="274"/>
      <c r="P192" s="274"/>
      <c r="Q192" s="274"/>
      <c r="R192" s="274"/>
      <c r="S192" s="274"/>
      <c r="T192" s="274"/>
      <c r="U192" s="274"/>
      <c r="V192" s="274"/>
    </row>
    <row r="193" spans="1:22" x14ac:dyDescent="0.25">
      <c r="A193" s="247">
        <v>191</v>
      </c>
      <c r="B193" s="270"/>
      <c r="C193" s="270"/>
      <c r="D193" s="271"/>
      <c r="E193" s="272"/>
      <c r="F193" s="272"/>
      <c r="G193" s="273"/>
      <c r="H193" s="274"/>
      <c r="I193" s="274"/>
      <c r="J193" s="274"/>
      <c r="K193" s="274"/>
      <c r="L193" s="274"/>
      <c r="M193" s="274"/>
      <c r="N193" s="274"/>
      <c r="O193" s="274"/>
      <c r="P193" s="274"/>
      <c r="Q193" s="274"/>
      <c r="R193" s="274"/>
      <c r="S193" s="274"/>
      <c r="T193" s="274"/>
      <c r="U193" s="274"/>
      <c r="V193" s="274"/>
    </row>
    <row r="194" spans="1:22" x14ac:dyDescent="0.25">
      <c r="A194" s="247">
        <v>192</v>
      </c>
      <c r="B194" s="270"/>
      <c r="C194" s="270"/>
      <c r="D194" s="271"/>
      <c r="E194" s="272"/>
      <c r="F194" s="272"/>
      <c r="G194" s="273"/>
      <c r="H194" s="274"/>
      <c r="I194" s="274"/>
      <c r="J194" s="274"/>
      <c r="K194" s="274"/>
      <c r="L194" s="274"/>
      <c r="M194" s="274"/>
      <c r="N194" s="274"/>
      <c r="O194" s="274"/>
      <c r="P194" s="274"/>
      <c r="Q194" s="274"/>
      <c r="R194" s="274"/>
      <c r="S194" s="274"/>
      <c r="T194" s="274"/>
      <c r="U194" s="274"/>
      <c r="V194" s="274"/>
    </row>
    <row r="195" spans="1:22" x14ac:dyDescent="0.25">
      <c r="A195" s="247">
        <v>193</v>
      </c>
      <c r="B195" s="270"/>
      <c r="C195" s="270"/>
      <c r="D195" s="271"/>
      <c r="E195" s="272"/>
      <c r="F195" s="272"/>
      <c r="G195" s="273"/>
      <c r="H195" s="274"/>
      <c r="I195" s="274"/>
      <c r="J195" s="274"/>
      <c r="K195" s="274"/>
      <c r="L195" s="274"/>
      <c r="M195" s="274"/>
      <c r="N195" s="274"/>
      <c r="O195" s="274"/>
      <c r="P195" s="274"/>
      <c r="Q195" s="274"/>
      <c r="R195" s="274"/>
      <c r="S195" s="274"/>
      <c r="T195" s="274"/>
      <c r="U195" s="274"/>
      <c r="V195" s="274"/>
    </row>
    <row r="196" spans="1:22" x14ac:dyDescent="0.25">
      <c r="A196" s="247">
        <v>194</v>
      </c>
      <c r="B196" s="270"/>
      <c r="C196" s="270"/>
      <c r="D196" s="271"/>
      <c r="E196" s="272"/>
      <c r="F196" s="272"/>
      <c r="G196" s="273"/>
      <c r="H196" s="274"/>
      <c r="I196" s="274"/>
      <c r="J196" s="274"/>
      <c r="K196" s="274"/>
      <c r="L196" s="274"/>
      <c r="M196" s="274"/>
      <c r="N196" s="274"/>
      <c r="O196" s="274"/>
      <c r="P196" s="274"/>
      <c r="Q196" s="274"/>
      <c r="R196" s="274"/>
      <c r="S196" s="274"/>
      <c r="T196" s="274"/>
      <c r="U196" s="274"/>
      <c r="V196" s="274"/>
    </row>
    <row r="197" spans="1:22" x14ac:dyDescent="0.25">
      <c r="A197" s="247">
        <v>195</v>
      </c>
      <c r="B197" s="270"/>
      <c r="C197" s="270"/>
      <c r="D197" s="271"/>
      <c r="E197" s="272"/>
      <c r="F197" s="272"/>
      <c r="G197" s="273"/>
      <c r="H197" s="274"/>
      <c r="I197" s="274"/>
      <c r="J197" s="274"/>
      <c r="K197" s="274"/>
      <c r="L197" s="274"/>
      <c r="M197" s="274"/>
      <c r="N197" s="274"/>
      <c r="O197" s="274"/>
      <c r="P197" s="274"/>
      <c r="Q197" s="274"/>
      <c r="R197" s="274"/>
      <c r="S197" s="274"/>
      <c r="T197" s="274"/>
      <c r="U197" s="274"/>
      <c r="V197" s="274"/>
    </row>
    <row r="198" spans="1:22" x14ac:dyDescent="0.25">
      <c r="A198" s="247">
        <v>196</v>
      </c>
      <c r="B198" s="270"/>
      <c r="C198" s="270"/>
      <c r="D198" s="271"/>
      <c r="E198" s="272"/>
      <c r="F198" s="272"/>
      <c r="G198" s="273"/>
      <c r="H198" s="274"/>
      <c r="I198" s="274"/>
      <c r="J198" s="274"/>
      <c r="K198" s="274"/>
      <c r="L198" s="274"/>
      <c r="M198" s="274"/>
      <c r="N198" s="274"/>
      <c r="O198" s="274"/>
      <c r="P198" s="274"/>
      <c r="Q198" s="274"/>
      <c r="R198" s="274"/>
      <c r="S198" s="274"/>
      <c r="T198" s="274"/>
      <c r="U198" s="274"/>
      <c r="V198" s="274"/>
    </row>
    <row r="199" spans="1:22" x14ac:dyDescent="0.25">
      <c r="A199" s="247">
        <v>197</v>
      </c>
      <c r="B199" s="270"/>
      <c r="C199" s="270"/>
      <c r="D199" s="271"/>
      <c r="E199" s="272"/>
      <c r="F199" s="272"/>
      <c r="G199" s="273"/>
      <c r="H199" s="274"/>
      <c r="I199" s="274"/>
      <c r="J199" s="274"/>
      <c r="K199" s="274"/>
      <c r="L199" s="274"/>
      <c r="M199" s="274"/>
      <c r="N199" s="274"/>
      <c r="O199" s="274"/>
      <c r="P199" s="274"/>
      <c r="Q199" s="274"/>
      <c r="R199" s="274"/>
      <c r="S199" s="274"/>
      <c r="T199" s="274"/>
      <c r="U199" s="274"/>
      <c r="V199" s="274"/>
    </row>
    <row r="200" spans="1:22" x14ac:dyDescent="0.25">
      <c r="A200" s="247">
        <v>198</v>
      </c>
      <c r="B200" s="270"/>
      <c r="C200" s="270"/>
      <c r="D200" s="271"/>
      <c r="E200" s="272"/>
      <c r="F200" s="272"/>
      <c r="G200" s="273"/>
      <c r="H200" s="274"/>
      <c r="I200" s="274"/>
      <c r="J200" s="274"/>
      <c r="K200" s="274"/>
      <c r="L200" s="274"/>
      <c r="M200" s="274"/>
      <c r="N200" s="274"/>
      <c r="O200" s="274"/>
      <c r="P200" s="274"/>
      <c r="Q200" s="274"/>
      <c r="R200" s="274"/>
      <c r="S200" s="274"/>
      <c r="T200" s="274"/>
      <c r="U200" s="274"/>
      <c r="V200" s="274"/>
    </row>
    <row r="201" spans="1:22" x14ac:dyDescent="0.25">
      <c r="A201" s="247">
        <v>199</v>
      </c>
      <c r="B201" s="270"/>
      <c r="C201" s="270"/>
      <c r="D201" s="271"/>
      <c r="E201" s="272"/>
      <c r="F201" s="272"/>
      <c r="G201" s="273"/>
      <c r="H201" s="274"/>
      <c r="I201" s="274"/>
      <c r="J201" s="274"/>
      <c r="K201" s="274"/>
      <c r="L201" s="274"/>
      <c r="M201" s="274"/>
      <c r="N201" s="274"/>
      <c r="O201" s="274"/>
      <c r="P201" s="274"/>
      <c r="Q201" s="274"/>
      <c r="R201" s="274"/>
      <c r="S201" s="274"/>
      <c r="T201" s="274"/>
      <c r="U201" s="274"/>
      <c r="V201" s="274"/>
    </row>
    <row r="202" spans="1:22" x14ac:dyDescent="0.25">
      <c r="A202" s="247">
        <v>200</v>
      </c>
      <c r="B202" s="270"/>
      <c r="C202" s="270"/>
      <c r="D202" s="271"/>
      <c r="E202" s="272"/>
      <c r="F202" s="272"/>
      <c r="G202" s="273"/>
      <c r="H202" s="274"/>
      <c r="I202" s="274"/>
      <c r="J202" s="274"/>
      <c r="K202" s="274"/>
      <c r="L202" s="274"/>
      <c r="M202" s="274"/>
      <c r="N202" s="274"/>
      <c r="O202" s="274"/>
      <c r="P202" s="274"/>
      <c r="Q202" s="274"/>
      <c r="R202" s="274"/>
      <c r="S202" s="274"/>
      <c r="T202" s="274"/>
      <c r="U202" s="274"/>
      <c r="V202" s="274"/>
    </row>
    <row r="203" spans="1:22" x14ac:dyDescent="0.25">
      <c r="A203" s="247">
        <v>201</v>
      </c>
      <c r="B203" s="270"/>
      <c r="C203" s="270"/>
      <c r="D203" s="271"/>
      <c r="E203" s="272"/>
      <c r="F203" s="272"/>
      <c r="G203" s="273"/>
      <c r="H203" s="274"/>
      <c r="I203" s="274"/>
      <c r="J203" s="274"/>
      <c r="K203" s="274"/>
      <c r="L203" s="274"/>
      <c r="M203" s="274"/>
      <c r="N203" s="274"/>
      <c r="O203" s="274"/>
      <c r="P203" s="274"/>
      <c r="Q203" s="274"/>
      <c r="R203" s="274"/>
      <c r="S203" s="274"/>
      <c r="T203" s="274"/>
      <c r="U203" s="274"/>
      <c r="V203" s="274"/>
    </row>
    <row r="204" spans="1:22" x14ac:dyDescent="0.25">
      <c r="A204" s="247">
        <v>202</v>
      </c>
      <c r="B204" s="270"/>
      <c r="C204" s="270"/>
      <c r="D204" s="271"/>
      <c r="E204" s="272"/>
      <c r="F204" s="272"/>
      <c r="G204" s="273"/>
      <c r="H204" s="274"/>
      <c r="I204" s="274"/>
      <c r="J204" s="274"/>
      <c r="K204" s="274"/>
      <c r="L204" s="274"/>
      <c r="M204" s="274"/>
      <c r="N204" s="274"/>
      <c r="O204" s="274"/>
      <c r="P204" s="274"/>
      <c r="Q204" s="274"/>
      <c r="R204" s="274"/>
      <c r="S204" s="274"/>
      <c r="T204" s="274"/>
      <c r="U204" s="274"/>
      <c r="V204" s="274"/>
    </row>
    <row r="205" spans="1:22" x14ac:dyDescent="0.25">
      <c r="A205" s="247">
        <v>203</v>
      </c>
      <c r="B205" s="270"/>
      <c r="C205" s="270"/>
      <c r="D205" s="271"/>
      <c r="E205" s="272"/>
      <c r="F205" s="272"/>
      <c r="G205" s="273"/>
      <c r="H205" s="274"/>
      <c r="I205" s="274"/>
      <c r="J205" s="274"/>
      <c r="K205" s="274"/>
      <c r="L205" s="274"/>
      <c r="M205" s="274"/>
      <c r="N205" s="274"/>
      <c r="O205" s="274"/>
      <c r="P205" s="274"/>
      <c r="Q205" s="274"/>
      <c r="R205" s="274"/>
      <c r="S205" s="274"/>
      <c r="T205" s="274"/>
      <c r="U205" s="274"/>
      <c r="V205" s="274"/>
    </row>
    <row r="206" spans="1:22" x14ac:dyDescent="0.25">
      <c r="A206" s="247">
        <v>204</v>
      </c>
      <c r="B206" s="270"/>
      <c r="C206" s="270"/>
      <c r="D206" s="271"/>
      <c r="E206" s="272"/>
      <c r="F206" s="272"/>
      <c r="G206" s="273"/>
      <c r="H206" s="274"/>
      <c r="I206" s="274"/>
      <c r="J206" s="274"/>
      <c r="K206" s="274"/>
      <c r="L206" s="274"/>
      <c r="M206" s="274"/>
      <c r="N206" s="274"/>
      <c r="O206" s="274"/>
      <c r="P206" s="274"/>
      <c r="Q206" s="274"/>
      <c r="R206" s="274"/>
      <c r="S206" s="274"/>
      <c r="T206" s="274"/>
      <c r="U206" s="274"/>
      <c r="V206" s="274"/>
    </row>
    <row r="207" spans="1:22" x14ac:dyDescent="0.25">
      <c r="A207" s="247">
        <v>205</v>
      </c>
      <c r="B207" s="270"/>
      <c r="C207" s="270"/>
      <c r="D207" s="271"/>
      <c r="E207" s="272"/>
      <c r="F207" s="272"/>
      <c r="G207" s="273"/>
      <c r="H207" s="274"/>
      <c r="I207" s="274"/>
      <c r="J207" s="274"/>
      <c r="K207" s="274"/>
      <c r="L207" s="274"/>
      <c r="M207" s="274"/>
      <c r="N207" s="274"/>
      <c r="O207" s="274"/>
      <c r="P207" s="274"/>
      <c r="Q207" s="274"/>
      <c r="R207" s="274"/>
      <c r="S207" s="274"/>
      <c r="T207" s="274"/>
      <c r="U207" s="274"/>
      <c r="V207" s="274"/>
    </row>
    <row r="208" spans="1:22" x14ac:dyDescent="0.25">
      <c r="A208" s="247">
        <v>206</v>
      </c>
      <c r="B208" s="270"/>
      <c r="C208" s="270"/>
      <c r="D208" s="271"/>
      <c r="E208" s="272"/>
      <c r="F208" s="272"/>
      <c r="G208" s="273"/>
      <c r="H208" s="274"/>
      <c r="I208" s="274"/>
      <c r="J208" s="274"/>
      <c r="K208" s="274"/>
      <c r="L208" s="274"/>
      <c r="M208" s="274"/>
      <c r="N208" s="274"/>
      <c r="O208" s="274"/>
      <c r="P208" s="274"/>
      <c r="Q208" s="274"/>
      <c r="R208" s="274"/>
      <c r="S208" s="274"/>
      <c r="T208" s="274"/>
      <c r="U208" s="274"/>
      <c r="V208" s="274"/>
    </row>
    <row r="209" spans="1:22" x14ac:dyDescent="0.25">
      <c r="A209" s="247">
        <v>207</v>
      </c>
      <c r="B209" s="270"/>
      <c r="C209" s="270"/>
      <c r="D209" s="271"/>
      <c r="E209" s="272"/>
      <c r="F209" s="272"/>
      <c r="G209" s="273"/>
      <c r="H209" s="274"/>
      <c r="I209" s="274"/>
      <c r="J209" s="274"/>
      <c r="K209" s="274"/>
      <c r="L209" s="274"/>
      <c r="M209" s="274"/>
      <c r="N209" s="274"/>
      <c r="O209" s="274"/>
      <c r="P209" s="274"/>
      <c r="Q209" s="274"/>
      <c r="R209" s="274"/>
      <c r="S209" s="274"/>
      <c r="T209" s="274"/>
      <c r="U209" s="274"/>
      <c r="V209" s="274"/>
    </row>
    <row r="210" spans="1:22" x14ac:dyDescent="0.25">
      <c r="A210" s="247">
        <v>208</v>
      </c>
      <c r="B210" s="270"/>
      <c r="C210" s="270"/>
      <c r="D210" s="271"/>
      <c r="E210" s="272"/>
      <c r="F210" s="272"/>
      <c r="G210" s="273"/>
      <c r="H210" s="274"/>
      <c r="I210" s="274"/>
      <c r="J210" s="274"/>
      <c r="K210" s="274"/>
      <c r="L210" s="274"/>
      <c r="M210" s="274"/>
      <c r="N210" s="274"/>
      <c r="O210" s="274"/>
      <c r="P210" s="274"/>
      <c r="Q210" s="274"/>
      <c r="R210" s="274"/>
      <c r="S210" s="274"/>
      <c r="T210" s="274"/>
      <c r="U210" s="274"/>
      <c r="V210" s="274"/>
    </row>
    <row r="211" spans="1:22" x14ac:dyDescent="0.25">
      <c r="A211" s="247">
        <v>209</v>
      </c>
      <c r="B211" s="270"/>
      <c r="C211" s="270"/>
      <c r="D211" s="271"/>
      <c r="E211" s="272"/>
      <c r="F211" s="272"/>
      <c r="G211" s="273"/>
      <c r="H211" s="274"/>
      <c r="I211" s="274"/>
      <c r="J211" s="274"/>
      <c r="K211" s="274"/>
      <c r="L211" s="274"/>
      <c r="M211" s="274"/>
      <c r="N211" s="274"/>
      <c r="O211" s="274"/>
      <c r="P211" s="274"/>
      <c r="Q211" s="274"/>
      <c r="R211" s="274"/>
      <c r="S211" s="274"/>
      <c r="T211" s="274"/>
      <c r="U211" s="274"/>
      <c r="V211" s="274"/>
    </row>
    <row r="212" spans="1:22" x14ac:dyDescent="0.25">
      <c r="A212" s="247">
        <v>210</v>
      </c>
      <c r="B212" s="270"/>
      <c r="C212" s="270"/>
      <c r="D212" s="271"/>
      <c r="E212" s="272"/>
      <c r="F212" s="272"/>
      <c r="G212" s="273"/>
      <c r="H212" s="274"/>
      <c r="I212" s="274"/>
      <c r="J212" s="274"/>
      <c r="K212" s="274"/>
      <c r="L212" s="274"/>
      <c r="M212" s="274"/>
      <c r="N212" s="274"/>
      <c r="O212" s="274"/>
      <c r="P212" s="274"/>
      <c r="Q212" s="274"/>
      <c r="R212" s="274"/>
      <c r="S212" s="274"/>
      <c r="T212" s="274"/>
      <c r="U212" s="274"/>
      <c r="V212" s="274"/>
    </row>
    <row r="213" spans="1:22" x14ac:dyDescent="0.25">
      <c r="A213" s="247">
        <v>211</v>
      </c>
      <c r="B213" s="270"/>
      <c r="C213" s="270"/>
      <c r="D213" s="271"/>
      <c r="E213" s="272"/>
      <c r="F213" s="272"/>
      <c r="G213" s="273"/>
      <c r="H213" s="274"/>
      <c r="I213" s="274"/>
      <c r="J213" s="274"/>
      <c r="K213" s="274"/>
      <c r="L213" s="274"/>
      <c r="M213" s="274"/>
      <c r="N213" s="274"/>
      <c r="O213" s="274"/>
      <c r="P213" s="274"/>
      <c r="Q213" s="274"/>
      <c r="R213" s="274"/>
      <c r="S213" s="274"/>
      <c r="T213" s="274"/>
      <c r="U213" s="274"/>
      <c r="V213" s="274"/>
    </row>
    <row r="214" spans="1:22" x14ac:dyDescent="0.25">
      <c r="A214" s="247">
        <v>212</v>
      </c>
      <c r="B214" s="270"/>
      <c r="C214" s="270"/>
      <c r="D214" s="271"/>
      <c r="E214" s="272"/>
      <c r="F214" s="272"/>
      <c r="G214" s="273"/>
      <c r="H214" s="274"/>
      <c r="I214" s="274"/>
      <c r="J214" s="274"/>
      <c r="K214" s="274"/>
      <c r="L214" s="274"/>
      <c r="M214" s="274"/>
      <c r="N214" s="274"/>
      <c r="O214" s="274"/>
      <c r="P214" s="274"/>
      <c r="Q214" s="274"/>
      <c r="R214" s="274"/>
      <c r="S214" s="274"/>
      <c r="T214" s="274"/>
      <c r="U214" s="274"/>
      <c r="V214" s="274"/>
    </row>
    <row r="215" spans="1:22" x14ac:dyDescent="0.25">
      <c r="A215" s="247">
        <v>213</v>
      </c>
      <c r="B215" s="270"/>
      <c r="C215" s="270"/>
      <c r="D215" s="271"/>
      <c r="E215" s="272"/>
      <c r="F215" s="272"/>
      <c r="G215" s="273"/>
      <c r="H215" s="274"/>
      <c r="I215" s="274"/>
      <c r="J215" s="274"/>
      <c r="K215" s="274"/>
      <c r="L215" s="274"/>
      <c r="M215" s="274"/>
      <c r="N215" s="274"/>
      <c r="O215" s="274"/>
      <c r="P215" s="274"/>
      <c r="Q215" s="274"/>
      <c r="R215" s="274"/>
      <c r="S215" s="274"/>
      <c r="T215" s="274"/>
      <c r="U215" s="274"/>
      <c r="V215" s="274"/>
    </row>
    <row r="216" spans="1:22" x14ac:dyDescent="0.25">
      <c r="A216" s="247">
        <v>214</v>
      </c>
      <c r="B216" s="270"/>
      <c r="C216" s="270"/>
      <c r="D216" s="271"/>
      <c r="E216" s="272"/>
      <c r="F216" s="272"/>
      <c r="G216" s="273"/>
      <c r="H216" s="274"/>
      <c r="I216" s="274"/>
      <c r="J216" s="274"/>
      <c r="K216" s="274"/>
      <c r="L216" s="274"/>
      <c r="M216" s="274"/>
      <c r="N216" s="274"/>
      <c r="O216" s="274"/>
      <c r="P216" s="274"/>
      <c r="Q216" s="274"/>
      <c r="R216" s="274"/>
      <c r="S216" s="274"/>
      <c r="T216" s="274"/>
      <c r="U216" s="274"/>
      <c r="V216" s="274"/>
    </row>
    <row r="217" spans="1:22" x14ac:dyDescent="0.25">
      <c r="A217" s="247">
        <v>215</v>
      </c>
      <c r="B217" s="270"/>
      <c r="C217" s="270"/>
      <c r="D217" s="271"/>
      <c r="E217" s="272"/>
      <c r="F217" s="272"/>
      <c r="G217" s="273"/>
      <c r="H217" s="274"/>
      <c r="I217" s="274"/>
      <c r="J217" s="274"/>
      <c r="K217" s="274"/>
      <c r="L217" s="274"/>
      <c r="M217" s="274"/>
      <c r="N217" s="274"/>
      <c r="O217" s="274"/>
      <c r="P217" s="274"/>
      <c r="Q217" s="274"/>
      <c r="R217" s="274"/>
      <c r="S217" s="274"/>
      <c r="T217" s="274"/>
      <c r="U217" s="274"/>
      <c r="V217" s="274"/>
    </row>
    <row r="218" spans="1:22" x14ac:dyDescent="0.25">
      <c r="A218" s="247">
        <v>216</v>
      </c>
      <c r="B218" s="270"/>
      <c r="C218" s="270"/>
      <c r="D218" s="271"/>
      <c r="E218" s="272"/>
      <c r="F218" s="272"/>
      <c r="G218" s="273"/>
      <c r="H218" s="274"/>
      <c r="I218" s="274"/>
      <c r="J218" s="274"/>
      <c r="K218" s="274"/>
      <c r="L218" s="274"/>
      <c r="M218" s="274"/>
      <c r="N218" s="274"/>
      <c r="O218" s="274"/>
      <c r="P218" s="274"/>
      <c r="Q218" s="274"/>
      <c r="R218" s="274"/>
      <c r="S218" s="274"/>
      <c r="T218" s="274"/>
      <c r="U218" s="274"/>
      <c r="V218" s="274"/>
    </row>
    <row r="219" spans="1:22" x14ac:dyDescent="0.25">
      <c r="A219" s="247">
        <v>217</v>
      </c>
      <c r="B219" s="270"/>
      <c r="C219" s="270"/>
      <c r="D219" s="271"/>
      <c r="E219" s="272"/>
      <c r="F219" s="272"/>
      <c r="G219" s="273"/>
      <c r="H219" s="274"/>
      <c r="I219" s="274"/>
      <c r="J219" s="274"/>
      <c r="K219" s="274"/>
      <c r="L219" s="274"/>
      <c r="M219" s="274"/>
      <c r="N219" s="274"/>
      <c r="O219" s="274"/>
      <c r="P219" s="274"/>
      <c r="Q219" s="274"/>
      <c r="R219" s="274"/>
      <c r="S219" s="274"/>
      <c r="T219" s="274"/>
      <c r="U219" s="274"/>
      <c r="V219" s="274"/>
    </row>
    <row r="220" spans="1:22" x14ac:dyDescent="0.25">
      <c r="A220" s="247">
        <v>218</v>
      </c>
      <c r="B220" s="270"/>
      <c r="C220" s="270"/>
      <c r="D220" s="271"/>
      <c r="E220" s="272"/>
      <c r="F220" s="272"/>
      <c r="G220" s="273"/>
      <c r="H220" s="274"/>
      <c r="I220" s="274"/>
      <c r="J220" s="274"/>
      <c r="K220" s="274"/>
      <c r="L220" s="274"/>
      <c r="M220" s="274"/>
      <c r="N220" s="274"/>
      <c r="O220" s="274"/>
      <c r="P220" s="274"/>
      <c r="Q220" s="274"/>
      <c r="R220" s="274"/>
      <c r="S220" s="274"/>
      <c r="T220" s="274"/>
      <c r="U220" s="274"/>
      <c r="V220" s="274"/>
    </row>
    <row r="221" spans="1:22" x14ac:dyDescent="0.25">
      <c r="A221" s="247">
        <v>219</v>
      </c>
      <c r="B221" s="270"/>
      <c r="C221" s="270"/>
      <c r="D221" s="271"/>
      <c r="E221" s="272"/>
      <c r="F221" s="272"/>
      <c r="G221" s="273"/>
      <c r="H221" s="274"/>
      <c r="I221" s="274"/>
      <c r="J221" s="274"/>
      <c r="K221" s="274"/>
      <c r="L221" s="274"/>
      <c r="M221" s="274"/>
      <c r="N221" s="274"/>
      <c r="O221" s="274"/>
      <c r="P221" s="274"/>
      <c r="Q221" s="274"/>
      <c r="R221" s="274"/>
      <c r="S221" s="274"/>
      <c r="T221" s="274"/>
      <c r="U221" s="274"/>
      <c r="V221" s="274"/>
    </row>
    <row r="222" spans="1:22" x14ac:dyDescent="0.25">
      <c r="A222" s="247">
        <v>220</v>
      </c>
      <c r="B222" s="270"/>
      <c r="C222" s="270"/>
      <c r="D222" s="271"/>
      <c r="E222" s="272"/>
      <c r="F222" s="272"/>
      <c r="G222" s="273"/>
      <c r="H222" s="274"/>
      <c r="I222" s="274"/>
      <c r="J222" s="274"/>
      <c r="K222" s="274"/>
      <c r="L222" s="274"/>
      <c r="M222" s="274"/>
      <c r="N222" s="274"/>
      <c r="O222" s="274"/>
      <c r="P222" s="274"/>
      <c r="Q222" s="274"/>
      <c r="R222" s="274"/>
      <c r="S222" s="274"/>
      <c r="T222" s="274"/>
      <c r="U222" s="274"/>
      <c r="V222" s="274"/>
    </row>
    <row r="223" spans="1:22" x14ac:dyDescent="0.25">
      <c r="A223" s="247">
        <v>221</v>
      </c>
      <c r="B223" s="270"/>
      <c r="C223" s="270"/>
      <c r="D223" s="271"/>
      <c r="E223" s="272"/>
      <c r="F223" s="272"/>
      <c r="G223" s="273"/>
      <c r="H223" s="274"/>
      <c r="I223" s="274"/>
      <c r="J223" s="274"/>
      <c r="K223" s="274"/>
      <c r="L223" s="274"/>
      <c r="M223" s="274"/>
      <c r="N223" s="274"/>
      <c r="O223" s="274"/>
      <c r="P223" s="274"/>
      <c r="Q223" s="274"/>
      <c r="R223" s="274"/>
      <c r="S223" s="274"/>
      <c r="T223" s="274"/>
      <c r="U223" s="274"/>
      <c r="V223" s="274"/>
    </row>
    <row r="224" spans="1:22" x14ac:dyDescent="0.25">
      <c r="A224" s="247">
        <v>222</v>
      </c>
      <c r="B224" s="270"/>
      <c r="C224" s="270"/>
      <c r="D224" s="271"/>
      <c r="E224" s="272"/>
      <c r="F224" s="272"/>
      <c r="G224" s="273"/>
      <c r="H224" s="274"/>
      <c r="I224" s="274"/>
      <c r="J224" s="274"/>
      <c r="K224" s="274"/>
      <c r="L224" s="274"/>
      <c r="M224" s="274"/>
      <c r="N224" s="274"/>
      <c r="O224" s="274"/>
      <c r="P224" s="274"/>
      <c r="Q224" s="274"/>
      <c r="R224" s="274"/>
      <c r="S224" s="274"/>
      <c r="T224" s="274"/>
      <c r="U224" s="274"/>
      <c r="V224" s="274"/>
    </row>
    <row r="225" spans="1:22" x14ac:dyDescent="0.25">
      <c r="A225" s="247">
        <v>223</v>
      </c>
      <c r="B225" s="270"/>
      <c r="C225" s="270"/>
      <c r="D225" s="271"/>
      <c r="E225" s="272"/>
      <c r="F225" s="272"/>
      <c r="G225" s="273"/>
      <c r="H225" s="274"/>
      <c r="I225" s="274"/>
      <c r="J225" s="274"/>
      <c r="K225" s="274"/>
      <c r="L225" s="274"/>
      <c r="M225" s="274"/>
      <c r="N225" s="274"/>
      <c r="O225" s="274"/>
      <c r="P225" s="274"/>
      <c r="Q225" s="274"/>
      <c r="R225" s="274"/>
      <c r="S225" s="274"/>
      <c r="T225" s="274"/>
      <c r="U225" s="274"/>
      <c r="V225" s="274"/>
    </row>
    <row r="226" spans="1:22" x14ac:dyDescent="0.25">
      <c r="A226" s="247">
        <v>224</v>
      </c>
      <c r="B226" s="270"/>
      <c r="C226" s="270"/>
      <c r="D226" s="271"/>
      <c r="E226" s="272"/>
      <c r="F226" s="272"/>
      <c r="G226" s="273"/>
      <c r="H226" s="274"/>
      <c r="I226" s="274"/>
      <c r="J226" s="274"/>
      <c r="K226" s="274"/>
      <c r="L226" s="274"/>
      <c r="M226" s="274"/>
      <c r="N226" s="274"/>
      <c r="O226" s="274"/>
      <c r="P226" s="274"/>
      <c r="Q226" s="274"/>
      <c r="R226" s="274"/>
      <c r="S226" s="274"/>
      <c r="T226" s="274"/>
      <c r="U226" s="274"/>
      <c r="V226" s="274"/>
    </row>
    <row r="227" spans="1:22" x14ac:dyDescent="0.25">
      <c r="A227" s="247">
        <v>225</v>
      </c>
      <c r="B227" s="270"/>
      <c r="C227" s="270"/>
      <c r="D227" s="271"/>
      <c r="E227" s="272"/>
      <c r="F227" s="272"/>
      <c r="G227" s="273"/>
      <c r="H227" s="274"/>
      <c r="I227" s="274"/>
      <c r="J227" s="274"/>
      <c r="K227" s="274"/>
      <c r="L227" s="274"/>
      <c r="M227" s="274"/>
      <c r="N227" s="274"/>
      <c r="O227" s="274"/>
      <c r="P227" s="274"/>
      <c r="Q227" s="274"/>
      <c r="R227" s="274"/>
      <c r="S227" s="274"/>
      <c r="T227" s="274"/>
      <c r="U227" s="274"/>
      <c r="V227" s="274"/>
    </row>
    <row r="228" spans="1:22" x14ac:dyDescent="0.25">
      <c r="A228" s="247">
        <v>226</v>
      </c>
      <c r="B228" s="270"/>
      <c r="C228" s="270"/>
      <c r="D228" s="271"/>
      <c r="E228" s="272"/>
      <c r="F228" s="272"/>
      <c r="G228" s="273"/>
      <c r="H228" s="274"/>
      <c r="I228" s="274"/>
      <c r="J228" s="274"/>
      <c r="K228" s="274"/>
      <c r="L228" s="274"/>
      <c r="M228" s="274"/>
      <c r="N228" s="274"/>
      <c r="O228" s="274"/>
      <c r="P228" s="274"/>
      <c r="Q228" s="274"/>
      <c r="R228" s="274"/>
      <c r="S228" s="274"/>
      <c r="T228" s="274"/>
      <c r="U228" s="274"/>
      <c r="V228" s="274"/>
    </row>
    <row r="229" spans="1:22" x14ac:dyDescent="0.25">
      <c r="A229" s="247">
        <v>227</v>
      </c>
      <c r="B229" s="270"/>
      <c r="C229" s="270"/>
      <c r="D229" s="271"/>
      <c r="E229" s="272"/>
      <c r="F229" s="272"/>
      <c r="G229" s="273"/>
      <c r="H229" s="274"/>
      <c r="I229" s="274"/>
      <c r="J229" s="274"/>
      <c r="K229" s="274"/>
      <c r="L229" s="274"/>
      <c r="M229" s="274"/>
      <c r="N229" s="274"/>
      <c r="O229" s="274"/>
      <c r="P229" s="274"/>
      <c r="Q229" s="274"/>
      <c r="R229" s="274"/>
      <c r="S229" s="274"/>
      <c r="T229" s="274"/>
      <c r="U229" s="274"/>
      <c r="V229" s="274"/>
    </row>
    <row r="230" spans="1:22" x14ac:dyDescent="0.25">
      <c r="A230" s="247">
        <v>228</v>
      </c>
      <c r="B230" s="270"/>
      <c r="C230" s="270"/>
      <c r="D230" s="271"/>
      <c r="E230" s="272"/>
      <c r="F230" s="272"/>
      <c r="G230" s="273"/>
      <c r="H230" s="274"/>
      <c r="I230" s="274"/>
      <c r="J230" s="274"/>
      <c r="K230" s="274"/>
      <c r="L230" s="274"/>
      <c r="M230" s="274"/>
      <c r="N230" s="274"/>
      <c r="O230" s="274"/>
      <c r="P230" s="274"/>
      <c r="Q230" s="274"/>
      <c r="R230" s="274"/>
      <c r="S230" s="274"/>
      <c r="T230" s="274"/>
      <c r="U230" s="274"/>
      <c r="V230" s="274"/>
    </row>
    <row r="231" spans="1:22" x14ac:dyDescent="0.25">
      <c r="A231" s="247">
        <v>229</v>
      </c>
      <c r="B231" s="270"/>
      <c r="C231" s="270"/>
      <c r="D231" s="271"/>
      <c r="E231" s="272"/>
      <c r="F231" s="272"/>
      <c r="G231" s="273"/>
      <c r="H231" s="274"/>
      <c r="I231" s="274"/>
      <c r="J231" s="274"/>
      <c r="K231" s="274"/>
      <c r="L231" s="274"/>
      <c r="M231" s="274"/>
      <c r="N231" s="274"/>
      <c r="O231" s="274"/>
      <c r="P231" s="274"/>
      <c r="Q231" s="274"/>
      <c r="R231" s="274"/>
      <c r="S231" s="274"/>
      <c r="T231" s="274"/>
      <c r="U231" s="274"/>
      <c r="V231" s="274"/>
    </row>
    <row r="232" spans="1:22" x14ac:dyDescent="0.25">
      <c r="A232" s="247">
        <v>230</v>
      </c>
      <c r="B232" s="270"/>
      <c r="C232" s="270"/>
      <c r="D232" s="271"/>
      <c r="E232" s="272"/>
      <c r="F232" s="272"/>
      <c r="G232" s="273"/>
      <c r="H232" s="274"/>
      <c r="I232" s="274"/>
      <c r="J232" s="274"/>
      <c r="K232" s="274"/>
      <c r="L232" s="274"/>
      <c r="M232" s="274"/>
      <c r="N232" s="274"/>
      <c r="O232" s="274"/>
      <c r="P232" s="274"/>
      <c r="Q232" s="274"/>
      <c r="R232" s="274"/>
      <c r="S232" s="274"/>
      <c r="T232" s="274"/>
      <c r="U232" s="274"/>
      <c r="V232" s="274"/>
    </row>
    <row r="233" spans="1:22" x14ac:dyDescent="0.25">
      <c r="A233" s="247">
        <v>231</v>
      </c>
      <c r="B233" s="270"/>
      <c r="C233" s="270"/>
      <c r="D233" s="271"/>
      <c r="E233" s="272"/>
      <c r="F233" s="272"/>
      <c r="G233" s="273"/>
      <c r="H233" s="274"/>
      <c r="I233" s="274"/>
      <c r="J233" s="274"/>
      <c r="K233" s="274"/>
      <c r="L233" s="274"/>
      <c r="M233" s="274"/>
      <c r="N233" s="274"/>
      <c r="O233" s="274"/>
      <c r="P233" s="274"/>
      <c r="Q233" s="274"/>
      <c r="R233" s="274"/>
      <c r="S233" s="274"/>
      <c r="T233" s="274"/>
      <c r="U233" s="274"/>
      <c r="V233" s="274"/>
    </row>
    <row r="234" spans="1:22" x14ac:dyDescent="0.25">
      <c r="A234" s="247">
        <v>232</v>
      </c>
      <c r="B234" s="270"/>
      <c r="C234" s="270"/>
      <c r="D234" s="271"/>
      <c r="E234" s="272"/>
      <c r="F234" s="272"/>
      <c r="G234" s="273"/>
      <c r="H234" s="274"/>
      <c r="I234" s="274"/>
      <c r="J234" s="274"/>
      <c r="K234" s="274"/>
      <c r="L234" s="274"/>
      <c r="M234" s="274"/>
      <c r="N234" s="274"/>
      <c r="O234" s="274"/>
      <c r="P234" s="274"/>
      <c r="Q234" s="274"/>
      <c r="R234" s="274"/>
      <c r="S234" s="274"/>
      <c r="T234" s="274"/>
      <c r="U234" s="274"/>
      <c r="V234" s="274"/>
    </row>
    <row r="235" spans="1:22" x14ac:dyDescent="0.25">
      <c r="A235" s="247">
        <v>233</v>
      </c>
      <c r="B235" s="270"/>
      <c r="C235" s="270"/>
      <c r="D235" s="271"/>
      <c r="E235" s="272"/>
      <c r="F235" s="272"/>
      <c r="G235" s="273"/>
      <c r="H235" s="274"/>
      <c r="I235" s="274"/>
      <c r="J235" s="274"/>
      <c r="K235" s="274"/>
      <c r="L235" s="274"/>
      <c r="M235" s="274"/>
      <c r="N235" s="274"/>
      <c r="O235" s="274"/>
      <c r="P235" s="274"/>
      <c r="Q235" s="274"/>
      <c r="R235" s="274"/>
      <c r="S235" s="274"/>
      <c r="T235" s="274"/>
      <c r="U235" s="274"/>
      <c r="V235" s="274"/>
    </row>
    <row r="236" spans="1:22" x14ac:dyDescent="0.25">
      <c r="A236" s="247">
        <v>234</v>
      </c>
      <c r="B236" s="270"/>
      <c r="C236" s="270"/>
      <c r="D236" s="271"/>
      <c r="E236" s="272"/>
      <c r="F236" s="272"/>
      <c r="G236" s="273"/>
      <c r="H236" s="274"/>
      <c r="I236" s="274"/>
      <c r="J236" s="274"/>
      <c r="K236" s="274"/>
      <c r="L236" s="274"/>
      <c r="M236" s="274"/>
      <c r="N236" s="274"/>
      <c r="O236" s="274"/>
      <c r="P236" s="274"/>
      <c r="Q236" s="274"/>
      <c r="R236" s="274"/>
      <c r="S236" s="274"/>
      <c r="T236" s="274"/>
      <c r="U236" s="274"/>
      <c r="V236" s="274"/>
    </row>
    <row r="237" spans="1:22" x14ac:dyDescent="0.25">
      <c r="A237" s="247">
        <v>235</v>
      </c>
      <c r="B237" s="270"/>
      <c r="C237" s="270"/>
      <c r="D237" s="271"/>
      <c r="E237" s="272"/>
      <c r="F237" s="272"/>
      <c r="G237" s="273"/>
      <c r="H237" s="274"/>
      <c r="I237" s="274"/>
      <c r="J237" s="274"/>
      <c r="K237" s="274"/>
      <c r="L237" s="274"/>
      <c r="M237" s="274"/>
      <c r="N237" s="274"/>
      <c r="O237" s="274"/>
      <c r="P237" s="274"/>
      <c r="Q237" s="274"/>
      <c r="R237" s="274"/>
      <c r="S237" s="274"/>
      <c r="T237" s="274"/>
      <c r="U237" s="274"/>
      <c r="V237" s="274"/>
    </row>
    <row r="238" spans="1:22" x14ac:dyDescent="0.25">
      <c r="A238" s="247">
        <v>236</v>
      </c>
      <c r="B238" s="270"/>
      <c r="C238" s="270"/>
      <c r="D238" s="271"/>
      <c r="E238" s="272"/>
      <c r="F238" s="272"/>
      <c r="G238" s="273"/>
      <c r="H238" s="274"/>
      <c r="I238" s="274"/>
      <c r="J238" s="274"/>
      <c r="K238" s="274"/>
      <c r="L238" s="274"/>
      <c r="M238" s="274"/>
      <c r="N238" s="274"/>
      <c r="O238" s="274"/>
      <c r="P238" s="274"/>
      <c r="Q238" s="274"/>
      <c r="R238" s="274"/>
      <c r="S238" s="274"/>
      <c r="T238" s="274"/>
      <c r="U238" s="274"/>
      <c r="V238" s="274"/>
    </row>
    <row r="239" spans="1:22" x14ac:dyDescent="0.25">
      <c r="A239" s="247">
        <v>237</v>
      </c>
      <c r="B239" s="270"/>
      <c r="C239" s="270"/>
      <c r="D239" s="271"/>
      <c r="E239" s="272"/>
      <c r="F239" s="272"/>
      <c r="G239" s="273"/>
      <c r="H239" s="274"/>
      <c r="I239" s="274"/>
      <c r="J239" s="274"/>
      <c r="K239" s="274"/>
      <c r="L239" s="274"/>
      <c r="M239" s="274"/>
      <c r="N239" s="274"/>
      <c r="O239" s="274"/>
      <c r="P239" s="274"/>
      <c r="Q239" s="274"/>
      <c r="R239" s="274"/>
      <c r="S239" s="274"/>
      <c r="T239" s="274"/>
      <c r="U239" s="274"/>
      <c r="V239" s="274"/>
    </row>
    <row r="240" spans="1:22" x14ac:dyDescent="0.25">
      <c r="A240" s="247">
        <v>238</v>
      </c>
      <c r="B240" s="270"/>
      <c r="C240" s="270"/>
      <c r="D240" s="271"/>
      <c r="E240" s="272"/>
      <c r="F240" s="272"/>
      <c r="G240" s="273"/>
      <c r="H240" s="274"/>
      <c r="I240" s="274"/>
      <c r="J240" s="274"/>
      <c r="K240" s="274"/>
      <c r="L240" s="274"/>
      <c r="M240" s="274"/>
      <c r="N240" s="274"/>
      <c r="O240" s="274"/>
      <c r="P240" s="274"/>
      <c r="Q240" s="274"/>
      <c r="R240" s="274"/>
      <c r="S240" s="274"/>
      <c r="T240" s="274"/>
      <c r="U240" s="274"/>
      <c r="V240" s="274"/>
    </row>
    <row r="241" spans="1:22" x14ac:dyDescent="0.25">
      <c r="A241" s="247">
        <v>239</v>
      </c>
      <c r="B241" s="270"/>
      <c r="C241" s="270"/>
      <c r="D241" s="271"/>
      <c r="E241" s="272"/>
      <c r="F241" s="272"/>
      <c r="G241" s="273"/>
      <c r="H241" s="274"/>
      <c r="I241" s="274"/>
      <c r="J241" s="274"/>
      <c r="K241" s="274"/>
      <c r="L241" s="274"/>
      <c r="M241" s="274"/>
      <c r="N241" s="274"/>
      <c r="O241" s="274"/>
      <c r="P241" s="274"/>
      <c r="Q241" s="274"/>
      <c r="R241" s="274"/>
      <c r="S241" s="274"/>
      <c r="T241" s="274"/>
      <c r="U241" s="274"/>
      <c r="V241" s="274"/>
    </row>
    <row r="242" spans="1:22" x14ac:dyDescent="0.25">
      <c r="A242" s="247">
        <v>240</v>
      </c>
      <c r="B242" s="270"/>
      <c r="C242" s="270"/>
      <c r="D242" s="271"/>
      <c r="E242" s="272"/>
      <c r="F242" s="272"/>
      <c r="G242" s="273"/>
      <c r="H242" s="274"/>
      <c r="I242" s="274"/>
      <c r="J242" s="274"/>
      <c r="K242" s="274"/>
      <c r="L242" s="274"/>
      <c r="M242" s="274"/>
      <c r="N242" s="274"/>
      <c r="O242" s="274"/>
      <c r="P242" s="274"/>
      <c r="Q242" s="274"/>
      <c r="R242" s="274"/>
      <c r="S242" s="274"/>
      <c r="T242" s="274"/>
      <c r="U242" s="274"/>
      <c r="V242" s="274"/>
    </row>
    <row r="243" spans="1:22" x14ac:dyDescent="0.25">
      <c r="A243" s="247">
        <v>241</v>
      </c>
      <c r="B243" s="270"/>
      <c r="C243" s="270"/>
      <c r="D243" s="271"/>
      <c r="E243" s="272"/>
      <c r="F243" s="272"/>
      <c r="G243" s="273"/>
      <c r="H243" s="274"/>
      <c r="I243" s="274"/>
      <c r="J243" s="274"/>
      <c r="K243" s="274"/>
      <c r="L243" s="274"/>
      <c r="M243" s="274"/>
      <c r="N243" s="274"/>
      <c r="O243" s="274"/>
      <c r="P243" s="274"/>
      <c r="Q243" s="274"/>
      <c r="R243" s="274"/>
      <c r="S243" s="274"/>
      <c r="T243" s="274"/>
      <c r="U243" s="274"/>
      <c r="V243" s="274"/>
    </row>
    <row r="244" spans="1:22" x14ac:dyDescent="0.25">
      <c r="A244" s="247">
        <v>242</v>
      </c>
      <c r="B244" s="270"/>
      <c r="C244" s="270"/>
      <c r="D244" s="271"/>
      <c r="E244" s="272"/>
      <c r="F244" s="272"/>
      <c r="G244" s="273"/>
      <c r="H244" s="274"/>
      <c r="I244" s="274"/>
      <c r="J244" s="274"/>
      <c r="K244" s="274"/>
      <c r="L244" s="274"/>
      <c r="M244" s="274"/>
      <c r="N244" s="274"/>
      <c r="O244" s="274"/>
      <c r="P244" s="274"/>
      <c r="Q244" s="274"/>
      <c r="R244" s="274"/>
      <c r="S244" s="274"/>
      <c r="T244" s="274"/>
      <c r="U244" s="274"/>
      <c r="V244" s="274"/>
    </row>
    <row r="245" spans="1:22" x14ac:dyDescent="0.25">
      <c r="A245" s="247">
        <v>243</v>
      </c>
      <c r="B245" s="270"/>
      <c r="C245" s="270"/>
      <c r="D245" s="271"/>
      <c r="E245" s="272"/>
      <c r="F245" s="272"/>
      <c r="G245" s="273"/>
      <c r="H245" s="274"/>
      <c r="I245" s="274"/>
      <c r="J245" s="274"/>
      <c r="K245" s="274"/>
      <c r="L245" s="274"/>
      <c r="M245" s="274"/>
      <c r="N245" s="274"/>
      <c r="O245" s="274"/>
      <c r="P245" s="274"/>
      <c r="Q245" s="274"/>
      <c r="R245" s="274"/>
      <c r="S245" s="274"/>
      <c r="T245" s="274"/>
      <c r="U245" s="274"/>
      <c r="V245" s="274"/>
    </row>
    <row r="246" spans="1:22" x14ac:dyDescent="0.25">
      <c r="A246" s="247">
        <v>244</v>
      </c>
      <c r="B246" s="270"/>
      <c r="C246" s="270"/>
      <c r="D246" s="271"/>
      <c r="E246" s="272"/>
      <c r="F246" s="272"/>
      <c r="G246" s="273"/>
      <c r="H246" s="274"/>
      <c r="I246" s="274"/>
      <c r="J246" s="274"/>
      <c r="K246" s="274"/>
      <c r="L246" s="274"/>
      <c r="M246" s="274"/>
      <c r="N246" s="274"/>
      <c r="O246" s="274"/>
      <c r="P246" s="274"/>
      <c r="Q246" s="274"/>
      <c r="R246" s="274"/>
      <c r="S246" s="274"/>
      <c r="T246" s="274"/>
      <c r="U246" s="274"/>
      <c r="V246" s="274"/>
    </row>
    <row r="247" spans="1:22" x14ac:dyDescent="0.25">
      <c r="A247" s="247">
        <v>245</v>
      </c>
      <c r="B247" s="270"/>
      <c r="C247" s="270"/>
      <c r="D247" s="271"/>
      <c r="E247" s="272"/>
      <c r="F247" s="272"/>
      <c r="G247" s="273"/>
      <c r="H247" s="274"/>
      <c r="I247" s="274"/>
      <c r="J247" s="274"/>
      <c r="K247" s="274"/>
      <c r="L247" s="274"/>
      <c r="M247" s="274"/>
      <c r="N247" s="274"/>
      <c r="O247" s="274"/>
      <c r="P247" s="274"/>
      <c r="Q247" s="274"/>
      <c r="R247" s="274"/>
      <c r="S247" s="274"/>
      <c r="T247" s="274"/>
      <c r="U247" s="274"/>
      <c r="V247" s="274"/>
    </row>
    <row r="248" spans="1:22" x14ac:dyDescent="0.25">
      <c r="A248" s="247">
        <v>246</v>
      </c>
      <c r="B248" s="270"/>
      <c r="C248" s="270"/>
      <c r="D248" s="271"/>
      <c r="E248" s="272"/>
      <c r="F248" s="272"/>
      <c r="G248" s="273"/>
      <c r="H248" s="274"/>
      <c r="I248" s="274"/>
      <c r="J248" s="274"/>
      <c r="K248" s="274"/>
      <c r="L248" s="274"/>
      <c r="M248" s="274"/>
      <c r="N248" s="274"/>
      <c r="O248" s="274"/>
      <c r="P248" s="274"/>
      <c r="Q248" s="274"/>
      <c r="R248" s="274"/>
      <c r="S248" s="274"/>
      <c r="T248" s="274"/>
      <c r="U248" s="274"/>
      <c r="V248" s="274"/>
    </row>
    <row r="249" spans="1:22" x14ac:dyDescent="0.25">
      <c r="A249" s="247">
        <v>247</v>
      </c>
      <c r="B249" s="270"/>
      <c r="C249" s="270"/>
      <c r="D249" s="271"/>
      <c r="E249" s="272"/>
      <c r="F249" s="272"/>
      <c r="G249" s="273"/>
      <c r="H249" s="274"/>
      <c r="I249" s="274"/>
      <c r="J249" s="274"/>
      <c r="K249" s="274"/>
      <c r="L249" s="274"/>
      <c r="M249" s="274"/>
      <c r="N249" s="274"/>
      <c r="O249" s="274"/>
      <c r="P249" s="274"/>
      <c r="Q249" s="274"/>
      <c r="R249" s="274"/>
      <c r="S249" s="274"/>
      <c r="T249" s="274"/>
      <c r="U249" s="274"/>
      <c r="V249" s="274"/>
    </row>
    <row r="250" spans="1:22" x14ac:dyDescent="0.25">
      <c r="A250" s="247">
        <v>248</v>
      </c>
      <c r="B250" s="270"/>
      <c r="C250" s="270"/>
      <c r="D250" s="271"/>
      <c r="E250" s="272"/>
      <c r="F250" s="272"/>
      <c r="G250" s="273"/>
      <c r="H250" s="274"/>
      <c r="I250" s="274"/>
      <c r="J250" s="274"/>
      <c r="K250" s="274"/>
      <c r="L250" s="274"/>
      <c r="M250" s="274"/>
      <c r="N250" s="274"/>
      <c r="O250" s="274"/>
      <c r="P250" s="274"/>
      <c r="Q250" s="274"/>
      <c r="R250" s="274"/>
      <c r="S250" s="274"/>
      <c r="T250" s="274"/>
      <c r="U250" s="274"/>
      <c r="V250" s="274"/>
    </row>
    <row r="251" spans="1:22" x14ac:dyDescent="0.25">
      <c r="A251" s="247">
        <v>249</v>
      </c>
      <c r="B251" s="270"/>
      <c r="C251" s="270"/>
      <c r="D251" s="271"/>
      <c r="E251" s="272"/>
      <c r="F251" s="272"/>
      <c r="G251" s="273"/>
      <c r="H251" s="274"/>
      <c r="I251" s="274"/>
      <c r="J251" s="274"/>
      <c r="K251" s="274"/>
      <c r="L251" s="274"/>
      <c r="M251" s="274"/>
      <c r="N251" s="274"/>
      <c r="O251" s="274"/>
      <c r="P251" s="274"/>
      <c r="Q251" s="274"/>
      <c r="R251" s="274"/>
      <c r="S251" s="274"/>
      <c r="T251" s="274"/>
      <c r="U251" s="274"/>
      <c r="V251" s="274"/>
    </row>
    <row r="252" spans="1:22" x14ac:dyDescent="0.25">
      <c r="A252" s="247">
        <v>250</v>
      </c>
      <c r="B252" s="270"/>
      <c r="C252" s="270"/>
      <c r="D252" s="271"/>
      <c r="E252" s="272"/>
      <c r="F252" s="272"/>
      <c r="G252" s="273"/>
      <c r="H252" s="274"/>
      <c r="I252" s="274"/>
      <c r="J252" s="274"/>
      <c r="K252" s="274"/>
      <c r="L252" s="274"/>
      <c r="M252" s="274"/>
      <c r="N252" s="274"/>
      <c r="O252" s="274"/>
      <c r="P252" s="274"/>
      <c r="Q252" s="274"/>
      <c r="R252" s="274"/>
      <c r="S252" s="274"/>
      <c r="T252" s="274"/>
      <c r="U252" s="274"/>
      <c r="V252" s="274"/>
    </row>
    <row r="253" spans="1:22" x14ac:dyDescent="0.25">
      <c r="A253" s="247">
        <v>251</v>
      </c>
      <c r="B253" s="270"/>
      <c r="C253" s="270"/>
      <c r="D253" s="271"/>
      <c r="E253" s="272"/>
      <c r="F253" s="272"/>
      <c r="G253" s="273"/>
      <c r="H253" s="274"/>
      <c r="I253" s="274"/>
      <c r="J253" s="274"/>
      <c r="K253" s="274"/>
      <c r="L253" s="274"/>
      <c r="M253" s="274"/>
      <c r="N253" s="274"/>
      <c r="O253" s="274"/>
      <c r="P253" s="274"/>
      <c r="Q253" s="274"/>
      <c r="R253" s="274"/>
      <c r="S253" s="274"/>
      <c r="T253" s="274"/>
      <c r="U253" s="274"/>
      <c r="V253" s="274"/>
    </row>
    <row r="254" spans="1:22" x14ac:dyDescent="0.25">
      <c r="A254" s="247">
        <v>252</v>
      </c>
      <c r="B254" s="270"/>
      <c r="C254" s="270"/>
      <c r="D254" s="271"/>
      <c r="E254" s="272"/>
      <c r="F254" s="272"/>
      <c r="G254" s="273"/>
      <c r="H254" s="274"/>
      <c r="I254" s="274"/>
      <c r="J254" s="274"/>
      <c r="K254" s="274"/>
      <c r="L254" s="274"/>
      <c r="M254" s="274"/>
      <c r="N254" s="274"/>
      <c r="O254" s="274"/>
      <c r="P254" s="274"/>
      <c r="Q254" s="274"/>
      <c r="R254" s="274"/>
      <c r="S254" s="274"/>
      <c r="T254" s="274"/>
      <c r="U254" s="274"/>
      <c r="V254" s="274"/>
    </row>
    <row r="255" spans="1:22" x14ac:dyDescent="0.25">
      <c r="A255" s="247">
        <v>253</v>
      </c>
      <c r="B255" s="270"/>
      <c r="C255" s="270"/>
      <c r="D255" s="271"/>
      <c r="E255" s="272"/>
      <c r="F255" s="272"/>
      <c r="G255" s="273"/>
      <c r="H255" s="274"/>
      <c r="I255" s="274"/>
      <c r="J255" s="274"/>
      <c r="K255" s="274"/>
      <c r="L255" s="274"/>
      <c r="M255" s="274"/>
      <c r="N255" s="274"/>
      <c r="O255" s="274"/>
      <c r="P255" s="274"/>
      <c r="Q255" s="274"/>
      <c r="R255" s="274"/>
      <c r="S255" s="274"/>
      <c r="T255" s="274"/>
      <c r="U255" s="274"/>
      <c r="V255" s="274"/>
    </row>
    <row r="256" spans="1:22" x14ac:dyDescent="0.25">
      <c r="A256" s="247">
        <v>254</v>
      </c>
      <c r="B256" s="270"/>
      <c r="C256" s="270"/>
      <c r="D256" s="271"/>
      <c r="E256" s="272"/>
      <c r="F256" s="272"/>
      <c r="G256" s="273"/>
      <c r="H256" s="274"/>
      <c r="I256" s="274"/>
      <c r="J256" s="274"/>
      <c r="K256" s="274"/>
      <c r="L256" s="274"/>
      <c r="M256" s="274"/>
      <c r="N256" s="274"/>
      <c r="O256" s="274"/>
      <c r="P256" s="274"/>
      <c r="Q256" s="274"/>
      <c r="R256" s="274"/>
      <c r="S256" s="274"/>
      <c r="T256" s="274"/>
      <c r="U256" s="274"/>
      <c r="V256" s="274"/>
    </row>
    <row r="257" spans="1:22" x14ac:dyDescent="0.25">
      <c r="A257" s="247">
        <v>255</v>
      </c>
      <c r="B257" s="270"/>
      <c r="C257" s="270"/>
      <c r="D257" s="271"/>
      <c r="E257" s="272"/>
      <c r="F257" s="272"/>
      <c r="G257" s="273"/>
      <c r="H257" s="274"/>
      <c r="I257" s="274"/>
      <c r="J257" s="274"/>
      <c r="K257" s="274"/>
      <c r="L257" s="274"/>
      <c r="M257" s="274"/>
      <c r="N257" s="274"/>
      <c r="O257" s="274"/>
      <c r="P257" s="274"/>
      <c r="Q257" s="274"/>
      <c r="R257" s="274"/>
      <c r="S257" s="274"/>
      <c r="T257" s="274"/>
      <c r="U257" s="274"/>
      <c r="V257" s="274"/>
    </row>
    <row r="258" spans="1:22" x14ac:dyDescent="0.25">
      <c r="A258" s="247">
        <v>256</v>
      </c>
      <c r="B258" s="270"/>
      <c r="C258" s="270"/>
      <c r="D258" s="271"/>
      <c r="E258" s="272"/>
      <c r="F258" s="272"/>
      <c r="G258" s="273"/>
      <c r="H258" s="274"/>
      <c r="I258" s="274"/>
      <c r="J258" s="274"/>
      <c r="K258" s="274"/>
      <c r="L258" s="274"/>
      <c r="M258" s="274"/>
      <c r="N258" s="274"/>
      <c r="O258" s="274"/>
      <c r="P258" s="274"/>
      <c r="Q258" s="274"/>
      <c r="R258" s="274"/>
      <c r="S258" s="274"/>
      <c r="T258" s="274"/>
      <c r="U258" s="274"/>
      <c r="V258" s="274"/>
    </row>
    <row r="259" spans="1:22" x14ac:dyDescent="0.25">
      <c r="A259" s="247">
        <v>257</v>
      </c>
      <c r="B259" s="270"/>
      <c r="C259" s="270"/>
      <c r="D259" s="271"/>
      <c r="E259" s="272"/>
      <c r="F259" s="272"/>
      <c r="G259" s="273"/>
      <c r="H259" s="274"/>
      <c r="I259" s="274"/>
      <c r="J259" s="274"/>
      <c r="K259" s="274"/>
      <c r="L259" s="274"/>
      <c r="M259" s="274"/>
      <c r="N259" s="274"/>
      <c r="O259" s="274"/>
      <c r="P259" s="274"/>
      <c r="Q259" s="274"/>
      <c r="R259" s="274"/>
      <c r="S259" s="274"/>
      <c r="T259" s="274"/>
      <c r="U259" s="274"/>
      <c r="V259" s="274"/>
    </row>
    <row r="260" spans="1:22" x14ac:dyDescent="0.25">
      <c r="A260" s="247">
        <v>258</v>
      </c>
      <c r="B260" s="270"/>
      <c r="C260" s="270"/>
      <c r="D260" s="271"/>
      <c r="E260" s="272"/>
      <c r="F260" s="272"/>
      <c r="G260" s="273"/>
      <c r="H260" s="274"/>
      <c r="I260" s="274"/>
      <c r="J260" s="274"/>
      <c r="K260" s="274"/>
      <c r="L260" s="274"/>
      <c r="M260" s="274"/>
      <c r="N260" s="274"/>
      <c r="O260" s="274"/>
      <c r="P260" s="274"/>
      <c r="Q260" s="274"/>
      <c r="R260" s="274"/>
      <c r="S260" s="274"/>
      <c r="T260" s="274"/>
      <c r="U260" s="274"/>
      <c r="V260" s="274"/>
    </row>
    <row r="261" spans="1:22" x14ac:dyDescent="0.25">
      <c r="A261" s="247">
        <v>259</v>
      </c>
      <c r="B261" s="270"/>
      <c r="C261" s="270"/>
      <c r="D261" s="271"/>
      <c r="E261" s="272"/>
      <c r="F261" s="272"/>
      <c r="G261" s="273"/>
      <c r="H261" s="274"/>
      <c r="I261" s="274"/>
      <c r="J261" s="274"/>
      <c r="K261" s="274"/>
      <c r="L261" s="274"/>
      <c r="M261" s="274"/>
      <c r="N261" s="274"/>
      <c r="O261" s="274"/>
      <c r="P261" s="274"/>
      <c r="Q261" s="274"/>
      <c r="R261" s="274"/>
      <c r="S261" s="274"/>
      <c r="T261" s="274"/>
      <c r="U261" s="274"/>
      <c r="V261" s="274"/>
    </row>
    <row r="262" spans="1:22" x14ac:dyDescent="0.25">
      <c r="A262" s="247">
        <v>260</v>
      </c>
      <c r="B262" s="270"/>
      <c r="C262" s="270"/>
      <c r="D262" s="271"/>
      <c r="E262" s="272"/>
      <c r="F262" s="272"/>
      <c r="G262" s="273"/>
      <c r="H262" s="274"/>
      <c r="I262" s="274"/>
      <c r="J262" s="274"/>
      <c r="K262" s="274"/>
      <c r="L262" s="274"/>
      <c r="M262" s="274"/>
      <c r="N262" s="274"/>
      <c r="O262" s="274"/>
      <c r="P262" s="274"/>
      <c r="Q262" s="274"/>
      <c r="R262" s="274"/>
      <c r="S262" s="274"/>
      <c r="T262" s="274"/>
      <c r="U262" s="274"/>
      <c r="V262" s="274"/>
    </row>
    <row r="263" spans="1:22" x14ac:dyDescent="0.25">
      <c r="A263" s="247">
        <v>261</v>
      </c>
      <c r="B263" s="270"/>
      <c r="C263" s="270"/>
      <c r="D263" s="271"/>
      <c r="E263" s="272"/>
      <c r="F263" s="272"/>
      <c r="G263" s="273"/>
      <c r="H263" s="274"/>
      <c r="I263" s="274"/>
      <c r="J263" s="274"/>
      <c r="K263" s="274"/>
      <c r="L263" s="274"/>
      <c r="M263" s="274"/>
      <c r="N263" s="274"/>
      <c r="O263" s="274"/>
      <c r="P263" s="274"/>
      <c r="Q263" s="274"/>
      <c r="R263" s="274"/>
      <c r="S263" s="274"/>
      <c r="T263" s="274"/>
      <c r="U263" s="274"/>
      <c r="V263" s="274"/>
    </row>
    <row r="264" spans="1:22" x14ac:dyDescent="0.25">
      <c r="A264" s="247">
        <v>262</v>
      </c>
      <c r="B264" s="270"/>
      <c r="C264" s="270"/>
      <c r="D264" s="271"/>
      <c r="E264" s="272"/>
      <c r="F264" s="272"/>
      <c r="G264" s="273"/>
      <c r="H264" s="274"/>
      <c r="I264" s="274"/>
      <c r="J264" s="274"/>
      <c r="K264" s="274"/>
      <c r="L264" s="274"/>
      <c r="M264" s="274"/>
      <c r="N264" s="274"/>
      <c r="O264" s="274"/>
      <c r="P264" s="274"/>
      <c r="Q264" s="274"/>
      <c r="R264" s="274"/>
      <c r="S264" s="274"/>
      <c r="T264" s="274"/>
      <c r="U264" s="274"/>
      <c r="V264" s="274"/>
    </row>
    <row r="265" spans="1:22" x14ac:dyDescent="0.25">
      <c r="A265" s="247">
        <v>263</v>
      </c>
      <c r="B265" s="270"/>
      <c r="C265" s="270"/>
      <c r="D265" s="271"/>
      <c r="E265" s="272"/>
      <c r="F265" s="272"/>
      <c r="G265" s="273"/>
      <c r="H265" s="274"/>
      <c r="I265" s="274"/>
      <c r="J265" s="274"/>
      <c r="K265" s="274"/>
      <c r="L265" s="274"/>
      <c r="M265" s="274"/>
      <c r="N265" s="274"/>
      <c r="O265" s="274"/>
      <c r="P265" s="274"/>
      <c r="Q265" s="274"/>
      <c r="R265" s="274"/>
      <c r="S265" s="274"/>
      <c r="T265" s="274"/>
      <c r="U265" s="274"/>
      <c r="V265" s="274"/>
    </row>
    <row r="266" spans="1:22" x14ac:dyDescent="0.25">
      <c r="A266" s="247">
        <v>264</v>
      </c>
      <c r="B266" s="270"/>
      <c r="C266" s="270"/>
      <c r="D266" s="271"/>
      <c r="E266" s="272"/>
      <c r="F266" s="272"/>
      <c r="G266" s="273"/>
      <c r="H266" s="274"/>
      <c r="I266" s="274"/>
      <c r="J266" s="274"/>
      <c r="K266" s="274"/>
      <c r="L266" s="274"/>
      <c r="M266" s="274"/>
      <c r="N266" s="274"/>
      <c r="O266" s="274"/>
      <c r="P266" s="274"/>
      <c r="Q266" s="274"/>
      <c r="R266" s="274"/>
      <c r="S266" s="274"/>
      <c r="T266" s="274"/>
      <c r="U266" s="274"/>
      <c r="V266" s="274"/>
    </row>
    <row r="267" spans="1:22" x14ac:dyDescent="0.25">
      <c r="A267" s="247">
        <v>265</v>
      </c>
      <c r="B267" s="270"/>
      <c r="C267" s="270"/>
      <c r="D267" s="271"/>
      <c r="E267" s="272"/>
      <c r="F267" s="272"/>
      <c r="G267" s="273"/>
      <c r="H267" s="274"/>
      <c r="I267" s="274"/>
      <c r="J267" s="274"/>
      <c r="K267" s="274"/>
      <c r="L267" s="274"/>
      <c r="M267" s="274"/>
      <c r="N267" s="274"/>
      <c r="O267" s="274"/>
      <c r="P267" s="274"/>
      <c r="Q267" s="274"/>
      <c r="R267" s="274"/>
      <c r="S267" s="274"/>
      <c r="T267" s="274"/>
      <c r="U267" s="274"/>
      <c r="V267" s="274"/>
    </row>
    <row r="268" spans="1:22" x14ac:dyDescent="0.25">
      <c r="A268" s="247">
        <v>266</v>
      </c>
      <c r="B268" s="270"/>
      <c r="C268" s="270"/>
      <c r="D268" s="271"/>
      <c r="E268" s="272"/>
      <c r="F268" s="272"/>
      <c r="G268" s="273"/>
      <c r="H268" s="274"/>
      <c r="I268" s="274"/>
      <c r="J268" s="274"/>
      <c r="K268" s="274"/>
      <c r="L268" s="274"/>
      <c r="M268" s="274"/>
      <c r="N268" s="274"/>
      <c r="O268" s="274"/>
      <c r="P268" s="274"/>
      <c r="Q268" s="274"/>
      <c r="R268" s="274"/>
      <c r="S268" s="274"/>
      <c r="T268" s="274"/>
      <c r="U268" s="274"/>
      <c r="V268" s="274"/>
    </row>
    <row r="269" spans="1:22" x14ac:dyDescent="0.25">
      <c r="A269" s="247">
        <v>267</v>
      </c>
      <c r="B269" s="270"/>
      <c r="C269" s="270"/>
      <c r="D269" s="271"/>
      <c r="E269" s="272"/>
      <c r="F269" s="272"/>
      <c r="G269" s="273"/>
      <c r="H269" s="274"/>
      <c r="I269" s="274"/>
      <c r="J269" s="274"/>
      <c r="K269" s="274"/>
      <c r="L269" s="274"/>
      <c r="M269" s="274"/>
      <c r="N269" s="274"/>
      <c r="O269" s="274"/>
      <c r="P269" s="274"/>
      <c r="Q269" s="274"/>
      <c r="R269" s="274"/>
      <c r="S269" s="274"/>
      <c r="T269" s="274"/>
      <c r="U269" s="274"/>
      <c r="V269" s="274"/>
    </row>
    <row r="270" spans="1:22" x14ac:dyDescent="0.25">
      <c r="A270" s="247">
        <v>268</v>
      </c>
      <c r="B270" s="270"/>
      <c r="C270" s="270"/>
      <c r="D270" s="271"/>
      <c r="E270" s="272"/>
      <c r="F270" s="272"/>
      <c r="G270" s="273"/>
      <c r="H270" s="274"/>
      <c r="I270" s="274"/>
      <c r="J270" s="274"/>
      <c r="K270" s="274"/>
      <c r="L270" s="274"/>
      <c r="M270" s="274"/>
      <c r="N270" s="274"/>
      <c r="O270" s="274"/>
      <c r="P270" s="274"/>
      <c r="Q270" s="274"/>
      <c r="R270" s="274"/>
      <c r="S270" s="274"/>
      <c r="T270" s="274"/>
      <c r="U270" s="274"/>
      <c r="V270" s="274"/>
    </row>
    <row r="271" spans="1:22" x14ac:dyDescent="0.25">
      <c r="A271" s="247">
        <v>269</v>
      </c>
      <c r="B271" s="270"/>
      <c r="C271" s="270"/>
      <c r="D271" s="271"/>
      <c r="E271" s="272"/>
      <c r="F271" s="272"/>
      <c r="G271" s="273"/>
      <c r="H271" s="274"/>
      <c r="I271" s="274"/>
      <c r="J271" s="274"/>
      <c r="K271" s="274"/>
      <c r="L271" s="274"/>
      <c r="M271" s="274"/>
      <c r="N271" s="274"/>
      <c r="O271" s="274"/>
      <c r="P271" s="274"/>
      <c r="Q271" s="274"/>
      <c r="R271" s="274"/>
      <c r="S271" s="274"/>
      <c r="T271" s="274"/>
      <c r="U271" s="274"/>
      <c r="V271" s="274"/>
    </row>
    <row r="272" spans="1:22" x14ac:dyDescent="0.25">
      <c r="A272" s="247">
        <v>270</v>
      </c>
      <c r="B272" s="270"/>
      <c r="C272" s="270"/>
      <c r="D272" s="271"/>
      <c r="E272" s="272"/>
      <c r="F272" s="272"/>
      <c r="G272" s="273"/>
      <c r="H272" s="274"/>
      <c r="I272" s="274"/>
      <c r="J272" s="274"/>
      <c r="K272" s="274"/>
      <c r="L272" s="274"/>
      <c r="M272" s="274"/>
      <c r="N272" s="274"/>
      <c r="O272" s="274"/>
      <c r="P272" s="274"/>
      <c r="Q272" s="274"/>
      <c r="R272" s="274"/>
      <c r="S272" s="274"/>
      <c r="T272" s="274"/>
      <c r="U272" s="274"/>
      <c r="V272" s="274"/>
    </row>
    <row r="273" spans="1:22" x14ac:dyDescent="0.25">
      <c r="A273" s="247">
        <v>271</v>
      </c>
      <c r="B273" s="270"/>
      <c r="C273" s="270"/>
      <c r="D273" s="271"/>
      <c r="E273" s="272"/>
      <c r="F273" s="272"/>
      <c r="G273" s="273"/>
      <c r="H273" s="274"/>
      <c r="I273" s="274"/>
      <c r="J273" s="274"/>
      <c r="K273" s="274"/>
      <c r="L273" s="274"/>
      <c r="M273" s="274"/>
      <c r="N273" s="274"/>
      <c r="O273" s="274"/>
      <c r="P273" s="274"/>
      <c r="Q273" s="274"/>
      <c r="R273" s="274"/>
      <c r="S273" s="274"/>
      <c r="T273" s="274"/>
      <c r="U273" s="274"/>
      <c r="V273" s="274"/>
    </row>
    <row r="274" spans="1:22" x14ac:dyDescent="0.25">
      <c r="A274" s="247">
        <v>272</v>
      </c>
      <c r="B274" s="270"/>
      <c r="C274" s="270"/>
      <c r="D274" s="271"/>
      <c r="E274" s="272"/>
      <c r="F274" s="272"/>
      <c r="G274" s="273"/>
      <c r="H274" s="274"/>
      <c r="I274" s="274"/>
      <c r="J274" s="274"/>
      <c r="K274" s="274"/>
      <c r="L274" s="274"/>
      <c r="M274" s="274"/>
      <c r="N274" s="274"/>
      <c r="O274" s="274"/>
      <c r="P274" s="274"/>
      <c r="Q274" s="274"/>
      <c r="R274" s="274"/>
      <c r="S274" s="274"/>
      <c r="T274" s="274"/>
      <c r="U274" s="274"/>
      <c r="V274" s="274"/>
    </row>
    <row r="275" spans="1:22" x14ac:dyDescent="0.25">
      <c r="A275" s="247">
        <v>273</v>
      </c>
      <c r="B275" s="270"/>
      <c r="C275" s="270"/>
      <c r="D275" s="271"/>
      <c r="E275" s="272"/>
      <c r="F275" s="272"/>
      <c r="G275" s="273"/>
      <c r="H275" s="274"/>
      <c r="I275" s="274"/>
      <c r="J275" s="274"/>
      <c r="K275" s="274"/>
      <c r="L275" s="274"/>
      <c r="M275" s="274"/>
      <c r="N275" s="274"/>
      <c r="O275" s="274"/>
      <c r="P275" s="274"/>
      <c r="Q275" s="274"/>
      <c r="R275" s="274"/>
      <c r="S275" s="274"/>
      <c r="T275" s="274"/>
      <c r="U275" s="274"/>
      <c r="V275" s="274"/>
    </row>
    <row r="276" spans="1:22" x14ac:dyDescent="0.25">
      <c r="A276" s="247">
        <v>274</v>
      </c>
      <c r="B276" s="270"/>
      <c r="C276" s="270"/>
      <c r="D276" s="271"/>
      <c r="E276" s="272"/>
      <c r="F276" s="272"/>
      <c r="G276" s="273"/>
      <c r="H276" s="274"/>
      <c r="I276" s="274"/>
      <c r="J276" s="274"/>
      <c r="K276" s="274"/>
      <c r="L276" s="274"/>
      <c r="M276" s="274"/>
      <c r="N276" s="274"/>
      <c r="O276" s="274"/>
      <c r="P276" s="274"/>
      <c r="Q276" s="274"/>
      <c r="R276" s="274"/>
      <c r="S276" s="274"/>
      <c r="T276" s="274"/>
      <c r="U276" s="274"/>
      <c r="V276" s="274"/>
    </row>
    <row r="277" spans="1:22" x14ac:dyDescent="0.25">
      <c r="A277" s="247">
        <v>275</v>
      </c>
      <c r="B277" s="270"/>
      <c r="C277" s="270"/>
      <c r="D277" s="271"/>
      <c r="E277" s="272"/>
      <c r="F277" s="272"/>
      <c r="G277" s="273"/>
      <c r="H277" s="274"/>
      <c r="I277" s="274"/>
      <c r="J277" s="274"/>
      <c r="K277" s="274"/>
      <c r="L277" s="274"/>
      <c r="M277" s="274"/>
      <c r="N277" s="274"/>
      <c r="O277" s="274"/>
      <c r="P277" s="274"/>
      <c r="Q277" s="274"/>
      <c r="R277" s="274"/>
      <c r="S277" s="274"/>
      <c r="T277" s="274"/>
      <c r="U277" s="274"/>
      <c r="V277" s="274"/>
    </row>
    <row r="278" spans="1:22" x14ac:dyDescent="0.25">
      <c r="A278" s="247">
        <v>276</v>
      </c>
      <c r="B278" s="270"/>
      <c r="C278" s="270"/>
      <c r="D278" s="271"/>
      <c r="E278" s="272"/>
      <c r="F278" s="272"/>
      <c r="G278" s="273"/>
      <c r="H278" s="274"/>
      <c r="I278" s="274"/>
      <c r="J278" s="274"/>
      <c r="K278" s="274"/>
      <c r="L278" s="274"/>
      <c r="M278" s="274"/>
      <c r="N278" s="274"/>
      <c r="O278" s="274"/>
      <c r="P278" s="274"/>
      <c r="Q278" s="274"/>
      <c r="R278" s="274"/>
      <c r="S278" s="274"/>
      <c r="T278" s="274"/>
      <c r="U278" s="274"/>
      <c r="V278" s="274"/>
    </row>
    <row r="279" spans="1:22" x14ac:dyDescent="0.25">
      <c r="A279" s="247">
        <v>277</v>
      </c>
      <c r="B279" s="270"/>
      <c r="C279" s="270"/>
      <c r="D279" s="271"/>
      <c r="E279" s="272"/>
      <c r="F279" s="272"/>
      <c r="G279" s="273"/>
      <c r="H279" s="274"/>
      <c r="I279" s="274"/>
      <c r="J279" s="274"/>
      <c r="K279" s="274"/>
      <c r="L279" s="274"/>
      <c r="M279" s="274"/>
      <c r="N279" s="274"/>
      <c r="O279" s="274"/>
      <c r="P279" s="274"/>
      <c r="Q279" s="274"/>
      <c r="R279" s="274"/>
      <c r="S279" s="274"/>
      <c r="T279" s="274"/>
      <c r="U279" s="274"/>
      <c r="V279" s="274"/>
    </row>
    <row r="280" spans="1:22" x14ac:dyDescent="0.25">
      <c r="A280" s="247">
        <v>278</v>
      </c>
      <c r="B280" s="270"/>
      <c r="C280" s="270"/>
      <c r="D280" s="271"/>
      <c r="E280" s="272"/>
      <c r="F280" s="272"/>
      <c r="G280" s="273"/>
      <c r="H280" s="274"/>
      <c r="I280" s="274"/>
      <c r="J280" s="274"/>
      <c r="K280" s="274"/>
      <c r="L280" s="274"/>
      <c r="M280" s="274"/>
      <c r="N280" s="274"/>
      <c r="O280" s="274"/>
      <c r="P280" s="274"/>
      <c r="Q280" s="274"/>
      <c r="R280" s="274"/>
      <c r="S280" s="274"/>
      <c r="T280" s="274"/>
      <c r="U280" s="274"/>
      <c r="V280" s="274"/>
    </row>
    <row r="281" spans="1:22" x14ac:dyDescent="0.25">
      <c r="A281" s="247">
        <v>279</v>
      </c>
      <c r="B281" s="270"/>
      <c r="C281" s="270"/>
      <c r="D281" s="271"/>
      <c r="E281" s="272"/>
      <c r="F281" s="272"/>
      <c r="G281" s="273"/>
      <c r="H281" s="274"/>
      <c r="I281" s="274"/>
      <c r="J281" s="274"/>
      <c r="K281" s="274"/>
      <c r="L281" s="274"/>
      <c r="M281" s="274"/>
      <c r="N281" s="274"/>
      <c r="O281" s="274"/>
      <c r="P281" s="274"/>
      <c r="Q281" s="274"/>
      <c r="R281" s="274"/>
      <c r="S281" s="274"/>
      <c r="T281" s="274"/>
      <c r="U281" s="274"/>
      <c r="V281" s="274"/>
    </row>
    <row r="282" spans="1:22" x14ac:dyDescent="0.25">
      <c r="A282" s="247">
        <v>280</v>
      </c>
      <c r="B282" s="270"/>
      <c r="C282" s="270"/>
      <c r="D282" s="271"/>
      <c r="E282" s="272"/>
      <c r="F282" s="272"/>
      <c r="G282" s="273"/>
      <c r="H282" s="274"/>
      <c r="I282" s="274"/>
      <c r="J282" s="274"/>
      <c r="K282" s="274"/>
      <c r="L282" s="274"/>
      <c r="M282" s="274"/>
      <c r="N282" s="274"/>
      <c r="O282" s="274"/>
      <c r="P282" s="274"/>
      <c r="Q282" s="274"/>
      <c r="R282" s="274"/>
      <c r="S282" s="274"/>
      <c r="T282" s="274"/>
      <c r="U282" s="274"/>
      <c r="V282" s="274"/>
    </row>
    <row r="283" spans="1:22" x14ac:dyDescent="0.25">
      <c r="A283" s="247">
        <v>281</v>
      </c>
      <c r="B283" s="270"/>
      <c r="C283" s="270"/>
      <c r="D283" s="271"/>
      <c r="E283" s="272"/>
      <c r="F283" s="272"/>
      <c r="G283" s="273"/>
      <c r="H283" s="274"/>
      <c r="I283" s="274"/>
      <c r="J283" s="274"/>
      <c r="K283" s="274"/>
      <c r="L283" s="274"/>
      <c r="M283" s="274"/>
      <c r="N283" s="274"/>
      <c r="O283" s="274"/>
      <c r="P283" s="274"/>
      <c r="Q283" s="274"/>
      <c r="R283" s="274"/>
      <c r="S283" s="274"/>
      <c r="T283" s="274"/>
      <c r="U283" s="274"/>
      <c r="V283" s="274"/>
    </row>
    <row r="284" spans="1:22" x14ac:dyDescent="0.25">
      <c r="A284" s="247">
        <v>282</v>
      </c>
      <c r="B284" s="270"/>
      <c r="C284" s="270"/>
      <c r="D284" s="271"/>
      <c r="E284" s="272"/>
      <c r="F284" s="272"/>
      <c r="G284" s="273"/>
      <c r="H284" s="274"/>
      <c r="I284" s="274"/>
      <c r="J284" s="274"/>
      <c r="K284" s="274"/>
      <c r="L284" s="274"/>
      <c r="M284" s="274"/>
      <c r="N284" s="274"/>
      <c r="O284" s="274"/>
      <c r="P284" s="274"/>
      <c r="Q284" s="274"/>
      <c r="R284" s="274"/>
      <c r="S284" s="274"/>
      <c r="T284" s="274"/>
      <c r="U284" s="274"/>
      <c r="V284" s="274"/>
    </row>
    <row r="285" spans="1:22" x14ac:dyDescent="0.25">
      <c r="A285" s="247">
        <v>283</v>
      </c>
      <c r="B285" s="270"/>
      <c r="C285" s="270"/>
      <c r="D285" s="271"/>
      <c r="E285" s="272"/>
      <c r="F285" s="272"/>
      <c r="G285" s="273"/>
      <c r="H285" s="274"/>
      <c r="I285" s="274"/>
      <c r="J285" s="274"/>
      <c r="K285" s="274"/>
      <c r="L285" s="274"/>
      <c r="M285" s="274"/>
      <c r="N285" s="274"/>
      <c r="O285" s="274"/>
      <c r="P285" s="274"/>
      <c r="Q285" s="274"/>
      <c r="R285" s="274"/>
      <c r="S285" s="274"/>
      <c r="T285" s="274"/>
      <c r="U285" s="274"/>
      <c r="V285" s="274"/>
    </row>
    <row r="286" spans="1:22" x14ac:dyDescent="0.25">
      <c r="A286" s="247">
        <v>284</v>
      </c>
      <c r="B286" s="270"/>
      <c r="C286" s="270"/>
      <c r="D286" s="271"/>
      <c r="E286" s="272"/>
      <c r="F286" s="272"/>
      <c r="G286" s="273"/>
      <c r="H286" s="274"/>
      <c r="I286" s="274"/>
      <c r="J286" s="274"/>
      <c r="K286" s="274"/>
      <c r="L286" s="274"/>
      <c r="M286" s="274"/>
      <c r="N286" s="274"/>
      <c r="O286" s="274"/>
      <c r="P286" s="274"/>
      <c r="Q286" s="274"/>
      <c r="R286" s="274"/>
      <c r="S286" s="274"/>
      <c r="T286" s="274"/>
      <c r="U286" s="274"/>
      <c r="V286" s="274"/>
    </row>
    <row r="287" spans="1:22" x14ac:dyDescent="0.25">
      <c r="A287" s="247">
        <v>285</v>
      </c>
      <c r="B287" s="270"/>
      <c r="C287" s="270"/>
      <c r="D287" s="271"/>
      <c r="E287" s="272"/>
      <c r="F287" s="272"/>
      <c r="G287" s="273"/>
      <c r="H287" s="274"/>
      <c r="I287" s="274"/>
      <c r="J287" s="274"/>
      <c r="K287" s="274"/>
      <c r="L287" s="274"/>
      <c r="M287" s="274"/>
      <c r="N287" s="274"/>
      <c r="O287" s="274"/>
      <c r="P287" s="274"/>
      <c r="Q287" s="274"/>
      <c r="R287" s="274"/>
      <c r="S287" s="274"/>
      <c r="T287" s="274"/>
      <c r="U287" s="274"/>
      <c r="V287" s="274"/>
    </row>
    <row r="288" spans="1:22" x14ac:dyDescent="0.25">
      <c r="A288" s="247">
        <v>286</v>
      </c>
      <c r="B288" s="270"/>
      <c r="C288" s="270"/>
      <c r="D288" s="271"/>
      <c r="E288" s="272"/>
      <c r="F288" s="272"/>
      <c r="G288" s="273"/>
      <c r="H288" s="274"/>
      <c r="I288" s="274"/>
      <c r="J288" s="274"/>
      <c r="K288" s="274"/>
      <c r="L288" s="274"/>
      <c r="M288" s="274"/>
      <c r="N288" s="274"/>
      <c r="O288" s="274"/>
      <c r="P288" s="274"/>
      <c r="Q288" s="274"/>
      <c r="R288" s="274"/>
      <c r="S288" s="274"/>
      <c r="T288" s="274"/>
      <c r="U288" s="274"/>
      <c r="V288" s="274"/>
    </row>
    <row r="289" spans="1:22" x14ac:dyDescent="0.25">
      <c r="A289" s="247">
        <v>287</v>
      </c>
      <c r="B289" s="270"/>
      <c r="C289" s="270"/>
      <c r="D289" s="271"/>
      <c r="E289" s="272"/>
      <c r="F289" s="272"/>
      <c r="G289" s="273"/>
      <c r="H289" s="274"/>
      <c r="I289" s="274"/>
      <c r="J289" s="274"/>
      <c r="K289" s="274"/>
      <c r="L289" s="274"/>
      <c r="M289" s="274"/>
      <c r="N289" s="274"/>
      <c r="O289" s="274"/>
      <c r="P289" s="274"/>
      <c r="Q289" s="274"/>
      <c r="R289" s="274"/>
      <c r="S289" s="274"/>
      <c r="T289" s="274"/>
      <c r="U289" s="274"/>
      <c r="V289" s="274"/>
    </row>
    <row r="290" spans="1:22" x14ac:dyDescent="0.25">
      <c r="A290" s="247">
        <v>288</v>
      </c>
      <c r="B290" s="270"/>
      <c r="C290" s="270"/>
      <c r="D290" s="271"/>
      <c r="E290" s="272"/>
      <c r="F290" s="272"/>
      <c r="G290" s="273"/>
      <c r="H290" s="274"/>
      <c r="I290" s="274"/>
      <c r="J290" s="274"/>
      <c r="K290" s="274"/>
      <c r="L290" s="274"/>
      <c r="M290" s="274"/>
      <c r="N290" s="274"/>
      <c r="O290" s="274"/>
      <c r="P290" s="274"/>
      <c r="Q290" s="274"/>
      <c r="R290" s="274"/>
      <c r="S290" s="274"/>
      <c r="T290" s="274"/>
      <c r="U290" s="274"/>
      <c r="V290" s="274"/>
    </row>
    <row r="291" spans="1:22" x14ac:dyDescent="0.25">
      <c r="A291" s="247">
        <v>289</v>
      </c>
      <c r="B291" s="270"/>
      <c r="C291" s="270"/>
      <c r="D291" s="271"/>
      <c r="E291" s="272"/>
      <c r="F291" s="272"/>
      <c r="G291" s="273"/>
      <c r="H291" s="274"/>
      <c r="I291" s="274"/>
      <c r="J291" s="274"/>
      <c r="K291" s="274"/>
      <c r="L291" s="274"/>
      <c r="M291" s="274"/>
      <c r="N291" s="274"/>
      <c r="O291" s="274"/>
      <c r="P291" s="274"/>
      <c r="Q291" s="274"/>
      <c r="R291" s="274"/>
      <c r="S291" s="274"/>
      <c r="T291" s="274"/>
      <c r="U291" s="274"/>
      <c r="V291" s="274"/>
    </row>
    <row r="292" spans="1:22" x14ac:dyDescent="0.25">
      <c r="A292" s="247">
        <v>290</v>
      </c>
      <c r="B292" s="270"/>
      <c r="C292" s="270"/>
      <c r="D292" s="271"/>
      <c r="E292" s="272"/>
      <c r="F292" s="272"/>
      <c r="G292" s="273"/>
      <c r="H292" s="274"/>
      <c r="I292" s="274"/>
      <c r="J292" s="274"/>
      <c r="K292" s="274"/>
      <c r="L292" s="274"/>
      <c r="M292" s="274"/>
      <c r="N292" s="274"/>
      <c r="O292" s="274"/>
      <c r="P292" s="274"/>
      <c r="Q292" s="274"/>
      <c r="R292" s="274"/>
      <c r="S292" s="274"/>
      <c r="T292" s="274"/>
      <c r="U292" s="274"/>
      <c r="V292" s="274"/>
    </row>
    <row r="293" spans="1:22" x14ac:dyDescent="0.25">
      <c r="A293" s="247">
        <v>291</v>
      </c>
      <c r="B293" s="270"/>
      <c r="C293" s="270"/>
      <c r="D293" s="271"/>
      <c r="E293" s="272"/>
      <c r="F293" s="272"/>
      <c r="G293" s="273"/>
      <c r="H293" s="274"/>
      <c r="I293" s="274"/>
      <c r="J293" s="274"/>
      <c r="K293" s="274"/>
      <c r="L293" s="274"/>
      <c r="M293" s="274"/>
      <c r="N293" s="274"/>
      <c r="O293" s="274"/>
      <c r="P293" s="274"/>
      <c r="Q293" s="274"/>
      <c r="R293" s="274"/>
      <c r="S293" s="274"/>
      <c r="T293" s="274"/>
      <c r="U293" s="274"/>
      <c r="V293" s="274"/>
    </row>
    <row r="294" spans="1:22" x14ac:dyDescent="0.25">
      <c r="A294" s="247">
        <v>292</v>
      </c>
      <c r="B294" s="270"/>
      <c r="C294" s="270"/>
      <c r="D294" s="271"/>
      <c r="E294" s="272"/>
      <c r="F294" s="272"/>
      <c r="G294" s="273"/>
      <c r="H294" s="274"/>
      <c r="I294" s="274"/>
      <c r="J294" s="274"/>
      <c r="K294" s="274"/>
      <c r="L294" s="274"/>
      <c r="M294" s="274"/>
      <c r="N294" s="274"/>
      <c r="O294" s="274"/>
      <c r="P294" s="274"/>
      <c r="Q294" s="274"/>
      <c r="R294" s="274"/>
      <c r="S294" s="274"/>
      <c r="T294" s="274"/>
      <c r="U294" s="274"/>
      <c r="V294" s="274"/>
    </row>
    <row r="295" spans="1:22" x14ac:dyDescent="0.25">
      <c r="A295" s="247">
        <v>293</v>
      </c>
      <c r="B295" s="270"/>
      <c r="C295" s="270"/>
      <c r="D295" s="271"/>
      <c r="E295" s="272"/>
      <c r="F295" s="272"/>
      <c r="G295" s="273"/>
      <c r="H295" s="274"/>
      <c r="I295" s="274"/>
      <c r="J295" s="274"/>
      <c r="K295" s="274"/>
      <c r="L295" s="274"/>
      <c r="M295" s="274"/>
      <c r="N295" s="274"/>
      <c r="O295" s="274"/>
      <c r="P295" s="274"/>
      <c r="Q295" s="274"/>
      <c r="R295" s="274"/>
      <c r="S295" s="274"/>
      <c r="T295" s="274"/>
      <c r="U295" s="274"/>
      <c r="V295" s="274"/>
    </row>
    <row r="296" spans="1:22" x14ac:dyDescent="0.25">
      <c r="A296" s="247">
        <v>294</v>
      </c>
      <c r="B296" s="270"/>
      <c r="C296" s="270"/>
      <c r="D296" s="271"/>
      <c r="E296" s="272"/>
      <c r="F296" s="272"/>
      <c r="G296" s="273"/>
      <c r="H296" s="274"/>
      <c r="I296" s="274"/>
      <c r="J296" s="274"/>
      <c r="K296" s="274"/>
      <c r="L296" s="274"/>
      <c r="M296" s="274"/>
      <c r="N296" s="274"/>
      <c r="O296" s="274"/>
      <c r="P296" s="274"/>
      <c r="Q296" s="274"/>
      <c r="R296" s="274"/>
      <c r="S296" s="274"/>
      <c r="T296" s="274"/>
      <c r="U296" s="274"/>
      <c r="V296" s="274"/>
    </row>
    <row r="297" spans="1:22" x14ac:dyDescent="0.25">
      <c r="A297" s="247">
        <v>295</v>
      </c>
      <c r="B297" s="270"/>
      <c r="C297" s="270"/>
      <c r="D297" s="271"/>
      <c r="E297" s="272"/>
      <c r="F297" s="272"/>
      <c r="G297" s="273"/>
      <c r="H297" s="274"/>
      <c r="I297" s="274"/>
      <c r="J297" s="274"/>
      <c r="K297" s="274"/>
      <c r="L297" s="274"/>
      <c r="M297" s="274"/>
      <c r="N297" s="274"/>
      <c r="O297" s="274"/>
      <c r="P297" s="274"/>
      <c r="Q297" s="274"/>
      <c r="R297" s="274"/>
      <c r="S297" s="274"/>
      <c r="T297" s="274"/>
      <c r="U297" s="274"/>
      <c r="V297" s="274"/>
    </row>
    <row r="298" spans="1:22" x14ac:dyDescent="0.25">
      <c r="A298" s="247">
        <v>296</v>
      </c>
      <c r="B298" s="270"/>
      <c r="C298" s="270"/>
      <c r="D298" s="271"/>
      <c r="E298" s="272"/>
      <c r="F298" s="272"/>
      <c r="G298" s="273"/>
      <c r="H298" s="274"/>
      <c r="I298" s="274"/>
      <c r="J298" s="274"/>
      <c r="K298" s="274"/>
      <c r="L298" s="274"/>
      <c r="M298" s="274"/>
      <c r="N298" s="274"/>
      <c r="O298" s="274"/>
      <c r="P298" s="274"/>
      <c r="Q298" s="274"/>
      <c r="R298" s="274"/>
      <c r="S298" s="274"/>
      <c r="T298" s="274"/>
      <c r="U298" s="274"/>
      <c r="V298" s="274"/>
    </row>
    <row r="299" spans="1:22" x14ac:dyDescent="0.25">
      <c r="A299" s="247">
        <v>297</v>
      </c>
      <c r="B299" s="270"/>
      <c r="C299" s="270"/>
      <c r="D299" s="271"/>
      <c r="E299" s="272"/>
      <c r="F299" s="272"/>
      <c r="G299" s="273"/>
      <c r="H299" s="274"/>
      <c r="I299" s="274"/>
      <c r="J299" s="274"/>
      <c r="K299" s="274"/>
      <c r="L299" s="274"/>
      <c r="M299" s="274"/>
      <c r="N299" s="274"/>
      <c r="O299" s="274"/>
      <c r="P299" s="274"/>
      <c r="Q299" s="274"/>
      <c r="R299" s="274"/>
      <c r="S299" s="274"/>
      <c r="T299" s="274"/>
      <c r="U299" s="274"/>
      <c r="V299" s="274"/>
    </row>
    <row r="300" spans="1:22" x14ac:dyDescent="0.25">
      <c r="A300" s="247">
        <v>298</v>
      </c>
      <c r="B300" s="270"/>
      <c r="C300" s="270"/>
      <c r="D300" s="271"/>
      <c r="E300" s="272"/>
      <c r="F300" s="272"/>
      <c r="G300" s="273"/>
      <c r="H300" s="274"/>
      <c r="I300" s="274"/>
      <c r="J300" s="274"/>
      <c r="K300" s="274"/>
      <c r="L300" s="274"/>
      <c r="M300" s="274"/>
      <c r="N300" s="274"/>
      <c r="O300" s="274"/>
      <c r="P300" s="274"/>
      <c r="Q300" s="274"/>
      <c r="R300" s="274"/>
      <c r="S300" s="274"/>
      <c r="T300" s="274"/>
      <c r="U300" s="274"/>
      <c r="V300" s="274"/>
    </row>
    <row r="301" spans="1:22" x14ac:dyDescent="0.25">
      <c r="A301" s="247">
        <v>299</v>
      </c>
      <c r="B301" s="270"/>
      <c r="C301" s="270"/>
      <c r="D301" s="271"/>
      <c r="E301" s="272"/>
      <c r="F301" s="272"/>
      <c r="G301" s="273"/>
      <c r="H301" s="274"/>
      <c r="I301" s="274"/>
      <c r="J301" s="274"/>
      <c r="K301" s="274"/>
      <c r="L301" s="274"/>
      <c r="M301" s="274"/>
      <c r="N301" s="274"/>
      <c r="O301" s="274"/>
      <c r="P301" s="274"/>
      <c r="Q301" s="274"/>
      <c r="R301" s="274"/>
      <c r="S301" s="274"/>
      <c r="T301" s="274"/>
      <c r="U301" s="274"/>
      <c r="V301" s="274"/>
    </row>
    <row r="302" spans="1:22" x14ac:dyDescent="0.25">
      <c r="A302" s="247">
        <v>300</v>
      </c>
      <c r="B302" s="270"/>
      <c r="C302" s="270"/>
      <c r="D302" s="271"/>
      <c r="E302" s="272"/>
      <c r="F302" s="272"/>
      <c r="G302" s="273"/>
      <c r="H302" s="274"/>
      <c r="I302" s="274"/>
      <c r="J302" s="274"/>
      <c r="K302" s="274"/>
      <c r="L302" s="274"/>
      <c r="M302" s="274"/>
      <c r="N302" s="274"/>
      <c r="O302" s="274"/>
      <c r="P302" s="274"/>
      <c r="Q302" s="274"/>
      <c r="R302" s="274"/>
      <c r="S302" s="274"/>
      <c r="T302" s="274"/>
      <c r="U302" s="274"/>
      <c r="V302" s="274"/>
    </row>
    <row r="303" spans="1:22" x14ac:dyDescent="0.25">
      <c r="A303" s="247">
        <v>301</v>
      </c>
      <c r="B303" s="270"/>
      <c r="C303" s="270"/>
      <c r="D303" s="271"/>
      <c r="E303" s="272"/>
      <c r="F303" s="272"/>
      <c r="G303" s="273"/>
      <c r="H303" s="274"/>
      <c r="I303" s="274"/>
      <c r="J303" s="274"/>
      <c r="K303" s="274"/>
      <c r="L303" s="274"/>
      <c r="M303" s="274"/>
      <c r="N303" s="274"/>
      <c r="O303" s="274"/>
      <c r="P303" s="274"/>
      <c r="Q303" s="274"/>
      <c r="R303" s="274"/>
      <c r="S303" s="274"/>
      <c r="T303" s="274"/>
      <c r="U303" s="274"/>
      <c r="V303" s="274"/>
    </row>
    <row r="304" spans="1:22" x14ac:dyDescent="0.25">
      <c r="A304" s="247">
        <v>302</v>
      </c>
      <c r="B304" s="270"/>
      <c r="C304" s="270"/>
      <c r="D304" s="271"/>
      <c r="E304" s="272"/>
      <c r="F304" s="272"/>
      <c r="G304" s="273"/>
      <c r="H304" s="274"/>
      <c r="I304" s="274"/>
      <c r="J304" s="274"/>
      <c r="K304" s="274"/>
      <c r="L304" s="274"/>
      <c r="M304" s="274"/>
      <c r="N304" s="274"/>
      <c r="O304" s="274"/>
      <c r="P304" s="274"/>
      <c r="Q304" s="274"/>
      <c r="R304" s="274"/>
      <c r="S304" s="274"/>
      <c r="T304" s="274"/>
      <c r="U304" s="274"/>
      <c r="V304" s="274"/>
    </row>
    <row r="305" spans="1:22" x14ac:dyDescent="0.25">
      <c r="A305" s="247">
        <v>303</v>
      </c>
      <c r="B305" s="270"/>
      <c r="C305" s="270"/>
      <c r="D305" s="271"/>
      <c r="E305" s="272"/>
      <c r="F305" s="272"/>
      <c r="G305" s="273"/>
      <c r="H305" s="274"/>
      <c r="I305" s="274"/>
      <c r="J305" s="274"/>
      <c r="K305" s="274"/>
      <c r="L305" s="274"/>
      <c r="M305" s="274"/>
      <c r="N305" s="274"/>
      <c r="O305" s="274"/>
      <c r="P305" s="274"/>
      <c r="Q305" s="274"/>
      <c r="R305" s="274"/>
      <c r="S305" s="274"/>
      <c r="T305" s="274"/>
      <c r="U305" s="274"/>
      <c r="V305" s="274"/>
    </row>
    <row r="306" spans="1:22" x14ac:dyDescent="0.25">
      <c r="A306" s="247">
        <v>304</v>
      </c>
      <c r="B306" s="270"/>
      <c r="C306" s="270"/>
      <c r="D306" s="271"/>
      <c r="E306" s="272"/>
      <c r="F306" s="272"/>
      <c r="G306" s="273"/>
      <c r="H306" s="274"/>
      <c r="I306" s="274"/>
      <c r="J306" s="274"/>
      <c r="K306" s="274"/>
      <c r="L306" s="274"/>
      <c r="M306" s="274"/>
      <c r="N306" s="274"/>
      <c r="O306" s="274"/>
      <c r="P306" s="274"/>
      <c r="Q306" s="274"/>
      <c r="R306" s="274"/>
      <c r="S306" s="274"/>
      <c r="T306" s="274"/>
      <c r="U306" s="274"/>
      <c r="V306" s="274"/>
    </row>
    <row r="307" spans="1:22" x14ac:dyDescent="0.25">
      <c r="A307" s="247">
        <v>305</v>
      </c>
      <c r="B307" s="270"/>
      <c r="C307" s="270"/>
      <c r="D307" s="271"/>
      <c r="E307" s="272"/>
      <c r="F307" s="272"/>
      <c r="G307" s="273"/>
      <c r="H307" s="274"/>
      <c r="I307" s="274"/>
      <c r="J307" s="274"/>
      <c r="K307" s="274"/>
      <c r="L307" s="274"/>
      <c r="M307" s="274"/>
      <c r="N307" s="274"/>
      <c r="O307" s="274"/>
      <c r="P307" s="274"/>
      <c r="Q307" s="274"/>
      <c r="R307" s="274"/>
      <c r="S307" s="274"/>
      <c r="T307" s="274"/>
      <c r="U307" s="274"/>
      <c r="V307" s="274"/>
    </row>
    <row r="308" spans="1:22" x14ac:dyDescent="0.25">
      <c r="A308" s="247">
        <v>306</v>
      </c>
      <c r="B308" s="270"/>
      <c r="C308" s="270"/>
      <c r="D308" s="271"/>
      <c r="E308" s="272"/>
      <c r="F308" s="272"/>
      <c r="G308" s="273"/>
      <c r="H308" s="274"/>
      <c r="I308" s="274"/>
      <c r="J308" s="274"/>
      <c r="K308" s="274"/>
      <c r="L308" s="274"/>
      <c r="M308" s="274"/>
      <c r="N308" s="274"/>
      <c r="O308" s="274"/>
      <c r="P308" s="274"/>
      <c r="Q308" s="274"/>
      <c r="R308" s="274"/>
      <c r="S308" s="274"/>
      <c r="T308" s="274"/>
      <c r="U308" s="274"/>
      <c r="V308" s="274"/>
    </row>
    <row r="309" spans="1:22" x14ac:dyDescent="0.25">
      <c r="A309" s="247">
        <v>307</v>
      </c>
      <c r="B309" s="270"/>
      <c r="C309" s="270"/>
      <c r="D309" s="271"/>
      <c r="E309" s="272"/>
      <c r="F309" s="272"/>
      <c r="G309" s="273"/>
      <c r="H309" s="274"/>
      <c r="I309" s="274"/>
      <c r="J309" s="274"/>
      <c r="K309" s="274"/>
      <c r="L309" s="274"/>
      <c r="M309" s="274"/>
      <c r="N309" s="274"/>
      <c r="O309" s="274"/>
      <c r="P309" s="274"/>
      <c r="Q309" s="274"/>
      <c r="R309" s="274"/>
      <c r="S309" s="274"/>
      <c r="T309" s="274"/>
      <c r="U309" s="274"/>
      <c r="V309" s="274"/>
    </row>
    <row r="310" spans="1:22" x14ac:dyDescent="0.25">
      <c r="A310" s="247">
        <v>308</v>
      </c>
      <c r="B310" s="270"/>
      <c r="C310" s="270"/>
      <c r="D310" s="271"/>
      <c r="E310" s="272"/>
      <c r="F310" s="272"/>
      <c r="G310" s="273"/>
      <c r="H310" s="274"/>
      <c r="I310" s="274"/>
      <c r="J310" s="274"/>
      <c r="K310" s="274"/>
      <c r="L310" s="274"/>
      <c r="M310" s="274"/>
      <c r="N310" s="274"/>
      <c r="O310" s="274"/>
      <c r="P310" s="274"/>
      <c r="Q310" s="274"/>
      <c r="R310" s="274"/>
      <c r="S310" s="274"/>
      <c r="T310" s="274"/>
      <c r="U310" s="274"/>
      <c r="V310" s="274"/>
    </row>
    <row r="311" spans="1:22" x14ac:dyDescent="0.25">
      <c r="A311" s="247">
        <v>309</v>
      </c>
      <c r="B311" s="270"/>
      <c r="C311" s="270"/>
      <c r="D311" s="271"/>
      <c r="E311" s="272"/>
      <c r="F311" s="272"/>
      <c r="G311" s="273"/>
      <c r="H311" s="274"/>
      <c r="I311" s="274"/>
      <c r="J311" s="274"/>
      <c r="K311" s="274"/>
      <c r="L311" s="274"/>
      <c r="M311" s="274"/>
      <c r="N311" s="274"/>
      <c r="O311" s="274"/>
      <c r="P311" s="274"/>
      <c r="Q311" s="274"/>
      <c r="R311" s="274"/>
      <c r="S311" s="274"/>
      <c r="T311" s="274"/>
      <c r="U311" s="274"/>
      <c r="V311" s="274"/>
    </row>
    <row r="312" spans="1:22" x14ac:dyDescent="0.25">
      <c r="A312" s="247">
        <v>310</v>
      </c>
      <c r="B312" s="270"/>
      <c r="C312" s="270"/>
      <c r="D312" s="271"/>
      <c r="E312" s="272"/>
      <c r="F312" s="272"/>
      <c r="G312" s="273"/>
      <c r="H312" s="274"/>
      <c r="I312" s="274"/>
      <c r="J312" s="274"/>
      <c r="K312" s="274"/>
      <c r="L312" s="274"/>
      <c r="M312" s="274"/>
      <c r="N312" s="274"/>
      <c r="O312" s="274"/>
      <c r="P312" s="274"/>
      <c r="Q312" s="274"/>
      <c r="R312" s="274"/>
      <c r="S312" s="274"/>
      <c r="T312" s="274"/>
      <c r="U312" s="274"/>
      <c r="V312" s="274"/>
    </row>
    <row r="313" spans="1:22" x14ac:dyDescent="0.25">
      <c r="A313" s="247">
        <v>311</v>
      </c>
      <c r="B313" s="270"/>
      <c r="C313" s="270"/>
      <c r="D313" s="271"/>
      <c r="E313" s="272"/>
      <c r="F313" s="272"/>
      <c r="G313" s="273"/>
      <c r="H313" s="274"/>
      <c r="I313" s="274"/>
      <c r="J313" s="274"/>
      <c r="K313" s="274"/>
      <c r="L313" s="274"/>
      <c r="M313" s="274"/>
      <c r="N313" s="274"/>
      <c r="O313" s="274"/>
      <c r="P313" s="274"/>
      <c r="Q313" s="274"/>
      <c r="R313" s="274"/>
      <c r="S313" s="274"/>
      <c r="T313" s="274"/>
      <c r="U313" s="274"/>
      <c r="V313" s="274"/>
    </row>
    <row r="314" spans="1:22" x14ac:dyDescent="0.25">
      <c r="A314" s="247">
        <v>312</v>
      </c>
      <c r="B314" s="270"/>
      <c r="C314" s="270"/>
      <c r="D314" s="271"/>
      <c r="E314" s="272"/>
      <c r="F314" s="272"/>
      <c r="G314" s="273"/>
      <c r="H314" s="274"/>
      <c r="I314" s="274"/>
      <c r="J314" s="274"/>
      <c r="K314" s="274"/>
      <c r="L314" s="274"/>
      <c r="M314" s="274"/>
      <c r="N314" s="274"/>
      <c r="O314" s="274"/>
      <c r="P314" s="274"/>
      <c r="Q314" s="274"/>
      <c r="R314" s="274"/>
      <c r="S314" s="274"/>
      <c r="T314" s="274"/>
      <c r="U314" s="274"/>
      <c r="V314" s="274"/>
    </row>
    <row r="315" spans="1:22" x14ac:dyDescent="0.25">
      <c r="A315" s="247">
        <v>313</v>
      </c>
      <c r="B315" s="270"/>
      <c r="C315" s="270"/>
      <c r="D315" s="271"/>
      <c r="E315" s="272"/>
      <c r="F315" s="272"/>
      <c r="G315" s="273"/>
      <c r="H315" s="274"/>
      <c r="I315" s="274"/>
      <c r="J315" s="274"/>
      <c r="K315" s="274"/>
      <c r="L315" s="274"/>
      <c r="M315" s="274"/>
      <c r="N315" s="274"/>
      <c r="O315" s="274"/>
      <c r="P315" s="274"/>
      <c r="Q315" s="274"/>
      <c r="R315" s="274"/>
      <c r="S315" s="274"/>
      <c r="T315" s="274"/>
      <c r="U315" s="274"/>
      <c r="V315" s="274"/>
    </row>
    <row r="316" spans="1:22" x14ac:dyDescent="0.25">
      <c r="A316" s="247">
        <v>314</v>
      </c>
      <c r="B316" s="270"/>
      <c r="C316" s="270"/>
      <c r="D316" s="271"/>
      <c r="E316" s="272"/>
      <c r="F316" s="272"/>
      <c r="G316" s="273"/>
      <c r="H316" s="274"/>
      <c r="I316" s="274"/>
      <c r="J316" s="274"/>
      <c r="K316" s="274"/>
      <c r="L316" s="274"/>
      <c r="M316" s="274"/>
      <c r="N316" s="274"/>
      <c r="O316" s="274"/>
      <c r="P316" s="274"/>
      <c r="Q316" s="274"/>
      <c r="R316" s="274"/>
      <c r="S316" s="274"/>
      <c r="T316" s="274"/>
      <c r="U316" s="274"/>
      <c r="V316" s="274"/>
    </row>
    <row r="317" spans="1:22" x14ac:dyDescent="0.25">
      <c r="A317" s="247">
        <v>315</v>
      </c>
      <c r="B317" s="270"/>
      <c r="C317" s="270"/>
      <c r="D317" s="271"/>
      <c r="E317" s="272"/>
      <c r="F317" s="272"/>
      <c r="G317" s="273"/>
      <c r="H317" s="274"/>
      <c r="I317" s="274"/>
      <c r="J317" s="274"/>
      <c r="K317" s="274"/>
      <c r="L317" s="274"/>
      <c r="M317" s="274"/>
      <c r="N317" s="274"/>
      <c r="O317" s="274"/>
      <c r="P317" s="274"/>
      <c r="Q317" s="274"/>
      <c r="R317" s="274"/>
      <c r="S317" s="274"/>
      <c r="T317" s="274"/>
      <c r="U317" s="274"/>
      <c r="V317" s="274"/>
    </row>
    <row r="318" spans="1:22" x14ac:dyDescent="0.25">
      <c r="A318" s="247">
        <v>316</v>
      </c>
      <c r="B318" s="270"/>
      <c r="C318" s="270"/>
      <c r="D318" s="271"/>
      <c r="E318" s="272"/>
      <c r="F318" s="272"/>
      <c r="G318" s="273"/>
      <c r="H318" s="274"/>
      <c r="I318" s="274"/>
      <c r="J318" s="274"/>
      <c r="K318" s="274"/>
      <c r="L318" s="274"/>
      <c r="M318" s="274"/>
      <c r="N318" s="274"/>
      <c r="O318" s="274"/>
      <c r="P318" s="274"/>
      <c r="Q318" s="274"/>
      <c r="R318" s="274"/>
      <c r="S318" s="274"/>
      <c r="T318" s="274"/>
      <c r="U318" s="274"/>
      <c r="V318" s="274"/>
    </row>
    <row r="319" spans="1:22" x14ac:dyDescent="0.25">
      <c r="A319" s="247">
        <v>317</v>
      </c>
      <c r="B319" s="270"/>
      <c r="C319" s="270"/>
      <c r="D319" s="271"/>
      <c r="E319" s="272"/>
      <c r="F319" s="272"/>
      <c r="G319" s="273"/>
      <c r="H319" s="274"/>
      <c r="I319" s="274"/>
      <c r="J319" s="274"/>
      <c r="K319" s="274"/>
      <c r="L319" s="274"/>
      <c r="M319" s="274"/>
      <c r="N319" s="274"/>
      <c r="O319" s="274"/>
      <c r="P319" s="274"/>
      <c r="Q319" s="274"/>
      <c r="R319" s="274"/>
      <c r="S319" s="274"/>
      <c r="T319" s="274"/>
      <c r="U319" s="274"/>
      <c r="V319" s="274"/>
    </row>
    <row r="320" spans="1:22" x14ac:dyDescent="0.25">
      <c r="A320" s="247">
        <v>318</v>
      </c>
      <c r="B320" s="270"/>
      <c r="C320" s="270"/>
      <c r="D320" s="271"/>
      <c r="E320" s="272"/>
      <c r="F320" s="272"/>
      <c r="G320" s="273"/>
      <c r="H320" s="274"/>
      <c r="I320" s="274"/>
      <c r="J320" s="274"/>
      <c r="K320" s="274"/>
      <c r="L320" s="274"/>
      <c r="M320" s="274"/>
      <c r="N320" s="274"/>
      <c r="O320" s="274"/>
      <c r="P320" s="274"/>
      <c r="Q320" s="274"/>
      <c r="R320" s="274"/>
      <c r="S320" s="274"/>
      <c r="T320" s="274"/>
      <c r="U320" s="274"/>
      <c r="V320" s="274"/>
    </row>
    <row r="321" spans="1:22" x14ac:dyDescent="0.25">
      <c r="A321" s="247">
        <v>319</v>
      </c>
      <c r="B321" s="270"/>
      <c r="C321" s="270"/>
      <c r="D321" s="271"/>
      <c r="E321" s="272"/>
      <c r="F321" s="272"/>
      <c r="G321" s="273"/>
      <c r="H321" s="274"/>
      <c r="I321" s="274"/>
      <c r="J321" s="274"/>
      <c r="K321" s="274"/>
      <c r="L321" s="274"/>
      <c r="M321" s="274"/>
      <c r="N321" s="274"/>
      <c r="O321" s="274"/>
      <c r="P321" s="274"/>
      <c r="Q321" s="274"/>
      <c r="R321" s="274"/>
      <c r="S321" s="274"/>
      <c r="T321" s="274"/>
      <c r="U321" s="274"/>
      <c r="V321" s="274"/>
    </row>
    <row r="322" spans="1:22" x14ac:dyDescent="0.25">
      <c r="A322" s="247">
        <v>320</v>
      </c>
      <c r="B322" s="270"/>
      <c r="C322" s="270"/>
      <c r="D322" s="271"/>
      <c r="E322" s="272"/>
      <c r="F322" s="272"/>
      <c r="G322" s="273"/>
      <c r="H322" s="274"/>
      <c r="I322" s="274"/>
      <c r="J322" s="274"/>
      <c r="K322" s="274"/>
      <c r="L322" s="274"/>
      <c r="M322" s="274"/>
      <c r="N322" s="274"/>
      <c r="O322" s="274"/>
      <c r="P322" s="274"/>
      <c r="Q322" s="274"/>
      <c r="R322" s="274"/>
      <c r="S322" s="274"/>
      <c r="T322" s="274"/>
      <c r="U322" s="274"/>
      <c r="V322" s="274"/>
    </row>
    <row r="323" spans="1:22" x14ac:dyDescent="0.25">
      <c r="A323" s="247">
        <v>321</v>
      </c>
      <c r="B323" s="270"/>
      <c r="C323" s="270"/>
      <c r="D323" s="271"/>
      <c r="E323" s="272"/>
      <c r="F323" s="272"/>
      <c r="G323" s="273"/>
      <c r="H323" s="274"/>
      <c r="I323" s="274"/>
      <c r="J323" s="274"/>
      <c r="K323" s="274"/>
      <c r="L323" s="274"/>
      <c r="M323" s="274"/>
      <c r="N323" s="274"/>
      <c r="O323" s="274"/>
      <c r="P323" s="274"/>
      <c r="Q323" s="274"/>
      <c r="R323" s="274"/>
      <c r="S323" s="274"/>
      <c r="T323" s="274"/>
      <c r="U323" s="274"/>
      <c r="V323" s="274"/>
    </row>
    <row r="324" spans="1:22" x14ac:dyDescent="0.25">
      <c r="A324" s="247">
        <v>322</v>
      </c>
      <c r="B324" s="270"/>
      <c r="C324" s="270"/>
      <c r="D324" s="271"/>
      <c r="E324" s="272"/>
      <c r="F324" s="272"/>
      <c r="G324" s="273"/>
      <c r="H324" s="274"/>
      <c r="I324" s="274"/>
      <c r="J324" s="274"/>
      <c r="K324" s="274"/>
      <c r="L324" s="274"/>
      <c r="M324" s="274"/>
      <c r="N324" s="274"/>
      <c r="O324" s="274"/>
      <c r="P324" s="274"/>
      <c r="Q324" s="274"/>
      <c r="R324" s="274"/>
      <c r="S324" s="274"/>
      <c r="T324" s="274"/>
      <c r="U324" s="274"/>
      <c r="V324" s="274"/>
    </row>
    <row r="325" spans="1:22" x14ac:dyDescent="0.25">
      <c r="A325" s="247">
        <v>323</v>
      </c>
      <c r="B325" s="270"/>
      <c r="C325" s="270"/>
      <c r="D325" s="271"/>
      <c r="E325" s="272"/>
      <c r="F325" s="272"/>
      <c r="G325" s="273"/>
      <c r="H325" s="274"/>
      <c r="I325" s="274"/>
      <c r="J325" s="274"/>
      <c r="K325" s="274"/>
      <c r="L325" s="274"/>
      <c r="M325" s="274"/>
      <c r="N325" s="274"/>
      <c r="O325" s="274"/>
      <c r="P325" s="274"/>
      <c r="Q325" s="274"/>
      <c r="R325" s="274"/>
      <c r="S325" s="274"/>
      <c r="T325" s="274"/>
      <c r="U325" s="274"/>
      <c r="V325" s="274"/>
    </row>
    <row r="326" spans="1:22" x14ac:dyDescent="0.25">
      <c r="A326" s="247">
        <v>324</v>
      </c>
      <c r="B326" s="270"/>
      <c r="C326" s="270"/>
      <c r="D326" s="271"/>
      <c r="E326" s="272"/>
      <c r="F326" s="272"/>
      <c r="G326" s="273"/>
      <c r="H326" s="274"/>
      <c r="I326" s="274"/>
      <c r="J326" s="274"/>
      <c r="K326" s="274"/>
      <c r="L326" s="274"/>
      <c r="M326" s="274"/>
      <c r="N326" s="274"/>
      <c r="O326" s="274"/>
      <c r="P326" s="274"/>
      <c r="Q326" s="274"/>
      <c r="R326" s="274"/>
      <c r="S326" s="274"/>
      <c r="T326" s="274"/>
      <c r="U326" s="274"/>
      <c r="V326" s="274"/>
    </row>
    <row r="327" spans="1:22" x14ac:dyDescent="0.25">
      <c r="A327" s="247">
        <v>325</v>
      </c>
      <c r="B327" s="270"/>
      <c r="C327" s="270"/>
      <c r="D327" s="271"/>
      <c r="E327" s="272"/>
      <c r="F327" s="272"/>
      <c r="G327" s="273"/>
      <c r="H327" s="274"/>
      <c r="I327" s="274"/>
      <c r="J327" s="274"/>
      <c r="K327" s="274"/>
      <c r="L327" s="274"/>
      <c r="M327" s="274"/>
      <c r="N327" s="274"/>
      <c r="O327" s="274"/>
      <c r="P327" s="274"/>
      <c r="Q327" s="274"/>
      <c r="R327" s="274"/>
      <c r="S327" s="274"/>
      <c r="T327" s="274"/>
      <c r="U327" s="274"/>
      <c r="V327" s="274"/>
    </row>
    <row r="328" spans="1:22" x14ac:dyDescent="0.25">
      <c r="A328" s="247">
        <v>326</v>
      </c>
      <c r="B328" s="270"/>
      <c r="C328" s="270"/>
      <c r="D328" s="271"/>
      <c r="E328" s="272"/>
      <c r="F328" s="272"/>
      <c r="G328" s="273"/>
      <c r="H328" s="274"/>
      <c r="I328" s="274"/>
      <c r="J328" s="274"/>
      <c r="K328" s="274"/>
      <c r="L328" s="274"/>
      <c r="M328" s="274"/>
      <c r="N328" s="274"/>
      <c r="O328" s="274"/>
      <c r="P328" s="274"/>
      <c r="Q328" s="274"/>
      <c r="R328" s="274"/>
      <c r="S328" s="274"/>
      <c r="T328" s="274"/>
      <c r="U328" s="274"/>
      <c r="V328" s="274"/>
    </row>
    <row r="329" spans="1:22" x14ac:dyDescent="0.25">
      <c r="A329" s="247">
        <v>327</v>
      </c>
      <c r="B329" s="270"/>
      <c r="C329" s="270"/>
      <c r="D329" s="271"/>
      <c r="E329" s="272"/>
      <c r="F329" s="272"/>
      <c r="G329" s="273"/>
      <c r="H329" s="274"/>
      <c r="I329" s="274"/>
      <c r="J329" s="274"/>
      <c r="K329" s="274"/>
      <c r="L329" s="274"/>
      <c r="M329" s="274"/>
      <c r="N329" s="274"/>
      <c r="O329" s="274"/>
      <c r="P329" s="274"/>
      <c r="Q329" s="274"/>
      <c r="R329" s="274"/>
      <c r="S329" s="274"/>
      <c r="T329" s="274"/>
      <c r="U329" s="274"/>
      <c r="V329" s="274"/>
    </row>
    <row r="330" spans="1:22" x14ac:dyDescent="0.25">
      <c r="A330" s="247">
        <v>328</v>
      </c>
      <c r="B330" s="270"/>
      <c r="C330" s="270"/>
      <c r="D330" s="271"/>
      <c r="E330" s="272"/>
      <c r="F330" s="272"/>
      <c r="G330" s="273"/>
      <c r="H330" s="274"/>
      <c r="I330" s="274"/>
      <c r="J330" s="274"/>
      <c r="K330" s="274"/>
      <c r="L330" s="274"/>
      <c r="M330" s="274"/>
      <c r="N330" s="274"/>
      <c r="O330" s="274"/>
      <c r="P330" s="274"/>
      <c r="Q330" s="274"/>
      <c r="R330" s="274"/>
      <c r="S330" s="274"/>
      <c r="T330" s="274"/>
      <c r="U330" s="274"/>
      <c r="V330" s="274"/>
    </row>
    <row r="331" spans="1:22" x14ac:dyDescent="0.25">
      <c r="A331" s="247">
        <v>329</v>
      </c>
      <c r="B331" s="270"/>
      <c r="C331" s="270"/>
      <c r="D331" s="271"/>
      <c r="E331" s="272"/>
      <c r="F331" s="272"/>
      <c r="G331" s="273"/>
      <c r="H331" s="274"/>
      <c r="I331" s="274"/>
      <c r="J331" s="274"/>
      <c r="K331" s="274"/>
      <c r="L331" s="274"/>
      <c r="M331" s="274"/>
      <c r="N331" s="274"/>
      <c r="O331" s="274"/>
      <c r="P331" s="274"/>
      <c r="Q331" s="274"/>
      <c r="R331" s="274"/>
      <c r="S331" s="274"/>
      <c r="T331" s="274"/>
      <c r="U331" s="274"/>
      <c r="V331" s="274"/>
    </row>
    <row r="332" spans="1:22" x14ac:dyDescent="0.25">
      <c r="A332" s="247">
        <v>330</v>
      </c>
      <c r="B332" s="270"/>
      <c r="C332" s="270"/>
      <c r="D332" s="271"/>
      <c r="E332" s="272"/>
      <c r="F332" s="272"/>
      <c r="G332" s="273"/>
      <c r="H332" s="274"/>
      <c r="I332" s="274"/>
      <c r="J332" s="274"/>
      <c r="K332" s="274"/>
      <c r="L332" s="274"/>
      <c r="M332" s="274"/>
      <c r="N332" s="274"/>
      <c r="O332" s="274"/>
      <c r="P332" s="274"/>
      <c r="Q332" s="274"/>
      <c r="R332" s="274"/>
      <c r="S332" s="274"/>
      <c r="T332" s="274"/>
      <c r="U332" s="274"/>
      <c r="V332" s="274"/>
    </row>
    <row r="333" spans="1:22" x14ac:dyDescent="0.25">
      <c r="A333" s="247">
        <v>331</v>
      </c>
      <c r="B333" s="270"/>
      <c r="C333" s="270"/>
      <c r="D333" s="271"/>
      <c r="E333" s="272"/>
      <c r="F333" s="272"/>
      <c r="G333" s="273"/>
      <c r="H333" s="274"/>
      <c r="I333" s="274"/>
      <c r="J333" s="274"/>
      <c r="K333" s="274"/>
      <c r="L333" s="274"/>
      <c r="M333" s="274"/>
      <c r="N333" s="274"/>
      <c r="O333" s="274"/>
      <c r="P333" s="274"/>
      <c r="Q333" s="274"/>
      <c r="R333" s="274"/>
      <c r="S333" s="274"/>
      <c r="T333" s="274"/>
      <c r="U333" s="274"/>
      <c r="V333" s="274"/>
    </row>
    <row r="334" spans="1:22" x14ac:dyDescent="0.25">
      <c r="A334" s="247">
        <v>332</v>
      </c>
      <c r="B334" s="270"/>
      <c r="C334" s="270"/>
      <c r="D334" s="271"/>
      <c r="E334" s="272"/>
      <c r="F334" s="272"/>
      <c r="G334" s="273"/>
      <c r="H334" s="274"/>
      <c r="I334" s="274"/>
      <c r="J334" s="274"/>
      <c r="K334" s="274"/>
      <c r="L334" s="274"/>
      <c r="M334" s="274"/>
      <c r="N334" s="274"/>
      <c r="O334" s="274"/>
      <c r="P334" s="274"/>
      <c r="Q334" s="274"/>
      <c r="R334" s="274"/>
      <c r="S334" s="274"/>
      <c r="T334" s="274"/>
      <c r="U334" s="274"/>
      <c r="V334" s="274"/>
    </row>
    <row r="335" spans="1:22" x14ac:dyDescent="0.25">
      <c r="A335" s="247">
        <v>333</v>
      </c>
      <c r="B335" s="270"/>
      <c r="C335" s="270"/>
      <c r="D335" s="271"/>
      <c r="E335" s="272"/>
      <c r="F335" s="272"/>
      <c r="G335" s="273"/>
      <c r="H335" s="274"/>
      <c r="I335" s="274"/>
      <c r="J335" s="274"/>
      <c r="K335" s="274"/>
      <c r="L335" s="274"/>
      <c r="M335" s="274"/>
      <c r="N335" s="274"/>
      <c r="O335" s="274"/>
      <c r="P335" s="274"/>
      <c r="Q335" s="274"/>
      <c r="R335" s="274"/>
      <c r="S335" s="274"/>
      <c r="T335" s="274"/>
      <c r="U335" s="274"/>
      <c r="V335" s="274"/>
    </row>
    <row r="336" spans="1:22" x14ac:dyDescent="0.25">
      <c r="A336" s="247">
        <v>334</v>
      </c>
      <c r="B336" s="270"/>
      <c r="C336" s="270"/>
      <c r="D336" s="271"/>
      <c r="E336" s="272"/>
      <c r="F336" s="272"/>
      <c r="G336" s="273"/>
      <c r="H336" s="274"/>
      <c r="I336" s="274"/>
      <c r="J336" s="274"/>
      <c r="K336" s="274"/>
      <c r="L336" s="274"/>
      <c r="M336" s="274"/>
      <c r="N336" s="274"/>
      <c r="O336" s="274"/>
      <c r="P336" s="274"/>
      <c r="Q336" s="274"/>
      <c r="R336" s="274"/>
      <c r="S336" s="274"/>
      <c r="T336" s="274"/>
      <c r="U336" s="274"/>
      <c r="V336" s="274"/>
    </row>
    <row r="337" spans="1:22" x14ac:dyDescent="0.25">
      <c r="A337" s="247">
        <v>335</v>
      </c>
      <c r="B337" s="270"/>
      <c r="C337" s="270"/>
      <c r="D337" s="271"/>
      <c r="E337" s="272"/>
      <c r="F337" s="272"/>
      <c r="G337" s="273"/>
      <c r="H337" s="274"/>
      <c r="I337" s="274"/>
      <c r="J337" s="274"/>
      <c r="K337" s="274"/>
      <c r="L337" s="274"/>
      <c r="M337" s="274"/>
      <c r="N337" s="274"/>
      <c r="O337" s="274"/>
      <c r="P337" s="274"/>
      <c r="Q337" s="274"/>
      <c r="R337" s="274"/>
      <c r="S337" s="274"/>
      <c r="T337" s="274"/>
      <c r="U337" s="274"/>
      <c r="V337" s="274"/>
    </row>
    <row r="338" spans="1:22" x14ac:dyDescent="0.25">
      <c r="A338" s="247">
        <v>336</v>
      </c>
      <c r="B338" s="270"/>
      <c r="C338" s="270"/>
      <c r="D338" s="271"/>
      <c r="E338" s="272"/>
      <c r="F338" s="272"/>
      <c r="G338" s="273"/>
      <c r="H338" s="274"/>
      <c r="I338" s="274"/>
      <c r="J338" s="274"/>
      <c r="K338" s="274"/>
      <c r="L338" s="274"/>
      <c r="M338" s="274"/>
      <c r="N338" s="274"/>
      <c r="O338" s="274"/>
      <c r="P338" s="274"/>
      <c r="Q338" s="274"/>
      <c r="R338" s="274"/>
      <c r="S338" s="274"/>
      <c r="T338" s="274"/>
      <c r="U338" s="274"/>
      <c r="V338" s="274"/>
    </row>
    <row r="339" spans="1:22" x14ac:dyDescent="0.25">
      <c r="A339" s="247">
        <v>337</v>
      </c>
      <c r="B339" s="270"/>
      <c r="C339" s="270"/>
      <c r="D339" s="271"/>
      <c r="E339" s="272"/>
      <c r="F339" s="272"/>
      <c r="G339" s="273"/>
      <c r="H339" s="274"/>
      <c r="I339" s="274"/>
      <c r="J339" s="274"/>
      <c r="K339" s="274"/>
      <c r="L339" s="274"/>
      <c r="M339" s="274"/>
      <c r="N339" s="274"/>
      <c r="O339" s="274"/>
      <c r="P339" s="274"/>
      <c r="Q339" s="274"/>
      <c r="R339" s="274"/>
      <c r="S339" s="274"/>
      <c r="T339" s="274"/>
      <c r="U339" s="274"/>
      <c r="V339" s="274"/>
    </row>
    <row r="340" spans="1:22" x14ac:dyDescent="0.25">
      <c r="A340" s="247">
        <v>338</v>
      </c>
      <c r="B340" s="270"/>
      <c r="C340" s="270"/>
      <c r="D340" s="271"/>
      <c r="E340" s="272"/>
      <c r="F340" s="272"/>
      <c r="G340" s="273"/>
      <c r="H340" s="274"/>
      <c r="I340" s="274"/>
      <c r="J340" s="274"/>
      <c r="K340" s="274"/>
      <c r="L340" s="274"/>
      <c r="M340" s="274"/>
      <c r="N340" s="274"/>
      <c r="O340" s="274"/>
      <c r="P340" s="274"/>
      <c r="Q340" s="274"/>
      <c r="R340" s="274"/>
      <c r="S340" s="274"/>
      <c r="T340" s="274"/>
      <c r="U340" s="274"/>
      <c r="V340" s="274"/>
    </row>
    <row r="341" spans="1:22" x14ac:dyDescent="0.25">
      <c r="A341" s="247">
        <v>339</v>
      </c>
      <c r="B341" s="270"/>
      <c r="C341" s="270"/>
      <c r="D341" s="271"/>
      <c r="E341" s="272"/>
      <c r="F341" s="272"/>
      <c r="G341" s="273"/>
      <c r="H341" s="274"/>
      <c r="I341" s="274"/>
      <c r="J341" s="274"/>
      <c r="K341" s="274"/>
      <c r="L341" s="274"/>
      <c r="M341" s="274"/>
      <c r="N341" s="274"/>
      <c r="O341" s="274"/>
      <c r="P341" s="274"/>
      <c r="Q341" s="274"/>
      <c r="R341" s="274"/>
      <c r="S341" s="274"/>
      <c r="T341" s="274"/>
      <c r="U341" s="274"/>
      <c r="V341" s="274"/>
    </row>
    <row r="342" spans="1:22" x14ac:dyDescent="0.25">
      <c r="A342" s="247">
        <v>340</v>
      </c>
      <c r="B342" s="270"/>
      <c r="C342" s="270"/>
      <c r="D342" s="271"/>
      <c r="E342" s="272"/>
      <c r="F342" s="272"/>
      <c r="G342" s="273"/>
      <c r="H342" s="274"/>
      <c r="I342" s="274"/>
      <c r="J342" s="274"/>
      <c r="K342" s="274"/>
      <c r="L342" s="274"/>
      <c r="M342" s="274"/>
      <c r="N342" s="274"/>
      <c r="O342" s="274"/>
      <c r="P342" s="274"/>
      <c r="Q342" s="274"/>
      <c r="R342" s="274"/>
      <c r="S342" s="274"/>
      <c r="T342" s="274"/>
      <c r="U342" s="274"/>
      <c r="V342" s="274"/>
    </row>
    <row r="343" spans="1:22" x14ac:dyDescent="0.25">
      <c r="A343" s="247">
        <v>341</v>
      </c>
      <c r="B343" s="270"/>
      <c r="C343" s="270"/>
      <c r="D343" s="271"/>
      <c r="E343" s="272"/>
      <c r="F343" s="272"/>
      <c r="G343" s="273"/>
      <c r="H343" s="274"/>
      <c r="I343" s="274"/>
      <c r="J343" s="274"/>
      <c r="K343" s="274"/>
      <c r="L343" s="274"/>
      <c r="M343" s="274"/>
      <c r="N343" s="274"/>
      <c r="O343" s="274"/>
      <c r="P343" s="274"/>
      <c r="Q343" s="274"/>
      <c r="R343" s="274"/>
      <c r="S343" s="274"/>
      <c r="T343" s="274"/>
      <c r="U343" s="274"/>
      <c r="V343" s="274"/>
    </row>
    <row r="344" spans="1:22" x14ac:dyDescent="0.25">
      <c r="A344" s="247">
        <v>342</v>
      </c>
      <c r="B344" s="270"/>
      <c r="C344" s="270"/>
      <c r="D344" s="271"/>
      <c r="E344" s="272"/>
      <c r="F344" s="272"/>
      <c r="G344" s="273"/>
      <c r="H344" s="274"/>
      <c r="I344" s="274"/>
      <c r="J344" s="274"/>
      <c r="K344" s="274"/>
      <c r="L344" s="274"/>
      <c r="M344" s="274"/>
      <c r="N344" s="274"/>
      <c r="O344" s="274"/>
      <c r="P344" s="274"/>
      <c r="Q344" s="274"/>
      <c r="R344" s="274"/>
      <c r="S344" s="274"/>
      <c r="T344" s="274"/>
      <c r="U344" s="274"/>
      <c r="V344" s="274"/>
    </row>
    <row r="345" spans="1:22" x14ac:dyDescent="0.25">
      <c r="A345" s="247">
        <v>343</v>
      </c>
      <c r="B345" s="270"/>
      <c r="C345" s="270"/>
      <c r="D345" s="271"/>
      <c r="E345" s="272"/>
      <c r="F345" s="272"/>
      <c r="G345" s="273"/>
      <c r="H345" s="274"/>
      <c r="I345" s="274"/>
      <c r="J345" s="274"/>
      <c r="K345" s="274"/>
      <c r="L345" s="274"/>
      <c r="M345" s="274"/>
      <c r="N345" s="274"/>
      <c r="O345" s="274"/>
      <c r="P345" s="274"/>
      <c r="Q345" s="274"/>
      <c r="R345" s="274"/>
      <c r="S345" s="274"/>
      <c r="T345" s="274"/>
      <c r="U345" s="274"/>
      <c r="V345" s="274"/>
    </row>
    <row r="346" spans="1:22" x14ac:dyDescent="0.25">
      <c r="A346" s="247">
        <v>344</v>
      </c>
      <c r="B346" s="270"/>
      <c r="C346" s="270"/>
      <c r="D346" s="271"/>
      <c r="E346" s="272"/>
      <c r="F346" s="272"/>
      <c r="G346" s="273"/>
      <c r="H346" s="274"/>
      <c r="I346" s="274"/>
      <c r="J346" s="274"/>
      <c r="K346" s="274"/>
      <c r="L346" s="274"/>
      <c r="M346" s="274"/>
      <c r="N346" s="274"/>
      <c r="O346" s="274"/>
      <c r="P346" s="274"/>
      <c r="Q346" s="274"/>
      <c r="R346" s="274"/>
      <c r="S346" s="274"/>
      <c r="T346" s="274"/>
      <c r="U346" s="274"/>
      <c r="V346" s="274"/>
    </row>
    <row r="347" spans="1:22" x14ac:dyDescent="0.25">
      <c r="A347" s="247">
        <v>345</v>
      </c>
      <c r="B347" s="270"/>
      <c r="C347" s="270"/>
      <c r="D347" s="271"/>
      <c r="E347" s="272"/>
      <c r="F347" s="272"/>
      <c r="G347" s="273"/>
      <c r="H347" s="274"/>
      <c r="I347" s="274"/>
      <c r="J347" s="274"/>
      <c r="K347" s="274"/>
      <c r="L347" s="274"/>
      <c r="M347" s="274"/>
      <c r="N347" s="274"/>
      <c r="O347" s="274"/>
      <c r="P347" s="274"/>
      <c r="Q347" s="274"/>
      <c r="R347" s="274"/>
      <c r="S347" s="274"/>
      <c r="T347" s="274"/>
      <c r="U347" s="274"/>
      <c r="V347" s="274"/>
    </row>
    <row r="348" spans="1:22" x14ac:dyDescent="0.25">
      <c r="A348" s="247">
        <v>346</v>
      </c>
      <c r="B348" s="270"/>
      <c r="C348" s="270"/>
      <c r="D348" s="271"/>
      <c r="E348" s="272"/>
      <c r="F348" s="272"/>
      <c r="G348" s="273"/>
      <c r="H348" s="274"/>
      <c r="I348" s="274"/>
      <c r="J348" s="274"/>
      <c r="K348" s="274"/>
      <c r="L348" s="274"/>
      <c r="M348" s="274"/>
      <c r="N348" s="274"/>
      <c r="O348" s="274"/>
      <c r="P348" s="274"/>
      <c r="Q348" s="274"/>
      <c r="R348" s="274"/>
      <c r="S348" s="274"/>
      <c r="T348" s="274"/>
      <c r="U348" s="274"/>
      <c r="V348" s="274"/>
    </row>
    <row r="349" spans="1:22" x14ac:dyDescent="0.25">
      <c r="A349" s="247">
        <v>347</v>
      </c>
      <c r="B349" s="270"/>
      <c r="C349" s="270"/>
      <c r="D349" s="271"/>
      <c r="E349" s="272"/>
      <c r="F349" s="272"/>
      <c r="G349" s="273"/>
      <c r="H349" s="274"/>
      <c r="I349" s="274"/>
      <c r="J349" s="274"/>
      <c r="K349" s="274"/>
      <c r="L349" s="274"/>
      <c r="M349" s="274"/>
      <c r="N349" s="274"/>
      <c r="O349" s="274"/>
      <c r="P349" s="274"/>
      <c r="Q349" s="274"/>
      <c r="R349" s="274"/>
      <c r="S349" s="274"/>
      <c r="T349" s="274"/>
      <c r="U349" s="274"/>
      <c r="V349" s="274"/>
    </row>
    <row r="350" spans="1:22" x14ac:dyDescent="0.25">
      <c r="A350" s="247">
        <v>348</v>
      </c>
      <c r="B350" s="270"/>
      <c r="C350" s="270"/>
      <c r="D350" s="271"/>
      <c r="E350" s="272"/>
      <c r="F350" s="272"/>
      <c r="G350" s="273"/>
      <c r="H350" s="274"/>
      <c r="I350" s="274"/>
      <c r="J350" s="274"/>
      <c r="K350" s="274"/>
      <c r="L350" s="274"/>
      <c r="M350" s="274"/>
      <c r="N350" s="274"/>
      <c r="O350" s="274"/>
      <c r="P350" s="274"/>
      <c r="Q350" s="274"/>
      <c r="R350" s="274"/>
      <c r="S350" s="274"/>
      <c r="T350" s="274"/>
      <c r="U350" s="274"/>
      <c r="V350" s="274"/>
    </row>
    <row r="351" spans="1:22" x14ac:dyDescent="0.25">
      <c r="A351" s="247">
        <v>349</v>
      </c>
      <c r="B351" s="270"/>
      <c r="C351" s="270"/>
      <c r="D351" s="271"/>
      <c r="E351" s="272"/>
      <c r="F351" s="272"/>
      <c r="G351" s="273"/>
      <c r="H351" s="274"/>
      <c r="I351" s="274"/>
      <c r="J351" s="274"/>
      <c r="K351" s="274"/>
      <c r="L351" s="274"/>
      <c r="M351" s="274"/>
      <c r="N351" s="274"/>
      <c r="O351" s="274"/>
      <c r="P351" s="274"/>
      <c r="Q351" s="274"/>
      <c r="R351" s="274"/>
      <c r="S351" s="274"/>
      <c r="T351" s="274"/>
      <c r="U351" s="274"/>
      <c r="V351" s="274"/>
    </row>
    <row r="352" spans="1:22" x14ac:dyDescent="0.25">
      <c r="A352" s="247">
        <v>350</v>
      </c>
      <c r="B352" s="270"/>
      <c r="C352" s="270"/>
      <c r="D352" s="271"/>
      <c r="E352" s="272"/>
      <c r="F352" s="272"/>
      <c r="G352" s="273"/>
      <c r="H352" s="274"/>
      <c r="I352" s="274"/>
      <c r="J352" s="274"/>
      <c r="K352" s="274"/>
      <c r="L352" s="274"/>
      <c r="M352" s="274"/>
      <c r="N352" s="274"/>
      <c r="O352" s="274"/>
      <c r="P352" s="274"/>
      <c r="Q352" s="274"/>
      <c r="R352" s="274"/>
      <c r="S352" s="274"/>
      <c r="T352" s="274"/>
      <c r="U352" s="274"/>
      <c r="V352" s="274"/>
    </row>
    <row r="353" spans="1:22" x14ac:dyDescent="0.25">
      <c r="A353" s="247">
        <v>351</v>
      </c>
      <c r="B353" s="270"/>
      <c r="C353" s="270"/>
      <c r="D353" s="271"/>
      <c r="E353" s="272"/>
      <c r="F353" s="272"/>
      <c r="G353" s="273"/>
      <c r="H353" s="274"/>
      <c r="I353" s="274"/>
      <c r="J353" s="274"/>
      <c r="K353" s="274"/>
      <c r="L353" s="274"/>
      <c r="M353" s="274"/>
      <c r="N353" s="274"/>
      <c r="O353" s="274"/>
      <c r="P353" s="274"/>
      <c r="Q353" s="274"/>
      <c r="R353" s="274"/>
      <c r="S353" s="274"/>
      <c r="T353" s="274"/>
      <c r="U353" s="274"/>
      <c r="V353" s="274"/>
    </row>
    <row r="354" spans="1:22" x14ac:dyDescent="0.25">
      <c r="A354" s="247">
        <v>352</v>
      </c>
      <c r="B354" s="270"/>
      <c r="C354" s="270"/>
      <c r="D354" s="271"/>
      <c r="E354" s="272"/>
      <c r="F354" s="272"/>
      <c r="G354" s="273"/>
      <c r="H354" s="274"/>
      <c r="I354" s="274"/>
      <c r="J354" s="274"/>
      <c r="K354" s="274"/>
      <c r="L354" s="274"/>
      <c r="M354" s="274"/>
      <c r="N354" s="274"/>
      <c r="O354" s="274"/>
      <c r="P354" s="274"/>
      <c r="Q354" s="274"/>
      <c r="R354" s="274"/>
      <c r="S354" s="274"/>
      <c r="T354" s="274"/>
      <c r="U354" s="274"/>
      <c r="V354" s="274"/>
    </row>
    <row r="355" spans="1:22" x14ac:dyDescent="0.25">
      <c r="A355" s="247">
        <v>353</v>
      </c>
      <c r="B355" s="270"/>
      <c r="C355" s="270"/>
      <c r="D355" s="271"/>
      <c r="E355" s="272"/>
      <c r="F355" s="272"/>
      <c r="G355" s="273"/>
      <c r="H355" s="274"/>
      <c r="I355" s="274"/>
      <c r="J355" s="274"/>
      <c r="K355" s="274"/>
      <c r="L355" s="274"/>
      <c r="M355" s="274"/>
      <c r="N355" s="274"/>
      <c r="O355" s="274"/>
      <c r="P355" s="274"/>
      <c r="Q355" s="274"/>
      <c r="R355" s="274"/>
      <c r="S355" s="274"/>
      <c r="T355" s="274"/>
      <c r="U355" s="274"/>
      <c r="V355" s="274"/>
    </row>
    <row r="356" spans="1:22" x14ac:dyDescent="0.25">
      <c r="A356" s="247">
        <v>354</v>
      </c>
      <c r="B356" s="270"/>
      <c r="C356" s="270"/>
      <c r="D356" s="271"/>
      <c r="E356" s="272"/>
      <c r="F356" s="272"/>
      <c r="G356" s="273"/>
      <c r="H356" s="274"/>
      <c r="I356" s="274"/>
      <c r="J356" s="274"/>
      <c r="K356" s="274"/>
      <c r="L356" s="274"/>
      <c r="M356" s="274"/>
      <c r="N356" s="274"/>
      <c r="O356" s="274"/>
      <c r="P356" s="274"/>
      <c r="Q356" s="274"/>
      <c r="R356" s="274"/>
      <c r="S356" s="274"/>
      <c r="T356" s="274"/>
      <c r="U356" s="274"/>
      <c r="V356" s="274"/>
    </row>
    <row r="357" spans="1:22" x14ac:dyDescent="0.25">
      <c r="A357" s="247">
        <v>355</v>
      </c>
      <c r="B357" s="270"/>
      <c r="C357" s="270"/>
      <c r="D357" s="271"/>
      <c r="E357" s="272"/>
      <c r="F357" s="272"/>
      <c r="G357" s="273"/>
      <c r="H357" s="274"/>
      <c r="I357" s="274"/>
      <c r="J357" s="274"/>
      <c r="K357" s="274"/>
      <c r="L357" s="274"/>
      <c r="M357" s="274"/>
      <c r="N357" s="274"/>
      <c r="O357" s="274"/>
      <c r="P357" s="274"/>
      <c r="Q357" s="274"/>
      <c r="R357" s="274"/>
      <c r="S357" s="274"/>
      <c r="T357" s="274"/>
      <c r="U357" s="274"/>
      <c r="V357" s="274"/>
    </row>
    <row r="358" spans="1:22" x14ac:dyDescent="0.25">
      <c r="A358" s="247">
        <v>356</v>
      </c>
      <c r="B358" s="270"/>
      <c r="C358" s="270"/>
      <c r="D358" s="271"/>
      <c r="E358" s="272"/>
      <c r="F358" s="272"/>
      <c r="G358" s="273"/>
      <c r="H358" s="274"/>
      <c r="I358" s="274"/>
      <c r="J358" s="274"/>
      <c r="K358" s="274"/>
      <c r="L358" s="274"/>
      <c r="M358" s="274"/>
      <c r="N358" s="274"/>
      <c r="O358" s="274"/>
      <c r="P358" s="274"/>
      <c r="Q358" s="274"/>
      <c r="R358" s="274"/>
      <c r="S358" s="274"/>
      <c r="T358" s="274"/>
      <c r="U358" s="274"/>
      <c r="V358" s="274"/>
    </row>
    <row r="359" spans="1:22" x14ac:dyDescent="0.25">
      <c r="A359" s="247">
        <v>357</v>
      </c>
      <c r="B359" s="270"/>
      <c r="C359" s="270"/>
      <c r="D359" s="271"/>
      <c r="E359" s="272"/>
      <c r="F359" s="272"/>
      <c r="G359" s="273"/>
      <c r="H359" s="274"/>
      <c r="I359" s="274"/>
      <c r="J359" s="274"/>
      <c r="K359" s="274"/>
      <c r="L359" s="274"/>
      <c r="M359" s="274"/>
      <c r="N359" s="274"/>
      <c r="O359" s="274"/>
      <c r="P359" s="274"/>
      <c r="Q359" s="274"/>
      <c r="R359" s="274"/>
      <c r="S359" s="274"/>
      <c r="T359" s="274"/>
      <c r="U359" s="274"/>
      <c r="V359" s="274"/>
    </row>
    <row r="360" spans="1:22" x14ac:dyDescent="0.25">
      <c r="A360" s="247">
        <v>358</v>
      </c>
      <c r="B360" s="270"/>
      <c r="C360" s="270"/>
      <c r="D360" s="271"/>
      <c r="E360" s="272"/>
      <c r="F360" s="272"/>
      <c r="G360" s="273"/>
      <c r="H360" s="274"/>
      <c r="I360" s="274"/>
      <c r="J360" s="274"/>
      <c r="K360" s="274"/>
      <c r="L360" s="274"/>
      <c r="M360" s="274"/>
      <c r="N360" s="274"/>
      <c r="O360" s="274"/>
      <c r="P360" s="274"/>
      <c r="Q360" s="274"/>
      <c r="R360" s="274"/>
      <c r="S360" s="274"/>
      <c r="T360" s="274"/>
      <c r="U360" s="274"/>
      <c r="V360" s="274"/>
    </row>
    <row r="361" spans="1:22" x14ac:dyDescent="0.25">
      <c r="A361" s="247">
        <v>359</v>
      </c>
      <c r="B361" s="270"/>
      <c r="C361" s="270"/>
      <c r="D361" s="271"/>
      <c r="E361" s="272"/>
      <c r="F361" s="272"/>
      <c r="G361" s="273"/>
      <c r="H361" s="274"/>
      <c r="I361" s="274"/>
      <c r="J361" s="274"/>
      <c r="K361" s="274"/>
      <c r="L361" s="274"/>
      <c r="M361" s="274"/>
      <c r="N361" s="274"/>
      <c r="O361" s="274"/>
      <c r="P361" s="274"/>
      <c r="Q361" s="274"/>
      <c r="R361" s="274"/>
      <c r="S361" s="274"/>
      <c r="T361" s="274"/>
      <c r="U361" s="274"/>
      <c r="V361" s="274"/>
    </row>
    <row r="362" spans="1:22" x14ac:dyDescent="0.25">
      <c r="A362" s="247">
        <v>360</v>
      </c>
      <c r="B362" s="270"/>
      <c r="C362" s="270"/>
      <c r="D362" s="271"/>
      <c r="E362" s="272"/>
      <c r="F362" s="272"/>
      <c r="G362" s="273"/>
      <c r="H362" s="274"/>
      <c r="I362" s="274"/>
      <c r="J362" s="274"/>
      <c r="K362" s="274"/>
      <c r="L362" s="274"/>
      <c r="M362" s="274"/>
      <c r="N362" s="274"/>
      <c r="O362" s="274"/>
      <c r="P362" s="274"/>
      <c r="Q362" s="274"/>
      <c r="R362" s="274"/>
      <c r="S362" s="274"/>
      <c r="T362" s="274"/>
      <c r="U362" s="274"/>
      <c r="V362" s="274"/>
    </row>
    <row r="363" spans="1:22" x14ac:dyDescent="0.25">
      <c r="A363" s="247">
        <v>361</v>
      </c>
      <c r="B363" s="270"/>
      <c r="C363" s="270"/>
      <c r="D363" s="271"/>
      <c r="E363" s="272"/>
      <c r="F363" s="272"/>
      <c r="G363" s="273"/>
      <c r="H363" s="274"/>
      <c r="I363" s="274"/>
      <c r="J363" s="274"/>
      <c r="K363" s="274"/>
      <c r="L363" s="274"/>
      <c r="M363" s="274"/>
      <c r="N363" s="274"/>
      <c r="O363" s="274"/>
      <c r="P363" s="274"/>
      <c r="Q363" s="274"/>
      <c r="R363" s="274"/>
      <c r="S363" s="274"/>
      <c r="T363" s="274"/>
      <c r="U363" s="274"/>
      <c r="V363" s="274"/>
    </row>
    <row r="364" spans="1:22" x14ac:dyDescent="0.25">
      <c r="A364" s="247">
        <v>362</v>
      </c>
      <c r="B364" s="270"/>
      <c r="C364" s="270"/>
      <c r="D364" s="271"/>
      <c r="E364" s="272"/>
      <c r="F364" s="272"/>
      <c r="G364" s="273"/>
      <c r="H364" s="274"/>
      <c r="I364" s="274"/>
      <c r="J364" s="274"/>
      <c r="K364" s="274"/>
      <c r="L364" s="274"/>
      <c r="M364" s="274"/>
      <c r="N364" s="274"/>
      <c r="O364" s="274"/>
      <c r="P364" s="274"/>
      <c r="Q364" s="274"/>
      <c r="R364" s="274"/>
      <c r="S364" s="274"/>
      <c r="T364" s="274"/>
      <c r="U364" s="274"/>
      <c r="V364" s="274"/>
    </row>
    <row r="365" spans="1:22" x14ac:dyDescent="0.25">
      <c r="A365" s="247">
        <v>363</v>
      </c>
      <c r="B365" s="270"/>
      <c r="C365" s="270"/>
      <c r="D365" s="271"/>
      <c r="E365" s="272"/>
      <c r="F365" s="272"/>
      <c r="G365" s="273"/>
      <c r="H365" s="274"/>
      <c r="I365" s="274"/>
      <c r="J365" s="274"/>
      <c r="K365" s="274"/>
      <c r="L365" s="274"/>
      <c r="M365" s="274"/>
      <c r="N365" s="274"/>
      <c r="O365" s="274"/>
      <c r="P365" s="274"/>
      <c r="Q365" s="274"/>
      <c r="R365" s="274"/>
      <c r="S365" s="274"/>
      <c r="T365" s="274"/>
      <c r="U365" s="274"/>
      <c r="V365" s="274"/>
    </row>
    <row r="366" spans="1:22" x14ac:dyDescent="0.25">
      <c r="A366" s="247">
        <v>364</v>
      </c>
      <c r="B366" s="270"/>
      <c r="C366" s="270"/>
      <c r="D366" s="271"/>
      <c r="E366" s="272"/>
      <c r="F366" s="272"/>
      <c r="G366" s="273"/>
      <c r="H366" s="274"/>
      <c r="I366" s="274"/>
      <c r="J366" s="274"/>
      <c r="K366" s="274"/>
      <c r="L366" s="274"/>
      <c r="M366" s="274"/>
      <c r="N366" s="274"/>
      <c r="O366" s="274"/>
      <c r="P366" s="274"/>
      <c r="Q366" s="274"/>
      <c r="R366" s="274"/>
      <c r="S366" s="274"/>
      <c r="T366" s="274"/>
      <c r="U366" s="274"/>
      <c r="V366" s="274"/>
    </row>
    <row r="367" spans="1:22" x14ac:dyDescent="0.25">
      <c r="A367" s="247">
        <v>365</v>
      </c>
      <c r="B367" s="270"/>
      <c r="C367" s="270"/>
      <c r="D367" s="271"/>
      <c r="E367" s="272"/>
      <c r="F367" s="272"/>
      <c r="G367" s="273"/>
      <c r="H367" s="274"/>
      <c r="I367" s="274"/>
      <c r="J367" s="274"/>
      <c r="K367" s="274"/>
      <c r="L367" s="274"/>
      <c r="M367" s="274"/>
      <c r="N367" s="274"/>
      <c r="O367" s="274"/>
      <c r="P367" s="274"/>
      <c r="Q367" s="274"/>
      <c r="R367" s="274"/>
      <c r="S367" s="274"/>
      <c r="T367" s="274"/>
      <c r="U367" s="274"/>
      <c r="V367" s="274"/>
    </row>
    <row r="368" spans="1:22" x14ac:dyDescent="0.25">
      <c r="A368" s="247">
        <v>366</v>
      </c>
      <c r="B368" s="270"/>
      <c r="C368" s="270"/>
      <c r="D368" s="271"/>
      <c r="E368" s="272"/>
      <c r="F368" s="272"/>
      <c r="G368" s="273"/>
      <c r="H368" s="274"/>
      <c r="I368" s="274"/>
      <c r="J368" s="274"/>
      <c r="K368" s="274"/>
      <c r="L368" s="274"/>
      <c r="M368" s="274"/>
      <c r="N368" s="274"/>
      <c r="O368" s="274"/>
      <c r="P368" s="274"/>
      <c r="Q368" s="274"/>
      <c r="R368" s="274"/>
      <c r="S368" s="274"/>
      <c r="T368" s="274"/>
      <c r="U368" s="274"/>
      <c r="V368" s="274"/>
    </row>
    <row r="369" spans="1:22" x14ac:dyDescent="0.25">
      <c r="A369" s="247">
        <v>367</v>
      </c>
      <c r="B369" s="270"/>
      <c r="C369" s="270"/>
      <c r="D369" s="271"/>
      <c r="E369" s="272"/>
      <c r="F369" s="272"/>
      <c r="G369" s="273"/>
      <c r="H369" s="274"/>
      <c r="I369" s="274"/>
      <c r="J369" s="274"/>
      <c r="K369" s="274"/>
      <c r="L369" s="274"/>
      <c r="M369" s="274"/>
      <c r="N369" s="274"/>
      <c r="O369" s="274"/>
      <c r="P369" s="274"/>
      <c r="Q369" s="274"/>
      <c r="R369" s="274"/>
      <c r="S369" s="274"/>
      <c r="T369" s="274"/>
      <c r="U369" s="274"/>
      <c r="V369" s="274"/>
    </row>
    <row r="370" spans="1:22" x14ac:dyDescent="0.25">
      <c r="A370" s="247">
        <v>368</v>
      </c>
      <c r="B370" s="270"/>
      <c r="C370" s="270"/>
      <c r="D370" s="271"/>
      <c r="E370" s="272"/>
      <c r="F370" s="272"/>
      <c r="G370" s="273"/>
      <c r="H370" s="274"/>
      <c r="I370" s="274"/>
      <c r="J370" s="274"/>
      <c r="K370" s="274"/>
      <c r="L370" s="274"/>
      <c r="M370" s="274"/>
      <c r="N370" s="274"/>
      <c r="O370" s="274"/>
      <c r="P370" s="274"/>
      <c r="Q370" s="274"/>
      <c r="R370" s="274"/>
      <c r="S370" s="274"/>
      <c r="T370" s="274"/>
      <c r="U370" s="274"/>
      <c r="V370" s="274"/>
    </row>
    <row r="371" spans="1:22" x14ac:dyDescent="0.25">
      <c r="A371" s="247">
        <v>369</v>
      </c>
      <c r="B371" s="270"/>
      <c r="C371" s="270"/>
      <c r="D371" s="271"/>
      <c r="E371" s="272"/>
      <c r="F371" s="272"/>
      <c r="G371" s="273"/>
      <c r="H371" s="274"/>
      <c r="I371" s="274"/>
      <c r="J371" s="274"/>
      <c r="K371" s="274"/>
      <c r="L371" s="274"/>
      <c r="M371" s="274"/>
      <c r="N371" s="274"/>
      <c r="O371" s="274"/>
      <c r="P371" s="274"/>
      <c r="Q371" s="274"/>
      <c r="R371" s="274"/>
      <c r="S371" s="274"/>
      <c r="T371" s="274"/>
      <c r="U371" s="274"/>
      <c r="V371" s="274"/>
    </row>
    <row r="372" spans="1:22" x14ac:dyDescent="0.25">
      <c r="A372" s="247">
        <v>370</v>
      </c>
      <c r="B372" s="270"/>
      <c r="C372" s="270"/>
      <c r="D372" s="271"/>
      <c r="E372" s="272"/>
      <c r="F372" s="272"/>
      <c r="G372" s="273"/>
      <c r="H372" s="274"/>
      <c r="I372" s="274"/>
      <c r="J372" s="274"/>
      <c r="K372" s="274"/>
      <c r="L372" s="274"/>
      <c r="M372" s="274"/>
      <c r="N372" s="274"/>
      <c r="O372" s="274"/>
      <c r="P372" s="274"/>
      <c r="Q372" s="274"/>
      <c r="R372" s="274"/>
      <c r="S372" s="274"/>
      <c r="T372" s="274"/>
      <c r="U372" s="274"/>
      <c r="V372" s="274"/>
    </row>
    <row r="373" spans="1:22" x14ac:dyDescent="0.25">
      <c r="A373" s="247">
        <v>371</v>
      </c>
      <c r="B373" s="270"/>
      <c r="C373" s="270"/>
      <c r="D373" s="271"/>
      <c r="E373" s="272"/>
      <c r="F373" s="272"/>
      <c r="G373" s="273"/>
      <c r="H373" s="274"/>
      <c r="I373" s="274"/>
      <c r="J373" s="274"/>
      <c r="K373" s="274"/>
      <c r="L373" s="274"/>
      <c r="M373" s="274"/>
      <c r="N373" s="274"/>
      <c r="O373" s="274"/>
      <c r="P373" s="274"/>
      <c r="Q373" s="274"/>
      <c r="R373" s="274"/>
      <c r="S373" s="274"/>
      <c r="T373" s="274"/>
      <c r="U373" s="274"/>
      <c r="V373" s="274"/>
    </row>
    <row r="374" spans="1:22" x14ac:dyDescent="0.25">
      <c r="A374" s="247">
        <v>372</v>
      </c>
      <c r="B374" s="270"/>
      <c r="C374" s="270"/>
      <c r="D374" s="271"/>
      <c r="E374" s="272"/>
      <c r="F374" s="272"/>
      <c r="G374" s="273"/>
      <c r="H374" s="274"/>
      <c r="I374" s="274"/>
      <c r="J374" s="274"/>
      <c r="K374" s="274"/>
      <c r="L374" s="274"/>
      <c r="M374" s="274"/>
      <c r="N374" s="274"/>
      <c r="O374" s="274"/>
      <c r="P374" s="274"/>
      <c r="Q374" s="274"/>
      <c r="R374" s="274"/>
      <c r="S374" s="274"/>
      <c r="T374" s="274"/>
      <c r="U374" s="274"/>
      <c r="V374" s="274"/>
    </row>
    <row r="375" spans="1:22" x14ac:dyDescent="0.25">
      <c r="A375" s="247">
        <v>373</v>
      </c>
      <c r="B375" s="270"/>
      <c r="C375" s="270"/>
      <c r="D375" s="271"/>
      <c r="E375" s="272"/>
      <c r="F375" s="272"/>
      <c r="G375" s="273"/>
      <c r="H375" s="274"/>
      <c r="I375" s="274"/>
      <c r="J375" s="274"/>
      <c r="K375" s="274"/>
      <c r="L375" s="274"/>
      <c r="M375" s="274"/>
      <c r="N375" s="274"/>
      <c r="O375" s="274"/>
      <c r="P375" s="274"/>
      <c r="Q375" s="274"/>
      <c r="R375" s="274"/>
      <c r="S375" s="274"/>
      <c r="T375" s="274"/>
      <c r="U375" s="274"/>
      <c r="V375" s="274"/>
    </row>
    <row r="376" spans="1:22" x14ac:dyDescent="0.25">
      <c r="A376" s="247">
        <v>374</v>
      </c>
      <c r="B376" s="270"/>
      <c r="C376" s="270"/>
      <c r="D376" s="271"/>
      <c r="E376" s="272"/>
      <c r="F376" s="272"/>
      <c r="G376" s="273"/>
      <c r="H376" s="274"/>
      <c r="I376" s="274"/>
      <c r="J376" s="274"/>
      <c r="K376" s="274"/>
      <c r="L376" s="274"/>
      <c r="M376" s="274"/>
      <c r="N376" s="274"/>
      <c r="O376" s="274"/>
      <c r="P376" s="274"/>
      <c r="Q376" s="274"/>
      <c r="R376" s="274"/>
      <c r="S376" s="274"/>
      <c r="T376" s="274"/>
      <c r="U376" s="274"/>
      <c r="V376" s="274"/>
    </row>
    <row r="377" spans="1:22" x14ac:dyDescent="0.25">
      <c r="A377" s="247">
        <v>375</v>
      </c>
      <c r="B377" s="270"/>
      <c r="C377" s="270"/>
      <c r="D377" s="271"/>
      <c r="E377" s="272"/>
      <c r="F377" s="272"/>
      <c r="G377" s="273"/>
      <c r="H377" s="274"/>
      <c r="I377" s="274"/>
      <c r="J377" s="274"/>
      <c r="K377" s="274"/>
      <c r="L377" s="274"/>
      <c r="M377" s="274"/>
      <c r="N377" s="274"/>
      <c r="O377" s="274"/>
      <c r="P377" s="274"/>
      <c r="Q377" s="274"/>
      <c r="R377" s="274"/>
      <c r="S377" s="274"/>
      <c r="T377" s="274"/>
      <c r="U377" s="274"/>
      <c r="V377" s="274"/>
    </row>
    <row r="378" spans="1:22" x14ac:dyDescent="0.25">
      <c r="A378" s="247">
        <v>376</v>
      </c>
      <c r="B378" s="270"/>
      <c r="C378" s="270"/>
      <c r="D378" s="271"/>
      <c r="E378" s="272"/>
      <c r="F378" s="272"/>
      <c r="G378" s="273"/>
      <c r="H378" s="274"/>
      <c r="I378" s="274"/>
      <c r="J378" s="274"/>
      <c r="K378" s="274"/>
      <c r="L378" s="274"/>
      <c r="M378" s="274"/>
      <c r="N378" s="274"/>
      <c r="O378" s="274"/>
      <c r="P378" s="274"/>
      <c r="Q378" s="274"/>
      <c r="R378" s="274"/>
      <c r="S378" s="274"/>
      <c r="T378" s="274"/>
      <c r="U378" s="274"/>
      <c r="V378" s="274"/>
    </row>
    <row r="379" spans="1:22" x14ac:dyDescent="0.25">
      <c r="A379" s="247">
        <v>377</v>
      </c>
      <c r="B379" s="270"/>
      <c r="C379" s="270"/>
      <c r="D379" s="271"/>
      <c r="E379" s="272"/>
      <c r="F379" s="272"/>
      <c r="G379" s="273"/>
      <c r="H379" s="274"/>
      <c r="I379" s="274"/>
      <c r="J379" s="274"/>
      <c r="K379" s="274"/>
      <c r="L379" s="274"/>
      <c r="M379" s="274"/>
      <c r="N379" s="274"/>
      <c r="O379" s="274"/>
      <c r="P379" s="274"/>
      <c r="Q379" s="274"/>
      <c r="R379" s="274"/>
      <c r="S379" s="274"/>
      <c r="T379" s="274"/>
      <c r="U379" s="274"/>
      <c r="V379" s="274"/>
    </row>
    <row r="380" spans="1:22" x14ac:dyDescent="0.25">
      <c r="A380" s="247">
        <v>378</v>
      </c>
      <c r="B380" s="270"/>
      <c r="C380" s="270"/>
      <c r="D380" s="271"/>
      <c r="E380" s="272"/>
      <c r="F380" s="272"/>
      <c r="G380" s="273"/>
      <c r="H380" s="274"/>
      <c r="I380" s="274"/>
      <c r="J380" s="274"/>
      <c r="K380" s="274"/>
      <c r="L380" s="274"/>
      <c r="M380" s="274"/>
      <c r="N380" s="274"/>
      <c r="O380" s="274"/>
      <c r="P380" s="274"/>
      <c r="Q380" s="274"/>
      <c r="R380" s="274"/>
      <c r="S380" s="274"/>
      <c r="T380" s="274"/>
      <c r="U380" s="274"/>
      <c r="V380" s="274"/>
    </row>
    <row r="381" spans="1:22" x14ac:dyDescent="0.25">
      <c r="A381" s="247">
        <v>379</v>
      </c>
      <c r="B381" s="270"/>
      <c r="C381" s="270"/>
      <c r="D381" s="271"/>
      <c r="E381" s="272"/>
      <c r="F381" s="272"/>
      <c r="G381" s="273"/>
      <c r="H381" s="274"/>
      <c r="I381" s="274"/>
      <c r="J381" s="274"/>
      <c r="K381" s="274"/>
      <c r="L381" s="274"/>
      <c r="M381" s="274"/>
      <c r="N381" s="274"/>
      <c r="O381" s="274"/>
      <c r="P381" s="274"/>
      <c r="Q381" s="274"/>
      <c r="R381" s="274"/>
      <c r="S381" s="274"/>
      <c r="T381" s="274"/>
      <c r="U381" s="274"/>
      <c r="V381" s="274"/>
    </row>
    <row r="382" spans="1:22" x14ac:dyDescent="0.25">
      <c r="A382" s="247">
        <v>380</v>
      </c>
      <c r="B382" s="270"/>
      <c r="C382" s="270"/>
      <c r="D382" s="271"/>
      <c r="E382" s="272"/>
      <c r="F382" s="272"/>
      <c r="G382" s="273"/>
      <c r="H382" s="274"/>
      <c r="I382" s="274"/>
      <c r="J382" s="274"/>
      <c r="K382" s="274"/>
      <c r="L382" s="274"/>
      <c r="M382" s="274"/>
      <c r="N382" s="274"/>
      <c r="O382" s="274"/>
      <c r="P382" s="274"/>
      <c r="Q382" s="274"/>
      <c r="R382" s="274"/>
      <c r="S382" s="274"/>
      <c r="T382" s="274"/>
      <c r="U382" s="274"/>
      <c r="V382" s="274"/>
    </row>
    <row r="383" spans="1:22" x14ac:dyDescent="0.25">
      <c r="A383" s="247">
        <v>381</v>
      </c>
      <c r="B383" s="270"/>
      <c r="C383" s="270"/>
      <c r="D383" s="271"/>
      <c r="E383" s="272"/>
      <c r="F383" s="272"/>
      <c r="G383" s="273"/>
      <c r="H383" s="274"/>
      <c r="I383" s="274"/>
      <c r="J383" s="274"/>
      <c r="K383" s="274"/>
      <c r="L383" s="274"/>
      <c r="M383" s="274"/>
      <c r="N383" s="274"/>
      <c r="O383" s="274"/>
      <c r="P383" s="274"/>
      <c r="Q383" s="274"/>
      <c r="R383" s="274"/>
      <c r="S383" s="274"/>
      <c r="T383" s="274"/>
      <c r="U383" s="274"/>
      <c r="V383" s="274"/>
    </row>
    <row r="384" spans="1:22" x14ac:dyDescent="0.25">
      <c r="A384" s="247">
        <v>382</v>
      </c>
      <c r="B384" s="270"/>
      <c r="C384" s="270"/>
      <c r="D384" s="271"/>
      <c r="E384" s="272"/>
      <c r="F384" s="272"/>
      <c r="G384" s="273"/>
      <c r="H384" s="274"/>
      <c r="I384" s="274"/>
      <c r="J384" s="274"/>
      <c r="K384" s="274"/>
      <c r="L384" s="274"/>
      <c r="M384" s="274"/>
      <c r="N384" s="274"/>
      <c r="O384" s="274"/>
      <c r="P384" s="274"/>
      <c r="Q384" s="274"/>
      <c r="R384" s="274"/>
      <c r="S384" s="274"/>
      <c r="T384" s="274"/>
      <c r="U384" s="274"/>
      <c r="V384" s="274"/>
    </row>
    <row r="385" spans="1:22" x14ac:dyDescent="0.25">
      <c r="A385" s="247">
        <v>383</v>
      </c>
      <c r="B385" s="270"/>
      <c r="C385" s="270"/>
      <c r="D385" s="271"/>
      <c r="E385" s="272"/>
      <c r="F385" s="272"/>
      <c r="G385" s="273"/>
      <c r="H385" s="274"/>
      <c r="I385" s="274"/>
      <c r="J385" s="274"/>
      <c r="K385" s="274"/>
      <c r="L385" s="274"/>
      <c r="M385" s="274"/>
      <c r="N385" s="274"/>
      <c r="O385" s="274"/>
      <c r="P385" s="274"/>
      <c r="Q385" s="274"/>
      <c r="R385" s="274"/>
      <c r="S385" s="274"/>
      <c r="T385" s="274"/>
      <c r="U385" s="274"/>
      <c r="V385" s="274"/>
    </row>
    <row r="386" spans="1:22" x14ac:dyDescent="0.25">
      <c r="A386" s="247">
        <v>384</v>
      </c>
      <c r="B386" s="270"/>
      <c r="C386" s="270"/>
      <c r="D386" s="271"/>
      <c r="E386" s="272"/>
      <c r="F386" s="272"/>
      <c r="G386" s="273"/>
      <c r="H386" s="274"/>
      <c r="I386" s="274"/>
      <c r="J386" s="274"/>
      <c r="K386" s="274"/>
      <c r="L386" s="274"/>
      <c r="M386" s="274"/>
      <c r="N386" s="274"/>
      <c r="O386" s="274"/>
      <c r="P386" s="274"/>
      <c r="Q386" s="274"/>
      <c r="R386" s="274"/>
      <c r="S386" s="274"/>
      <c r="T386" s="274"/>
      <c r="U386" s="274"/>
      <c r="V386" s="274"/>
    </row>
    <row r="387" spans="1:22" x14ac:dyDescent="0.25">
      <c r="A387" s="247">
        <v>385</v>
      </c>
      <c r="B387" s="270"/>
      <c r="C387" s="270"/>
      <c r="D387" s="271"/>
      <c r="E387" s="272"/>
      <c r="F387" s="272"/>
      <c r="G387" s="273"/>
      <c r="H387" s="274"/>
      <c r="I387" s="274"/>
      <c r="J387" s="274"/>
      <c r="K387" s="274"/>
      <c r="L387" s="274"/>
      <c r="M387" s="274"/>
      <c r="N387" s="274"/>
      <c r="O387" s="274"/>
      <c r="P387" s="274"/>
      <c r="Q387" s="274"/>
      <c r="R387" s="274"/>
      <c r="S387" s="274"/>
      <c r="T387" s="274"/>
      <c r="U387" s="274"/>
      <c r="V387" s="274"/>
    </row>
    <row r="388" spans="1:22" x14ac:dyDescent="0.25">
      <c r="A388" s="247">
        <v>386</v>
      </c>
      <c r="B388" s="270"/>
      <c r="C388" s="270"/>
      <c r="D388" s="271"/>
      <c r="E388" s="272"/>
      <c r="F388" s="272"/>
      <c r="G388" s="273"/>
      <c r="H388" s="274"/>
      <c r="I388" s="274"/>
      <c r="J388" s="274"/>
      <c r="K388" s="274"/>
      <c r="L388" s="274"/>
      <c r="M388" s="274"/>
      <c r="N388" s="274"/>
      <c r="O388" s="274"/>
      <c r="P388" s="274"/>
      <c r="Q388" s="274"/>
      <c r="R388" s="274"/>
      <c r="S388" s="274"/>
      <c r="T388" s="274"/>
      <c r="U388" s="274"/>
      <c r="V388" s="274"/>
    </row>
    <row r="389" spans="1:22" x14ac:dyDescent="0.25">
      <c r="A389" s="247">
        <v>387</v>
      </c>
      <c r="B389" s="270"/>
      <c r="C389" s="270"/>
      <c r="D389" s="271"/>
      <c r="E389" s="272"/>
      <c r="F389" s="272"/>
      <c r="G389" s="273"/>
      <c r="H389" s="274"/>
      <c r="I389" s="274"/>
      <c r="J389" s="274"/>
      <c r="K389" s="274"/>
      <c r="L389" s="274"/>
      <c r="M389" s="274"/>
      <c r="N389" s="274"/>
      <c r="O389" s="274"/>
      <c r="P389" s="274"/>
      <c r="Q389" s="274"/>
      <c r="R389" s="274"/>
      <c r="S389" s="274"/>
      <c r="T389" s="274"/>
      <c r="U389" s="274"/>
      <c r="V389" s="274"/>
    </row>
    <row r="390" spans="1:22" x14ac:dyDescent="0.25">
      <c r="A390" s="247">
        <v>388</v>
      </c>
      <c r="B390" s="270"/>
      <c r="C390" s="270"/>
      <c r="D390" s="271"/>
      <c r="E390" s="272"/>
      <c r="F390" s="272"/>
      <c r="G390" s="273"/>
      <c r="H390" s="274"/>
      <c r="I390" s="274"/>
      <c r="J390" s="274"/>
      <c r="K390" s="274"/>
      <c r="L390" s="274"/>
      <c r="M390" s="274"/>
      <c r="N390" s="274"/>
      <c r="O390" s="274"/>
      <c r="P390" s="274"/>
      <c r="Q390" s="274"/>
      <c r="R390" s="274"/>
      <c r="S390" s="274"/>
      <c r="T390" s="274"/>
      <c r="U390" s="274"/>
      <c r="V390" s="274"/>
    </row>
    <row r="391" spans="1:22" x14ac:dyDescent="0.25">
      <c r="A391" s="247">
        <v>389</v>
      </c>
      <c r="B391" s="270"/>
      <c r="C391" s="270"/>
      <c r="D391" s="271"/>
      <c r="E391" s="272"/>
      <c r="F391" s="272"/>
      <c r="G391" s="273"/>
      <c r="H391" s="274"/>
      <c r="I391" s="274"/>
      <c r="J391" s="274"/>
      <c r="K391" s="274"/>
      <c r="L391" s="274"/>
      <c r="M391" s="274"/>
      <c r="N391" s="274"/>
      <c r="O391" s="274"/>
      <c r="P391" s="274"/>
      <c r="Q391" s="274"/>
      <c r="R391" s="274"/>
      <c r="S391" s="274"/>
      <c r="T391" s="274"/>
      <c r="U391" s="274"/>
      <c r="V391" s="274"/>
    </row>
    <row r="392" spans="1:22" x14ac:dyDescent="0.25">
      <c r="A392" s="247">
        <v>390</v>
      </c>
      <c r="B392" s="270"/>
      <c r="C392" s="270"/>
      <c r="D392" s="271"/>
      <c r="E392" s="272"/>
      <c r="F392" s="272"/>
      <c r="G392" s="273"/>
      <c r="H392" s="274"/>
      <c r="I392" s="274"/>
      <c r="J392" s="274"/>
      <c r="K392" s="274"/>
      <c r="L392" s="274"/>
      <c r="M392" s="274"/>
      <c r="N392" s="274"/>
      <c r="O392" s="274"/>
      <c r="P392" s="274"/>
      <c r="Q392" s="274"/>
      <c r="R392" s="274"/>
      <c r="S392" s="274"/>
      <c r="T392" s="274"/>
      <c r="U392" s="274"/>
      <c r="V392" s="274"/>
    </row>
    <row r="393" spans="1:22" x14ac:dyDescent="0.25">
      <c r="A393" s="247">
        <v>391</v>
      </c>
      <c r="B393" s="270"/>
      <c r="C393" s="270"/>
      <c r="D393" s="271"/>
      <c r="E393" s="272"/>
      <c r="F393" s="272"/>
      <c r="G393" s="273"/>
      <c r="H393" s="274"/>
      <c r="I393" s="274"/>
      <c r="J393" s="274"/>
      <c r="K393" s="274"/>
      <c r="L393" s="274"/>
      <c r="M393" s="274"/>
      <c r="N393" s="274"/>
      <c r="O393" s="274"/>
      <c r="P393" s="274"/>
      <c r="Q393" s="274"/>
      <c r="R393" s="274"/>
      <c r="S393" s="274"/>
      <c r="T393" s="274"/>
      <c r="U393" s="274"/>
      <c r="V393" s="274"/>
    </row>
    <row r="394" spans="1:22" x14ac:dyDescent="0.25">
      <c r="A394" s="247">
        <v>392</v>
      </c>
      <c r="B394" s="270"/>
      <c r="C394" s="270"/>
      <c r="D394" s="271"/>
      <c r="E394" s="272"/>
      <c r="F394" s="272"/>
      <c r="G394" s="273"/>
      <c r="H394" s="274"/>
      <c r="I394" s="274"/>
      <c r="J394" s="274"/>
      <c r="K394" s="274"/>
      <c r="L394" s="274"/>
      <c r="M394" s="274"/>
      <c r="N394" s="274"/>
      <c r="O394" s="274"/>
      <c r="P394" s="274"/>
      <c r="Q394" s="274"/>
      <c r="R394" s="274"/>
      <c r="S394" s="274"/>
      <c r="T394" s="274"/>
      <c r="U394" s="274"/>
      <c r="V394" s="274"/>
    </row>
    <row r="395" spans="1:22" x14ac:dyDescent="0.25">
      <c r="A395" s="247">
        <v>393</v>
      </c>
      <c r="B395" s="270"/>
      <c r="C395" s="270"/>
      <c r="D395" s="271"/>
      <c r="E395" s="272"/>
      <c r="F395" s="272"/>
      <c r="G395" s="273"/>
      <c r="H395" s="274"/>
      <c r="I395" s="274"/>
      <c r="J395" s="274"/>
      <c r="K395" s="274"/>
      <c r="L395" s="274"/>
      <c r="M395" s="274"/>
      <c r="N395" s="274"/>
      <c r="O395" s="274"/>
      <c r="P395" s="274"/>
      <c r="Q395" s="274"/>
      <c r="R395" s="274"/>
      <c r="S395" s="274"/>
      <c r="T395" s="274"/>
      <c r="U395" s="274"/>
      <c r="V395" s="274"/>
    </row>
    <row r="396" spans="1:22" x14ac:dyDescent="0.25">
      <c r="A396" s="247">
        <v>394</v>
      </c>
      <c r="B396" s="270"/>
      <c r="C396" s="270"/>
      <c r="D396" s="271"/>
      <c r="E396" s="272"/>
      <c r="F396" s="272"/>
      <c r="G396" s="273"/>
      <c r="H396" s="274"/>
      <c r="I396" s="274"/>
      <c r="J396" s="274"/>
      <c r="K396" s="274"/>
      <c r="L396" s="274"/>
      <c r="M396" s="274"/>
      <c r="N396" s="274"/>
      <c r="O396" s="274"/>
      <c r="P396" s="274"/>
      <c r="Q396" s="274"/>
      <c r="R396" s="274"/>
      <c r="S396" s="274"/>
      <c r="T396" s="274"/>
      <c r="U396" s="274"/>
      <c r="V396" s="274"/>
    </row>
    <row r="397" spans="1:22" x14ac:dyDescent="0.25">
      <c r="A397" s="247">
        <v>395</v>
      </c>
      <c r="B397" s="270"/>
      <c r="C397" s="270"/>
      <c r="D397" s="271"/>
      <c r="E397" s="272"/>
      <c r="F397" s="272"/>
      <c r="G397" s="273"/>
      <c r="H397" s="274"/>
      <c r="I397" s="274"/>
      <c r="J397" s="274"/>
      <c r="K397" s="274"/>
      <c r="L397" s="274"/>
      <c r="M397" s="274"/>
      <c r="N397" s="274"/>
      <c r="O397" s="274"/>
      <c r="P397" s="274"/>
      <c r="Q397" s="274"/>
      <c r="R397" s="274"/>
      <c r="S397" s="274"/>
      <c r="T397" s="274"/>
      <c r="U397" s="274"/>
      <c r="V397" s="274"/>
    </row>
    <row r="398" spans="1:22" x14ac:dyDescent="0.25">
      <c r="A398" s="247">
        <v>396</v>
      </c>
      <c r="B398" s="270"/>
      <c r="C398" s="270"/>
      <c r="D398" s="271"/>
      <c r="E398" s="272"/>
      <c r="F398" s="272"/>
      <c r="G398" s="273"/>
      <c r="H398" s="274"/>
      <c r="I398" s="274"/>
      <c r="J398" s="274"/>
      <c r="K398" s="274"/>
      <c r="L398" s="274"/>
      <c r="M398" s="274"/>
      <c r="N398" s="274"/>
      <c r="O398" s="274"/>
      <c r="P398" s="274"/>
      <c r="Q398" s="274"/>
      <c r="R398" s="274"/>
      <c r="S398" s="274"/>
      <c r="T398" s="274"/>
      <c r="U398" s="274"/>
      <c r="V398" s="274"/>
    </row>
    <row r="399" spans="1:22" x14ac:dyDescent="0.25">
      <c r="A399" s="247">
        <v>397</v>
      </c>
      <c r="B399" s="270"/>
      <c r="C399" s="270"/>
      <c r="D399" s="271"/>
      <c r="E399" s="272"/>
      <c r="F399" s="272"/>
      <c r="G399" s="273"/>
      <c r="H399" s="274"/>
      <c r="I399" s="274"/>
      <c r="J399" s="274"/>
      <c r="K399" s="274"/>
      <c r="L399" s="274"/>
      <c r="M399" s="274"/>
      <c r="N399" s="274"/>
      <c r="O399" s="274"/>
      <c r="P399" s="274"/>
      <c r="Q399" s="274"/>
      <c r="R399" s="274"/>
      <c r="S399" s="274"/>
      <c r="T399" s="274"/>
      <c r="U399" s="274"/>
      <c r="V399" s="274"/>
    </row>
    <row r="400" spans="1:22" x14ac:dyDescent="0.25">
      <c r="A400" s="247">
        <v>398</v>
      </c>
      <c r="B400" s="270"/>
      <c r="C400" s="270"/>
      <c r="D400" s="271"/>
      <c r="E400" s="272"/>
      <c r="F400" s="272"/>
      <c r="G400" s="273"/>
      <c r="H400" s="274"/>
      <c r="I400" s="274"/>
      <c r="J400" s="274"/>
      <c r="K400" s="274"/>
      <c r="L400" s="274"/>
      <c r="M400" s="274"/>
      <c r="N400" s="274"/>
      <c r="O400" s="274"/>
      <c r="P400" s="274"/>
      <c r="Q400" s="274"/>
      <c r="R400" s="274"/>
      <c r="S400" s="274"/>
      <c r="T400" s="274"/>
      <c r="U400" s="274"/>
      <c r="V400" s="274"/>
    </row>
    <row r="401" spans="1:22" x14ac:dyDescent="0.25">
      <c r="A401" s="247">
        <v>399</v>
      </c>
      <c r="B401" s="270"/>
      <c r="C401" s="270"/>
      <c r="D401" s="271"/>
      <c r="E401" s="272"/>
      <c r="F401" s="272"/>
      <c r="G401" s="273"/>
      <c r="H401" s="274"/>
      <c r="I401" s="274"/>
      <c r="J401" s="274"/>
      <c r="K401" s="274"/>
      <c r="L401" s="274"/>
      <c r="M401" s="274"/>
      <c r="N401" s="274"/>
      <c r="O401" s="274"/>
      <c r="P401" s="274"/>
      <c r="Q401" s="274"/>
      <c r="R401" s="274"/>
      <c r="S401" s="274"/>
      <c r="T401" s="274"/>
      <c r="U401" s="274"/>
      <c r="V401" s="274"/>
    </row>
    <row r="402" spans="1:22" x14ac:dyDescent="0.25">
      <c r="A402" s="247">
        <v>400</v>
      </c>
      <c r="B402" s="270"/>
      <c r="C402" s="270"/>
      <c r="D402" s="271"/>
      <c r="E402" s="272"/>
      <c r="F402" s="272"/>
      <c r="G402" s="273"/>
      <c r="H402" s="274"/>
      <c r="I402" s="274"/>
      <c r="J402" s="274"/>
      <c r="K402" s="274"/>
      <c r="L402" s="274"/>
      <c r="M402" s="274"/>
      <c r="N402" s="274"/>
      <c r="O402" s="274"/>
      <c r="P402" s="274"/>
      <c r="Q402" s="274"/>
      <c r="R402" s="274"/>
      <c r="S402" s="274"/>
      <c r="T402" s="274"/>
      <c r="U402" s="274"/>
      <c r="V402" s="274"/>
    </row>
    <row r="403" spans="1:22" x14ac:dyDescent="0.25">
      <c r="A403" s="247">
        <v>401</v>
      </c>
      <c r="B403" s="270"/>
      <c r="C403" s="270"/>
      <c r="D403" s="271"/>
      <c r="E403" s="272"/>
      <c r="F403" s="272"/>
      <c r="G403" s="273"/>
      <c r="H403" s="274"/>
      <c r="I403" s="274"/>
      <c r="J403" s="274"/>
      <c r="K403" s="274"/>
      <c r="L403" s="274"/>
      <c r="M403" s="274"/>
      <c r="N403" s="274"/>
      <c r="O403" s="274"/>
      <c r="P403" s="274"/>
      <c r="Q403" s="274"/>
      <c r="R403" s="274"/>
      <c r="S403" s="274"/>
      <c r="T403" s="274"/>
      <c r="U403" s="274"/>
      <c r="V403" s="274"/>
    </row>
    <row r="404" spans="1:22" x14ac:dyDescent="0.25">
      <c r="A404" s="247">
        <v>402</v>
      </c>
      <c r="B404" s="270"/>
      <c r="C404" s="270"/>
      <c r="D404" s="271"/>
      <c r="E404" s="272"/>
      <c r="F404" s="272"/>
      <c r="G404" s="273"/>
      <c r="H404" s="274"/>
      <c r="I404" s="274"/>
      <c r="J404" s="274"/>
      <c r="K404" s="274"/>
      <c r="L404" s="274"/>
      <c r="M404" s="274"/>
      <c r="N404" s="274"/>
      <c r="O404" s="274"/>
      <c r="P404" s="274"/>
      <c r="Q404" s="274"/>
      <c r="R404" s="274"/>
      <c r="S404" s="274"/>
      <c r="T404" s="274"/>
      <c r="U404" s="274"/>
      <c r="V404" s="274"/>
    </row>
    <row r="405" spans="1:22" x14ac:dyDescent="0.25">
      <c r="A405" s="247">
        <v>403</v>
      </c>
      <c r="B405" s="270"/>
      <c r="C405" s="270"/>
      <c r="D405" s="271"/>
      <c r="E405" s="272"/>
      <c r="F405" s="272"/>
      <c r="G405" s="273"/>
      <c r="H405" s="274"/>
      <c r="I405" s="274"/>
      <c r="J405" s="274"/>
      <c r="K405" s="274"/>
      <c r="L405" s="274"/>
      <c r="M405" s="274"/>
      <c r="N405" s="274"/>
      <c r="O405" s="274"/>
      <c r="P405" s="274"/>
      <c r="Q405" s="274"/>
      <c r="R405" s="274"/>
      <c r="S405" s="274"/>
      <c r="T405" s="274"/>
      <c r="U405" s="274"/>
      <c r="V405" s="274"/>
    </row>
    <row r="406" spans="1:22" x14ac:dyDescent="0.25">
      <c r="A406" s="247">
        <v>404</v>
      </c>
      <c r="B406" s="270"/>
      <c r="C406" s="270"/>
      <c r="D406" s="271"/>
      <c r="E406" s="272"/>
      <c r="F406" s="272"/>
      <c r="G406" s="273"/>
      <c r="H406" s="274"/>
      <c r="I406" s="274"/>
      <c r="J406" s="274"/>
      <c r="K406" s="274"/>
      <c r="L406" s="274"/>
      <c r="M406" s="274"/>
      <c r="N406" s="274"/>
      <c r="O406" s="274"/>
      <c r="P406" s="274"/>
      <c r="Q406" s="274"/>
      <c r="R406" s="274"/>
      <c r="S406" s="274"/>
      <c r="T406" s="274"/>
      <c r="U406" s="274"/>
      <c r="V406" s="274"/>
    </row>
    <row r="407" spans="1:22" x14ac:dyDescent="0.25">
      <c r="A407" s="247">
        <v>405</v>
      </c>
      <c r="B407" s="270"/>
      <c r="C407" s="270"/>
      <c r="D407" s="271"/>
      <c r="E407" s="272"/>
      <c r="F407" s="272"/>
      <c r="G407" s="273"/>
      <c r="H407" s="274"/>
      <c r="I407" s="274"/>
      <c r="J407" s="274"/>
      <c r="K407" s="274"/>
      <c r="L407" s="274"/>
      <c r="M407" s="274"/>
      <c r="N407" s="274"/>
      <c r="O407" s="274"/>
      <c r="P407" s="274"/>
      <c r="Q407" s="274"/>
      <c r="R407" s="274"/>
      <c r="S407" s="274"/>
      <c r="T407" s="274"/>
      <c r="U407" s="274"/>
      <c r="V407" s="274"/>
    </row>
    <row r="408" spans="1:22" x14ac:dyDescent="0.25">
      <c r="A408" s="247">
        <v>406</v>
      </c>
      <c r="B408" s="270"/>
      <c r="C408" s="270"/>
      <c r="D408" s="271"/>
      <c r="E408" s="272"/>
      <c r="F408" s="272"/>
      <c r="G408" s="273"/>
      <c r="H408" s="274"/>
      <c r="I408" s="274"/>
      <c r="J408" s="274"/>
      <c r="K408" s="274"/>
      <c r="L408" s="274"/>
      <c r="M408" s="274"/>
      <c r="N408" s="274"/>
      <c r="O408" s="274"/>
      <c r="P408" s="274"/>
      <c r="Q408" s="274"/>
      <c r="R408" s="274"/>
      <c r="S408" s="274"/>
      <c r="T408" s="274"/>
      <c r="U408" s="274"/>
      <c r="V408" s="274"/>
    </row>
    <row r="409" spans="1:22" x14ac:dyDescent="0.25">
      <c r="A409" s="247">
        <v>407</v>
      </c>
      <c r="B409" s="270"/>
      <c r="C409" s="270"/>
      <c r="D409" s="271"/>
      <c r="E409" s="272"/>
      <c r="F409" s="272"/>
      <c r="G409" s="273"/>
      <c r="H409" s="274"/>
      <c r="I409" s="274"/>
      <c r="J409" s="274"/>
      <c r="K409" s="274"/>
      <c r="L409" s="274"/>
      <c r="M409" s="274"/>
      <c r="N409" s="274"/>
      <c r="O409" s="274"/>
      <c r="P409" s="274"/>
      <c r="Q409" s="274"/>
      <c r="R409" s="274"/>
      <c r="S409" s="274"/>
      <c r="T409" s="274"/>
      <c r="U409" s="274"/>
      <c r="V409" s="274"/>
    </row>
    <row r="410" spans="1:22" x14ac:dyDescent="0.25">
      <c r="A410" s="247">
        <v>408</v>
      </c>
      <c r="B410" s="270"/>
      <c r="C410" s="270"/>
      <c r="D410" s="271"/>
      <c r="E410" s="272"/>
      <c r="F410" s="272"/>
      <c r="G410" s="273"/>
      <c r="H410" s="274"/>
      <c r="I410" s="274"/>
      <c r="J410" s="274"/>
      <c r="K410" s="274"/>
      <c r="L410" s="274"/>
      <c r="M410" s="274"/>
      <c r="N410" s="274"/>
      <c r="O410" s="274"/>
      <c r="P410" s="274"/>
      <c r="Q410" s="274"/>
      <c r="R410" s="274"/>
      <c r="S410" s="274"/>
      <c r="T410" s="274"/>
      <c r="U410" s="274"/>
      <c r="V410" s="274"/>
    </row>
    <row r="411" spans="1:22" x14ac:dyDescent="0.25">
      <c r="A411" s="247">
        <v>409</v>
      </c>
      <c r="B411" s="270"/>
      <c r="C411" s="270"/>
      <c r="D411" s="271"/>
      <c r="E411" s="272"/>
      <c r="F411" s="272"/>
      <c r="G411" s="273"/>
      <c r="H411" s="274"/>
      <c r="I411" s="274"/>
      <c r="J411" s="274"/>
      <c r="K411" s="274"/>
      <c r="L411" s="274"/>
      <c r="M411" s="274"/>
      <c r="N411" s="274"/>
      <c r="O411" s="274"/>
      <c r="P411" s="274"/>
      <c r="Q411" s="274"/>
      <c r="R411" s="274"/>
      <c r="S411" s="274"/>
      <c r="T411" s="274"/>
      <c r="U411" s="274"/>
      <c r="V411" s="274"/>
    </row>
    <row r="412" spans="1:22" x14ac:dyDescent="0.25">
      <c r="A412" s="247">
        <v>410</v>
      </c>
      <c r="B412" s="270"/>
      <c r="C412" s="270"/>
      <c r="D412" s="271"/>
      <c r="E412" s="272"/>
      <c r="F412" s="272"/>
      <c r="G412" s="273"/>
      <c r="H412" s="274"/>
      <c r="I412" s="274"/>
      <c r="J412" s="274"/>
      <c r="K412" s="274"/>
      <c r="L412" s="274"/>
      <c r="M412" s="274"/>
      <c r="N412" s="274"/>
      <c r="O412" s="274"/>
      <c r="P412" s="274"/>
      <c r="Q412" s="274"/>
      <c r="R412" s="274"/>
      <c r="S412" s="274"/>
      <c r="T412" s="274"/>
      <c r="U412" s="274"/>
      <c r="V412" s="274"/>
    </row>
    <row r="413" spans="1:22" x14ac:dyDescent="0.25">
      <c r="A413" s="247">
        <v>411</v>
      </c>
      <c r="B413" s="270"/>
      <c r="C413" s="270"/>
      <c r="D413" s="271"/>
      <c r="E413" s="272"/>
      <c r="F413" s="272"/>
      <c r="G413" s="273"/>
      <c r="H413" s="274"/>
      <c r="I413" s="274"/>
      <c r="J413" s="274"/>
      <c r="K413" s="274"/>
      <c r="L413" s="274"/>
      <c r="M413" s="274"/>
      <c r="N413" s="274"/>
      <c r="O413" s="274"/>
      <c r="P413" s="274"/>
      <c r="Q413" s="274"/>
      <c r="R413" s="274"/>
      <c r="S413" s="274"/>
      <c r="T413" s="274"/>
      <c r="U413" s="274"/>
      <c r="V413" s="274"/>
    </row>
    <row r="414" spans="1:22" x14ac:dyDescent="0.25">
      <c r="A414" s="247">
        <v>412</v>
      </c>
      <c r="B414" s="270"/>
      <c r="C414" s="270"/>
      <c r="D414" s="271"/>
      <c r="E414" s="272"/>
      <c r="F414" s="272"/>
      <c r="G414" s="273"/>
      <c r="H414" s="274"/>
      <c r="I414" s="274"/>
      <c r="J414" s="274"/>
      <c r="K414" s="274"/>
      <c r="L414" s="274"/>
      <c r="M414" s="274"/>
      <c r="N414" s="274"/>
      <c r="O414" s="274"/>
      <c r="P414" s="274"/>
      <c r="Q414" s="274"/>
      <c r="R414" s="274"/>
      <c r="S414" s="274"/>
      <c r="T414" s="274"/>
      <c r="U414" s="274"/>
      <c r="V414" s="274"/>
    </row>
    <row r="415" spans="1:22" x14ac:dyDescent="0.25">
      <c r="A415" s="247">
        <v>413</v>
      </c>
      <c r="B415" s="270"/>
      <c r="C415" s="270"/>
      <c r="D415" s="271"/>
      <c r="E415" s="272"/>
      <c r="F415" s="272"/>
      <c r="G415" s="273"/>
      <c r="H415" s="274"/>
      <c r="I415" s="274"/>
      <c r="J415" s="274"/>
      <c r="K415" s="274"/>
      <c r="L415" s="274"/>
      <c r="M415" s="274"/>
      <c r="N415" s="274"/>
      <c r="O415" s="274"/>
      <c r="P415" s="274"/>
      <c r="Q415" s="274"/>
      <c r="R415" s="274"/>
      <c r="S415" s="274"/>
      <c r="T415" s="274"/>
      <c r="U415" s="274"/>
      <c r="V415" s="274"/>
    </row>
    <row r="416" spans="1:22" x14ac:dyDescent="0.25">
      <c r="A416" s="247">
        <v>414</v>
      </c>
      <c r="B416" s="270"/>
      <c r="C416" s="270"/>
      <c r="D416" s="271"/>
      <c r="E416" s="272"/>
      <c r="F416" s="272"/>
      <c r="G416" s="273"/>
      <c r="H416" s="274"/>
      <c r="I416" s="274"/>
      <c r="J416" s="274"/>
      <c r="K416" s="274"/>
      <c r="L416" s="274"/>
      <c r="M416" s="274"/>
      <c r="N416" s="274"/>
      <c r="O416" s="274"/>
      <c r="P416" s="274"/>
      <c r="Q416" s="274"/>
      <c r="R416" s="274"/>
      <c r="S416" s="274"/>
      <c r="T416" s="274"/>
      <c r="U416" s="274"/>
      <c r="V416" s="274"/>
    </row>
    <row r="417" spans="1:22" x14ac:dyDescent="0.25">
      <c r="A417" s="247">
        <v>415</v>
      </c>
      <c r="B417" s="270"/>
      <c r="C417" s="270"/>
      <c r="D417" s="271"/>
      <c r="E417" s="272"/>
      <c r="F417" s="272"/>
      <c r="G417" s="273"/>
      <c r="H417" s="274"/>
      <c r="I417" s="274"/>
      <c r="J417" s="274"/>
      <c r="K417" s="274"/>
      <c r="L417" s="274"/>
      <c r="M417" s="274"/>
      <c r="N417" s="274"/>
      <c r="O417" s="274"/>
      <c r="P417" s="274"/>
      <c r="Q417" s="274"/>
      <c r="R417" s="274"/>
      <c r="S417" s="274"/>
      <c r="T417" s="274"/>
      <c r="U417" s="274"/>
      <c r="V417" s="274"/>
    </row>
    <row r="418" spans="1:22" x14ac:dyDescent="0.25">
      <c r="A418" s="247">
        <v>416</v>
      </c>
      <c r="B418" s="270"/>
      <c r="C418" s="270"/>
      <c r="D418" s="271"/>
      <c r="E418" s="272"/>
      <c r="F418" s="272"/>
      <c r="G418" s="273"/>
      <c r="H418" s="274"/>
      <c r="I418" s="274"/>
      <c r="J418" s="274"/>
      <c r="K418" s="274"/>
      <c r="L418" s="274"/>
      <c r="M418" s="274"/>
      <c r="N418" s="274"/>
      <c r="O418" s="274"/>
      <c r="P418" s="274"/>
      <c r="Q418" s="274"/>
      <c r="R418" s="274"/>
      <c r="S418" s="274"/>
      <c r="T418" s="274"/>
      <c r="U418" s="274"/>
      <c r="V418" s="274"/>
    </row>
    <row r="419" spans="1:22" x14ac:dyDescent="0.25">
      <c r="A419" s="247">
        <v>417</v>
      </c>
      <c r="B419" s="270"/>
      <c r="C419" s="270"/>
      <c r="D419" s="271"/>
      <c r="E419" s="272"/>
      <c r="F419" s="272"/>
      <c r="G419" s="273"/>
      <c r="H419" s="274"/>
      <c r="I419" s="274"/>
      <c r="J419" s="274"/>
      <c r="K419" s="274"/>
      <c r="L419" s="274"/>
      <c r="M419" s="274"/>
      <c r="N419" s="274"/>
      <c r="O419" s="274"/>
      <c r="P419" s="274"/>
      <c r="Q419" s="274"/>
      <c r="R419" s="274"/>
      <c r="S419" s="274"/>
      <c r="T419" s="274"/>
      <c r="U419" s="274"/>
      <c r="V419" s="274"/>
    </row>
    <row r="420" spans="1:22" x14ac:dyDescent="0.25">
      <c r="A420" s="247">
        <v>418</v>
      </c>
      <c r="B420" s="270"/>
      <c r="C420" s="270"/>
      <c r="D420" s="271"/>
      <c r="E420" s="272"/>
      <c r="F420" s="272"/>
      <c r="G420" s="273"/>
      <c r="H420" s="274"/>
      <c r="I420" s="274"/>
      <c r="J420" s="274"/>
      <c r="K420" s="274"/>
      <c r="L420" s="274"/>
      <c r="M420" s="274"/>
      <c r="N420" s="274"/>
      <c r="O420" s="274"/>
      <c r="P420" s="274"/>
      <c r="Q420" s="274"/>
      <c r="R420" s="274"/>
      <c r="S420" s="274"/>
      <c r="T420" s="274"/>
      <c r="U420" s="274"/>
      <c r="V420" s="274"/>
    </row>
    <row r="421" spans="1:22" x14ac:dyDescent="0.25">
      <c r="A421" s="247">
        <v>419</v>
      </c>
      <c r="B421" s="270"/>
      <c r="C421" s="270"/>
      <c r="D421" s="271"/>
      <c r="E421" s="272"/>
      <c r="F421" s="272"/>
      <c r="G421" s="273"/>
      <c r="H421" s="274"/>
      <c r="I421" s="274"/>
      <c r="J421" s="274"/>
      <c r="K421" s="274"/>
      <c r="L421" s="274"/>
      <c r="M421" s="274"/>
      <c r="N421" s="274"/>
      <c r="O421" s="274"/>
      <c r="P421" s="274"/>
      <c r="Q421" s="274"/>
      <c r="R421" s="274"/>
      <c r="S421" s="274"/>
      <c r="T421" s="274"/>
      <c r="U421" s="274"/>
      <c r="V421" s="274"/>
    </row>
    <row r="422" spans="1:22" x14ac:dyDescent="0.25">
      <c r="A422" s="247">
        <v>420</v>
      </c>
      <c r="B422" s="270"/>
      <c r="C422" s="270"/>
      <c r="D422" s="271"/>
      <c r="E422" s="272"/>
      <c r="F422" s="272"/>
      <c r="G422" s="273"/>
      <c r="H422" s="274"/>
      <c r="I422" s="274"/>
      <c r="J422" s="274"/>
      <c r="K422" s="274"/>
      <c r="L422" s="274"/>
      <c r="M422" s="274"/>
      <c r="N422" s="274"/>
      <c r="O422" s="274"/>
      <c r="P422" s="274"/>
      <c r="Q422" s="274"/>
      <c r="R422" s="274"/>
      <c r="S422" s="274"/>
      <c r="T422" s="274"/>
      <c r="U422" s="274"/>
      <c r="V422" s="274"/>
    </row>
    <row r="423" spans="1:22" x14ac:dyDescent="0.25">
      <c r="A423" s="247">
        <v>421</v>
      </c>
      <c r="B423" s="270"/>
      <c r="C423" s="270"/>
      <c r="D423" s="271"/>
      <c r="E423" s="272"/>
      <c r="F423" s="272"/>
      <c r="G423" s="273"/>
      <c r="H423" s="274"/>
      <c r="I423" s="274"/>
      <c r="J423" s="274"/>
      <c r="K423" s="274"/>
      <c r="L423" s="274"/>
      <c r="M423" s="274"/>
      <c r="N423" s="274"/>
      <c r="O423" s="274"/>
      <c r="P423" s="274"/>
      <c r="Q423" s="274"/>
      <c r="R423" s="274"/>
      <c r="S423" s="274"/>
      <c r="T423" s="274"/>
      <c r="U423" s="274"/>
      <c r="V423" s="274"/>
    </row>
    <row r="424" spans="1:22" x14ac:dyDescent="0.25">
      <c r="A424" s="247">
        <v>422</v>
      </c>
      <c r="B424" s="270"/>
      <c r="C424" s="270"/>
      <c r="D424" s="271"/>
      <c r="E424" s="272"/>
      <c r="F424" s="272"/>
      <c r="G424" s="273"/>
      <c r="H424" s="274"/>
      <c r="I424" s="274"/>
      <c r="J424" s="274"/>
      <c r="K424" s="274"/>
      <c r="L424" s="274"/>
      <c r="M424" s="274"/>
      <c r="N424" s="274"/>
      <c r="O424" s="274"/>
      <c r="P424" s="274"/>
      <c r="Q424" s="274"/>
      <c r="R424" s="274"/>
      <c r="S424" s="274"/>
      <c r="T424" s="274"/>
      <c r="U424" s="274"/>
      <c r="V424" s="274"/>
    </row>
    <row r="425" spans="1:22" x14ac:dyDescent="0.25">
      <c r="A425" s="247">
        <v>423</v>
      </c>
      <c r="B425" s="270"/>
      <c r="C425" s="270"/>
      <c r="D425" s="271"/>
      <c r="E425" s="272"/>
      <c r="F425" s="272"/>
      <c r="G425" s="273"/>
      <c r="H425" s="274"/>
      <c r="I425" s="274"/>
      <c r="J425" s="274"/>
      <c r="K425" s="274"/>
      <c r="L425" s="274"/>
      <c r="M425" s="274"/>
      <c r="N425" s="274"/>
      <c r="O425" s="274"/>
      <c r="P425" s="274"/>
      <c r="Q425" s="274"/>
      <c r="R425" s="274"/>
      <c r="S425" s="274"/>
      <c r="T425" s="274"/>
      <c r="U425" s="274"/>
      <c r="V425" s="274"/>
    </row>
    <row r="426" spans="1:22" x14ac:dyDescent="0.25">
      <c r="A426" s="247">
        <v>424</v>
      </c>
      <c r="B426" s="270"/>
      <c r="C426" s="270"/>
      <c r="D426" s="271"/>
      <c r="E426" s="272"/>
      <c r="F426" s="272"/>
      <c r="G426" s="273"/>
      <c r="H426" s="274"/>
      <c r="I426" s="274"/>
      <c r="J426" s="274"/>
      <c r="K426" s="274"/>
      <c r="L426" s="274"/>
      <c r="M426" s="274"/>
      <c r="N426" s="274"/>
      <c r="O426" s="274"/>
      <c r="P426" s="274"/>
      <c r="Q426" s="274"/>
      <c r="R426" s="274"/>
      <c r="S426" s="274"/>
      <c r="T426" s="274"/>
      <c r="U426" s="274"/>
      <c r="V426" s="274"/>
    </row>
    <row r="427" spans="1:22" x14ac:dyDescent="0.25">
      <c r="A427" s="247">
        <v>425</v>
      </c>
      <c r="B427" s="270"/>
      <c r="C427" s="270"/>
      <c r="D427" s="271"/>
      <c r="E427" s="272"/>
      <c r="F427" s="272"/>
      <c r="G427" s="273"/>
      <c r="H427" s="274"/>
      <c r="I427" s="274"/>
      <c r="J427" s="274"/>
      <c r="K427" s="274"/>
      <c r="L427" s="274"/>
      <c r="M427" s="274"/>
      <c r="N427" s="274"/>
      <c r="O427" s="274"/>
      <c r="P427" s="274"/>
      <c r="Q427" s="274"/>
      <c r="R427" s="274"/>
      <c r="S427" s="274"/>
      <c r="T427" s="274"/>
      <c r="U427" s="274"/>
      <c r="V427" s="274"/>
    </row>
    <row r="428" spans="1:22" x14ac:dyDescent="0.25">
      <c r="A428" s="247">
        <v>426</v>
      </c>
      <c r="B428" s="270"/>
      <c r="C428" s="270"/>
      <c r="D428" s="271"/>
      <c r="E428" s="272"/>
      <c r="F428" s="272"/>
      <c r="G428" s="273"/>
      <c r="H428" s="274"/>
      <c r="I428" s="274"/>
      <c r="J428" s="274"/>
      <c r="K428" s="274"/>
      <c r="L428" s="274"/>
      <c r="M428" s="274"/>
      <c r="N428" s="274"/>
      <c r="O428" s="274"/>
      <c r="P428" s="274"/>
      <c r="Q428" s="274"/>
      <c r="R428" s="274"/>
      <c r="S428" s="274"/>
      <c r="T428" s="274"/>
      <c r="U428" s="274"/>
      <c r="V428" s="274"/>
    </row>
    <row r="429" spans="1:22" x14ac:dyDescent="0.25">
      <c r="A429" s="247">
        <v>427</v>
      </c>
      <c r="B429" s="270"/>
      <c r="C429" s="270"/>
      <c r="D429" s="271"/>
      <c r="E429" s="272"/>
      <c r="F429" s="272"/>
      <c r="G429" s="273"/>
      <c r="H429" s="274"/>
      <c r="I429" s="274"/>
      <c r="J429" s="274"/>
      <c r="K429" s="274"/>
      <c r="L429" s="274"/>
      <c r="M429" s="274"/>
      <c r="N429" s="274"/>
      <c r="O429" s="274"/>
      <c r="P429" s="274"/>
      <c r="Q429" s="274"/>
      <c r="R429" s="274"/>
      <c r="S429" s="274"/>
      <c r="T429" s="274"/>
      <c r="U429" s="274"/>
      <c r="V429" s="274"/>
    </row>
    <row r="430" spans="1:22" x14ac:dyDescent="0.25">
      <c r="A430" s="247">
        <v>428</v>
      </c>
      <c r="B430" s="270"/>
      <c r="C430" s="270"/>
      <c r="D430" s="271"/>
      <c r="E430" s="272"/>
      <c r="F430" s="272"/>
      <c r="G430" s="273"/>
      <c r="H430" s="274"/>
      <c r="I430" s="274"/>
      <c r="J430" s="274"/>
      <c r="K430" s="274"/>
      <c r="L430" s="274"/>
      <c r="M430" s="274"/>
      <c r="N430" s="274"/>
      <c r="O430" s="274"/>
      <c r="P430" s="274"/>
      <c r="Q430" s="274"/>
      <c r="R430" s="274"/>
      <c r="S430" s="274"/>
      <c r="T430" s="274"/>
      <c r="U430" s="274"/>
      <c r="V430" s="274"/>
    </row>
    <row r="431" spans="1:22" x14ac:dyDescent="0.25">
      <c r="A431" s="247">
        <v>429</v>
      </c>
      <c r="B431" s="270"/>
      <c r="C431" s="270"/>
      <c r="D431" s="271"/>
      <c r="E431" s="272"/>
      <c r="F431" s="272"/>
      <c r="G431" s="273"/>
      <c r="H431" s="274"/>
      <c r="I431" s="274"/>
      <c r="J431" s="274"/>
      <c r="K431" s="274"/>
      <c r="L431" s="274"/>
      <c r="M431" s="274"/>
      <c r="N431" s="274"/>
      <c r="O431" s="274"/>
      <c r="P431" s="274"/>
      <c r="Q431" s="274"/>
      <c r="R431" s="274"/>
      <c r="S431" s="274"/>
      <c r="T431" s="274"/>
      <c r="U431" s="274"/>
      <c r="V431" s="274"/>
    </row>
    <row r="432" spans="1:22" x14ac:dyDescent="0.25">
      <c r="A432" s="247">
        <v>430</v>
      </c>
      <c r="B432" s="270"/>
      <c r="C432" s="270"/>
      <c r="D432" s="271"/>
      <c r="E432" s="272"/>
      <c r="F432" s="272"/>
      <c r="G432" s="273"/>
      <c r="H432" s="274"/>
      <c r="I432" s="274"/>
      <c r="J432" s="274"/>
      <c r="K432" s="274"/>
      <c r="L432" s="274"/>
      <c r="M432" s="274"/>
      <c r="N432" s="274"/>
      <c r="O432" s="274"/>
      <c r="P432" s="274"/>
      <c r="Q432" s="274"/>
      <c r="R432" s="274"/>
      <c r="S432" s="274"/>
      <c r="T432" s="274"/>
      <c r="U432" s="274"/>
      <c r="V432" s="274"/>
    </row>
    <row r="433" spans="1:22" x14ac:dyDescent="0.25">
      <c r="A433" s="247">
        <v>431</v>
      </c>
      <c r="B433" s="270"/>
      <c r="C433" s="270"/>
      <c r="D433" s="271"/>
      <c r="E433" s="272"/>
      <c r="F433" s="272"/>
      <c r="G433" s="273"/>
      <c r="H433" s="274"/>
      <c r="I433" s="274"/>
      <c r="J433" s="274"/>
      <c r="K433" s="274"/>
      <c r="L433" s="274"/>
      <c r="M433" s="274"/>
      <c r="N433" s="274"/>
      <c r="O433" s="274"/>
      <c r="P433" s="274"/>
      <c r="Q433" s="274"/>
      <c r="R433" s="274"/>
      <c r="S433" s="274"/>
      <c r="T433" s="274"/>
      <c r="U433" s="274"/>
      <c r="V433" s="274"/>
    </row>
    <row r="434" spans="1:22" x14ac:dyDescent="0.25">
      <c r="A434" s="247">
        <v>432</v>
      </c>
      <c r="B434" s="270"/>
      <c r="C434" s="270"/>
      <c r="D434" s="271"/>
      <c r="E434" s="272"/>
      <c r="F434" s="272"/>
      <c r="G434" s="273"/>
      <c r="H434" s="274"/>
      <c r="I434" s="274"/>
      <c r="J434" s="274"/>
      <c r="K434" s="274"/>
      <c r="L434" s="274"/>
      <c r="M434" s="274"/>
      <c r="N434" s="274"/>
      <c r="O434" s="274"/>
      <c r="P434" s="274"/>
      <c r="Q434" s="274"/>
      <c r="R434" s="274"/>
      <c r="S434" s="274"/>
      <c r="T434" s="274"/>
      <c r="U434" s="274"/>
      <c r="V434" s="274"/>
    </row>
    <row r="435" spans="1:22" x14ac:dyDescent="0.25">
      <c r="A435" s="247">
        <v>433</v>
      </c>
      <c r="B435" s="270"/>
      <c r="C435" s="270"/>
      <c r="D435" s="271"/>
      <c r="E435" s="272"/>
      <c r="F435" s="272"/>
      <c r="G435" s="273"/>
      <c r="H435" s="274"/>
      <c r="I435" s="274"/>
      <c r="J435" s="274"/>
      <c r="K435" s="274"/>
      <c r="L435" s="274"/>
      <c r="M435" s="274"/>
      <c r="N435" s="274"/>
      <c r="O435" s="274"/>
      <c r="P435" s="274"/>
      <c r="Q435" s="274"/>
      <c r="R435" s="274"/>
      <c r="S435" s="274"/>
      <c r="T435" s="274"/>
      <c r="U435" s="274"/>
      <c r="V435" s="274"/>
    </row>
    <row r="436" spans="1:22" x14ac:dyDescent="0.25">
      <c r="A436" s="247">
        <v>434</v>
      </c>
      <c r="B436" s="270"/>
      <c r="C436" s="270"/>
      <c r="D436" s="271"/>
      <c r="E436" s="272"/>
      <c r="F436" s="272"/>
      <c r="G436" s="273"/>
      <c r="H436" s="274"/>
      <c r="I436" s="274"/>
      <c r="J436" s="274"/>
      <c r="K436" s="274"/>
      <c r="L436" s="274"/>
      <c r="M436" s="274"/>
      <c r="N436" s="274"/>
      <c r="O436" s="274"/>
      <c r="P436" s="274"/>
      <c r="Q436" s="274"/>
      <c r="R436" s="274"/>
      <c r="S436" s="274"/>
      <c r="T436" s="274"/>
      <c r="U436" s="274"/>
      <c r="V436" s="274"/>
    </row>
    <row r="437" spans="1:22" x14ac:dyDescent="0.25">
      <c r="A437" s="247">
        <v>435</v>
      </c>
      <c r="B437" s="270"/>
      <c r="C437" s="270"/>
      <c r="D437" s="271"/>
      <c r="E437" s="272"/>
      <c r="F437" s="272"/>
      <c r="G437" s="273"/>
      <c r="H437" s="274"/>
      <c r="I437" s="274"/>
      <c r="J437" s="274"/>
      <c r="K437" s="274"/>
      <c r="L437" s="274"/>
      <c r="M437" s="274"/>
      <c r="N437" s="274"/>
      <c r="O437" s="274"/>
      <c r="P437" s="274"/>
      <c r="Q437" s="274"/>
      <c r="R437" s="274"/>
      <c r="S437" s="274"/>
      <c r="T437" s="274"/>
      <c r="U437" s="274"/>
      <c r="V437" s="274"/>
    </row>
    <row r="438" spans="1:22" x14ac:dyDescent="0.25">
      <c r="A438" s="247">
        <v>436</v>
      </c>
      <c r="B438" s="270"/>
      <c r="C438" s="270"/>
      <c r="D438" s="271"/>
      <c r="E438" s="272"/>
      <c r="F438" s="272"/>
      <c r="G438" s="273"/>
      <c r="H438" s="274"/>
      <c r="I438" s="274"/>
      <c r="J438" s="274"/>
      <c r="K438" s="274"/>
      <c r="L438" s="274"/>
      <c r="M438" s="274"/>
      <c r="N438" s="274"/>
      <c r="O438" s="274"/>
      <c r="P438" s="274"/>
      <c r="Q438" s="274"/>
      <c r="R438" s="274"/>
      <c r="S438" s="274"/>
      <c r="T438" s="274"/>
      <c r="U438" s="274"/>
      <c r="V438" s="274"/>
    </row>
    <row r="439" spans="1:22" x14ac:dyDescent="0.25">
      <c r="A439" s="247">
        <v>437</v>
      </c>
      <c r="B439" s="270"/>
      <c r="C439" s="270"/>
      <c r="D439" s="271"/>
      <c r="E439" s="272"/>
      <c r="F439" s="272"/>
      <c r="G439" s="273"/>
      <c r="H439" s="274"/>
      <c r="I439" s="274"/>
      <c r="J439" s="274"/>
      <c r="K439" s="274"/>
      <c r="L439" s="274"/>
      <c r="M439" s="274"/>
      <c r="N439" s="274"/>
      <c r="O439" s="274"/>
      <c r="P439" s="274"/>
      <c r="Q439" s="274"/>
      <c r="R439" s="274"/>
      <c r="S439" s="274"/>
      <c r="T439" s="274"/>
      <c r="U439" s="274"/>
      <c r="V439" s="274"/>
    </row>
    <row r="440" spans="1:22" x14ac:dyDescent="0.25">
      <c r="A440" s="247">
        <v>438</v>
      </c>
      <c r="B440" s="270"/>
      <c r="C440" s="270"/>
      <c r="D440" s="271"/>
      <c r="E440" s="272"/>
      <c r="F440" s="272"/>
      <c r="G440" s="273"/>
      <c r="H440" s="274"/>
      <c r="I440" s="274"/>
      <c r="J440" s="274"/>
      <c r="K440" s="274"/>
      <c r="L440" s="274"/>
      <c r="M440" s="274"/>
      <c r="N440" s="274"/>
      <c r="O440" s="274"/>
      <c r="P440" s="274"/>
      <c r="Q440" s="274"/>
      <c r="R440" s="274"/>
      <c r="S440" s="274"/>
      <c r="T440" s="274"/>
      <c r="U440" s="274"/>
      <c r="V440" s="274"/>
    </row>
    <row r="441" spans="1:22" x14ac:dyDescent="0.25">
      <c r="A441" s="247">
        <v>439</v>
      </c>
      <c r="B441" s="270"/>
      <c r="C441" s="270"/>
      <c r="D441" s="271"/>
      <c r="E441" s="272"/>
      <c r="F441" s="272"/>
      <c r="G441" s="273"/>
      <c r="H441" s="274"/>
      <c r="I441" s="274"/>
      <c r="J441" s="274"/>
      <c r="K441" s="274"/>
      <c r="L441" s="274"/>
      <c r="M441" s="274"/>
      <c r="N441" s="274"/>
      <c r="O441" s="274"/>
      <c r="P441" s="274"/>
      <c r="Q441" s="274"/>
      <c r="R441" s="274"/>
      <c r="S441" s="274"/>
      <c r="T441" s="274"/>
      <c r="U441" s="274"/>
      <c r="V441" s="274"/>
    </row>
    <row r="442" spans="1:22" x14ac:dyDescent="0.25">
      <c r="A442" s="247">
        <v>440</v>
      </c>
      <c r="B442" s="270"/>
      <c r="C442" s="270"/>
      <c r="D442" s="271"/>
      <c r="E442" s="272"/>
      <c r="F442" s="272"/>
      <c r="G442" s="273"/>
      <c r="H442" s="274"/>
      <c r="I442" s="274"/>
      <c r="J442" s="274"/>
      <c r="K442" s="274"/>
      <c r="L442" s="274"/>
      <c r="M442" s="274"/>
      <c r="N442" s="274"/>
      <c r="O442" s="274"/>
      <c r="P442" s="274"/>
      <c r="Q442" s="274"/>
      <c r="R442" s="274"/>
      <c r="S442" s="274"/>
      <c r="T442" s="274"/>
      <c r="U442" s="274"/>
      <c r="V442" s="274"/>
    </row>
    <row r="443" spans="1:22" x14ac:dyDescent="0.25">
      <c r="A443" s="247">
        <v>441</v>
      </c>
      <c r="B443" s="270"/>
      <c r="C443" s="270"/>
      <c r="D443" s="271"/>
      <c r="E443" s="272"/>
      <c r="F443" s="272"/>
      <c r="G443" s="273"/>
      <c r="H443" s="274"/>
      <c r="I443" s="274"/>
      <c r="J443" s="274"/>
      <c r="K443" s="274"/>
      <c r="L443" s="274"/>
      <c r="M443" s="274"/>
      <c r="N443" s="274"/>
      <c r="O443" s="274"/>
      <c r="P443" s="274"/>
      <c r="Q443" s="274"/>
      <c r="R443" s="274"/>
      <c r="S443" s="274"/>
      <c r="T443" s="274"/>
      <c r="U443" s="274"/>
      <c r="V443" s="274"/>
    </row>
    <row r="444" spans="1:22" x14ac:dyDescent="0.25">
      <c r="A444" s="247">
        <v>442</v>
      </c>
      <c r="B444" s="270"/>
      <c r="C444" s="270"/>
      <c r="D444" s="271"/>
      <c r="E444" s="272"/>
      <c r="F444" s="272"/>
      <c r="G444" s="273"/>
      <c r="H444" s="274"/>
      <c r="I444" s="274"/>
      <c r="J444" s="274"/>
      <c r="K444" s="274"/>
      <c r="L444" s="274"/>
      <c r="M444" s="274"/>
      <c r="N444" s="274"/>
      <c r="O444" s="274"/>
      <c r="P444" s="274"/>
      <c r="Q444" s="274"/>
      <c r="R444" s="274"/>
      <c r="S444" s="274"/>
      <c r="T444" s="274"/>
      <c r="U444" s="274"/>
      <c r="V444" s="274"/>
    </row>
    <row r="445" spans="1:22" x14ac:dyDescent="0.25">
      <c r="A445" s="247">
        <v>443</v>
      </c>
      <c r="B445" s="270"/>
      <c r="C445" s="270"/>
      <c r="D445" s="271"/>
      <c r="E445" s="272"/>
      <c r="F445" s="272"/>
      <c r="G445" s="273"/>
      <c r="H445" s="274"/>
      <c r="I445" s="274"/>
      <c r="J445" s="274"/>
      <c r="K445" s="274"/>
      <c r="L445" s="274"/>
      <c r="M445" s="274"/>
      <c r="N445" s="274"/>
      <c r="O445" s="274"/>
      <c r="P445" s="274"/>
      <c r="Q445" s="274"/>
      <c r="R445" s="274"/>
      <c r="S445" s="274"/>
      <c r="T445" s="274"/>
      <c r="U445" s="274"/>
      <c r="V445" s="274"/>
    </row>
    <row r="446" spans="1:22" x14ac:dyDescent="0.25">
      <c r="A446" s="247">
        <v>444</v>
      </c>
      <c r="B446" s="270"/>
      <c r="C446" s="270"/>
      <c r="D446" s="271"/>
      <c r="E446" s="272"/>
      <c r="F446" s="272"/>
      <c r="G446" s="273"/>
      <c r="H446" s="274"/>
      <c r="I446" s="274"/>
      <c r="J446" s="274"/>
      <c r="K446" s="274"/>
      <c r="L446" s="274"/>
      <c r="M446" s="274"/>
      <c r="N446" s="274"/>
      <c r="O446" s="274"/>
      <c r="P446" s="274"/>
      <c r="Q446" s="274"/>
      <c r="R446" s="274"/>
      <c r="S446" s="274"/>
      <c r="T446" s="274"/>
      <c r="U446" s="274"/>
      <c r="V446" s="274"/>
    </row>
    <row r="447" spans="1:22" x14ac:dyDescent="0.25">
      <c r="A447" s="247">
        <v>445</v>
      </c>
      <c r="B447" s="270"/>
      <c r="C447" s="270"/>
      <c r="D447" s="271"/>
      <c r="E447" s="272"/>
      <c r="F447" s="272"/>
      <c r="G447" s="273"/>
      <c r="H447" s="274"/>
      <c r="I447" s="274"/>
      <c r="J447" s="274"/>
      <c r="K447" s="274"/>
      <c r="L447" s="274"/>
      <c r="M447" s="274"/>
      <c r="N447" s="274"/>
      <c r="O447" s="274"/>
      <c r="P447" s="274"/>
      <c r="Q447" s="274"/>
      <c r="R447" s="274"/>
      <c r="S447" s="274"/>
      <c r="T447" s="274"/>
      <c r="U447" s="274"/>
      <c r="V447" s="274"/>
    </row>
    <row r="448" spans="1:22" x14ac:dyDescent="0.25">
      <c r="A448" s="247">
        <v>446</v>
      </c>
      <c r="B448" s="270"/>
      <c r="C448" s="270"/>
      <c r="D448" s="271"/>
      <c r="E448" s="272"/>
      <c r="F448" s="272"/>
      <c r="G448" s="273"/>
      <c r="H448" s="274"/>
      <c r="I448" s="274"/>
      <c r="J448" s="274"/>
      <c r="K448" s="274"/>
      <c r="L448" s="274"/>
      <c r="M448" s="274"/>
      <c r="N448" s="274"/>
      <c r="O448" s="274"/>
      <c r="P448" s="274"/>
      <c r="Q448" s="274"/>
      <c r="R448" s="274"/>
      <c r="S448" s="274"/>
      <c r="T448" s="274"/>
      <c r="U448" s="274"/>
      <c r="V448" s="274"/>
    </row>
    <row r="449" spans="1:22" x14ac:dyDescent="0.25">
      <c r="A449" s="247">
        <v>447</v>
      </c>
      <c r="B449" s="270"/>
      <c r="C449" s="270"/>
      <c r="D449" s="271"/>
      <c r="E449" s="272"/>
      <c r="F449" s="272"/>
      <c r="G449" s="273"/>
      <c r="H449" s="274"/>
      <c r="I449" s="274"/>
      <c r="J449" s="274"/>
      <c r="K449" s="274"/>
      <c r="L449" s="274"/>
      <c r="M449" s="274"/>
      <c r="N449" s="274"/>
      <c r="O449" s="274"/>
      <c r="P449" s="274"/>
      <c r="Q449" s="274"/>
      <c r="R449" s="274"/>
      <c r="S449" s="274"/>
      <c r="T449" s="274"/>
      <c r="U449" s="274"/>
      <c r="V449" s="274"/>
    </row>
    <row r="450" spans="1:22" x14ac:dyDescent="0.25">
      <c r="A450" s="247">
        <v>448</v>
      </c>
      <c r="B450" s="270"/>
      <c r="C450" s="270"/>
      <c r="D450" s="271"/>
      <c r="E450" s="272"/>
      <c r="F450" s="272"/>
      <c r="G450" s="273"/>
      <c r="H450" s="274"/>
      <c r="I450" s="274"/>
      <c r="J450" s="274"/>
      <c r="K450" s="274"/>
      <c r="L450" s="274"/>
      <c r="M450" s="274"/>
      <c r="N450" s="274"/>
      <c r="O450" s="274"/>
      <c r="P450" s="274"/>
      <c r="Q450" s="274"/>
      <c r="R450" s="274"/>
      <c r="S450" s="274"/>
      <c r="T450" s="274"/>
      <c r="U450" s="274"/>
      <c r="V450" s="274"/>
    </row>
    <row r="451" spans="1:22" x14ac:dyDescent="0.25">
      <c r="A451" s="247">
        <v>449</v>
      </c>
      <c r="B451" s="270"/>
      <c r="C451" s="270"/>
      <c r="D451" s="271"/>
      <c r="E451" s="272"/>
      <c r="F451" s="272"/>
      <c r="G451" s="273"/>
      <c r="H451" s="274"/>
      <c r="I451" s="274"/>
      <c r="J451" s="274"/>
      <c r="K451" s="274"/>
      <c r="L451" s="274"/>
      <c r="M451" s="274"/>
      <c r="N451" s="274"/>
      <c r="O451" s="274"/>
      <c r="P451" s="274"/>
      <c r="Q451" s="274"/>
      <c r="R451" s="274"/>
      <c r="S451" s="274"/>
      <c r="T451" s="274"/>
      <c r="U451" s="274"/>
      <c r="V451" s="274"/>
    </row>
    <row r="452" spans="1:22" x14ac:dyDescent="0.25">
      <c r="A452" s="247">
        <v>450</v>
      </c>
      <c r="B452" s="270"/>
      <c r="C452" s="270"/>
      <c r="D452" s="271"/>
      <c r="E452" s="272"/>
      <c r="F452" s="272"/>
      <c r="G452" s="273"/>
      <c r="H452" s="274"/>
      <c r="I452" s="274"/>
      <c r="J452" s="274"/>
      <c r="K452" s="274"/>
      <c r="L452" s="274"/>
      <c r="M452" s="274"/>
      <c r="N452" s="274"/>
      <c r="O452" s="274"/>
      <c r="P452" s="274"/>
      <c r="Q452" s="274"/>
      <c r="R452" s="274"/>
      <c r="S452" s="274"/>
      <c r="T452" s="274"/>
      <c r="U452" s="274"/>
      <c r="V452" s="274"/>
    </row>
    <row r="453" spans="1:22" x14ac:dyDescent="0.25">
      <c r="A453" s="247">
        <v>451</v>
      </c>
      <c r="B453" s="270"/>
      <c r="C453" s="270"/>
      <c r="D453" s="271"/>
      <c r="E453" s="272"/>
      <c r="F453" s="272"/>
      <c r="G453" s="273"/>
      <c r="H453" s="274"/>
      <c r="I453" s="274"/>
      <c r="J453" s="274"/>
      <c r="K453" s="274"/>
      <c r="L453" s="274"/>
      <c r="M453" s="274"/>
      <c r="N453" s="274"/>
      <c r="O453" s="274"/>
      <c r="P453" s="274"/>
      <c r="Q453" s="274"/>
      <c r="R453" s="274"/>
      <c r="S453" s="274"/>
      <c r="T453" s="274"/>
      <c r="U453" s="274"/>
      <c r="V453" s="274"/>
    </row>
    <row r="454" spans="1:22" x14ac:dyDescent="0.25">
      <c r="A454" s="247">
        <v>452</v>
      </c>
      <c r="B454" s="270"/>
      <c r="C454" s="270"/>
      <c r="D454" s="271"/>
      <c r="E454" s="272"/>
      <c r="F454" s="272"/>
      <c r="G454" s="273"/>
      <c r="H454" s="274"/>
      <c r="I454" s="274"/>
      <c r="J454" s="274"/>
      <c r="K454" s="274"/>
      <c r="L454" s="274"/>
      <c r="M454" s="274"/>
      <c r="N454" s="274"/>
      <c r="O454" s="274"/>
      <c r="P454" s="274"/>
      <c r="Q454" s="274"/>
      <c r="R454" s="274"/>
      <c r="S454" s="274"/>
      <c r="T454" s="274"/>
      <c r="U454" s="274"/>
      <c r="V454" s="274"/>
    </row>
    <row r="455" spans="1:22" x14ac:dyDescent="0.25">
      <c r="A455" s="247">
        <v>453</v>
      </c>
      <c r="B455" s="270"/>
      <c r="C455" s="270"/>
      <c r="D455" s="271"/>
      <c r="E455" s="272"/>
      <c r="F455" s="272"/>
      <c r="G455" s="273"/>
      <c r="H455" s="274"/>
      <c r="I455" s="274"/>
      <c r="J455" s="274"/>
      <c r="K455" s="274"/>
      <c r="L455" s="274"/>
      <c r="M455" s="274"/>
      <c r="N455" s="274"/>
      <c r="O455" s="274"/>
      <c r="P455" s="274"/>
      <c r="Q455" s="274"/>
      <c r="R455" s="274"/>
      <c r="S455" s="274"/>
      <c r="T455" s="274"/>
      <c r="U455" s="274"/>
      <c r="V455" s="274"/>
    </row>
    <row r="456" spans="1:22" x14ac:dyDescent="0.25">
      <c r="A456" s="247">
        <v>454</v>
      </c>
      <c r="B456" s="270"/>
      <c r="C456" s="270"/>
      <c r="D456" s="271"/>
      <c r="E456" s="272"/>
      <c r="F456" s="272"/>
      <c r="G456" s="273"/>
      <c r="H456" s="274"/>
      <c r="I456" s="274"/>
      <c r="J456" s="274"/>
      <c r="K456" s="274"/>
      <c r="L456" s="274"/>
      <c r="M456" s="274"/>
      <c r="N456" s="274"/>
      <c r="O456" s="274"/>
      <c r="P456" s="274"/>
      <c r="Q456" s="274"/>
      <c r="R456" s="274"/>
      <c r="S456" s="274"/>
      <c r="T456" s="274"/>
      <c r="U456" s="274"/>
      <c r="V456" s="274"/>
    </row>
    <row r="457" spans="1:22" x14ac:dyDescent="0.25">
      <c r="A457" s="247">
        <v>455</v>
      </c>
      <c r="B457" s="270"/>
      <c r="C457" s="270"/>
      <c r="D457" s="271"/>
      <c r="E457" s="272"/>
      <c r="F457" s="272"/>
      <c r="G457" s="273"/>
      <c r="H457" s="274"/>
      <c r="I457" s="274"/>
      <c r="J457" s="274"/>
      <c r="K457" s="274"/>
      <c r="L457" s="274"/>
      <c r="M457" s="274"/>
      <c r="N457" s="274"/>
      <c r="O457" s="274"/>
      <c r="P457" s="274"/>
      <c r="Q457" s="274"/>
      <c r="R457" s="274"/>
      <c r="S457" s="274"/>
      <c r="T457" s="274"/>
      <c r="U457" s="274"/>
      <c r="V457" s="274"/>
    </row>
    <row r="458" spans="1:22" x14ac:dyDescent="0.25">
      <c r="A458" s="247">
        <v>456</v>
      </c>
      <c r="B458" s="270"/>
      <c r="C458" s="270"/>
      <c r="D458" s="271"/>
      <c r="E458" s="272"/>
      <c r="F458" s="272"/>
      <c r="G458" s="273"/>
      <c r="H458" s="274"/>
      <c r="I458" s="274"/>
      <c r="J458" s="274"/>
      <c r="K458" s="274"/>
      <c r="L458" s="274"/>
      <c r="M458" s="274"/>
      <c r="N458" s="274"/>
      <c r="O458" s="274"/>
      <c r="P458" s="274"/>
      <c r="Q458" s="274"/>
      <c r="R458" s="274"/>
      <c r="S458" s="274"/>
      <c r="T458" s="274"/>
      <c r="U458" s="274"/>
      <c r="V458" s="274"/>
    </row>
    <row r="459" spans="1:22" x14ac:dyDescent="0.25">
      <c r="A459" s="247">
        <v>457</v>
      </c>
      <c r="B459" s="270"/>
      <c r="C459" s="270"/>
      <c r="D459" s="271"/>
      <c r="E459" s="272"/>
      <c r="F459" s="272"/>
      <c r="G459" s="273"/>
      <c r="H459" s="274"/>
      <c r="I459" s="274"/>
      <c r="J459" s="274"/>
      <c r="K459" s="274"/>
      <c r="L459" s="274"/>
      <c r="M459" s="274"/>
      <c r="N459" s="274"/>
      <c r="O459" s="274"/>
      <c r="P459" s="274"/>
      <c r="Q459" s="274"/>
      <c r="R459" s="274"/>
      <c r="S459" s="274"/>
      <c r="T459" s="274"/>
      <c r="U459" s="274"/>
      <c r="V459" s="274"/>
    </row>
    <row r="460" spans="1:22" x14ac:dyDescent="0.25">
      <c r="A460" s="247">
        <v>458</v>
      </c>
      <c r="B460" s="270"/>
      <c r="C460" s="270"/>
      <c r="D460" s="271"/>
      <c r="E460" s="272"/>
      <c r="F460" s="272"/>
      <c r="G460" s="273"/>
      <c r="H460" s="274"/>
      <c r="I460" s="274"/>
      <c r="J460" s="274"/>
      <c r="K460" s="274"/>
      <c r="L460" s="274"/>
      <c r="M460" s="274"/>
      <c r="N460" s="274"/>
      <c r="O460" s="274"/>
      <c r="P460" s="274"/>
      <c r="Q460" s="274"/>
      <c r="R460" s="274"/>
      <c r="S460" s="274"/>
      <c r="T460" s="274"/>
      <c r="U460" s="274"/>
      <c r="V460" s="274"/>
    </row>
    <row r="461" spans="1:22" x14ac:dyDescent="0.25">
      <c r="A461" s="247">
        <v>459</v>
      </c>
      <c r="B461" s="270"/>
      <c r="C461" s="270"/>
      <c r="D461" s="271"/>
      <c r="E461" s="272"/>
      <c r="F461" s="272"/>
      <c r="G461" s="273"/>
      <c r="H461" s="274"/>
      <c r="I461" s="274"/>
      <c r="J461" s="274"/>
      <c r="K461" s="274"/>
      <c r="L461" s="274"/>
      <c r="M461" s="274"/>
      <c r="N461" s="274"/>
      <c r="O461" s="274"/>
      <c r="P461" s="274"/>
      <c r="Q461" s="274"/>
      <c r="R461" s="274"/>
      <c r="S461" s="274"/>
      <c r="T461" s="274"/>
      <c r="U461" s="274"/>
      <c r="V461" s="274"/>
    </row>
    <row r="462" spans="1:22" x14ac:dyDescent="0.25">
      <c r="A462" s="247">
        <v>460</v>
      </c>
      <c r="B462" s="270"/>
      <c r="C462" s="270"/>
      <c r="D462" s="271"/>
      <c r="E462" s="272"/>
      <c r="F462" s="272"/>
      <c r="G462" s="273"/>
      <c r="H462" s="274"/>
      <c r="I462" s="274"/>
      <c r="J462" s="274"/>
      <c r="K462" s="274"/>
      <c r="L462" s="274"/>
      <c r="M462" s="274"/>
      <c r="N462" s="274"/>
      <c r="O462" s="274"/>
      <c r="P462" s="274"/>
      <c r="Q462" s="274"/>
      <c r="R462" s="274"/>
      <c r="S462" s="274"/>
      <c r="T462" s="274"/>
      <c r="U462" s="274"/>
      <c r="V462" s="274"/>
    </row>
    <row r="463" spans="1:22" x14ac:dyDescent="0.25">
      <c r="A463" s="247">
        <v>461</v>
      </c>
      <c r="B463" s="270"/>
      <c r="C463" s="270"/>
      <c r="D463" s="271"/>
      <c r="E463" s="272"/>
      <c r="F463" s="272"/>
      <c r="G463" s="273"/>
      <c r="H463" s="274"/>
      <c r="I463" s="274"/>
      <c r="J463" s="274"/>
      <c r="K463" s="274"/>
      <c r="L463" s="274"/>
      <c r="M463" s="274"/>
      <c r="N463" s="274"/>
      <c r="O463" s="274"/>
      <c r="P463" s="274"/>
      <c r="Q463" s="274"/>
      <c r="R463" s="274"/>
      <c r="S463" s="274"/>
      <c r="T463" s="274"/>
      <c r="U463" s="274"/>
      <c r="V463" s="274"/>
    </row>
    <row r="464" spans="1:22" x14ac:dyDescent="0.25">
      <c r="A464" s="247">
        <v>462</v>
      </c>
      <c r="B464" s="270"/>
      <c r="C464" s="270"/>
      <c r="D464" s="271"/>
      <c r="E464" s="272"/>
      <c r="F464" s="272"/>
      <c r="G464" s="273"/>
      <c r="H464" s="274"/>
      <c r="I464" s="274"/>
      <c r="J464" s="274"/>
      <c r="K464" s="274"/>
      <c r="L464" s="274"/>
      <c r="M464" s="274"/>
      <c r="N464" s="274"/>
      <c r="O464" s="274"/>
      <c r="P464" s="274"/>
      <c r="Q464" s="274"/>
      <c r="R464" s="274"/>
      <c r="S464" s="274"/>
      <c r="T464" s="274"/>
      <c r="U464" s="274"/>
      <c r="V464" s="274"/>
    </row>
    <row r="465" spans="1:22" x14ac:dyDescent="0.25">
      <c r="A465" s="247">
        <v>463</v>
      </c>
      <c r="B465" s="270"/>
      <c r="C465" s="270"/>
      <c r="D465" s="271"/>
      <c r="E465" s="272"/>
      <c r="F465" s="272"/>
      <c r="G465" s="273"/>
      <c r="H465" s="274"/>
      <c r="I465" s="274"/>
      <c r="J465" s="274"/>
      <c r="K465" s="274"/>
      <c r="L465" s="274"/>
      <c r="M465" s="274"/>
      <c r="N465" s="274"/>
      <c r="O465" s="274"/>
      <c r="P465" s="274"/>
      <c r="Q465" s="274"/>
      <c r="R465" s="274"/>
      <c r="S465" s="274"/>
      <c r="T465" s="274"/>
      <c r="U465" s="274"/>
      <c r="V465" s="274"/>
    </row>
    <row r="466" spans="1:22" x14ac:dyDescent="0.25">
      <c r="A466" s="247">
        <v>464</v>
      </c>
      <c r="B466" s="270"/>
      <c r="C466" s="270"/>
      <c r="D466" s="271"/>
      <c r="E466" s="272"/>
      <c r="F466" s="272"/>
      <c r="G466" s="273"/>
      <c r="H466" s="274"/>
      <c r="I466" s="274"/>
      <c r="J466" s="274"/>
      <c r="K466" s="274"/>
      <c r="L466" s="274"/>
      <c r="M466" s="274"/>
      <c r="N466" s="274"/>
      <c r="O466" s="274"/>
      <c r="P466" s="274"/>
      <c r="Q466" s="274"/>
      <c r="R466" s="274"/>
      <c r="S466" s="274"/>
      <c r="T466" s="274"/>
      <c r="U466" s="274"/>
      <c r="V466" s="274"/>
    </row>
    <row r="467" spans="1:22" x14ac:dyDescent="0.25">
      <c r="A467" s="247">
        <v>465</v>
      </c>
      <c r="B467" s="270"/>
      <c r="C467" s="270"/>
      <c r="D467" s="271"/>
      <c r="E467" s="272"/>
      <c r="F467" s="272"/>
      <c r="G467" s="273"/>
      <c r="H467" s="274"/>
      <c r="I467" s="274"/>
      <c r="J467" s="274"/>
      <c r="K467" s="274"/>
      <c r="L467" s="274"/>
      <c r="M467" s="274"/>
      <c r="N467" s="274"/>
      <c r="O467" s="274"/>
      <c r="P467" s="274"/>
      <c r="Q467" s="274"/>
      <c r="R467" s="274"/>
      <c r="S467" s="274"/>
      <c r="T467" s="274"/>
      <c r="U467" s="274"/>
      <c r="V467" s="274"/>
    </row>
    <row r="468" spans="1:22" x14ac:dyDescent="0.25">
      <c r="A468" s="247">
        <v>466</v>
      </c>
      <c r="B468" s="270"/>
      <c r="C468" s="270"/>
      <c r="D468" s="271"/>
      <c r="E468" s="272"/>
      <c r="F468" s="272"/>
      <c r="G468" s="273"/>
      <c r="H468" s="274"/>
      <c r="I468" s="274"/>
      <c r="J468" s="274"/>
      <c r="K468" s="274"/>
      <c r="L468" s="274"/>
      <c r="M468" s="274"/>
      <c r="N468" s="274"/>
      <c r="O468" s="274"/>
      <c r="P468" s="274"/>
      <c r="Q468" s="274"/>
      <c r="R468" s="274"/>
      <c r="S468" s="274"/>
      <c r="T468" s="274"/>
      <c r="U468" s="274"/>
      <c r="V468" s="274"/>
    </row>
    <row r="469" spans="1:22" x14ac:dyDescent="0.25">
      <c r="A469" s="247">
        <v>467</v>
      </c>
      <c r="B469" s="270"/>
      <c r="C469" s="270"/>
      <c r="D469" s="271"/>
      <c r="E469" s="272"/>
      <c r="F469" s="272"/>
      <c r="G469" s="273"/>
      <c r="H469" s="274"/>
      <c r="I469" s="274"/>
      <c r="J469" s="274"/>
      <c r="K469" s="274"/>
      <c r="L469" s="274"/>
      <c r="M469" s="274"/>
      <c r="N469" s="274"/>
      <c r="O469" s="274"/>
      <c r="P469" s="274"/>
      <c r="Q469" s="274"/>
      <c r="R469" s="274"/>
      <c r="S469" s="274"/>
      <c r="T469" s="274"/>
      <c r="U469" s="274"/>
      <c r="V469" s="274"/>
    </row>
    <row r="470" spans="1:22" x14ac:dyDescent="0.25">
      <c r="A470" s="247">
        <v>468</v>
      </c>
      <c r="B470" s="270"/>
      <c r="C470" s="270"/>
      <c r="D470" s="271"/>
      <c r="E470" s="272"/>
      <c r="F470" s="272"/>
      <c r="G470" s="273"/>
      <c r="H470" s="274"/>
      <c r="I470" s="274"/>
      <c r="J470" s="274"/>
      <c r="K470" s="274"/>
      <c r="L470" s="274"/>
      <c r="M470" s="274"/>
      <c r="N470" s="274"/>
      <c r="O470" s="274"/>
      <c r="P470" s="274"/>
      <c r="Q470" s="274"/>
      <c r="R470" s="274"/>
      <c r="S470" s="274"/>
      <c r="T470" s="274"/>
      <c r="U470" s="274"/>
      <c r="V470" s="274"/>
    </row>
    <row r="471" spans="1:22" x14ac:dyDescent="0.25">
      <c r="A471" s="247">
        <v>469</v>
      </c>
      <c r="B471" s="270"/>
      <c r="C471" s="270"/>
      <c r="D471" s="271"/>
      <c r="E471" s="272"/>
      <c r="F471" s="272"/>
      <c r="G471" s="273"/>
      <c r="H471" s="274"/>
      <c r="I471" s="274"/>
      <c r="J471" s="274"/>
      <c r="K471" s="274"/>
      <c r="L471" s="274"/>
      <c r="M471" s="274"/>
      <c r="N471" s="274"/>
      <c r="O471" s="274"/>
      <c r="P471" s="274"/>
      <c r="Q471" s="274"/>
      <c r="R471" s="274"/>
      <c r="S471" s="274"/>
      <c r="T471" s="274"/>
      <c r="U471" s="274"/>
      <c r="V471" s="274"/>
    </row>
    <row r="472" spans="1:22" x14ac:dyDescent="0.25">
      <c r="A472" s="247">
        <v>470</v>
      </c>
      <c r="B472" s="270"/>
      <c r="C472" s="270"/>
      <c r="D472" s="271"/>
      <c r="E472" s="272"/>
      <c r="F472" s="272"/>
      <c r="G472" s="273"/>
      <c r="H472" s="274"/>
      <c r="I472" s="274"/>
      <c r="J472" s="274"/>
      <c r="K472" s="274"/>
      <c r="L472" s="274"/>
      <c r="M472" s="274"/>
      <c r="N472" s="274"/>
      <c r="O472" s="274"/>
      <c r="P472" s="274"/>
      <c r="Q472" s="274"/>
      <c r="R472" s="274"/>
      <c r="S472" s="274"/>
      <c r="T472" s="274"/>
      <c r="U472" s="274"/>
      <c r="V472" s="274"/>
    </row>
    <row r="473" spans="1:22" x14ac:dyDescent="0.25">
      <c r="A473" s="247">
        <v>471</v>
      </c>
      <c r="B473" s="270"/>
      <c r="C473" s="270"/>
      <c r="D473" s="271"/>
      <c r="E473" s="272"/>
      <c r="F473" s="272"/>
      <c r="G473" s="273"/>
      <c r="H473" s="274"/>
      <c r="I473" s="274"/>
      <c r="J473" s="274"/>
      <c r="K473" s="274"/>
      <c r="L473" s="274"/>
      <c r="M473" s="274"/>
      <c r="N473" s="274"/>
      <c r="O473" s="274"/>
      <c r="P473" s="274"/>
      <c r="Q473" s="274"/>
      <c r="R473" s="274"/>
      <c r="S473" s="274"/>
      <c r="T473" s="274"/>
      <c r="U473" s="274"/>
      <c r="V473" s="274"/>
    </row>
    <row r="474" spans="1:22" x14ac:dyDescent="0.25">
      <c r="A474" s="247">
        <v>472</v>
      </c>
      <c r="B474" s="270"/>
      <c r="C474" s="270"/>
      <c r="D474" s="271"/>
      <c r="E474" s="272"/>
      <c r="F474" s="272"/>
      <c r="G474" s="273"/>
      <c r="H474" s="274"/>
      <c r="I474" s="274"/>
      <c r="J474" s="274"/>
      <c r="K474" s="274"/>
      <c r="L474" s="274"/>
      <c r="M474" s="274"/>
      <c r="N474" s="274"/>
      <c r="O474" s="274"/>
      <c r="P474" s="274"/>
      <c r="Q474" s="274"/>
      <c r="R474" s="274"/>
      <c r="S474" s="274"/>
      <c r="T474" s="274"/>
      <c r="U474" s="274"/>
      <c r="V474" s="274"/>
    </row>
    <row r="475" spans="1:22" x14ac:dyDescent="0.25">
      <c r="A475" s="247">
        <v>473</v>
      </c>
      <c r="B475" s="270"/>
      <c r="C475" s="270"/>
      <c r="D475" s="271"/>
      <c r="E475" s="272"/>
      <c r="F475" s="272"/>
      <c r="G475" s="273"/>
      <c r="H475" s="274"/>
      <c r="I475" s="274"/>
      <c r="J475" s="274"/>
      <c r="K475" s="274"/>
      <c r="L475" s="274"/>
      <c r="M475" s="274"/>
      <c r="N475" s="274"/>
      <c r="O475" s="274"/>
      <c r="P475" s="274"/>
      <c r="Q475" s="274"/>
      <c r="R475" s="274"/>
      <c r="S475" s="274"/>
      <c r="T475" s="274"/>
      <c r="U475" s="274"/>
      <c r="V475" s="274"/>
    </row>
    <row r="476" spans="1:22" x14ac:dyDescent="0.25">
      <c r="A476" s="247">
        <v>474</v>
      </c>
      <c r="B476" s="270"/>
      <c r="C476" s="270"/>
      <c r="D476" s="271"/>
      <c r="E476" s="272"/>
      <c r="F476" s="272"/>
      <c r="G476" s="273"/>
      <c r="H476" s="274"/>
      <c r="I476" s="274"/>
      <c r="J476" s="274"/>
      <c r="K476" s="274"/>
      <c r="L476" s="274"/>
      <c r="M476" s="274"/>
      <c r="N476" s="274"/>
      <c r="O476" s="274"/>
      <c r="P476" s="274"/>
      <c r="Q476" s="274"/>
      <c r="R476" s="274"/>
      <c r="S476" s="274"/>
      <c r="T476" s="274"/>
      <c r="U476" s="274"/>
      <c r="V476" s="274"/>
    </row>
    <row r="477" spans="1:22" x14ac:dyDescent="0.25">
      <c r="A477" s="247">
        <v>475</v>
      </c>
      <c r="B477" s="270"/>
      <c r="C477" s="270"/>
      <c r="D477" s="271"/>
      <c r="E477" s="272"/>
      <c r="F477" s="272"/>
      <c r="G477" s="273"/>
      <c r="H477" s="274"/>
      <c r="I477" s="274"/>
      <c r="J477" s="274"/>
      <c r="K477" s="274"/>
      <c r="L477" s="274"/>
      <c r="M477" s="274"/>
      <c r="N477" s="274"/>
      <c r="O477" s="274"/>
      <c r="P477" s="274"/>
      <c r="Q477" s="274"/>
      <c r="R477" s="274"/>
      <c r="S477" s="274"/>
      <c r="T477" s="274"/>
      <c r="U477" s="274"/>
      <c r="V477" s="274"/>
    </row>
    <row r="478" spans="1:22" x14ac:dyDescent="0.25">
      <c r="A478" s="247">
        <v>476</v>
      </c>
      <c r="B478" s="270"/>
      <c r="C478" s="270"/>
      <c r="D478" s="271"/>
      <c r="E478" s="272"/>
      <c r="F478" s="272"/>
      <c r="G478" s="273"/>
      <c r="H478" s="274"/>
      <c r="I478" s="274"/>
      <c r="J478" s="274"/>
      <c r="K478" s="274"/>
      <c r="L478" s="274"/>
      <c r="M478" s="274"/>
      <c r="N478" s="274"/>
      <c r="O478" s="274"/>
      <c r="P478" s="274"/>
      <c r="Q478" s="274"/>
      <c r="R478" s="274"/>
      <c r="S478" s="274"/>
      <c r="T478" s="274"/>
      <c r="U478" s="274"/>
      <c r="V478" s="274"/>
    </row>
    <row r="479" spans="1:22" x14ac:dyDescent="0.25">
      <c r="A479" s="247">
        <v>477</v>
      </c>
      <c r="B479" s="270"/>
      <c r="C479" s="270"/>
      <c r="D479" s="271"/>
      <c r="E479" s="272"/>
      <c r="F479" s="272"/>
      <c r="G479" s="273"/>
      <c r="H479" s="274"/>
      <c r="I479" s="274"/>
      <c r="J479" s="274"/>
      <c r="K479" s="274"/>
      <c r="L479" s="274"/>
      <c r="M479" s="274"/>
      <c r="N479" s="274"/>
      <c r="O479" s="274"/>
      <c r="P479" s="274"/>
      <c r="Q479" s="274"/>
      <c r="R479" s="274"/>
      <c r="S479" s="274"/>
      <c r="T479" s="274"/>
      <c r="U479" s="274"/>
      <c r="V479" s="274"/>
    </row>
    <row r="480" spans="1:22" x14ac:dyDescent="0.25">
      <c r="A480" s="247">
        <v>478</v>
      </c>
      <c r="B480" s="270"/>
      <c r="C480" s="270"/>
      <c r="D480" s="271"/>
      <c r="E480" s="272"/>
      <c r="F480" s="272"/>
      <c r="G480" s="273"/>
      <c r="H480" s="274"/>
      <c r="I480" s="274"/>
      <c r="J480" s="274"/>
      <c r="K480" s="274"/>
      <c r="L480" s="274"/>
      <c r="M480" s="274"/>
      <c r="N480" s="274"/>
      <c r="O480" s="274"/>
      <c r="P480" s="274"/>
      <c r="Q480" s="274"/>
      <c r="R480" s="274"/>
      <c r="S480" s="274"/>
      <c r="T480" s="274"/>
      <c r="U480" s="274"/>
      <c r="V480" s="274"/>
    </row>
    <row r="481" spans="1:22" x14ac:dyDescent="0.25">
      <c r="A481" s="247">
        <v>479</v>
      </c>
      <c r="B481" s="270"/>
      <c r="C481" s="270"/>
      <c r="D481" s="271"/>
      <c r="E481" s="272"/>
      <c r="F481" s="272"/>
      <c r="G481" s="273"/>
      <c r="H481" s="274"/>
      <c r="I481" s="274"/>
      <c r="J481" s="274"/>
      <c r="K481" s="274"/>
      <c r="L481" s="274"/>
      <c r="M481" s="274"/>
      <c r="N481" s="274"/>
      <c r="O481" s="274"/>
      <c r="P481" s="274"/>
      <c r="Q481" s="274"/>
      <c r="R481" s="274"/>
      <c r="S481" s="274"/>
      <c r="T481" s="274"/>
      <c r="U481" s="274"/>
      <c r="V481" s="274"/>
    </row>
    <row r="482" spans="1:22" x14ac:dyDescent="0.25">
      <c r="A482" s="247">
        <v>480</v>
      </c>
      <c r="B482" s="270"/>
      <c r="C482" s="270"/>
      <c r="D482" s="271"/>
      <c r="E482" s="272"/>
      <c r="F482" s="272"/>
      <c r="G482" s="273"/>
      <c r="H482" s="274"/>
      <c r="I482" s="274"/>
      <c r="J482" s="274"/>
      <c r="K482" s="274"/>
      <c r="L482" s="274"/>
      <c r="M482" s="274"/>
      <c r="N482" s="274"/>
      <c r="O482" s="274"/>
      <c r="P482" s="274"/>
      <c r="Q482" s="274"/>
      <c r="R482" s="274"/>
      <c r="S482" s="274"/>
      <c r="T482" s="274"/>
      <c r="U482" s="274"/>
      <c r="V482" s="274"/>
    </row>
    <row r="483" spans="1:22" x14ac:dyDescent="0.25">
      <c r="A483" s="247">
        <v>481</v>
      </c>
      <c r="B483" s="270"/>
      <c r="C483" s="270"/>
      <c r="D483" s="271"/>
      <c r="E483" s="272"/>
      <c r="F483" s="272"/>
      <c r="G483" s="273"/>
      <c r="H483" s="274"/>
      <c r="I483" s="274"/>
      <c r="J483" s="274"/>
      <c r="K483" s="274"/>
      <c r="L483" s="274"/>
      <c r="M483" s="274"/>
      <c r="N483" s="274"/>
      <c r="O483" s="274"/>
      <c r="P483" s="274"/>
      <c r="Q483" s="274"/>
      <c r="R483" s="274"/>
      <c r="S483" s="274"/>
      <c r="T483" s="274"/>
      <c r="U483" s="274"/>
      <c r="V483" s="274"/>
    </row>
    <row r="484" spans="1:22" x14ac:dyDescent="0.25">
      <c r="A484" s="247">
        <v>482</v>
      </c>
      <c r="B484" s="270"/>
      <c r="C484" s="270"/>
      <c r="D484" s="271"/>
      <c r="E484" s="272"/>
      <c r="F484" s="272"/>
      <c r="G484" s="273"/>
      <c r="H484" s="274"/>
      <c r="I484" s="274"/>
      <c r="J484" s="274"/>
      <c r="K484" s="274"/>
      <c r="L484" s="274"/>
      <c r="M484" s="274"/>
      <c r="N484" s="274"/>
      <c r="O484" s="274"/>
      <c r="P484" s="274"/>
      <c r="Q484" s="274"/>
      <c r="R484" s="274"/>
      <c r="S484" s="274"/>
      <c r="T484" s="274"/>
      <c r="U484" s="274"/>
      <c r="V484" s="274"/>
    </row>
    <row r="485" spans="1:22" x14ac:dyDescent="0.25">
      <c r="A485" s="247">
        <v>483</v>
      </c>
      <c r="B485" s="270"/>
      <c r="C485" s="270"/>
      <c r="D485" s="271"/>
      <c r="E485" s="272"/>
      <c r="F485" s="272"/>
      <c r="G485" s="273"/>
      <c r="H485" s="274"/>
      <c r="I485" s="274"/>
      <c r="J485" s="274"/>
      <c r="K485" s="274"/>
      <c r="L485" s="274"/>
      <c r="M485" s="274"/>
      <c r="N485" s="274"/>
      <c r="O485" s="274"/>
      <c r="P485" s="274"/>
      <c r="Q485" s="274"/>
      <c r="R485" s="274"/>
      <c r="S485" s="274"/>
      <c r="T485" s="274"/>
      <c r="U485" s="274"/>
      <c r="V485" s="274"/>
    </row>
    <row r="486" spans="1:22" x14ac:dyDescent="0.25">
      <c r="A486" s="247">
        <v>484</v>
      </c>
      <c r="B486" s="270"/>
      <c r="C486" s="270"/>
      <c r="D486" s="271"/>
      <c r="E486" s="272"/>
      <c r="F486" s="272"/>
      <c r="G486" s="273"/>
      <c r="H486" s="274"/>
      <c r="I486" s="274"/>
      <c r="J486" s="274"/>
      <c r="K486" s="274"/>
      <c r="L486" s="274"/>
      <c r="M486" s="274"/>
      <c r="N486" s="274"/>
      <c r="O486" s="274"/>
      <c r="P486" s="274"/>
      <c r="Q486" s="274"/>
      <c r="R486" s="274"/>
      <c r="S486" s="274"/>
      <c r="T486" s="274"/>
      <c r="U486" s="274"/>
      <c r="V486" s="274"/>
    </row>
    <row r="487" spans="1:22" x14ac:dyDescent="0.25">
      <c r="A487" s="247">
        <v>485</v>
      </c>
      <c r="B487" s="270"/>
      <c r="C487" s="270"/>
      <c r="D487" s="271"/>
      <c r="E487" s="272"/>
      <c r="F487" s="272"/>
      <c r="G487" s="273"/>
      <c r="H487" s="274"/>
      <c r="I487" s="274"/>
      <c r="J487" s="274"/>
      <c r="K487" s="274"/>
      <c r="L487" s="274"/>
      <c r="M487" s="274"/>
      <c r="N487" s="274"/>
      <c r="O487" s="274"/>
      <c r="P487" s="274"/>
      <c r="Q487" s="274"/>
      <c r="R487" s="274"/>
      <c r="S487" s="274"/>
      <c r="T487" s="274"/>
      <c r="U487" s="274"/>
      <c r="V487" s="274"/>
    </row>
    <row r="488" spans="1:22" x14ac:dyDescent="0.25">
      <c r="A488" s="247">
        <v>486</v>
      </c>
      <c r="B488" s="270"/>
      <c r="C488" s="270"/>
      <c r="D488" s="271"/>
      <c r="E488" s="272"/>
      <c r="F488" s="272"/>
      <c r="G488" s="273"/>
      <c r="H488" s="274"/>
      <c r="I488" s="274"/>
      <c r="J488" s="274"/>
      <c r="K488" s="274"/>
      <c r="L488" s="274"/>
      <c r="M488" s="274"/>
      <c r="N488" s="274"/>
      <c r="O488" s="274"/>
      <c r="P488" s="274"/>
      <c r="Q488" s="274"/>
      <c r="R488" s="274"/>
      <c r="S488" s="274"/>
      <c r="T488" s="274"/>
      <c r="U488" s="274"/>
      <c r="V488" s="274"/>
    </row>
    <row r="489" spans="1:22" x14ac:dyDescent="0.25">
      <c r="A489" s="247">
        <v>487</v>
      </c>
      <c r="B489" s="270"/>
      <c r="C489" s="270"/>
      <c r="D489" s="271"/>
      <c r="E489" s="272"/>
      <c r="F489" s="272"/>
      <c r="G489" s="273"/>
      <c r="H489" s="274"/>
      <c r="I489" s="274"/>
      <c r="J489" s="274"/>
      <c r="K489" s="274"/>
      <c r="L489" s="274"/>
      <c r="M489" s="274"/>
      <c r="N489" s="274"/>
      <c r="O489" s="274"/>
      <c r="P489" s="274"/>
      <c r="Q489" s="274"/>
      <c r="R489" s="274"/>
      <c r="S489" s="274"/>
      <c r="T489" s="274"/>
      <c r="U489" s="274"/>
      <c r="V489" s="274"/>
    </row>
    <row r="490" spans="1:22" x14ac:dyDescent="0.25">
      <c r="A490" s="247">
        <v>488</v>
      </c>
      <c r="B490" s="270"/>
      <c r="C490" s="270"/>
      <c r="D490" s="271"/>
      <c r="E490" s="272"/>
      <c r="F490" s="272"/>
      <c r="G490" s="273"/>
      <c r="H490" s="274"/>
      <c r="I490" s="274"/>
      <c r="J490" s="274"/>
      <c r="K490" s="274"/>
      <c r="L490" s="274"/>
      <c r="M490" s="274"/>
      <c r="N490" s="274"/>
      <c r="O490" s="274"/>
      <c r="P490" s="274"/>
      <c r="Q490" s="274"/>
      <c r="R490" s="274"/>
      <c r="S490" s="274"/>
      <c r="T490" s="274"/>
      <c r="U490" s="274"/>
      <c r="V490" s="274"/>
    </row>
    <row r="491" spans="1:22" x14ac:dyDescent="0.25">
      <c r="A491" s="247">
        <v>489</v>
      </c>
      <c r="B491" s="270"/>
      <c r="C491" s="270"/>
      <c r="D491" s="271"/>
      <c r="E491" s="272"/>
      <c r="F491" s="272"/>
      <c r="G491" s="273"/>
      <c r="H491" s="274"/>
      <c r="I491" s="274"/>
      <c r="J491" s="274"/>
      <c r="K491" s="274"/>
      <c r="L491" s="274"/>
      <c r="M491" s="274"/>
      <c r="N491" s="274"/>
      <c r="O491" s="274"/>
      <c r="P491" s="274"/>
      <c r="Q491" s="274"/>
      <c r="R491" s="274"/>
      <c r="S491" s="274"/>
      <c r="T491" s="274"/>
      <c r="U491" s="274"/>
      <c r="V491" s="274"/>
    </row>
    <row r="492" spans="1:22" x14ac:dyDescent="0.25">
      <c r="A492" s="247">
        <v>490</v>
      </c>
      <c r="B492" s="270"/>
      <c r="C492" s="270"/>
      <c r="D492" s="271"/>
      <c r="E492" s="272"/>
      <c r="F492" s="272"/>
      <c r="G492" s="273"/>
      <c r="H492" s="274"/>
      <c r="I492" s="274"/>
      <c r="J492" s="274"/>
      <c r="K492" s="274"/>
      <c r="L492" s="274"/>
      <c r="M492" s="274"/>
      <c r="N492" s="274"/>
      <c r="O492" s="274"/>
      <c r="P492" s="274"/>
      <c r="Q492" s="274"/>
      <c r="R492" s="274"/>
      <c r="S492" s="274"/>
      <c r="T492" s="274"/>
      <c r="U492" s="274"/>
      <c r="V492" s="274"/>
    </row>
    <row r="493" spans="1:22" x14ac:dyDescent="0.25">
      <c r="A493" s="247">
        <v>491</v>
      </c>
      <c r="B493" s="270"/>
      <c r="C493" s="270"/>
      <c r="D493" s="271"/>
      <c r="E493" s="272"/>
      <c r="F493" s="272"/>
      <c r="G493" s="273"/>
      <c r="H493" s="274"/>
      <c r="I493" s="274"/>
      <c r="J493" s="274"/>
      <c r="K493" s="274"/>
      <c r="L493" s="274"/>
      <c r="M493" s="274"/>
      <c r="N493" s="274"/>
      <c r="O493" s="274"/>
      <c r="P493" s="274"/>
      <c r="Q493" s="274"/>
      <c r="R493" s="274"/>
      <c r="S493" s="274"/>
      <c r="T493" s="274"/>
      <c r="U493" s="274"/>
      <c r="V493" s="274"/>
    </row>
    <row r="494" spans="1:22" x14ac:dyDescent="0.25">
      <c r="A494" s="247">
        <v>492</v>
      </c>
      <c r="B494" s="270"/>
      <c r="C494" s="270"/>
      <c r="D494" s="271"/>
      <c r="E494" s="272"/>
      <c r="F494" s="272"/>
      <c r="G494" s="273"/>
      <c r="H494" s="274"/>
      <c r="I494" s="274"/>
      <c r="J494" s="274"/>
      <c r="K494" s="274"/>
      <c r="L494" s="274"/>
      <c r="M494" s="274"/>
      <c r="N494" s="274"/>
      <c r="O494" s="274"/>
      <c r="P494" s="274"/>
      <c r="Q494" s="274"/>
      <c r="R494" s="274"/>
      <c r="S494" s="274"/>
      <c r="T494" s="274"/>
      <c r="U494" s="274"/>
      <c r="V494" s="274"/>
    </row>
    <row r="495" spans="1:22" x14ac:dyDescent="0.25">
      <c r="A495" s="247">
        <v>493</v>
      </c>
      <c r="B495" s="270"/>
      <c r="C495" s="270"/>
      <c r="D495" s="271"/>
      <c r="E495" s="272"/>
      <c r="F495" s="272"/>
      <c r="G495" s="273"/>
      <c r="H495" s="274"/>
      <c r="I495" s="274"/>
      <c r="J495" s="274"/>
      <c r="K495" s="274"/>
      <c r="L495" s="274"/>
      <c r="M495" s="274"/>
      <c r="N495" s="274"/>
      <c r="O495" s="274"/>
      <c r="P495" s="274"/>
      <c r="Q495" s="274"/>
      <c r="R495" s="274"/>
      <c r="S495" s="274"/>
      <c r="T495" s="274"/>
      <c r="U495" s="274"/>
      <c r="V495" s="274"/>
    </row>
    <row r="496" spans="1:22" x14ac:dyDescent="0.25">
      <c r="A496" s="247">
        <v>494</v>
      </c>
      <c r="B496" s="270"/>
      <c r="C496" s="270"/>
      <c r="D496" s="271"/>
      <c r="E496" s="272"/>
      <c r="F496" s="272"/>
      <c r="G496" s="273"/>
      <c r="H496" s="274"/>
      <c r="I496" s="274"/>
      <c r="J496" s="274"/>
      <c r="K496" s="274"/>
      <c r="L496" s="274"/>
      <c r="M496" s="274"/>
      <c r="N496" s="274"/>
      <c r="O496" s="274"/>
      <c r="P496" s="274"/>
      <c r="Q496" s="274"/>
      <c r="R496" s="274"/>
      <c r="S496" s="274"/>
      <c r="T496" s="274"/>
      <c r="U496" s="274"/>
      <c r="V496" s="274"/>
    </row>
    <row r="497" spans="1:22" x14ac:dyDescent="0.25">
      <c r="A497" s="247">
        <v>495</v>
      </c>
      <c r="B497" s="270"/>
      <c r="C497" s="270"/>
      <c r="D497" s="271"/>
      <c r="E497" s="272"/>
      <c r="F497" s="272"/>
      <c r="G497" s="273"/>
      <c r="H497" s="274"/>
      <c r="I497" s="274"/>
      <c r="J497" s="274"/>
      <c r="K497" s="274"/>
      <c r="L497" s="274"/>
      <c r="M497" s="274"/>
      <c r="N497" s="274"/>
      <c r="O497" s="274"/>
      <c r="P497" s="274"/>
      <c r="Q497" s="274"/>
      <c r="R497" s="274"/>
      <c r="S497" s="274"/>
      <c r="T497" s="274"/>
      <c r="U497" s="274"/>
      <c r="V497" s="274"/>
    </row>
    <row r="498" spans="1:22" x14ac:dyDescent="0.25">
      <c r="A498" s="247">
        <v>496</v>
      </c>
      <c r="B498" s="270"/>
      <c r="C498" s="270"/>
      <c r="D498" s="271"/>
      <c r="E498" s="272"/>
      <c r="F498" s="272"/>
      <c r="G498" s="273"/>
      <c r="H498" s="274"/>
      <c r="I498" s="274"/>
      <c r="J498" s="274"/>
      <c r="K498" s="274"/>
      <c r="L498" s="274"/>
      <c r="M498" s="274"/>
      <c r="N498" s="274"/>
      <c r="O498" s="274"/>
      <c r="P498" s="274"/>
      <c r="Q498" s="274"/>
      <c r="R498" s="274"/>
      <c r="S498" s="274"/>
      <c r="T498" s="274"/>
      <c r="U498" s="274"/>
      <c r="V498" s="274"/>
    </row>
    <row r="499" spans="1:22" x14ac:dyDescent="0.25">
      <c r="A499" s="247">
        <v>497</v>
      </c>
      <c r="B499" s="270"/>
      <c r="C499" s="270"/>
      <c r="D499" s="271"/>
      <c r="E499" s="272"/>
      <c r="F499" s="272"/>
      <c r="G499" s="273"/>
      <c r="H499" s="274"/>
      <c r="I499" s="274"/>
      <c r="J499" s="274"/>
      <c r="K499" s="274"/>
      <c r="L499" s="274"/>
      <c r="M499" s="274"/>
      <c r="N499" s="274"/>
      <c r="O499" s="274"/>
      <c r="P499" s="274"/>
      <c r="Q499" s="274"/>
      <c r="R499" s="274"/>
      <c r="S499" s="274"/>
      <c r="T499" s="274"/>
      <c r="U499" s="274"/>
      <c r="V499" s="274"/>
    </row>
    <row r="500" spans="1:22" x14ac:dyDescent="0.25">
      <c r="A500" s="247">
        <v>498</v>
      </c>
      <c r="B500" s="270"/>
      <c r="C500" s="270"/>
      <c r="D500" s="271"/>
      <c r="E500" s="272"/>
      <c r="F500" s="272"/>
      <c r="G500" s="273"/>
      <c r="H500" s="274"/>
      <c r="I500" s="274"/>
      <c r="J500" s="274"/>
      <c r="K500" s="274"/>
      <c r="L500" s="274"/>
      <c r="M500" s="274"/>
      <c r="N500" s="274"/>
      <c r="O500" s="274"/>
      <c r="P500" s="274"/>
      <c r="Q500" s="274"/>
      <c r="R500" s="274"/>
      <c r="S500" s="274"/>
      <c r="T500" s="274"/>
      <c r="U500" s="274"/>
      <c r="V500" s="274"/>
    </row>
    <row r="501" spans="1:22" x14ac:dyDescent="0.25">
      <c r="A501" s="247">
        <v>499</v>
      </c>
      <c r="B501" s="270"/>
      <c r="C501" s="270"/>
      <c r="D501" s="271"/>
      <c r="E501" s="272"/>
      <c r="F501" s="272"/>
      <c r="G501" s="273"/>
      <c r="H501" s="274"/>
      <c r="I501" s="274"/>
      <c r="J501" s="274"/>
      <c r="K501" s="274"/>
      <c r="L501" s="274"/>
      <c r="M501" s="274"/>
      <c r="N501" s="274"/>
      <c r="O501" s="274"/>
      <c r="P501" s="274"/>
      <c r="Q501" s="274"/>
      <c r="R501" s="274"/>
      <c r="S501" s="274"/>
      <c r="T501" s="274"/>
      <c r="U501" s="274"/>
      <c r="V501" s="274"/>
    </row>
    <row r="502" spans="1:22" x14ac:dyDescent="0.25">
      <c r="A502" s="247">
        <v>500</v>
      </c>
      <c r="B502" s="270"/>
      <c r="C502" s="270"/>
      <c r="D502" s="271"/>
      <c r="E502" s="272"/>
      <c r="F502" s="272"/>
      <c r="G502" s="273"/>
      <c r="H502" s="274"/>
      <c r="I502" s="274"/>
      <c r="J502" s="274"/>
      <c r="K502" s="274"/>
      <c r="L502" s="274"/>
      <c r="M502" s="274"/>
      <c r="N502" s="274"/>
      <c r="O502" s="274"/>
      <c r="P502" s="274"/>
      <c r="Q502" s="274"/>
      <c r="R502" s="274"/>
      <c r="S502" s="274"/>
      <c r="T502" s="274"/>
      <c r="U502" s="274"/>
      <c r="V502" s="274"/>
    </row>
    <row r="503" spans="1:22" x14ac:dyDescent="0.25">
      <c r="A503" s="247">
        <v>501</v>
      </c>
      <c r="B503" s="270"/>
      <c r="C503" s="270"/>
      <c r="D503" s="271"/>
      <c r="E503" s="272"/>
      <c r="F503" s="272"/>
      <c r="G503" s="273"/>
      <c r="H503" s="274"/>
      <c r="I503" s="274"/>
      <c r="J503" s="274"/>
      <c r="K503" s="274"/>
      <c r="L503" s="274"/>
      <c r="M503" s="274"/>
      <c r="N503" s="274"/>
      <c r="O503" s="274"/>
      <c r="P503" s="274"/>
      <c r="Q503" s="274"/>
      <c r="R503" s="274"/>
      <c r="S503" s="274"/>
      <c r="T503" s="274"/>
      <c r="U503" s="274"/>
      <c r="V503" s="274"/>
    </row>
    <row r="504" spans="1:22" x14ac:dyDescent="0.25">
      <c r="A504" s="247">
        <v>502</v>
      </c>
      <c r="B504" s="270"/>
      <c r="C504" s="270"/>
      <c r="D504" s="271"/>
      <c r="E504" s="272"/>
      <c r="F504" s="272"/>
      <c r="G504" s="273"/>
      <c r="H504" s="274"/>
      <c r="I504" s="274"/>
      <c r="J504" s="274"/>
      <c r="K504" s="274"/>
      <c r="L504" s="274"/>
      <c r="M504" s="274"/>
      <c r="N504" s="274"/>
      <c r="O504" s="274"/>
      <c r="P504" s="274"/>
      <c r="Q504" s="274"/>
      <c r="R504" s="274"/>
      <c r="S504" s="274"/>
      <c r="T504" s="274"/>
      <c r="U504" s="274"/>
      <c r="V504" s="274"/>
    </row>
    <row r="505" spans="1:22" x14ac:dyDescent="0.25">
      <c r="A505" s="247">
        <v>503</v>
      </c>
      <c r="B505" s="270"/>
      <c r="C505" s="270"/>
      <c r="D505" s="271"/>
      <c r="E505" s="272"/>
      <c r="F505" s="272"/>
      <c r="G505" s="273"/>
      <c r="H505" s="274"/>
      <c r="I505" s="274"/>
      <c r="J505" s="274"/>
      <c r="K505" s="274"/>
      <c r="L505" s="274"/>
      <c r="M505" s="274"/>
      <c r="N505" s="274"/>
      <c r="O505" s="274"/>
      <c r="P505" s="274"/>
      <c r="Q505" s="274"/>
      <c r="R505" s="274"/>
      <c r="S505" s="274"/>
      <c r="T505" s="274"/>
      <c r="U505" s="274"/>
      <c r="V505" s="274"/>
    </row>
    <row r="506" spans="1:22" x14ac:dyDescent="0.25">
      <c r="A506" s="247">
        <v>504</v>
      </c>
      <c r="B506" s="270"/>
      <c r="C506" s="270"/>
      <c r="D506" s="271"/>
      <c r="E506" s="272"/>
      <c r="F506" s="272"/>
      <c r="G506" s="273"/>
      <c r="H506" s="274"/>
      <c r="I506" s="274"/>
      <c r="J506" s="274"/>
      <c r="K506" s="274"/>
      <c r="L506" s="274"/>
      <c r="M506" s="274"/>
      <c r="N506" s="274"/>
      <c r="O506" s="274"/>
      <c r="P506" s="274"/>
      <c r="Q506" s="274"/>
      <c r="R506" s="274"/>
      <c r="S506" s="274"/>
      <c r="T506" s="274"/>
      <c r="U506" s="274"/>
      <c r="V506" s="274"/>
    </row>
    <row r="507" spans="1:22" x14ac:dyDescent="0.25">
      <c r="A507" s="247">
        <v>505</v>
      </c>
      <c r="B507" s="270"/>
      <c r="C507" s="270"/>
      <c r="D507" s="271"/>
      <c r="E507" s="272"/>
      <c r="F507" s="272"/>
      <c r="G507" s="273"/>
      <c r="H507" s="274"/>
      <c r="I507" s="274"/>
      <c r="J507" s="274"/>
      <c r="K507" s="274"/>
      <c r="L507" s="274"/>
      <c r="M507" s="274"/>
      <c r="N507" s="274"/>
      <c r="O507" s="274"/>
      <c r="P507" s="274"/>
      <c r="Q507" s="274"/>
      <c r="R507" s="274"/>
      <c r="S507" s="274"/>
      <c r="T507" s="274"/>
      <c r="U507" s="274"/>
      <c r="V507" s="274"/>
    </row>
    <row r="508" spans="1:22" x14ac:dyDescent="0.25">
      <c r="A508" s="247">
        <v>506</v>
      </c>
      <c r="B508" s="270"/>
      <c r="C508" s="270"/>
      <c r="D508" s="271"/>
      <c r="E508" s="272"/>
      <c r="F508" s="272"/>
      <c r="G508" s="273"/>
      <c r="H508" s="274"/>
      <c r="I508" s="274"/>
      <c r="J508" s="274"/>
      <c r="K508" s="274"/>
      <c r="L508" s="274"/>
      <c r="M508" s="274"/>
      <c r="N508" s="274"/>
      <c r="O508" s="274"/>
      <c r="P508" s="274"/>
      <c r="Q508" s="274"/>
      <c r="R508" s="274"/>
      <c r="S508" s="274"/>
      <c r="T508" s="274"/>
      <c r="U508" s="274"/>
      <c r="V508" s="274"/>
    </row>
    <row r="509" spans="1:22" x14ac:dyDescent="0.25">
      <c r="A509" s="247">
        <v>507</v>
      </c>
      <c r="B509" s="270"/>
      <c r="C509" s="270"/>
      <c r="D509" s="271"/>
      <c r="E509" s="272"/>
      <c r="F509" s="272"/>
      <c r="G509" s="273"/>
      <c r="H509" s="274"/>
      <c r="I509" s="274"/>
      <c r="J509" s="274"/>
      <c r="K509" s="274"/>
      <c r="L509" s="274"/>
      <c r="M509" s="274"/>
      <c r="N509" s="274"/>
      <c r="O509" s="274"/>
      <c r="P509" s="274"/>
      <c r="Q509" s="274"/>
      <c r="R509" s="274"/>
      <c r="S509" s="274"/>
      <c r="T509" s="274"/>
      <c r="U509" s="274"/>
      <c r="V509" s="274"/>
    </row>
    <row r="510" spans="1:22" x14ac:dyDescent="0.25">
      <c r="A510" s="247">
        <v>508</v>
      </c>
      <c r="B510" s="270"/>
      <c r="C510" s="270"/>
      <c r="D510" s="271"/>
      <c r="E510" s="272"/>
      <c r="F510" s="272"/>
      <c r="G510" s="273"/>
      <c r="H510" s="274"/>
      <c r="I510" s="274"/>
      <c r="J510" s="274"/>
      <c r="K510" s="274"/>
      <c r="L510" s="274"/>
      <c r="M510" s="274"/>
      <c r="N510" s="274"/>
      <c r="O510" s="274"/>
      <c r="P510" s="274"/>
      <c r="Q510" s="274"/>
      <c r="R510" s="274"/>
      <c r="S510" s="274"/>
      <c r="T510" s="274"/>
      <c r="U510" s="274"/>
      <c r="V510" s="274"/>
    </row>
    <row r="511" spans="1:22" x14ac:dyDescent="0.25">
      <c r="A511" s="247">
        <v>509</v>
      </c>
      <c r="B511" s="270"/>
      <c r="C511" s="270"/>
      <c r="D511" s="271"/>
      <c r="E511" s="272"/>
      <c r="F511" s="272"/>
      <c r="G511" s="273"/>
      <c r="H511" s="274"/>
      <c r="I511" s="274"/>
      <c r="J511" s="274"/>
      <c r="K511" s="274"/>
      <c r="L511" s="274"/>
      <c r="M511" s="274"/>
      <c r="N511" s="274"/>
      <c r="O511" s="274"/>
      <c r="P511" s="274"/>
      <c r="Q511" s="274"/>
      <c r="R511" s="274"/>
      <c r="S511" s="274"/>
      <c r="T511" s="274"/>
      <c r="U511" s="274"/>
      <c r="V511" s="274"/>
    </row>
    <row r="512" spans="1:22" x14ac:dyDescent="0.25">
      <c r="A512" s="247">
        <v>510</v>
      </c>
      <c r="B512" s="270"/>
      <c r="C512" s="270"/>
      <c r="D512" s="271"/>
      <c r="E512" s="272"/>
      <c r="F512" s="272"/>
      <c r="G512" s="273"/>
      <c r="H512" s="274"/>
      <c r="I512" s="274"/>
      <c r="J512" s="274"/>
      <c r="K512" s="274"/>
      <c r="L512" s="274"/>
      <c r="M512" s="274"/>
      <c r="N512" s="274"/>
      <c r="O512" s="274"/>
      <c r="P512" s="274"/>
      <c r="Q512" s="274"/>
      <c r="R512" s="274"/>
      <c r="S512" s="274"/>
      <c r="T512" s="274"/>
      <c r="U512" s="274"/>
      <c r="V512" s="274"/>
    </row>
    <row r="513" spans="1:22" x14ac:dyDescent="0.25">
      <c r="A513" s="247">
        <v>511</v>
      </c>
      <c r="B513" s="270"/>
      <c r="C513" s="270"/>
      <c r="D513" s="271"/>
      <c r="E513" s="272"/>
      <c r="F513" s="272"/>
      <c r="G513" s="273"/>
      <c r="H513" s="274"/>
      <c r="I513" s="274"/>
      <c r="J513" s="274"/>
      <c r="K513" s="274"/>
      <c r="L513" s="274"/>
      <c r="M513" s="274"/>
      <c r="N513" s="274"/>
      <c r="O513" s="274"/>
      <c r="P513" s="274"/>
      <c r="Q513" s="274"/>
      <c r="R513" s="274"/>
      <c r="S513" s="274"/>
      <c r="T513" s="274"/>
      <c r="U513" s="274"/>
      <c r="V513" s="274"/>
    </row>
    <row r="514" spans="1:22" x14ac:dyDescent="0.25">
      <c r="A514" s="247">
        <v>512</v>
      </c>
      <c r="B514" s="270"/>
      <c r="C514" s="270"/>
      <c r="D514" s="271"/>
      <c r="E514" s="272"/>
      <c r="F514" s="272"/>
      <c r="G514" s="273"/>
      <c r="H514" s="274"/>
      <c r="I514" s="274"/>
      <c r="J514" s="274"/>
      <c r="K514" s="274"/>
      <c r="L514" s="274"/>
      <c r="M514" s="274"/>
      <c r="N514" s="274"/>
      <c r="O514" s="274"/>
      <c r="P514" s="274"/>
      <c r="Q514" s="274"/>
      <c r="R514" s="274"/>
      <c r="S514" s="274"/>
      <c r="T514" s="274"/>
      <c r="U514" s="274"/>
      <c r="V514" s="274"/>
    </row>
    <row r="515" spans="1:22" x14ac:dyDescent="0.25">
      <c r="A515" s="247">
        <v>513</v>
      </c>
      <c r="B515" s="270"/>
      <c r="C515" s="270"/>
      <c r="D515" s="271"/>
      <c r="E515" s="272"/>
      <c r="F515" s="272"/>
      <c r="G515" s="273"/>
      <c r="H515" s="274"/>
      <c r="I515" s="274"/>
      <c r="J515" s="274"/>
      <c r="K515" s="274"/>
      <c r="L515" s="274"/>
      <c r="M515" s="274"/>
      <c r="N515" s="274"/>
      <c r="O515" s="274"/>
      <c r="P515" s="274"/>
      <c r="Q515" s="274"/>
      <c r="R515" s="274"/>
      <c r="S515" s="274"/>
      <c r="T515" s="274"/>
      <c r="U515" s="274"/>
      <c r="V515" s="274"/>
    </row>
    <row r="516" spans="1:22" x14ac:dyDescent="0.25">
      <c r="A516" s="247">
        <v>514</v>
      </c>
      <c r="B516" s="270"/>
      <c r="C516" s="270"/>
      <c r="D516" s="271"/>
      <c r="E516" s="272"/>
      <c r="F516" s="272"/>
      <c r="G516" s="273"/>
      <c r="H516" s="274"/>
      <c r="I516" s="274"/>
      <c r="J516" s="274"/>
      <c r="K516" s="274"/>
      <c r="L516" s="274"/>
      <c r="M516" s="274"/>
      <c r="N516" s="274"/>
      <c r="O516" s="274"/>
      <c r="P516" s="274"/>
      <c r="Q516" s="274"/>
      <c r="R516" s="274"/>
      <c r="S516" s="274"/>
      <c r="T516" s="274"/>
      <c r="U516" s="274"/>
      <c r="V516" s="274"/>
    </row>
    <row r="517" spans="1:22" x14ac:dyDescent="0.25">
      <c r="A517" s="247">
        <v>515</v>
      </c>
      <c r="B517" s="270"/>
      <c r="C517" s="270"/>
      <c r="D517" s="271"/>
      <c r="E517" s="272"/>
      <c r="F517" s="272"/>
      <c r="G517" s="273"/>
      <c r="H517" s="274"/>
      <c r="I517" s="274"/>
      <c r="J517" s="274"/>
      <c r="K517" s="274"/>
      <c r="L517" s="274"/>
      <c r="M517" s="274"/>
      <c r="N517" s="274"/>
      <c r="O517" s="274"/>
      <c r="P517" s="274"/>
      <c r="Q517" s="274"/>
      <c r="R517" s="274"/>
      <c r="S517" s="274"/>
      <c r="T517" s="274"/>
      <c r="U517" s="274"/>
      <c r="V517" s="274"/>
    </row>
    <row r="518" spans="1:22" x14ac:dyDescent="0.25">
      <c r="A518" s="247">
        <v>516</v>
      </c>
      <c r="B518" s="270"/>
      <c r="C518" s="270"/>
      <c r="D518" s="271"/>
      <c r="E518" s="272"/>
      <c r="F518" s="272"/>
      <c r="G518" s="273"/>
      <c r="H518" s="274"/>
      <c r="I518" s="274"/>
      <c r="J518" s="274"/>
      <c r="K518" s="274"/>
      <c r="L518" s="274"/>
      <c r="M518" s="274"/>
      <c r="N518" s="274"/>
      <c r="O518" s="274"/>
      <c r="P518" s="274"/>
      <c r="Q518" s="274"/>
      <c r="R518" s="274"/>
      <c r="S518" s="274"/>
      <c r="T518" s="274"/>
      <c r="U518" s="274"/>
      <c r="V518" s="274"/>
    </row>
    <row r="519" spans="1:22" x14ac:dyDescent="0.25">
      <c r="A519" s="247">
        <v>517</v>
      </c>
      <c r="B519" s="270"/>
      <c r="C519" s="270"/>
      <c r="D519" s="271"/>
      <c r="E519" s="272"/>
      <c r="F519" s="272"/>
      <c r="G519" s="273"/>
      <c r="H519" s="274"/>
      <c r="I519" s="274"/>
      <c r="J519" s="274"/>
      <c r="K519" s="274"/>
      <c r="L519" s="274"/>
      <c r="M519" s="274"/>
      <c r="N519" s="274"/>
      <c r="O519" s="274"/>
      <c r="P519" s="274"/>
      <c r="Q519" s="274"/>
      <c r="R519" s="274"/>
      <c r="S519" s="274"/>
      <c r="T519" s="274"/>
      <c r="U519" s="274"/>
      <c r="V519" s="274"/>
    </row>
    <row r="520" spans="1:22" x14ac:dyDescent="0.25">
      <c r="A520" s="247">
        <v>518</v>
      </c>
      <c r="B520" s="270"/>
      <c r="C520" s="270"/>
      <c r="D520" s="271"/>
      <c r="E520" s="272"/>
      <c r="F520" s="272"/>
      <c r="G520" s="273"/>
      <c r="H520" s="274"/>
      <c r="I520" s="274"/>
      <c r="J520" s="274"/>
      <c r="K520" s="274"/>
      <c r="L520" s="274"/>
      <c r="M520" s="274"/>
      <c r="N520" s="274"/>
      <c r="O520" s="274"/>
      <c r="P520" s="274"/>
      <c r="Q520" s="274"/>
      <c r="R520" s="274"/>
      <c r="S520" s="274"/>
      <c r="T520" s="274"/>
      <c r="U520" s="274"/>
      <c r="V520" s="274"/>
    </row>
    <row r="521" spans="1:22" x14ac:dyDescent="0.25">
      <c r="A521" s="247">
        <v>519</v>
      </c>
      <c r="B521" s="270"/>
      <c r="C521" s="270"/>
      <c r="D521" s="271"/>
      <c r="E521" s="272"/>
      <c r="F521" s="272"/>
      <c r="G521" s="273"/>
      <c r="H521" s="274"/>
      <c r="I521" s="274"/>
      <c r="J521" s="274"/>
      <c r="K521" s="274"/>
      <c r="L521" s="274"/>
      <c r="M521" s="274"/>
      <c r="N521" s="274"/>
      <c r="O521" s="274"/>
      <c r="P521" s="274"/>
      <c r="Q521" s="274"/>
      <c r="R521" s="274"/>
      <c r="S521" s="274"/>
      <c r="T521" s="274"/>
      <c r="U521" s="274"/>
      <c r="V521" s="274"/>
    </row>
    <row r="522" spans="1:22" x14ac:dyDescent="0.25">
      <c r="A522" s="247">
        <v>520</v>
      </c>
      <c r="B522" s="270"/>
      <c r="C522" s="270"/>
      <c r="D522" s="271"/>
      <c r="E522" s="272"/>
      <c r="F522" s="272"/>
      <c r="G522" s="273"/>
      <c r="H522" s="274"/>
      <c r="I522" s="274"/>
      <c r="J522" s="274"/>
      <c r="K522" s="274"/>
      <c r="L522" s="274"/>
      <c r="M522" s="274"/>
      <c r="N522" s="274"/>
      <c r="O522" s="274"/>
      <c r="P522" s="274"/>
      <c r="Q522" s="274"/>
      <c r="R522" s="274"/>
      <c r="S522" s="274"/>
      <c r="T522" s="274"/>
      <c r="U522" s="274"/>
      <c r="V522" s="274"/>
    </row>
    <row r="523" spans="1:22" x14ac:dyDescent="0.25">
      <c r="A523" s="247">
        <v>521</v>
      </c>
      <c r="B523" s="270"/>
      <c r="C523" s="270"/>
      <c r="D523" s="271"/>
      <c r="E523" s="272"/>
      <c r="F523" s="272"/>
      <c r="G523" s="273"/>
      <c r="H523" s="274"/>
      <c r="I523" s="274"/>
      <c r="J523" s="274"/>
      <c r="K523" s="274"/>
      <c r="L523" s="274"/>
      <c r="M523" s="274"/>
      <c r="N523" s="274"/>
      <c r="O523" s="274"/>
      <c r="P523" s="274"/>
      <c r="Q523" s="274"/>
      <c r="R523" s="274"/>
      <c r="S523" s="274"/>
      <c r="T523" s="274"/>
      <c r="U523" s="274"/>
      <c r="V523" s="274"/>
    </row>
    <row r="524" spans="1:22" x14ac:dyDescent="0.25">
      <c r="A524" s="247">
        <v>522</v>
      </c>
      <c r="B524" s="270"/>
      <c r="C524" s="270"/>
      <c r="D524" s="271"/>
      <c r="E524" s="272"/>
      <c r="F524" s="272"/>
      <c r="G524" s="273"/>
      <c r="H524" s="274"/>
      <c r="I524" s="274"/>
      <c r="J524" s="274"/>
      <c r="K524" s="274"/>
      <c r="L524" s="274"/>
      <c r="M524" s="274"/>
      <c r="N524" s="274"/>
      <c r="O524" s="274"/>
      <c r="P524" s="274"/>
      <c r="Q524" s="274"/>
      <c r="R524" s="274"/>
      <c r="S524" s="274"/>
      <c r="T524" s="274"/>
      <c r="U524" s="274"/>
      <c r="V524" s="274"/>
    </row>
    <row r="525" spans="1:22" x14ac:dyDescent="0.25">
      <c r="A525" s="247">
        <v>523</v>
      </c>
      <c r="B525" s="270"/>
      <c r="C525" s="270"/>
      <c r="D525" s="271"/>
      <c r="E525" s="272"/>
      <c r="F525" s="272"/>
      <c r="G525" s="273"/>
      <c r="H525" s="274"/>
      <c r="I525" s="274"/>
      <c r="J525" s="274"/>
      <c r="K525" s="274"/>
      <c r="L525" s="274"/>
      <c r="M525" s="274"/>
      <c r="N525" s="274"/>
      <c r="O525" s="274"/>
      <c r="P525" s="274"/>
      <c r="Q525" s="274"/>
      <c r="R525" s="274"/>
      <c r="S525" s="274"/>
      <c r="T525" s="274"/>
      <c r="U525" s="274"/>
      <c r="V525" s="274"/>
    </row>
    <row r="526" spans="1:22" x14ac:dyDescent="0.25">
      <c r="A526" s="247">
        <v>524</v>
      </c>
      <c r="B526" s="270"/>
      <c r="C526" s="270"/>
      <c r="D526" s="271"/>
      <c r="E526" s="272"/>
      <c r="F526" s="272"/>
      <c r="G526" s="273"/>
      <c r="H526" s="274"/>
      <c r="I526" s="274"/>
      <c r="J526" s="274"/>
      <c r="K526" s="274"/>
      <c r="L526" s="274"/>
      <c r="M526" s="274"/>
      <c r="N526" s="274"/>
      <c r="O526" s="274"/>
      <c r="P526" s="274"/>
      <c r="Q526" s="274"/>
      <c r="R526" s="274"/>
      <c r="S526" s="274"/>
      <c r="T526" s="274"/>
      <c r="U526" s="274"/>
      <c r="V526" s="274"/>
    </row>
    <row r="527" spans="1:22" x14ac:dyDescent="0.25">
      <c r="A527" s="247">
        <v>525</v>
      </c>
      <c r="B527" s="270"/>
      <c r="C527" s="270"/>
      <c r="D527" s="271"/>
      <c r="E527" s="272"/>
      <c r="F527" s="272"/>
      <c r="G527" s="273"/>
      <c r="H527" s="274"/>
      <c r="I527" s="274"/>
      <c r="J527" s="274"/>
      <c r="K527" s="274"/>
      <c r="L527" s="274"/>
      <c r="M527" s="274"/>
      <c r="N527" s="274"/>
      <c r="O527" s="274"/>
      <c r="P527" s="274"/>
      <c r="Q527" s="274"/>
      <c r="R527" s="274"/>
      <c r="S527" s="274"/>
      <c r="T527" s="274"/>
      <c r="U527" s="274"/>
      <c r="V527" s="274"/>
    </row>
    <row r="528" spans="1:22" x14ac:dyDescent="0.25">
      <c r="A528" s="247">
        <v>526</v>
      </c>
      <c r="B528" s="270"/>
      <c r="C528" s="270"/>
      <c r="D528" s="271"/>
      <c r="E528" s="272"/>
      <c r="F528" s="272"/>
      <c r="G528" s="273"/>
      <c r="H528" s="274"/>
      <c r="I528" s="274"/>
      <c r="J528" s="274"/>
      <c r="K528" s="274"/>
      <c r="L528" s="274"/>
      <c r="M528" s="274"/>
      <c r="N528" s="274"/>
      <c r="O528" s="274"/>
      <c r="P528" s="274"/>
      <c r="Q528" s="274"/>
      <c r="R528" s="274"/>
      <c r="S528" s="274"/>
      <c r="T528" s="274"/>
      <c r="U528" s="274"/>
      <c r="V528" s="274"/>
    </row>
    <row r="529" spans="1:22" x14ac:dyDescent="0.25">
      <c r="A529" s="247">
        <v>527</v>
      </c>
      <c r="B529" s="270"/>
      <c r="C529" s="270"/>
      <c r="D529" s="271"/>
      <c r="E529" s="272"/>
      <c r="F529" s="272"/>
      <c r="G529" s="273"/>
      <c r="H529" s="274"/>
      <c r="I529" s="274"/>
      <c r="J529" s="274"/>
      <c r="K529" s="274"/>
      <c r="L529" s="274"/>
      <c r="M529" s="274"/>
      <c r="N529" s="274"/>
      <c r="O529" s="274"/>
      <c r="P529" s="274"/>
      <c r="Q529" s="274"/>
      <c r="R529" s="274"/>
      <c r="S529" s="274"/>
      <c r="T529" s="274"/>
      <c r="U529" s="274"/>
      <c r="V529" s="274"/>
    </row>
    <row r="530" spans="1:22" x14ac:dyDescent="0.25">
      <c r="A530" s="247">
        <v>528</v>
      </c>
      <c r="B530" s="270"/>
      <c r="C530" s="270"/>
      <c r="D530" s="271"/>
      <c r="E530" s="272"/>
      <c r="F530" s="272"/>
      <c r="G530" s="273"/>
      <c r="H530" s="274"/>
      <c r="I530" s="274"/>
      <c r="J530" s="274"/>
      <c r="K530" s="274"/>
      <c r="L530" s="274"/>
      <c r="M530" s="274"/>
      <c r="N530" s="274"/>
      <c r="O530" s="274"/>
      <c r="P530" s="274"/>
      <c r="Q530" s="274"/>
      <c r="R530" s="274"/>
      <c r="S530" s="274"/>
      <c r="T530" s="274"/>
      <c r="U530" s="274"/>
      <c r="V530" s="274"/>
    </row>
    <row r="531" spans="1:22" x14ac:dyDescent="0.25">
      <c r="A531" s="247">
        <v>529</v>
      </c>
      <c r="B531" s="270"/>
      <c r="C531" s="270"/>
      <c r="D531" s="271"/>
      <c r="E531" s="272"/>
      <c r="F531" s="272"/>
      <c r="G531" s="273"/>
      <c r="H531" s="274"/>
      <c r="I531" s="274"/>
      <c r="J531" s="274"/>
      <c r="K531" s="274"/>
      <c r="L531" s="274"/>
      <c r="M531" s="274"/>
      <c r="N531" s="274"/>
      <c r="O531" s="274"/>
      <c r="P531" s="274"/>
      <c r="Q531" s="274"/>
      <c r="R531" s="274"/>
      <c r="S531" s="274"/>
      <c r="T531" s="274"/>
      <c r="U531" s="274"/>
      <c r="V531" s="274"/>
    </row>
    <row r="532" spans="1:22" x14ac:dyDescent="0.25">
      <c r="A532" s="247">
        <v>530</v>
      </c>
      <c r="B532" s="270"/>
      <c r="C532" s="270"/>
      <c r="D532" s="271"/>
      <c r="E532" s="272"/>
      <c r="F532" s="272"/>
      <c r="G532" s="273"/>
      <c r="H532" s="274"/>
      <c r="I532" s="274"/>
      <c r="J532" s="274"/>
      <c r="K532" s="274"/>
      <c r="L532" s="274"/>
      <c r="M532" s="274"/>
      <c r="N532" s="274"/>
      <c r="O532" s="274"/>
      <c r="P532" s="274"/>
      <c r="Q532" s="274"/>
      <c r="R532" s="274"/>
      <c r="S532" s="274"/>
      <c r="T532" s="274"/>
      <c r="U532" s="274"/>
      <c r="V532" s="274"/>
    </row>
    <row r="533" spans="1:22" x14ac:dyDescent="0.25">
      <c r="A533" s="247">
        <v>531</v>
      </c>
      <c r="B533" s="270"/>
      <c r="C533" s="270"/>
      <c r="D533" s="271"/>
      <c r="E533" s="272"/>
      <c r="F533" s="272"/>
      <c r="G533" s="273"/>
      <c r="H533" s="274"/>
      <c r="I533" s="274"/>
      <c r="J533" s="274"/>
      <c r="K533" s="274"/>
      <c r="L533" s="274"/>
      <c r="M533" s="274"/>
      <c r="N533" s="274"/>
      <c r="O533" s="274"/>
      <c r="P533" s="274"/>
      <c r="Q533" s="274"/>
      <c r="R533" s="274"/>
      <c r="S533" s="274"/>
      <c r="T533" s="274"/>
      <c r="U533" s="274"/>
      <c r="V533" s="274"/>
    </row>
    <row r="534" spans="1:22" x14ac:dyDescent="0.25">
      <c r="A534" s="247">
        <v>532</v>
      </c>
      <c r="B534" s="270"/>
      <c r="C534" s="270"/>
      <c r="D534" s="271"/>
      <c r="E534" s="272"/>
      <c r="F534" s="272"/>
      <c r="G534" s="273"/>
      <c r="H534" s="274"/>
      <c r="I534" s="274"/>
      <c r="J534" s="274"/>
      <c r="K534" s="274"/>
      <c r="L534" s="274"/>
      <c r="M534" s="274"/>
      <c r="N534" s="274"/>
      <c r="O534" s="274"/>
      <c r="P534" s="274"/>
      <c r="Q534" s="274"/>
      <c r="R534" s="274"/>
      <c r="S534" s="274"/>
      <c r="T534" s="274"/>
      <c r="U534" s="274"/>
      <c r="V534" s="274"/>
    </row>
    <row r="535" spans="1:22" x14ac:dyDescent="0.25">
      <c r="A535" s="247">
        <v>533</v>
      </c>
      <c r="B535" s="270"/>
      <c r="C535" s="270"/>
      <c r="D535" s="271"/>
      <c r="E535" s="272"/>
      <c r="F535" s="272"/>
      <c r="G535" s="273"/>
      <c r="H535" s="274"/>
      <c r="I535" s="274"/>
      <c r="J535" s="274"/>
      <c r="K535" s="274"/>
      <c r="L535" s="274"/>
      <c r="M535" s="274"/>
      <c r="N535" s="274"/>
      <c r="O535" s="274"/>
      <c r="P535" s="274"/>
      <c r="Q535" s="274"/>
      <c r="R535" s="274"/>
      <c r="S535" s="274"/>
      <c r="T535" s="274"/>
      <c r="U535" s="274"/>
      <c r="V535" s="274"/>
    </row>
    <row r="536" spans="1:22" x14ac:dyDescent="0.25">
      <c r="A536" s="247">
        <v>534</v>
      </c>
      <c r="B536" s="270"/>
      <c r="C536" s="270"/>
      <c r="D536" s="271"/>
      <c r="E536" s="272"/>
      <c r="F536" s="272"/>
      <c r="G536" s="273"/>
      <c r="H536" s="274"/>
      <c r="I536" s="274"/>
      <c r="J536" s="274"/>
      <c r="K536" s="274"/>
      <c r="L536" s="274"/>
      <c r="M536" s="274"/>
      <c r="N536" s="274"/>
      <c r="O536" s="274"/>
      <c r="P536" s="274"/>
      <c r="Q536" s="274"/>
      <c r="R536" s="274"/>
      <c r="S536" s="274"/>
      <c r="T536" s="274"/>
      <c r="U536" s="274"/>
      <c r="V536" s="274"/>
    </row>
    <row r="537" spans="1:22" x14ac:dyDescent="0.25">
      <c r="A537" s="247">
        <v>535</v>
      </c>
      <c r="B537" s="270"/>
      <c r="C537" s="270"/>
      <c r="D537" s="271"/>
      <c r="E537" s="272"/>
      <c r="F537" s="272"/>
      <c r="G537" s="273"/>
      <c r="H537" s="274"/>
      <c r="I537" s="274"/>
      <c r="J537" s="274"/>
      <c r="K537" s="274"/>
      <c r="L537" s="274"/>
      <c r="M537" s="274"/>
      <c r="N537" s="274"/>
      <c r="O537" s="274"/>
      <c r="P537" s="274"/>
      <c r="Q537" s="274"/>
      <c r="R537" s="274"/>
      <c r="S537" s="274"/>
      <c r="T537" s="274"/>
      <c r="U537" s="274"/>
      <c r="V537" s="274"/>
    </row>
    <row r="538" spans="1:22" x14ac:dyDescent="0.25">
      <c r="A538" s="247">
        <v>536</v>
      </c>
      <c r="B538" s="270"/>
      <c r="C538" s="270"/>
      <c r="D538" s="271"/>
      <c r="E538" s="272"/>
      <c r="F538" s="272"/>
      <c r="G538" s="273"/>
      <c r="H538" s="274"/>
      <c r="I538" s="274"/>
      <c r="J538" s="274"/>
      <c r="K538" s="274"/>
      <c r="L538" s="274"/>
      <c r="M538" s="274"/>
      <c r="N538" s="274"/>
      <c r="O538" s="274"/>
      <c r="P538" s="274"/>
      <c r="Q538" s="274"/>
      <c r="R538" s="274"/>
      <c r="S538" s="274"/>
      <c r="T538" s="274"/>
      <c r="U538" s="274"/>
      <c r="V538" s="274"/>
    </row>
    <row r="539" spans="1:22" x14ac:dyDescent="0.25">
      <c r="A539" s="247">
        <v>537</v>
      </c>
      <c r="B539" s="270"/>
      <c r="C539" s="270"/>
      <c r="D539" s="271"/>
      <c r="E539" s="272"/>
      <c r="F539" s="272"/>
      <c r="G539" s="273"/>
      <c r="H539" s="274"/>
      <c r="I539" s="274"/>
      <c r="J539" s="274"/>
      <c r="K539" s="274"/>
      <c r="L539" s="274"/>
      <c r="M539" s="274"/>
      <c r="N539" s="274"/>
      <c r="O539" s="274"/>
      <c r="P539" s="274"/>
      <c r="Q539" s="274"/>
      <c r="R539" s="274"/>
      <c r="S539" s="274"/>
      <c r="T539" s="274"/>
      <c r="U539" s="274"/>
      <c r="V539" s="274"/>
    </row>
    <row r="540" spans="1:22" x14ac:dyDescent="0.25">
      <c r="A540" s="247">
        <v>538</v>
      </c>
      <c r="B540" s="270"/>
      <c r="C540" s="270"/>
      <c r="D540" s="271"/>
      <c r="E540" s="272"/>
      <c r="F540" s="272"/>
      <c r="G540" s="273"/>
      <c r="H540" s="274"/>
      <c r="I540" s="274"/>
      <c r="J540" s="274"/>
      <c r="K540" s="274"/>
      <c r="L540" s="274"/>
      <c r="M540" s="274"/>
      <c r="N540" s="274"/>
      <c r="O540" s="274"/>
      <c r="P540" s="274"/>
      <c r="Q540" s="274"/>
      <c r="R540" s="274"/>
      <c r="S540" s="274"/>
      <c r="T540" s="274"/>
      <c r="U540" s="274"/>
      <c r="V540" s="274"/>
    </row>
    <row r="541" spans="1:22" x14ac:dyDescent="0.25">
      <c r="A541" s="247">
        <v>539</v>
      </c>
      <c r="B541" s="270"/>
      <c r="C541" s="270"/>
      <c r="D541" s="271"/>
      <c r="E541" s="272"/>
      <c r="F541" s="272"/>
      <c r="G541" s="273"/>
      <c r="H541" s="274"/>
      <c r="I541" s="274"/>
      <c r="J541" s="274"/>
      <c r="K541" s="274"/>
      <c r="L541" s="274"/>
      <c r="M541" s="274"/>
      <c r="N541" s="274"/>
      <c r="O541" s="274"/>
      <c r="P541" s="274"/>
      <c r="Q541" s="274"/>
      <c r="R541" s="274"/>
      <c r="S541" s="274"/>
      <c r="T541" s="274"/>
      <c r="U541" s="274"/>
      <c r="V541" s="274"/>
    </row>
    <row r="542" spans="1:22" x14ac:dyDescent="0.25">
      <c r="A542" s="247">
        <v>540</v>
      </c>
      <c r="B542" s="270"/>
      <c r="C542" s="270"/>
      <c r="D542" s="271"/>
      <c r="E542" s="272"/>
      <c r="F542" s="272"/>
      <c r="G542" s="273"/>
      <c r="H542" s="274"/>
      <c r="I542" s="274"/>
      <c r="J542" s="274"/>
      <c r="K542" s="274"/>
      <c r="L542" s="274"/>
      <c r="M542" s="274"/>
      <c r="N542" s="274"/>
      <c r="O542" s="274"/>
      <c r="P542" s="274"/>
      <c r="Q542" s="274"/>
      <c r="R542" s="274"/>
      <c r="S542" s="274"/>
      <c r="T542" s="274"/>
      <c r="U542" s="274"/>
      <c r="V542" s="274"/>
    </row>
    <row r="543" spans="1:22" x14ac:dyDescent="0.25">
      <c r="A543" s="247">
        <v>541</v>
      </c>
      <c r="B543" s="270"/>
      <c r="C543" s="270"/>
      <c r="D543" s="271"/>
      <c r="E543" s="272"/>
      <c r="F543" s="272"/>
      <c r="G543" s="273"/>
      <c r="H543" s="274"/>
      <c r="I543" s="274"/>
      <c r="J543" s="274"/>
      <c r="K543" s="274"/>
      <c r="L543" s="274"/>
      <c r="M543" s="274"/>
      <c r="N543" s="274"/>
      <c r="O543" s="274"/>
      <c r="P543" s="274"/>
      <c r="Q543" s="274"/>
      <c r="R543" s="274"/>
      <c r="S543" s="274"/>
      <c r="T543" s="274"/>
      <c r="U543" s="274"/>
      <c r="V543" s="274"/>
    </row>
    <row r="544" spans="1:22" x14ac:dyDescent="0.25">
      <c r="A544" s="247">
        <v>542</v>
      </c>
      <c r="B544" s="270"/>
      <c r="C544" s="270"/>
      <c r="D544" s="271"/>
      <c r="E544" s="272"/>
      <c r="F544" s="272"/>
      <c r="G544" s="273"/>
      <c r="H544" s="274"/>
      <c r="I544" s="274"/>
      <c r="J544" s="274"/>
      <c r="K544" s="274"/>
      <c r="L544" s="274"/>
      <c r="M544" s="274"/>
      <c r="N544" s="274"/>
      <c r="O544" s="274"/>
      <c r="P544" s="274"/>
      <c r="Q544" s="274"/>
      <c r="R544" s="274"/>
      <c r="S544" s="274"/>
      <c r="T544" s="274"/>
      <c r="U544" s="274"/>
      <c r="V544" s="274"/>
    </row>
    <row r="545" spans="1:22" x14ac:dyDescent="0.25">
      <c r="A545" s="247">
        <v>543</v>
      </c>
      <c r="B545" s="270"/>
      <c r="C545" s="270"/>
      <c r="D545" s="271"/>
      <c r="E545" s="272"/>
      <c r="F545" s="272"/>
      <c r="G545" s="273"/>
      <c r="H545" s="274"/>
      <c r="I545" s="274"/>
      <c r="J545" s="274"/>
      <c r="K545" s="274"/>
      <c r="L545" s="274"/>
      <c r="M545" s="274"/>
      <c r="N545" s="274"/>
      <c r="O545" s="274"/>
      <c r="P545" s="274"/>
      <c r="Q545" s="274"/>
      <c r="R545" s="274"/>
      <c r="S545" s="274"/>
      <c r="T545" s="274"/>
      <c r="U545" s="274"/>
      <c r="V545" s="274"/>
    </row>
    <row r="546" spans="1:22" x14ac:dyDescent="0.25">
      <c r="A546" s="247">
        <v>544</v>
      </c>
      <c r="B546" s="270"/>
      <c r="C546" s="270"/>
      <c r="D546" s="271"/>
      <c r="E546" s="272"/>
      <c r="F546" s="272"/>
      <c r="G546" s="273"/>
      <c r="H546" s="274"/>
      <c r="I546" s="274"/>
      <c r="J546" s="274"/>
      <c r="K546" s="274"/>
      <c r="L546" s="274"/>
      <c r="M546" s="274"/>
      <c r="N546" s="274"/>
      <c r="O546" s="274"/>
      <c r="P546" s="274"/>
      <c r="Q546" s="274"/>
      <c r="R546" s="274"/>
      <c r="S546" s="274"/>
      <c r="T546" s="274"/>
      <c r="U546" s="274"/>
      <c r="V546" s="274"/>
    </row>
    <row r="547" spans="1:22" x14ac:dyDescent="0.25">
      <c r="A547" s="247">
        <v>545</v>
      </c>
      <c r="B547" s="270"/>
      <c r="C547" s="270"/>
      <c r="D547" s="271"/>
      <c r="E547" s="272"/>
      <c r="F547" s="272"/>
      <c r="G547" s="273"/>
      <c r="H547" s="274"/>
      <c r="I547" s="274"/>
      <c r="J547" s="274"/>
      <c r="K547" s="274"/>
      <c r="L547" s="274"/>
      <c r="M547" s="274"/>
      <c r="N547" s="274"/>
      <c r="O547" s="274"/>
      <c r="P547" s="274"/>
      <c r="Q547" s="274"/>
      <c r="R547" s="274"/>
      <c r="S547" s="274"/>
      <c r="T547" s="274"/>
      <c r="U547" s="274"/>
      <c r="V547" s="274"/>
    </row>
    <row r="548" spans="1:22" x14ac:dyDescent="0.25">
      <c r="A548" s="247">
        <v>546</v>
      </c>
      <c r="B548" s="270"/>
      <c r="C548" s="270"/>
      <c r="D548" s="271"/>
      <c r="E548" s="272"/>
      <c r="F548" s="272"/>
      <c r="G548" s="273"/>
      <c r="H548" s="274"/>
      <c r="I548" s="274"/>
      <c r="J548" s="274"/>
      <c r="K548" s="274"/>
      <c r="L548" s="274"/>
      <c r="M548" s="274"/>
      <c r="N548" s="274"/>
      <c r="O548" s="274"/>
      <c r="P548" s="274"/>
      <c r="Q548" s="274"/>
      <c r="R548" s="274"/>
      <c r="S548" s="274"/>
      <c r="T548" s="274"/>
      <c r="U548" s="274"/>
      <c r="V548" s="274"/>
    </row>
    <row r="549" spans="1:22" x14ac:dyDescent="0.25">
      <c r="A549" s="247">
        <v>547</v>
      </c>
      <c r="B549" s="270"/>
      <c r="C549" s="270"/>
      <c r="D549" s="271"/>
      <c r="E549" s="272"/>
      <c r="F549" s="272"/>
      <c r="G549" s="273"/>
      <c r="H549" s="274"/>
      <c r="I549" s="274"/>
      <c r="J549" s="274"/>
      <c r="K549" s="274"/>
      <c r="L549" s="274"/>
      <c r="M549" s="274"/>
      <c r="N549" s="274"/>
      <c r="O549" s="274"/>
      <c r="P549" s="274"/>
      <c r="Q549" s="274"/>
      <c r="R549" s="274"/>
      <c r="S549" s="274"/>
      <c r="T549" s="274"/>
      <c r="U549" s="274"/>
      <c r="V549" s="274"/>
    </row>
    <row r="550" spans="1:22" x14ac:dyDescent="0.25">
      <c r="A550" s="247">
        <v>548</v>
      </c>
      <c r="B550" s="270"/>
      <c r="C550" s="270"/>
      <c r="D550" s="271"/>
      <c r="E550" s="272"/>
      <c r="F550" s="272"/>
      <c r="G550" s="273"/>
      <c r="H550" s="274"/>
      <c r="I550" s="274"/>
      <c r="J550" s="274"/>
      <c r="K550" s="274"/>
      <c r="L550" s="274"/>
      <c r="M550" s="274"/>
      <c r="N550" s="274"/>
      <c r="O550" s="274"/>
      <c r="P550" s="274"/>
      <c r="Q550" s="274"/>
      <c r="R550" s="274"/>
      <c r="S550" s="274"/>
      <c r="T550" s="274"/>
      <c r="U550" s="274"/>
      <c r="V550" s="274"/>
    </row>
    <row r="551" spans="1:22" x14ac:dyDescent="0.25">
      <c r="A551" s="247">
        <v>549</v>
      </c>
      <c r="B551" s="270"/>
      <c r="C551" s="270"/>
      <c r="D551" s="271"/>
      <c r="E551" s="272"/>
      <c r="F551" s="272"/>
      <c r="G551" s="273"/>
      <c r="H551" s="274"/>
      <c r="I551" s="274"/>
      <c r="J551" s="274"/>
      <c r="K551" s="274"/>
      <c r="L551" s="274"/>
      <c r="M551" s="274"/>
      <c r="N551" s="274"/>
      <c r="O551" s="274"/>
      <c r="P551" s="274"/>
      <c r="Q551" s="274"/>
      <c r="R551" s="274"/>
      <c r="S551" s="274"/>
      <c r="T551" s="274"/>
      <c r="U551" s="274"/>
      <c r="V551" s="274"/>
    </row>
    <row r="552" spans="1:22" x14ac:dyDescent="0.25">
      <c r="A552" s="247">
        <v>550</v>
      </c>
      <c r="B552" s="270"/>
      <c r="C552" s="270"/>
      <c r="D552" s="271"/>
      <c r="E552" s="272"/>
      <c r="F552" s="272"/>
      <c r="G552" s="273"/>
      <c r="H552" s="274"/>
      <c r="I552" s="274"/>
      <c r="J552" s="274"/>
      <c r="K552" s="274"/>
      <c r="L552" s="274"/>
      <c r="M552" s="274"/>
      <c r="N552" s="274"/>
      <c r="O552" s="274"/>
      <c r="P552" s="274"/>
      <c r="Q552" s="274"/>
      <c r="R552" s="274"/>
      <c r="S552" s="274"/>
      <c r="T552" s="274"/>
      <c r="U552" s="274"/>
      <c r="V552" s="274"/>
    </row>
    <row r="553" spans="1:22" x14ac:dyDescent="0.25">
      <c r="A553" s="247">
        <v>551</v>
      </c>
      <c r="B553" s="270"/>
      <c r="C553" s="270"/>
      <c r="D553" s="271"/>
      <c r="E553" s="272"/>
      <c r="F553" s="272"/>
      <c r="G553" s="273"/>
      <c r="H553" s="274"/>
      <c r="I553" s="274"/>
      <c r="J553" s="274"/>
      <c r="K553" s="274"/>
      <c r="L553" s="274"/>
      <c r="M553" s="274"/>
      <c r="N553" s="274"/>
      <c r="O553" s="274"/>
      <c r="P553" s="274"/>
      <c r="Q553" s="274"/>
      <c r="R553" s="274"/>
      <c r="S553" s="274"/>
      <c r="T553" s="274"/>
      <c r="U553" s="274"/>
      <c r="V553" s="274"/>
    </row>
    <row r="554" spans="1:22" x14ac:dyDescent="0.25">
      <c r="A554" s="247">
        <v>552</v>
      </c>
      <c r="B554" s="270"/>
      <c r="C554" s="270"/>
      <c r="D554" s="271"/>
      <c r="E554" s="272"/>
      <c r="F554" s="272"/>
      <c r="G554" s="273"/>
      <c r="H554" s="274"/>
      <c r="I554" s="274"/>
      <c r="J554" s="274"/>
      <c r="K554" s="274"/>
      <c r="L554" s="274"/>
      <c r="M554" s="274"/>
      <c r="N554" s="274"/>
      <c r="O554" s="274"/>
      <c r="P554" s="274"/>
      <c r="Q554" s="274"/>
      <c r="R554" s="274"/>
      <c r="S554" s="274"/>
      <c r="T554" s="274"/>
      <c r="U554" s="274"/>
      <c r="V554" s="274"/>
    </row>
    <row r="555" spans="1:22" x14ac:dyDescent="0.25">
      <c r="A555" s="247">
        <v>553</v>
      </c>
      <c r="B555" s="270"/>
      <c r="C555" s="270"/>
      <c r="D555" s="271"/>
      <c r="E555" s="272"/>
      <c r="F555" s="272"/>
      <c r="G555" s="273"/>
      <c r="H555" s="274"/>
      <c r="I555" s="274"/>
      <c r="J555" s="274"/>
      <c r="K555" s="274"/>
      <c r="L555" s="274"/>
      <c r="M555" s="274"/>
      <c r="N555" s="274"/>
      <c r="O555" s="274"/>
      <c r="P555" s="274"/>
      <c r="Q555" s="274"/>
      <c r="R555" s="274"/>
      <c r="S555" s="274"/>
      <c r="T555" s="274"/>
      <c r="U555" s="274"/>
      <c r="V555" s="274"/>
    </row>
    <row r="556" spans="1:22" x14ac:dyDescent="0.25">
      <c r="A556" s="247">
        <v>554</v>
      </c>
      <c r="B556" s="270"/>
      <c r="C556" s="270"/>
      <c r="D556" s="271"/>
      <c r="E556" s="272"/>
      <c r="F556" s="272"/>
      <c r="G556" s="273"/>
      <c r="H556" s="274"/>
      <c r="I556" s="274"/>
      <c r="J556" s="274"/>
      <c r="K556" s="274"/>
      <c r="L556" s="274"/>
      <c r="M556" s="274"/>
      <c r="N556" s="274"/>
      <c r="O556" s="274"/>
      <c r="P556" s="274"/>
      <c r="Q556" s="274"/>
      <c r="R556" s="274"/>
      <c r="S556" s="274"/>
      <c r="T556" s="274"/>
      <c r="U556" s="274"/>
      <c r="V556" s="274"/>
    </row>
    <row r="557" spans="1:22" x14ac:dyDescent="0.25">
      <c r="A557" s="247">
        <v>555</v>
      </c>
      <c r="B557" s="270"/>
      <c r="C557" s="270"/>
      <c r="D557" s="271"/>
      <c r="E557" s="272"/>
      <c r="F557" s="272"/>
      <c r="G557" s="273"/>
      <c r="H557" s="274"/>
      <c r="I557" s="274"/>
      <c r="J557" s="274"/>
      <c r="K557" s="274"/>
      <c r="L557" s="274"/>
      <c r="M557" s="274"/>
      <c r="N557" s="274"/>
      <c r="O557" s="274"/>
      <c r="P557" s="274"/>
      <c r="Q557" s="274"/>
      <c r="R557" s="274"/>
      <c r="S557" s="274"/>
      <c r="T557" s="274"/>
      <c r="U557" s="274"/>
      <c r="V557" s="274"/>
    </row>
    <row r="558" spans="1:22" x14ac:dyDescent="0.25">
      <c r="A558" s="247">
        <v>556</v>
      </c>
      <c r="B558" s="270"/>
      <c r="C558" s="270"/>
      <c r="D558" s="271"/>
      <c r="E558" s="272"/>
      <c r="F558" s="272"/>
      <c r="G558" s="273"/>
      <c r="H558" s="274"/>
      <c r="I558" s="274"/>
      <c r="J558" s="274"/>
      <c r="K558" s="274"/>
      <c r="L558" s="274"/>
      <c r="M558" s="274"/>
      <c r="N558" s="274"/>
      <c r="O558" s="274"/>
      <c r="P558" s="274"/>
      <c r="Q558" s="274"/>
      <c r="R558" s="274"/>
      <c r="S558" s="274"/>
      <c r="T558" s="274"/>
      <c r="U558" s="274"/>
      <c r="V558" s="274"/>
    </row>
    <row r="559" spans="1:22" x14ac:dyDescent="0.25">
      <c r="A559" s="247">
        <v>557</v>
      </c>
      <c r="B559" s="270"/>
      <c r="C559" s="270"/>
      <c r="D559" s="271"/>
      <c r="E559" s="272"/>
      <c r="F559" s="272"/>
      <c r="G559" s="273"/>
      <c r="H559" s="274"/>
      <c r="I559" s="274"/>
      <c r="J559" s="274"/>
      <c r="K559" s="274"/>
      <c r="L559" s="274"/>
      <c r="M559" s="274"/>
      <c r="N559" s="274"/>
      <c r="O559" s="274"/>
      <c r="P559" s="274"/>
      <c r="Q559" s="274"/>
      <c r="R559" s="274"/>
      <c r="S559" s="274"/>
      <c r="T559" s="274"/>
      <c r="U559" s="274"/>
      <c r="V559" s="274"/>
    </row>
    <row r="560" spans="1:22" x14ac:dyDescent="0.25">
      <c r="A560" s="247">
        <v>558</v>
      </c>
      <c r="B560" s="270"/>
      <c r="C560" s="270"/>
      <c r="D560" s="271"/>
      <c r="E560" s="272"/>
      <c r="F560" s="272"/>
      <c r="G560" s="273"/>
      <c r="H560" s="274"/>
      <c r="I560" s="274"/>
      <c r="J560" s="274"/>
      <c r="K560" s="274"/>
      <c r="L560" s="274"/>
      <c r="M560" s="274"/>
      <c r="N560" s="274"/>
      <c r="O560" s="274"/>
      <c r="P560" s="274"/>
      <c r="Q560" s="274"/>
      <c r="R560" s="274"/>
      <c r="S560" s="274"/>
      <c r="T560" s="274"/>
      <c r="U560" s="274"/>
      <c r="V560" s="274"/>
    </row>
    <row r="561" spans="1:22" x14ac:dyDescent="0.25">
      <c r="A561" s="247">
        <v>559</v>
      </c>
      <c r="B561" s="270"/>
      <c r="C561" s="270"/>
      <c r="D561" s="271"/>
      <c r="E561" s="272"/>
      <c r="F561" s="272"/>
      <c r="G561" s="273"/>
      <c r="H561" s="274"/>
      <c r="I561" s="274"/>
      <c r="J561" s="274"/>
      <c r="K561" s="274"/>
      <c r="L561" s="274"/>
      <c r="M561" s="274"/>
      <c r="N561" s="274"/>
      <c r="O561" s="274"/>
      <c r="P561" s="274"/>
      <c r="Q561" s="274"/>
      <c r="R561" s="274"/>
      <c r="S561" s="274"/>
      <c r="T561" s="274"/>
      <c r="U561" s="274"/>
      <c r="V561" s="274"/>
    </row>
    <row r="562" spans="1:22" x14ac:dyDescent="0.25">
      <c r="A562" s="247">
        <v>560</v>
      </c>
      <c r="B562" s="270"/>
      <c r="C562" s="270"/>
      <c r="D562" s="271"/>
      <c r="E562" s="272"/>
      <c r="F562" s="272"/>
      <c r="G562" s="273"/>
      <c r="H562" s="274"/>
      <c r="I562" s="274"/>
      <c r="J562" s="274"/>
      <c r="K562" s="274"/>
      <c r="L562" s="274"/>
      <c r="M562" s="274"/>
      <c r="N562" s="274"/>
      <c r="O562" s="274"/>
      <c r="P562" s="274"/>
      <c r="Q562" s="274"/>
      <c r="R562" s="274"/>
      <c r="S562" s="274"/>
      <c r="T562" s="274"/>
      <c r="U562" s="274"/>
      <c r="V562" s="274"/>
    </row>
    <row r="563" spans="1:22" x14ac:dyDescent="0.25">
      <c r="A563" s="247">
        <v>561</v>
      </c>
      <c r="B563" s="270"/>
      <c r="C563" s="270"/>
      <c r="D563" s="271"/>
      <c r="E563" s="272"/>
      <c r="F563" s="272"/>
      <c r="G563" s="273"/>
      <c r="H563" s="274"/>
      <c r="I563" s="274"/>
      <c r="J563" s="274"/>
      <c r="K563" s="274"/>
      <c r="L563" s="274"/>
      <c r="M563" s="274"/>
      <c r="N563" s="274"/>
      <c r="O563" s="274"/>
      <c r="P563" s="274"/>
      <c r="Q563" s="274"/>
      <c r="R563" s="274"/>
      <c r="S563" s="274"/>
      <c r="T563" s="274"/>
      <c r="U563" s="274"/>
      <c r="V563" s="274"/>
    </row>
    <row r="564" spans="1:22" x14ac:dyDescent="0.25">
      <c r="A564" s="247">
        <v>562</v>
      </c>
      <c r="B564" s="270"/>
      <c r="C564" s="270"/>
      <c r="D564" s="271"/>
      <c r="E564" s="272"/>
      <c r="F564" s="272"/>
      <c r="G564" s="273"/>
      <c r="H564" s="274"/>
      <c r="I564" s="274"/>
      <c r="J564" s="274"/>
      <c r="K564" s="274"/>
      <c r="L564" s="274"/>
      <c r="M564" s="274"/>
      <c r="N564" s="274"/>
      <c r="O564" s="274"/>
      <c r="P564" s="274"/>
      <c r="Q564" s="274"/>
      <c r="R564" s="274"/>
      <c r="S564" s="274"/>
      <c r="T564" s="274"/>
      <c r="U564" s="274"/>
      <c r="V564" s="274"/>
    </row>
    <row r="565" spans="1:22" x14ac:dyDescent="0.25">
      <c r="A565" s="247">
        <v>563</v>
      </c>
      <c r="B565" s="270"/>
      <c r="C565" s="270"/>
      <c r="D565" s="271"/>
      <c r="E565" s="272"/>
      <c r="F565" s="272"/>
      <c r="G565" s="273"/>
      <c r="H565" s="274"/>
      <c r="I565" s="274"/>
      <c r="J565" s="274"/>
      <c r="K565" s="274"/>
      <c r="L565" s="274"/>
      <c r="M565" s="274"/>
      <c r="N565" s="274"/>
      <c r="O565" s="274"/>
      <c r="P565" s="274"/>
      <c r="Q565" s="274"/>
      <c r="R565" s="274"/>
      <c r="S565" s="274"/>
      <c r="T565" s="274"/>
      <c r="U565" s="274"/>
      <c r="V565" s="274"/>
    </row>
    <row r="566" spans="1:22" x14ac:dyDescent="0.25">
      <c r="A566" s="247">
        <v>564</v>
      </c>
      <c r="B566" s="270"/>
      <c r="C566" s="270"/>
      <c r="D566" s="271"/>
      <c r="E566" s="272"/>
      <c r="F566" s="272"/>
      <c r="G566" s="273"/>
      <c r="H566" s="274"/>
      <c r="I566" s="274"/>
      <c r="J566" s="274"/>
      <c r="K566" s="274"/>
      <c r="L566" s="274"/>
      <c r="M566" s="274"/>
      <c r="N566" s="274"/>
      <c r="O566" s="274"/>
      <c r="P566" s="274"/>
      <c r="Q566" s="274"/>
      <c r="R566" s="274"/>
      <c r="S566" s="274"/>
      <c r="T566" s="274"/>
      <c r="U566" s="274"/>
      <c r="V566" s="274"/>
    </row>
    <row r="567" spans="1:22" x14ac:dyDescent="0.25">
      <c r="A567" s="247">
        <v>565</v>
      </c>
      <c r="B567" s="270"/>
      <c r="C567" s="270"/>
      <c r="D567" s="271"/>
      <c r="E567" s="272"/>
      <c r="F567" s="272"/>
      <c r="G567" s="273"/>
      <c r="H567" s="274"/>
      <c r="I567" s="274"/>
      <c r="J567" s="274"/>
      <c r="K567" s="274"/>
      <c r="L567" s="274"/>
      <c r="M567" s="274"/>
      <c r="N567" s="274"/>
      <c r="O567" s="274"/>
      <c r="P567" s="274"/>
      <c r="Q567" s="274"/>
      <c r="R567" s="274"/>
      <c r="S567" s="274"/>
      <c r="T567" s="274"/>
      <c r="U567" s="274"/>
      <c r="V567" s="274"/>
    </row>
    <row r="568" spans="1:22" x14ac:dyDescent="0.25">
      <c r="A568" s="247">
        <v>566</v>
      </c>
      <c r="B568" s="270"/>
      <c r="C568" s="270"/>
      <c r="D568" s="271"/>
      <c r="E568" s="272"/>
      <c r="F568" s="272"/>
      <c r="G568" s="273"/>
      <c r="H568" s="274"/>
      <c r="I568" s="274"/>
      <c r="J568" s="274"/>
      <c r="K568" s="274"/>
      <c r="L568" s="274"/>
      <c r="M568" s="274"/>
      <c r="N568" s="274"/>
      <c r="O568" s="274"/>
      <c r="P568" s="274"/>
      <c r="Q568" s="274"/>
      <c r="R568" s="274"/>
      <c r="S568" s="274"/>
      <c r="T568" s="274"/>
      <c r="U568" s="274"/>
      <c r="V568" s="274"/>
    </row>
    <row r="569" spans="1:22" x14ac:dyDescent="0.25">
      <c r="A569" s="247">
        <v>567</v>
      </c>
      <c r="B569" s="270"/>
      <c r="C569" s="270"/>
      <c r="D569" s="271"/>
      <c r="E569" s="272"/>
      <c r="F569" s="272"/>
      <c r="G569" s="273"/>
      <c r="H569" s="274"/>
      <c r="I569" s="274"/>
      <c r="J569" s="274"/>
      <c r="K569" s="274"/>
      <c r="L569" s="274"/>
      <c r="M569" s="274"/>
      <c r="N569" s="274"/>
      <c r="O569" s="274"/>
      <c r="P569" s="274"/>
      <c r="Q569" s="274"/>
      <c r="R569" s="274"/>
      <c r="S569" s="274"/>
      <c r="T569" s="274"/>
      <c r="U569" s="274"/>
      <c r="V569" s="274"/>
    </row>
    <row r="570" spans="1:22" x14ac:dyDescent="0.25">
      <c r="A570" s="247">
        <v>568</v>
      </c>
      <c r="B570" s="270"/>
      <c r="C570" s="270"/>
      <c r="D570" s="271"/>
      <c r="E570" s="272"/>
      <c r="F570" s="272"/>
      <c r="G570" s="273"/>
      <c r="H570" s="274"/>
      <c r="I570" s="274"/>
      <c r="J570" s="274"/>
      <c r="K570" s="274"/>
      <c r="L570" s="274"/>
      <c r="M570" s="274"/>
      <c r="N570" s="274"/>
      <c r="O570" s="274"/>
      <c r="P570" s="274"/>
      <c r="Q570" s="274"/>
      <c r="R570" s="274"/>
      <c r="S570" s="274"/>
      <c r="T570" s="274"/>
      <c r="U570" s="274"/>
      <c r="V570" s="274"/>
    </row>
    <row r="571" spans="1:22" x14ac:dyDescent="0.25">
      <c r="A571" s="247">
        <v>569</v>
      </c>
      <c r="B571" s="270"/>
      <c r="C571" s="270"/>
      <c r="D571" s="271"/>
      <c r="E571" s="272"/>
      <c r="F571" s="272"/>
      <c r="G571" s="273"/>
      <c r="H571" s="274"/>
      <c r="I571" s="274"/>
      <c r="J571" s="274"/>
      <c r="K571" s="274"/>
      <c r="L571" s="274"/>
      <c r="M571" s="274"/>
      <c r="N571" s="274"/>
      <c r="O571" s="274"/>
      <c r="P571" s="274"/>
      <c r="Q571" s="274"/>
      <c r="R571" s="274"/>
      <c r="S571" s="274"/>
      <c r="T571" s="274"/>
      <c r="U571" s="274"/>
      <c r="V571" s="274"/>
    </row>
    <row r="572" spans="1:22" x14ac:dyDescent="0.25">
      <c r="A572" s="247">
        <v>570</v>
      </c>
      <c r="B572" s="270"/>
      <c r="C572" s="270"/>
      <c r="D572" s="271"/>
      <c r="E572" s="272"/>
      <c r="F572" s="272"/>
      <c r="G572" s="273"/>
      <c r="H572" s="274"/>
      <c r="I572" s="274"/>
      <c r="J572" s="274"/>
      <c r="K572" s="274"/>
      <c r="L572" s="274"/>
      <c r="M572" s="274"/>
      <c r="N572" s="274"/>
      <c r="O572" s="274"/>
      <c r="P572" s="274"/>
      <c r="Q572" s="274"/>
      <c r="R572" s="274"/>
      <c r="S572" s="274"/>
      <c r="T572" s="274"/>
      <c r="U572" s="274"/>
      <c r="V572" s="274"/>
    </row>
    <row r="573" spans="1:22" x14ac:dyDescent="0.25">
      <c r="A573" s="247">
        <v>571</v>
      </c>
      <c r="B573" s="270"/>
      <c r="C573" s="270"/>
      <c r="D573" s="271"/>
      <c r="E573" s="272"/>
      <c r="F573" s="272"/>
      <c r="G573" s="273"/>
      <c r="H573" s="274"/>
      <c r="I573" s="274"/>
      <c r="J573" s="274"/>
      <c r="K573" s="274"/>
      <c r="L573" s="274"/>
      <c r="M573" s="274"/>
      <c r="N573" s="274"/>
      <c r="O573" s="274"/>
      <c r="P573" s="274"/>
      <c r="Q573" s="274"/>
      <c r="R573" s="274"/>
      <c r="S573" s="274"/>
      <c r="T573" s="274"/>
      <c r="U573" s="274"/>
      <c r="V573" s="274"/>
    </row>
    <row r="574" spans="1:22" x14ac:dyDescent="0.25">
      <c r="A574" s="247">
        <v>572</v>
      </c>
      <c r="B574" s="270"/>
      <c r="C574" s="270"/>
      <c r="D574" s="271"/>
      <c r="E574" s="272"/>
      <c r="F574" s="272"/>
      <c r="G574" s="273"/>
      <c r="H574" s="274"/>
      <c r="I574" s="274"/>
      <c r="J574" s="274"/>
      <c r="K574" s="274"/>
      <c r="L574" s="274"/>
      <c r="M574" s="274"/>
      <c r="N574" s="274"/>
      <c r="O574" s="274"/>
      <c r="P574" s="274"/>
      <c r="Q574" s="274"/>
      <c r="R574" s="274"/>
      <c r="S574" s="274"/>
      <c r="T574" s="274"/>
      <c r="U574" s="274"/>
      <c r="V574" s="274"/>
    </row>
    <row r="575" spans="1:22" x14ac:dyDescent="0.25">
      <c r="A575" s="247">
        <v>573</v>
      </c>
      <c r="B575" s="270"/>
      <c r="C575" s="270"/>
      <c r="D575" s="271"/>
      <c r="E575" s="272"/>
      <c r="F575" s="272"/>
      <c r="G575" s="273"/>
      <c r="H575" s="274"/>
      <c r="I575" s="274"/>
      <c r="J575" s="274"/>
      <c r="K575" s="274"/>
      <c r="L575" s="274"/>
      <c r="M575" s="274"/>
      <c r="N575" s="274"/>
      <c r="O575" s="274"/>
      <c r="P575" s="274"/>
      <c r="Q575" s="274"/>
      <c r="R575" s="274"/>
      <c r="S575" s="274"/>
      <c r="T575" s="274"/>
      <c r="U575" s="274"/>
      <c r="V575" s="274"/>
    </row>
    <row r="576" spans="1:22" x14ac:dyDescent="0.25">
      <c r="A576" s="247">
        <v>574</v>
      </c>
      <c r="B576" s="270"/>
      <c r="C576" s="270"/>
      <c r="D576" s="271"/>
      <c r="E576" s="272"/>
      <c r="F576" s="272"/>
      <c r="G576" s="273"/>
      <c r="H576" s="274"/>
      <c r="I576" s="274"/>
      <c r="J576" s="274"/>
      <c r="K576" s="274"/>
      <c r="L576" s="274"/>
      <c r="M576" s="274"/>
      <c r="N576" s="274"/>
      <c r="O576" s="274"/>
      <c r="P576" s="274"/>
      <c r="Q576" s="274"/>
      <c r="R576" s="274"/>
      <c r="S576" s="274"/>
      <c r="T576" s="274"/>
      <c r="U576" s="274"/>
      <c r="V576" s="274"/>
    </row>
    <row r="577" spans="1:22" x14ac:dyDescent="0.25">
      <c r="A577" s="247">
        <v>575</v>
      </c>
      <c r="B577" s="270"/>
      <c r="C577" s="270"/>
      <c r="D577" s="271"/>
      <c r="E577" s="272"/>
      <c r="F577" s="272"/>
      <c r="G577" s="273"/>
      <c r="H577" s="274"/>
      <c r="I577" s="274"/>
      <c r="J577" s="274"/>
      <c r="K577" s="274"/>
      <c r="L577" s="274"/>
      <c r="M577" s="274"/>
      <c r="N577" s="274"/>
      <c r="O577" s="274"/>
      <c r="P577" s="274"/>
      <c r="Q577" s="274"/>
      <c r="R577" s="274"/>
      <c r="S577" s="274"/>
      <c r="T577" s="274"/>
      <c r="U577" s="274"/>
      <c r="V577" s="274"/>
    </row>
    <row r="578" spans="1:22" x14ac:dyDescent="0.25">
      <c r="A578" s="247">
        <v>576</v>
      </c>
      <c r="B578" s="270"/>
      <c r="C578" s="270"/>
      <c r="D578" s="271"/>
      <c r="E578" s="272"/>
      <c r="F578" s="272"/>
      <c r="G578" s="273"/>
      <c r="H578" s="274"/>
      <c r="I578" s="274"/>
      <c r="J578" s="274"/>
      <c r="K578" s="274"/>
      <c r="L578" s="274"/>
      <c r="M578" s="274"/>
      <c r="N578" s="274"/>
      <c r="O578" s="274"/>
      <c r="P578" s="274"/>
      <c r="Q578" s="274"/>
      <c r="R578" s="274"/>
      <c r="S578" s="274"/>
      <c r="T578" s="274"/>
      <c r="U578" s="274"/>
      <c r="V578" s="274"/>
    </row>
    <row r="579" spans="1:22" x14ac:dyDescent="0.25">
      <c r="A579" s="247">
        <v>577</v>
      </c>
      <c r="B579" s="270"/>
      <c r="C579" s="270"/>
      <c r="D579" s="271"/>
      <c r="E579" s="272"/>
      <c r="F579" s="272"/>
      <c r="G579" s="273"/>
      <c r="H579" s="274"/>
      <c r="I579" s="274"/>
      <c r="J579" s="274"/>
      <c r="K579" s="274"/>
      <c r="L579" s="274"/>
      <c r="M579" s="274"/>
      <c r="N579" s="274"/>
      <c r="O579" s="274"/>
      <c r="P579" s="274"/>
      <c r="Q579" s="274"/>
      <c r="R579" s="274"/>
      <c r="S579" s="274"/>
      <c r="T579" s="274"/>
      <c r="U579" s="274"/>
      <c r="V579" s="274"/>
    </row>
    <row r="580" spans="1:22" x14ac:dyDescent="0.25">
      <c r="A580" s="247">
        <v>578</v>
      </c>
      <c r="B580" s="270"/>
      <c r="C580" s="270"/>
      <c r="D580" s="271"/>
      <c r="E580" s="272"/>
      <c r="F580" s="272"/>
      <c r="G580" s="273"/>
      <c r="H580" s="274"/>
      <c r="I580" s="274"/>
      <c r="J580" s="274"/>
      <c r="K580" s="274"/>
      <c r="L580" s="274"/>
      <c r="M580" s="274"/>
      <c r="N580" s="274"/>
      <c r="O580" s="274"/>
      <c r="P580" s="274"/>
      <c r="Q580" s="274"/>
      <c r="R580" s="274"/>
      <c r="S580" s="274"/>
      <c r="T580" s="274"/>
      <c r="U580" s="274"/>
      <c r="V580" s="274"/>
    </row>
    <row r="581" spans="1:22" x14ac:dyDescent="0.25">
      <c r="A581" s="247">
        <v>579</v>
      </c>
      <c r="B581" s="270"/>
      <c r="C581" s="270"/>
      <c r="D581" s="271"/>
      <c r="E581" s="272"/>
      <c r="F581" s="272"/>
      <c r="G581" s="273"/>
      <c r="H581" s="274"/>
      <c r="I581" s="274"/>
      <c r="J581" s="274"/>
      <c r="K581" s="274"/>
      <c r="L581" s="274"/>
      <c r="M581" s="274"/>
      <c r="N581" s="274"/>
      <c r="O581" s="274"/>
      <c r="P581" s="274"/>
      <c r="Q581" s="274"/>
      <c r="R581" s="274"/>
      <c r="S581" s="274"/>
      <c r="T581" s="274"/>
      <c r="U581" s="274"/>
      <c r="V581" s="274"/>
    </row>
    <row r="582" spans="1:22" x14ac:dyDescent="0.25">
      <c r="A582" s="247">
        <v>580</v>
      </c>
      <c r="B582" s="270"/>
      <c r="C582" s="270"/>
      <c r="D582" s="271"/>
      <c r="E582" s="272"/>
      <c r="F582" s="272"/>
      <c r="G582" s="273"/>
      <c r="H582" s="274"/>
      <c r="I582" s="274"/>
      <c r="J582" s="274"/>
      <c r="K582" s="274"/>
      <c r="L582" s="274"/>
      <c r="M582" s="274"/>
      <c r="N582" s="274"/>
      <c r="O582" s="274"/>
      <c r="P582" s="274"/>
      <c r="Q582" s="274"/>
      <c r="R582" s="274"/>
      <c r="S582" s="274"/>
      <c r="T582" s="274"/>
      <c r="U582" s="274"/>
      <c r="V582" s="274"/>
    </row>
    <row r="583" spans="1:22" x14ac:dyDescent="0.25">
      <c r="A583" s="247">
        <v>581</v>
      </c>
      <c r="B583" s="270"/>
      <c r="C583" s="270"/>
      <c r="D583" s="271"/>
      <c r="E583" s="272"/>
      <c r="F583" s="272"/>
      <c r="G583" s="273"/>
      <c r="H583" s="274"/>
      <c r="I583" s="274"/>
      <c r="J583" s="274"/>
      <c r="K583" s="274"/>
      <c r="L583" s="274"/>
      <c r="M583" s="274"/>
      <c r="N583" s="274"/>
      <c r="O583" s="274"/>
      <c r="P583" s="274"/>
      <c r="Q583" s="274"/>
      <c r="R583" s="274"/>
      <c r="S583" s="274"/>
      <c r="T583" s="274"/>
      <c r="U583" s="274"/>
      <c r="V583" s="274"/>
    </row>
    <row r="584" spans="1:22" x14ac:dyDescent="0.25">
      <c r="A584" s="247">
        <v>582</v>
      </c>
      <c r="B584" s="270"/>
      <c r="C584" s="270"/>
      <c r="D584" s="271"/>
      <c r="E584" s="272"/>
      <c r="F584" s="272"/>
      <c r="G584" s="273"/>
      <c r="H584" s="274"/>
      <c r="I584" s="274"/>
      <c r="J584" s="274"/>
      <c r="K584" s="274"/>
      <c r="L584" s="274"/>
      <c r="M584" s="274"/>
      <c r="N584" s="274"/>
      <c r="O584" s="274"/>
      <c r="P584" s="274"/>
      <c r="Q584" s="274"/>
      <c r="R584" s="274"/>
      <c r="S584" s="274"/>
      <c r="T584" s="274"/>
      <c r="U584" s="274"/>
      <c r="V584" s="274"/>
    </row>
    <row r="585" spans="1:22" x14ac:dyDescent="0.25">
      <c r="A585" s="247">
        <v>583</v>
      </c>
      <c r="B585" s="270"/>
      <c r="C585" s="270"/>
      <c r="D585" s="271"/>
      <c r="E585" s="272"/>
      <c r="F585" s="272"/>
      <c r="G585" s="273"/>
      <c r="H585" s="274"/>
      <c r="I585" s="274"/>
      <c r="J585" s="274"/>
      <c r="K585" s="274"/>
      <c r="L585" s="274"/>
      <c r="M585" s="274"/>
      <c r="N585" s="274"/>
      <c r="O585" s="274"/>
      <c r="P585" s="274"/>
      <c r="Q585" s="274"/>
      <c r="R585" s="274"/>
      <c r="S585" s="274"/>
      <c r="T585" s="274"/>
      <c r="U585" s="274"/>
      <c r="V585" s="274"/>
    </row>
    <row r="586" spans="1:22" x14ac:dyDescent="0.25">
      <c r="A586" s="247">
        <v>584</v>
      </c>
      <c r="B586" s="270"/>
      <c r="C586" s="270"/>
      <c r="D586" s="271"/>
      <c r="E586" s="272"/>
      <c r="F586" s="272"/>
      <c r="G586" s="273"/>
      <c r="H586" s="274"/>
      <c r="I586" s="274"/>
      <c r="J586" s="274"/>
      <c r="K586" s="274"/>
      <c r="L586" s="274"/>
      <c r="M586" s="274"/>
      <c r="N586" s="274"/>
      <c r="O586" s="274"/>
      <c r="P586" s="274"/>
      <c r="Q586" s="274"/>
      <c r="R586" s="274"/>
      <c r="S586" s="274"/>
      <c r="T586" s="274"/>
      <c r="U586" s="274"/>
      <c r="V586" s="274"/>
    </row>
    <row r="587" spans="1:22" x14ac:dyDescent="0.25">
      <c r="A587" s="247">
        <v>585</v>
      </c>
      <c r="B587" s="270"/>
      <c r="C587" s="270"/>
      <c r="D587" s="271"/>
      <c r="E587" s="272"/>
      <c r="F587" s="272"/>
      <c r="G587" s="273"/>
      <c r="H587" s="274"/>
      <c r="I587" s="274"/>
      <c r="J587" s="274"/>
      <c r="K587" s="274"/>
      <c r="L587" s="274"/>
      <c r="M587" s="274"/>
      <c r="N587" s="274"/>
      <c r="O587" s="274"/>
      <c r="P587" s="274"/>
      <c r="Q587" s="274"/>
      <c r="R587" s="274"/>
      <c r="S587" s="274"/>
      <c r="T587" s="274"/>
      <c r="U587" s="274"/>
      <c r="V587" s="274"/>
    </row>
    <row r="588" spans="1:22" x14ac:dyDescent="0.25">
      <c r="A588" s="247">
        <v>586</v>
      </c>
      <c r="B588" s="270"/>
      <c r="C588" s="270"/>
      <c r="D588" s="271"/>
      <c r="E588" s="272"/>
      <c r="F588" s="272"/>
      <c r="G588" s="273"/>
      <c r="H588" s="274"/>
      <c r="I588" s="274"/>
      <c r="J588" s="274"/>
      <c r="K588" s="274"/>
      <c r="L588" s="274"/>
      <c r="M588" s="274"/>
      <c r="N588" s="274"/>
      <c r="O588" s="274"/>
      <c r="P588" s="274"/>
      <c r="Q588" s="274"/>
      <c r="R588" s="274"/>
      <c r="S588" s="274"/>
      <c r="T588" s="274"/>
      <c r="U588" s="274"/>
      <c r="V588" s="274"/>
    </row>
    <row r="589" spans="1:22" x14ac:dyDescent="0.25">
      <c r="A589" s="247">
        <v>587</v>
      </c>
      <c r="B589" s="270"/>
      <c r="C589" s="270"/>
      <c r="D589" s="271"/>
      <c r="E589" s="272"/>
      <c r="F589" s="272"/>
      <c r="G589" s="273"/>
      <c r="H589" s="274"/>
      <c r="I589" s="274"/>
      <c r="J589" s="274"/>
      <c r="K589" s="274"/>
      <c r="L589" s="274"/>
      <c r="M589" s="274"/>
      <c r="N589" s="274"/>
      <c r="O589" s="274"/>
      <c r="P589" s="274"/>
      <c r="Q589" s="274"/>
      <c r="R589" s="274"/>
      <c r="S589" s="274"/>
      <c r="T589" s="274"/>
      <c r="U589" s="274"/>
      <c r="V589" s="274"/>
    </row>
    <row r="590" spans="1:22" x14ac:dyDescent="0.25">
      <c r="A590" s="247">
        <v>588</v>
      </c>
      <c r="B590" s="270"/>
      <c r="C590" s="270"/>
      <c r="D590" s="271"/>
      <c r="E590" s="272"/>
      <c r="F590" s="272"/>
      <c r="G590" s="273"/>
      <c r="H590" s="274"/>
      <c r="I590" s="274"/>
      <c r="J590" s="274"/>
      <c r="K590" s="274"/>
      <c r="L590" s="274"/>
      <c r="M590" s="274"/>
      <c r="N590" s="274"/>
      <c r="O590" s="274"/>
      <c r="P590" s="274"/>
      <c r="Q590" s="274"/>
      <c r="R590" s="274"/>
      <c r="S590" s="274"/>
      <c r="T590" s="274"/>
      <c r="U590" s="274"/>
      <c r="V590" s="274"/>
    </row>
    <row r="591" spans="1:22" x14ac:dyDescent="0.25">
      <c r="A591" s="247">
        <v>589</v>
      </c>
      <c r="B591" s="270"/>
      <c r="C591" s="270"/>
      <c r="D591" s="271"/>
      <c r="E591" s="272"/>
      <c r="F591" s="272"/>
      <c r="G591" s="273"/>
      <c r="H591" s="274"/>
      <c r="I591" s="274"/>
      <c r="J591" s="274"/>
      <c r="K591" s="274"/>
      <c r="L591" s="274"/>
      <c r="M591" s="274"/>
      <c r="N591" s="274"/>
      <c r="O591" s="274"/>
      <c r="P591" s="274"/>
      <c r="Q591" s="274"/>
      <c r="R591" s="274"/>
      <c r="S591" s="274"/>
      <c r="T591" s="274"/>
      <c r="U591" s="274"/>
      <c r="V591" s="274"/>
    </row>
    <row r="592" spans="1:22" x14ac:dyDescent="0.25">
      <c r="A592" s="247">
        <v>590</v>
      </c>
      <c r="B592" s="270"/>
      <c r="C592" s="270"/>
      <c r="D592" s="271"/>
      <c r="E592" s="272"/>
      <c r="F592" s="272"/>
      <c r="G592" s="273"/>
      <c r="H592" s="274"/>
      <c r="I592" s="274"/>
      <c r="J592" s="274"/>
      <c r="K592" s="274"/>
      <c r="L592" s="274"/>
      <c r="M592" s="274"/>
      <c r="N592" s="274"/>
      <c r="O592" s="274"/>
      <c r="P592" s="274"/>
      <c r="Q592" s="274"/>
      <c r="R592" s="274"/>
      <c r="S592" s="274"/>
      <c r="T592" s="274"/>
      <c r="U592" s="274"/>
      <c r="V592" s="274"/>
    </row>
    <row r="593" spans="1:22" x14ac:dyDescent="0.25">
      <c r="A593" s="247">
        <v>591</v>
      </c>
      <c r="B593" s="270"/>
      <c r="C593" s="270"/>
      <c r="D593" s="271"/>
      <c r="E593" s="272"/>
      <c r="F593" s="272"/>
      <c r="G593" s="273"/>
      <c r="H593" s="274"/>
      <c r="I593" s="274"/>
      <c r="J593" s="274"/>
      <c r="K593" s="274"/>
      <c r="L593" s="274"/>
      <c r="M593" s="274"/>
      <c r="N593" s="274"/>
      <c r="O593" s="274"/>
      <c r="P593" s="274"/>
      <c r="Q593" s="274"/>
      <c r="R593" s="274"/>
      <c r="S593" s="274"/>
      <c r="T593" s="274"/>
      <c r="U593" s="274"/>
      <c r="V593" s="274"/>
    </row>
    <row r="594" spans="1:22" x14ac:dyDescent="0.25">
      <c r="A594" s="247">
        <v>592</v>
      </c>
      <c r="B594" s="270"/>
      <c r="C594" s="270"/>
      <c r="D594" s="271"/>
      <c r="E594" s="272"/>
      <c r="F594" s="272"/>
      <c r="G594" s="273"/>
      <c r="H594" s="274"/>
      <c r="I594" s="274"/>
      <c r="J594" s="274"/>
      <c r="K594" s="274"/>
      <c r="L594" s="274"/>
      <c r="M594" s="274"/>
      <c r="N594" s="274"/>
      <c r="O594" s="274"/>
      <c r="P594" s="274"/>
      <c r="Q594" s="274"/>
      <c r="R594" s="274"/>
      <c r="S594" s="274"/>
      <c r="T594" s="274"/>
      <c r="U594" s="274"/>
      <c r="V594" s="274"/>
    </row>
    <row r="595" spans="1:22" x14ac:dyDescent="0.25">
      <c r="A595" s="247">
        <v>593</v>
      </c>
      <c r="B595" s="270"/>
      <c r="C595" s="270"/>
      <c r="D595" s="271"/>
      <c r="E595" s="272"/>
      <c r="F595" s="272"/>
      <c r="G595" s="273"/>
      <c r="H595" s="274"/>
      <c r="I595" s="274"/>
      <c r="J595" s="274"/>
      <c r="K595" s="274"/>
      <c r="L595" s="274"/>
      <c r="M595" s="274"/>
      <c r="N595" s="274"/>
      <c r="O595" s="274"/>
      <c r="P595" s="274"/>
      <c r="Q595" s="274"/>
      <c r="R595" s="274"/>
      <c r="S595" s="274"/>
      <c r="T595" s="274"/>
      <c r="U595" s="274"/>
      <c r="V595" s="274"/>
    </row>
    <row r="596" spans="1:22" x14ac:dyDescent="0.25">
      <c r="A596" s="247">
        <v>594</v>
      </c>
      <c r="B596" s="270"/>
      <c r="C596" s="270"/>
      <c r="D596" s="271"/>
      <c r="E596" s="272"/>
      <c r="F596" s="272"/>
      <c r="G596" s="273"/>
      <c r="H596" s="274"/>
      <c r="I596" s="274"/>
      <c r="J596" s="274"/>
      <c r="K596" s="274"/>
      <c r="L596" s="274"/>
      <c r="M596" s="274"/>
      <c r="N596" s="274"/>
      <c r="O596" s="274"/>
      <c r="P596" s="274"/>
      <c r="Q596" s="274"/>
      <c r="R596" s="274"/>
      <c r="S596" s="274"/>
      <c r="T596" s="274"/>
      <c r="U596" s="274"/>
      <c r="V596" s="274"/>
    </row>
    <row r="597" spans="1:22" x14ac:dyDescent="0.25">
      <c r="A597" s="247">
        <v>595</v>
      </c>
      <c r="B597" s="270"/>
      <c r="C597" s="270"/>
      <c r="D597" s="271"/>
      <c r="E597" s="272"/>
      <c r="F597" s="272"/>
      <c r="G597" s="273"/>
      <c r="H597" s="274"/>
      <c r="I597" s="274"/>
      <c r="J597" s="274"/>
      <c r="K597" s="274"/>
      <c r="L597" s="274"/>
      <c r="M597" s="274"/>
      <c r="N597" s="274"/>
      <c r="O597" s="274"/>
      <c r="P597" s="274"/>
      <c r="Q597" s="274"/>
      <c r="R597" s="274"/>
      <c r="S597" s="274"/>
      <c r="T597" s="274"/>
      <c r="U597" s="274"/>
      <c r="V597" s="274"/>
    </row>
    <row r="598" spans="1:22" x14ac:dyDescent="0.25">
      <c r="A598" s="247">
        <v>596</v>
      </c>
      <c r="B598" s="270"/>
      <c r="C598" s="270"/>
      <c r="D598" s="271"/>
      <c r="E598" s="272"/>
      <c r="F598" s="272"/>
      <c r="G598" s="273"/>
      <c r="H598" s="274"/>
      <c r="I598" s="274"/>
      <c r="J598" s="274"/>
      <c r="K598" s="274"/>
      <c r="L598" s="274"/>
      <c r="M598" s="274"/>
      <c r="N598" s="274"/>
      <c r="O598" s="274"/>
      <c r="P598" s="274"/>
      <c r="Q598" s="274"/>
      <c r="R598" s="274"/>
      <c r="S598" s="274"/>
      <c r="T598" s="274"/>
      <c r="U598" s="274"/>
      <c r="V598" s="274"/>
    </row>
    <row r="599" spans="1:22" x14ac:dyDescent="0.25">
      <c r="A599" s="247">
        <v>597</v>
      </c>
      <c r="B599" s="270"/>
      <c r="C599" s="270"/>
      <c r="D599" s="271"/>
      <c r="E599" s="272"/>
      <c r="F599" s="272"/>
      <c r="G599" s="273"/>
      <c r="H599" s="274"/>
      <c r="I599" s="274"/>
      <c r="J599" s="274"/>
      <c r="K599" s="274"/>
      <c r="L599" s="274"/>
      <c r="M599" s="274"/>
      <c r="N599" s="274"/>
      <c r="O599" s="274"/>
      <c r="P599" s="274"/>
      <c r="Q599" s="274"/>
      <c r="R599" s="274"/>
      <c r="S599" s="274"/>
      <c r="T599" s="274"/>
      <c r="U599" s="274"/>
      <c r="V599" s="274"/>
    </row>
    <row r="600" spans="1:22" x14ac:dyDescent="0.25">
      <c r="A600" s="247">
        <v>598</v>
      </c>
      <c r="B600" s="270"/>
      <c r="C600" s="270"/>
      <c r="D600" s="271"/>
      <c r="E600" s="272"/>
      <c r="F600" s="272"/>
      <c r="G600" s="273"/>
      <c r="H600" s="274"/>
      <c r="I600" s="274"/>
      <c r="J600" s="274"/>
      <c r="K600" s="274"/>
      <c r="L600" s="274"/>
      <c r="M600" s="274"/>
      <c r="N600" s="274"/>
      <c r="O600" s="274"/>
      <c r="P600" s="274"/>
      <c r="Q600" s="274"/>
      <c r="R600" s="274"/>
      <c r="S600" s="274"/>
      <c r="T600" s="274"/>
      <c r="U600" s="274"/>
      <c r="V600" s="274"/>
    </row>
    <row r="601" spans="1:22" x14ac:dyDescent="0.25">
      <c r="A601" s="247">
        <v>599</v>
      </c>
      <c r="B601" s="270"/>
      <c r="C601" s="270"/>
      <c r="D601" s="271"/>
      <c r="E601" s="272"/>
      <c r="F601" s="272"/>
      <c r="G601" s="273"/>
      <c r="H601" s="274"/>
      <c r="I601" s="274"/>
      <c r="J601" s="274"/>
      <c r="K601" s="274"/>
      <c r="L601" s="274"/>
      <c r="M601" s="274"/>
      <c r="N601" s="274"/>
      <c r="O601" s="274"/>
      <c r="P601" s="274"/>
      <c r="Q601" s="274"/>
      <c r="R601" s="274"/>
      <c r="S601" s="274"/>
      <c r="T601" s="274"/>
      <c r="U601" s="274"/>
      <c r="V601" s="274"/>
    </row>
    <row r="602" spans="1:22" x14ac:dyDescent="0.25">
      <c r="A602" s="247">
        <v>600</v>
      </c>
      <c r="B602" s="270"/>
      <c r="C602" s="270"/>
      <c r="D602" s="271"/>
      <c r="E602" s="272"/>
      <c r="F602" s="272"/>
      <c r="G602" s="273"/>
      <c r="H602" s="274"/>
      <c r="I602" s="274"/>
      <c r="J602" s="274"/>
      <c r="K602" s="274"/>
      <c r="L602" s="274"/>
      <c r="M602" s="274"/>
      <c r="N602" s="274"/>
      <c r="O602" s="274"/>
      <c r="P602" s="274"/>
      <c r="Q602" s="274"/>
      <c r="R602" s="274"/>
      <c r="S602" s="274"/>
      <c r="T602" s="274"/>
      <c r="U602" s="274"/>
      <c r="V602" s="274"/>
    </row>
    <row r="603" spans="1:22" x14ac:dyDescent="0.25">
      <c r="A603" s="247">
        <v>601</v>
      </c>
      <c r="B603" s="270"/>
      <c r="C603" s="270"/>
      <c r="D603" s="271"/>
      <c r="E603" s="272"/>
      <c r="F603" s="272"/>
      <c r="G603" s="273"/>
      <c r="H603" s="274"/>
      <c r="I603" s="274"/>
      <c r="J603" s="274"/>
      <c r="K603" s="274"/>
      <c r="L603" s="274"/>
      <c r="M603" s="274"/>
      <c r="N603" s="274"/>
      <c r="O603" s="274"/>
      <c r="P603" s="274"/>
      <c r="Q603" s="274"/>
      <c r="R603" s="274"/>
      <c r="S603" s="274"/>
      <c r="T603" s="274"/>
      <c r="U603" s="274"/>
      <c r="V603" s="274"/>
    </row>
    <row r="604" spans="1:22" x14ac:dyDescent="0.25">
      <c r="A604" s="247">
        <v>602</v>
      </c>
      <c r="B604" s="270"/>
      <c r="C604" s="270"/>
      <c r="D604" s="271"/>
      <c r="E604" s="272"/>
      <c r="F604" s="272"/>
      <c r="G604" s="273"/>
      <c r="H604" s="274"/>
      <c r="I604" s="274"/>
      <c r="J604" s="274"/>
      <c r="K604" s="274"/>
      <c r="L604" s="274"/>
      <c r="M604" s="274"/>
      <c r="N604" s="274"/>
      <c r="O604" s="274"/>
      <c r="P604" s="274"/>
      <c r="Q604" s="274"/>
      <c r="R604" s="274"/>
      <c r="S604" s="274"/>
      <c r="T604" s="274"/>
      <c r="U604" s="274"/>
      <c r="V604" s="274"/>
    </row>
    <row r="605" spans="1:22" x14ac:dyDescent="0.25">
      <c r="A605" s="247">
        <v>603</v>
      </c>
      <c r="B605" s="270"/>
      <c r="C605" s="270"/>
      <c r="D605" s="271"/>
      <c r="E605" s="272"/>
      <c r="F605" s="272"/>
      <c r="G605" s="273"/>
      <c r="H605" s="274"/>
      <c r="I605" s="274"/>
      <c r="J605" s="274"/>
      <c r="K605" s="274"/>
      <c r="L605" s="274"/>
      <c r="M605" s="274"/>
      <c r="N605" s="274"/>
      <c r="O605" s="274"/>
      <c r="P605" s="274"/>
      <c r="Q605" s="274"/>
      <c r="R605" s="274"/>
      <c r="S605" s="274"/>
      <c r="T605" s="274"/>
      <c r="U605" s="274"/>
      <c r="V605" s="274"/>
    </row>
    <row r="606" spans="1:22" x14ac:dyDescent="0.25">
      <c r="A606" s="247">
        <v>604</v>
      </c>
      <c r="B606" s="270"/>
      <c r="C606" s="270"/>
      <c r="D606" s="271"/>
      <c r="E606" s="272"/>
      <c r="F606" s="272"/>
      <c r="G606" s="273"/>
      <c r="H606" s="274"/>
      <c r="I606" s="274"/>
      <c r="J606" s="274"/>
      <c r="K606" s="274"/>
      <c r="L606" s="274"/>
      <c r="M606" s="274"/>
      <c r="N606" s="274"/>
      <c r="O606" s="274"/>
      <c r="P606" s="274"/>
      <c r="Q606" s="274"/>
      <c r="R606" s="274"/>
      <c r="S606" s="274"/>
      <c r="T606" s="274"/>
      <c r="U606" s="274"/>
      <c r="V606" s="274"/>
    </row>
    <row r="607" spans="1:22" x14ac:dyDescent="0.25">
      <c r="A607" s="247">
        <v>605</v>
      </c>
      <c r="B607" s="270"/>
      <c r="C607" s="270"/>
      <c r="D607" s="271"/>
      <c r="E607" s="272"/>
      <c r="F607" s="272"/>
      <c r="G607" s="273"/>
      <c r="H607" s="274"/>
      <c r="I607" s="274"/>
      <c r="J607" s="274"/>
      <c r="K607" s="274"/>
      <c r="L607" s="274"/>
      <c r="M607" s="274"/>
      <c r="N607" s="274"/>
      <c r="O607" s="274"/>
      <c r="P607" s="274"/>
      <c r="Q607" s="274"/>
      <c r="R607" s="274"/>
      <c r="S607" s="274"/>
      <c r="T607" s="274"/>
      <c r="U607" s="274"/>
      <c r="V607" s="274"/>
    </row>
    <row r="608" spans="1:22" x14ac:dyDescent="0.25">
      <c r="A608" s="247">
        <v>606</v>
      </c>
      <c r="B608" s="270"/>
      <c r="C608" s="270"/>
      <c r="D608" s="271"/>
      <c r="E608" s="272"/>
      <c r="F608" s="272"/>
      <c r="G608" s="273"/>
      <c r="H608" s="274"/>
      <c r="I608" s="274"/>
      <c r="J608" s="274"/>
      <c r="K608" s="274"/>
      <c r="L608" s="274"/>
      <c r="M608" s="274"/>
      <c r="N608" s="274"/>
      <c r="O608" s="274"/>
      <c r="P608" s="274"/>
      <c r="Q608" s="274"/>
      <c r="R608" s="274"/>
      <c r="S608" s="274"/>
      <c r="T608" s="274"/>
      <c r="U608" s="274"/>
      <c r="V608" s="274"/>
    </row>
    <row r="609" spans="1:22" x14ac:dyDescent="0.25">
      <c r="A609" s="247">
        <v>607</v>
      </c>
      <c r="B609" s="270"/>
      <c r="C609" s="270"/>
      <c r="D609" s="271"/>
      <c r="E609" s="272"/>
      <c r="F609" s="272"/>
      <c r="G609" s="273"/>
      <c r="H609" s="274"/>
      <c r="I609" s="274"/>
      <c r="J609" s="274"/>
      <c r="K609" s="274"/>
      <c r="L609" s="274"/>
      <c r="M609" s="274"/>
      <c r="N609" s="274"/>
      <c r="O609" s="274"/>
      <c r="P609" s="274"/>
      <c r="Q609" s="274"/>
      <c r="R609" s="274"/>
      <c r="S609" s="274"/>
      <c r="T609" s="274"/>
      <c r="U609" s="274"/>
      <c r="V609" s="274"/>
    </row>
    <row r="610" spans="1:22" x14ac:dyDescent="0.25">
      <c r="A610" s="247">
        <v>608</v>
      </c>
      <c r="B610" s="270"/>
      <c r="C610" s="270"/>
      <c r="D610" s="271"/>
      <c r="E610" s="272"/>
      <c r="F610" s="272"/>
      <c r="G610" s="273"/>
      <c r="H610" s="274"/>
      <c r="I610" s="274"/>
      <c r="J610" s="274"/>
      <c r="K610" s="274"/>
      <c r="L610" s="274"/>
      <c r="M610" s="274"/>
      <c r="N610" s="274"/>
      <c r="O610" s="274"/>
      <c r="P610" s="274"/>
      <c r="Q610" s="274"/>
      <c r="R610" s="274"/>
      <c r="S610" s="274"/>
      <c r="T610" s="274"/>
      <c r="U610" s="274"/>
      <c r="V610" s="274"/>
    </row>
    <row r="611" spans="1:22" x14ac:dyDescent="0.25">
      <c r="A611" s="247">
        <v>609</v>
      </c>
      <c r="B611" s="270"/>
      <c r="C611" s="270"/>
      <c r="D611" s="271"/>
      <c r="E611" s="272"/>
      <c r="F611" s="272"/>
      <c r="G611" s="273"/>
      <c r="H611" s="274"/>
      <c r="I611" s="274"/>
      <c r="J611" s="274"/>
      <c r="K611" s="274"/>
      <c r="L611" s="274"/>
      <c r="M611" s="274"/>
      <c r="N611" s="274"/>
      <c r="O611" s="274"/>
      <c r="P611" s="274"/>
      <c r="Q611" s="274"/>
      <c r="R611" s="274"/>
      <c r="S611" s="274"/>
      <c r="T611" s="274"/>
      <c r="U611" s="274"/>
      <c r="V611" s="274"/>
    </row>
    <row r="612" spans="1:22" x14ac:dyDescent="0.25">
      <c r="A612" s="247">
        <v>610</v>
      </c>
      <c r="B612" s="270"/>
      <c r="C612" s="270"/>
      <c r="D612" s="271"/>
      <c r="E612" s="272"/>
      <c r="F612" s="272"/>
      <c r="G612" s="273"/>
      <c r="H612" s="274"/>
      <c r="I612" s="274"/>
      <c r="J612" s="274"/>
      <c r="K612" s="274"/>
      <c r="L612" s="274"/>
      <c r="M612" s="274"/>
      <c r="N612" s="274"/>
      <c r="O612" s="274"/>
      <c r="P612" s="274"/>
      <c r="Q612" s="274"/>
      <c r="R612" s="274"/>
      <c r="S612" s="274"/>
      <c r="T612" s="274"/>
      <c r="U612" s="274"/>
      <c r="V612" s="274"/>
    </row>
    <row r="613" spans="1:22" x14ac:dyDescent="0.25">
      <c r="A613" s="247">
        <v>611</v>
      </c>
      <c r="B613" s="270"/>
      <c r="C613" s="270"/>
      <c r="D613" s="271"/>
      <c r="E613" s="272"/>
      <c r="F613" s="272"/>
      <c r="G613" s="273"/>
      <c r="H613" s="274"/>
      <c r="I613" s="274"/>
      <c r="J613" s="274"/>
      <c r="K613" s="274"/>
      <c r="L613" s="274"/>
      <c r="M613" s="274"/>
      <c r="N613" s="274"/>
      <c r="O613" s="274"/>
      <c r="P613" s="274"/>
      <c r="Q613" s="274"/>
      <c r="R613" s="274"/>
      <c r="S613" s="274"/>
      <c r="T613" s="274"/>
      <c r="U613" s="274"/>
      <c r="V613" s="274"/>
    </row>
    <row r="614" spans="1:22" x14ac:dyDescent="0.25">
      <c r="A614" s="247">
        <v>612</v>
      </c>
      <c r="B614" s="270"/>
      <c r="C614" s="270"/>
      <c r="D614" s="271"/>
      <c r="E614" s="272"/>
      <c r="F614" s="272"/>
      <c r="G614" s="273"/>
      <c r="H614" s="274"/>
      <c r="I614" s="274"/>
      <c r="J614" s="274"/>
      <c r="K614" s="274"/>
      <c r="L614" s="274"/>
      <c r="M614" s="274"/>
      <c r="N614" s="274"/>
      <c r="O614" s="274"/>
      <c r="P614" s="274"/>
      <c r="Q614" s="274"/>
      <c r="R614" s="274"/>
      <c r="S614" s="274"/>
      <c r="T614" s="274"/>
      <c r="U614" s="274"/>
      <c r="V614" s="274"/>
    </row>
    <row r="615" spans="1:22" x14ac:dyDescent="0.25">
      <c r="A615" s="247">
        <v>613</v>
      </c>
      <c r="B615" s="270"/>
      <c r="C615" s="270"/>
      <c r="D615" s="271"/>
      <c r="E615" s="272"/>
      <c r="F615" s="272"/>
      <c r="G615" s="273"/>
      <c r="H615" s="274"/>
      <c r="I615" s="274"/>
      <c r="J615" s="274"/>
      <c r="K615" s="274"/>
      <c r="L615" s="274"/>
      <c r="M615" s="274"/>
      <c r="N615" s="274"/>
      <c r="O615" s="274"/>
      <c r="P615" s="274"/>
      <c r="Q615" s="274"/>
      <c r="R615" s="274"/>
      <c r="S615" s="274"/>
      <c r="T615" s="274"/>
      <c r="U615" s="274"/>
      <c r="V615" s="274"/>
    </row>
    <row r="616" spans="1:22" x14ac:dyDescent="0.25">
      <c r="A616" s="247">
        <v>614</v>
      </c>
      <c r="B616" s="270"/>
      <c r="C616" s="270"/>
      <c r="D616" s="271"/>
      <c r="E616" s="272"/>
      <c r="F616" s="272"/>
      <c r="G616" s="273"/>
      <c r="H616" s="274"/>
      <c r="I616" s="274"/>
      <c r="J616" s="274"/>
      <c r="K616" s="274"/>
      <c r="L616" s="274"/>
      <c r="M616" s="274"/>
      <c r="N616" s="274"/>
      <c r="O616" s="274"/>
      <c r="P616" s="274"/>
      <c r="Q616" s="274"/>
      <c r="R616" s="274"/>
      <c r="S616" s="274"/>
      <c r="T616" s="274"/>
      <c r="U616" s="274"/>
      <c r="V616" s="274"/>
    </row>
    <row r="617" spans="1:22" x14ac:dyDescent="0.25">
      <c r="A617" s="247">
        <v>615</v>
      </c>
      <c r="B617" s="270"/>
      <c r="C617" s="270"/>
      <c r="D617" s="271"/>
      <c r="E617" s="272"/>
      <c r="F617" s="272"/>
      <c r="G617" s="273"/>
      <c r="H617" s="274"/>
      <c r="I617" s="274"/>
      <c r="J617" s="274"/>
      <c r="K617" s="274"/>
      <c r="L617" s="274"/>
      <c r="M617" s="274"/>
      <c r="N617" s="274"/>
      <c r="O617" s="274"/>
      <c r="P617" s="274"/>
      <c r="Q617" s="274"/>
      <c r="R617" s="274"/>
      <c r="S617" s="274"/>
      <c r="T617" s="274"/>
      <c r="U617" s="274"/>
      <c r="V617" s="274"/>
    </row>
    <row r="618" spans="1:22" x14ac:dyDescent="0.25">
      <c r="A618" s="247">
        <v>616</v>
      </c>
      <c r="B618" s="270"/>
      <c r="C618" s="270"/>
      <c r="D618" s="271"/>
      <c r="E618" s="272"/>
      <c r="F618" s="272"/>
      <c r="G618" s="273"/>
      <c r="H618" s="274"/>
      <c r="I618" s="274"/>
      <c r="J618" s="274"/>
      <c r="K618" s="274"/>
      <c r="L618" s="274"/>
      <c r="M618" s="274"/>
      <c r="N618" s="274"/>
      <c r="O618" s="274"/>
      <c r="P618" s="274"/>
      <c r="Q618" s="274"/>
      <c r="R618" s="274"/>
      <c r="S618" s="274"/>
      <c r="T618" s="274"/>
      <c r="U618" s="274"/>
      <c r="V618" s="274"/>
    </row>
    <row r="619" spans="1:22" x14ac:dyDescent="0.25">
      <c r="A619" s="247">
        <v>617</v>
      </c>
      <c r="B619" s="270"/>
      <c r="C619" s="270"/>
      <c r="D619" s="271"/>
      <c r="E619" s="272"/>
      <c r="F619" s="272"/>
      <c r="G619" s="273"/>
      <c r="H619" s="274"/>
      <c r="I619" s="274"/>
      <c r="J619" s="274"/>
      <c r="K619" s="274"/>
      <c r="L619" s="274"/>
      <c r="M619" s="274"/>
      <c r="N619" s="274"/>
      <c r="O619" s="274"/>
      <c r="P619" s="274"/>
      <c r="Q619" s="274"/>
      <c r="R619" s="274"/>
      <c r="S619" s="274"/>
      <c r="T619" s="274"/>
      <c r="U619" s="274"/>
      <c r="V619" s="274"/>
    </row>
    <row r="620" spans="1:22" x14ac:dyDescent="0.25">
      <c r="A620" s="247">
        <v>618</v>
      </c>
      <c r="B620" s="270"/>
      <c r="C620" s="270"/>
      <c r="D620" s="271"/>
      <c r="E620" s="272"/>
      <c r="F620" s="272"/>
      <c r="G620" s="273"/>
      <c r="H620" s="274"/>
      <c r="I620" s="274"/>
      <c r="J620" s="274"/>
      <c r="K620" s="274"/>
      <c r="L620" s="274"/>
      <c r="M620" s="274"/>
      <c r="N620" s="274"/>
      <c r="O620" s="274"/>
      <c r="P620" s="274"/>
      <c r="Q620" s="274"/>
      <c r="R620" s="274"/>
      <c r="S620" s="274"/>
      <c r="T620" s="274"/>
      <c r="U620" s="274"/>
      <c r="V620" s="274"/>
    </row>
    <row r="621" spans="1:22" x14ac:dyDescent="0.25">
      <c r="A621" s="247">
        <v>619</v>
      </c>
      <c r="B621" s="270"/>
      <c r="C621" s="270"/>
      <c r="D621" s="271"/>
      <c r="E621" s="272"/>
      <c r="F621" s="272"/>
      <c r="G621" s="273"/>
      <c r="H621" s="274"/>
      <c r="I621" s="274"/>
      <c r="J621" s="274"/>
      <c r="K621" s="274"/>
      <c r="L621" s="274"/>
      <c r="M621" s="274"/>
      <c r="N621" s="274"/>
      <c r="O621" s="274"/>
      <c r="P621" s="274"/>
      <c r="Q621" s="274"/>
      <c r="R621" s="274"/>
      <c r="S621" s="274"/>
      <c r="T621" s="274"/>
      <c r="U621" s="274"/>
      <c r="V621" s="274"/>
    </row>
    <row r="622" spans="1:22" x14ac:dyDescent="0.25">
      <c r="A622" s="247">
        <v>620</v>
      </c>
      <c r="B622" s="270"/>
      <c r="C622" s="270"/>
      <c r="D622" s="271"/>
      <c r="E622" s="272"/>
      <c r="F622" s="272"/>
      <c r="G622" s="273"/>
      <c r="H622" s="274"/>
      <c r="I622" s="274"/>
      <c r="J622" s="274"/>
      <c r="K622" s="274"/>
      <c r="L622" s="274"/>
      <c r="M622" s="274"/>
      <c r="N622" s="274"/>
      <c r="O622" s="274"/>
      <c r="P622" s="274"/>
      <c r="Q622" s="274"/>
      <c r="R622" s="274"/>
      <c r="S622" s="274"/>
      <c r="T622" s="274"/>
      <c r="U622" s="274"/>
      <c r="V622" s="274"/>
    </row>
    <row r="623" spans="1:22" x14ac:dyDescent="0.25">
      <c r="A623" s="247">
        <v>621</v>
      </c>
      <c r="B623" s="270"/>
      <c r="C623" s="270"/>
      <c r="D623" s="271"/>
      <c r="E623" s="272"/>
      <c r="F623" s="272"/>
      <c r="G623" s="273"/>
      <c r="H623" s="274"/>
      <c r="I623" s="274"/>
      <c r="J623" s="274"/>
      <c r="K623" s="274"/>
      <c r="L623" s="274"/>
      <c r="M623" s="274"/>
      <c r="N623" s="274"/>
      <c r="O623" s="274"/>
      <c r="P623" s="274"/>
      <c r="Q623" s="274"/>
      <c r="R623" s="274"/>
      <c r="S623" s="274"/>
      <c r="T623" s="274"/>
      <c r="U623" s="274"/>
      <c r="V623" s="274"/>
    </row>
    <row r="624" spans="1:22" x14ac:dyDescent="0.25">
      <c r="A624" s="247">
        <v>622</v>
      </c>
      <c r="B624" s="270"/>
      <c r="C624" s="270"/>
      <c r="D624" s="271"/>
      <c r="E624" s="272"/>
      <c r="F624" s="272"/>
      <c r="G624" s="273"/>
      <c r="H624" s="274"/>
      <c r="I624" s="274"/>
      <c r="J624" s="274"/>
      <c r="K624" s="274"/>
      <c r="L624" s="274"/>
      <c r="M624" s="274"/>
      <c r="N624" s="274"/>
      <c r="O624" s="274"/>
      <c r="P624" s="274"/>
      <c r="Q624" s="274"/>
      <c r="R624" s="274"/>
      <c r="S624" s="274"/>
      <c r="T624" s="274"/>
      <c r="U624" s="274"/>
      <c r="V624" s="274"/>
    </row>
    <row r="625" spans="1:22" x14ac:dyDescent="0.25">
      <c r="A625" s="247">
        <v>623</v>
      </c>
      <c r="B625" s="270"/>
      <c r="C625" s="270"/>
      <c r="D625" s="271"/>
      <c r="E625" s="272"/>
      <c r="F625" s="272"/>
      <c r="G625" s="273"/>
      <c r="H625" s="274"/>
      <c r="I625" s="274"/>
      <c r="J625" s="274"/>
      <c r="K625" s="274"/>
      <c r="L625" s="274"/>
      <c r="M625" s="274"/>
      <c r="N625" s="274"/>
      <c r="O625" s="274"/>
      <c r="P625" s="274"/>
      <c r="Q625" s="274"/>
      <c r="R625" s="274"/>
      <c r="S625" s="274"/>
      <c r="T625" s="274"/>
      <c r="U625" s="274"/>
      <c r="V625" s="274"/>
    </row>
    <row r="626" spans="1:22" x14ac:dyDescent="0.25">
      <c r="A626" s="247">
        <v>624</v>
      </c>
      <c r="B626" s="270"/>
      <c r="C626" s="270"/>
      <c r="D626" s="271"/>
      <c r="E626" s="272"/>
      <c r="F626" s="272"/>
      <c r="G626" s="273"/>
      <c r="H626" s="274"/>
      <c r="I626" s="274"/>
      <c r="J626" s="274"/>
      <c r="K626" s="274"/>
      <c r="L626" s="274"/>
      <c r="M626" s="274"/>
      <c r="N626" s="274"/>
      <c r="O626" s="274"/>
      <c r="P626" s="274"/>
      <c r="Q626" s="274"/>
      <c r="R626" s="274"/>
      <c r="S626" s="274"/>
      <c r="T626" s="274"/>
      <c r="U626" s="274"/>
      <c r="V626" s="274"/>
    </row>
    <row r="627" spans="1:22" x14ac:dyDescent="0.25">
      <c r="A627" s="247">
        <v>625</v>
      </c>
      <c r="B627" s="270"/>
      <c r="C627" s="270"/>
      <c r="D627" s="271"/>
      <c r="E627" s="272"/>
      <c r="F627" s="272"/>
      <c r="G627" s="273"/>
      <c r="H627" s="274"/>
      <c r="I627" s="274"/>
      <c r="J627" s="274"/>
      <c r="K627" s="274"/>
      <c r="L627" s="274"/>
      <c r="M627" s="274"/>
      <c r="N627" s="274"/>
      <c r="O627" s="274"/>
      <c r="P627" s="274"/>
      <c r="Q627" s="274"/>
      <c r="R627" s="274"/>
      <c r="S627" s="274"/>
      <c r="T627" s="274"/>
      <c r="U627" s="274"/>
      <c r="V627" s="274"/>
    </row>
    <row r="628" spans="1:22" x14ac:dyDescent="0.25">
      <c r="A628" s="247">
        <v>626</v>
      </c>
      <c r="B628" s="270"/>
      <c r="C628" s="270"/>
      <c r="D628" s="271"/>
      <c r="E628" s="272"/>
      <c r="F628" s="272"/>
      <c r="G628" s="273"/>
      <c r="H628" s="274"/>
      <c r="I628" s="274"/>
      <c r="J628" s="274"/>
      <c r="K628" s="274"/>
      <c r="L628" s="274"/>
      <c r="M628" s="274"/>
      <c r="N628" s="274"/>
      <c r="O628" s="274"/>
      <c r="P628" s="274"/>
      <c r="Q628" s="274"/>
      <c r="R628" s="274"/>
      <c r="S628" s="274"/>
      <c r="T628" s="274"/>
      <c r="U628" s="274"/>
      <c r="V628" s="274"/>
    </row>
    <row r="629" spans="1:22" x14ac:dyDescent="0.25">
      <c r="A629" s="247">
        <v>627</v>
      </c>
      <c r="B629" s="270"/>
      <c r="C629" s="270"/>
      <c r="D629" s="271"/>
      <c r="E629" s="272"/>
      <c r="F629" s="272"/>
      <c r="G629" s="273"/>
      <c r="H629" s="274"/>
      <c r="I629" s="274"/>
      <c r="J629" s="274"/>
      <c r="K629" s="274"/>
      <c r="L629" s="274"/>
      <c r="M629" s="274"/>
      <c r="N629" s="274"/>
      <c r="O629" s="274"/>
      <c r="P629" s="274"/>
      <c r="Q629" s="274"/>
      <c r="R629" s="274"/>
      <c r="S629" s="274"/>
      <c r="T629" s="274"/>
      <c r="U629" s="274"/>
      <c r="V629" s="274"/>
    </row>
    <row r="630" spans="1:22" x14ac:dyDescent="0.25">
      <c r="A630" s="247">
        <v>628</v>
      </c>
      <c r="B630" s="270"/>
      <c r="C630" s="270"/>
      <c r="D630" s="271"/>
      <c r="E630" s="272"/>
      <c r="F630" s="272"/>
      <c r="G630" s="273"/>
      <c r="H630" s="274"/>
      <c r="I630" s="274"/>
      <c r="J630" s="274"/>
      <c r="K630" s="274"/>
      <c r="L630" s="274"/>
      <c r="M630" s="274"/>
      <c r="N630" s="274"/>
      <c r="O630" s="274"/>
      <c r="P630" s="274"/>
      <c r="Q630" s="274"/>
      <c r="R630" s="274"/>
      <c r="S630" s="274"/>
      <c r="T630" s="274"/>
      <c r="U630" s="274"/>
      <c r="V630" s="274"/>
    </row>
    <row r="631" spans="1:22" x14ac:dyDescent="0.25">
      <c r="A631" s="247">
        <v>629</v>
      </c>
      <c r="B631" s="270"/>
      <c r="C631" s="270"/>
      <c r="D631" s="271"/>
      <c r="E631" s="272"/>
      <c r="F631" s="272"/>
      <c r="G631" s="273"/>
      <c r="H631" s="274"/>
      <c r="I631" s="274"/>
      <c r="J631" s="274"/>
      <c r="K631" s="274"/>
      <c r="L631" s="274"/>
      <c r="M631" s="274"/>
      <c r="N631" s="274"/>
      <c r="O631" s="274"/>
      <c r="P631" s="274"/>
      <c r="Q631" s="274"/>
      <c r="R631" s="274"/>
      <c r="S631" s="274"/>
      <c r="T631" s="274"/>
      <c r="U631" s="274"/>
      <c r="V631" s="274"/>
    </row>
    <row r="632" spans="1:22" x14ac:dyDescent="0.25">
      <c r="A632" s="247">
        <v>630</v>
      </c>
      <c r="B632" s="270"/>
      <c r="C632" s="270"/>
      <c r="D632" s="271"/>
      <c r="E632" s="272"/>
      <c r="F632" s="272"/>
      <c r="G632" s="273"/>
      <c r="H632" s="274"/>
      <c r="I632" s="274"/>
      <c r="J632" s="274"/>
      <c r="K632" s="274"/>
      <c r="L632" s="274"/>
      <c r="M632" s="274"/>
      <c r="N632" s="274"/>
      <c r="O632" s="274"/>
      <c r="P632" s="274"/>
      <c r="Q632" s="274"/>
      <c r="R632" s="274"/>
      <c r="S632" s="274"/>
      <c r="T632" s="274"/>
      <c r="U632" s="274"/>
      <c r="V632" s="274"/>
    </row>
    <row r="633" spans="1:22" x14ac:dyDescent="0.25">
      <c r="A633" s="247">
        <v>631</v>
      </c>
      <c r="B633" s="270"/>
      <c r="C633" s="270"/>
      <c r="D633" s="271"/>
      <c r="E633" s="272"/>
      <c r="F633" s="272"/>
      <c r="G633" s="273"/>
      <c r="H633" s="274"/>
      <c r="I633" s="274"/>
      <c r="J633" s="274"/>
      <c r="K633" s="274"/>
      <c r="L633" s="274"/>
      <c r="M633" s="274"/>
      <c r="N633" s="274"/>
      <c r="O633" s="274"/>
      <c r="P633" s="274"/>
      <c r="Q633" s="274"/>
      <c r="R633" s="274"/>
      <c r="S633" s="274"/>
      <c r="T633" s="274"/>
      <c r="U633" s="274"/>
      <c r="V633" s="274"/>
    </row>
    <row r="634" spans="1:22" x14ac:dyDescent="0.25">
      <c r="A634" s="247">
        <v>632</v>
      </c>
      <c r="B634" s="270"/>
      <c r="C634" s="270"/>
      <c r="D634" s="271"/>
      <c r="E634" s="272"/>
      <c r="F634" s="272"/>
      <c r="G634" s="273"/>
      <c r="H634" s="274"/>
      <c r="I634" s="274"/>
      <c r="J634" s="274"/>
      <c r="K634" s="274"/>
      <c r="L634" s="274"/>
      <c r="M634" s="274"/>
      <c r="N634" s="274"/>
      <c r="O634" s="274"/>
      <c r="P634" s="274"/>
      <c r="Q634" s="274"/>
      <c r="R634" s="274"/>
      <c r="S634" s="274"/>
      <c r="T634" s="274"/>
      <c r="U634" s="274"/>
      <c r="V634" s="274"/>
    </row>
    <row r="635" spans="1:22" x14ac:dyDescent="0.25">
      <c r="A635" s="247">
        <v>633</v>
      </c>
      <c r="B635" s="270"/>
      <c r="C635" s="270"/>
      <c r="D635" s="271"/>
      <c r="E635" s="272"/>
      <c r="F635" s="272"/>
      <c r="G635" s="273"/>
      <c r="H635" s="274"/>
      <c r="I635" s="274"/>
      <c r="J635" s="274"/>
      <c r="K635" s="274"/>
      <c r="L635" s="274"/>
      <c r="M635" s="274"/>
      <c r="N635" s="274"/>
      <c r="O635" s="274"/>
      <c r="P635" s="274"/>
      <c r="Q635" s="274"/>
      <c r="R635" s="274"/>
      <c r="S635" s="274"/>
      <c r="T635" s="274"/>
      <c r="U635" s="274"/>
      <c r="V635" s="274"/>
    </row>
    <row r="636" spans="1:22" x14ac:dyDescent="0.25">
      <c r="A636" s="247">
        <v>634</v>
      </c>
      <c r="B636" s="270"/>
      <c r="C636" s="270"/>
      <c r="D636" s="271"/>
      <c r="E636" s="272"/>
      <c r="F636" s="272"/>
      <c r="G636" s="273"/>
      <c r="H636" s="274"/>
      <c r="I636" s="274"/>
      <c r="J636" s="274"/>
      <c r="K636" s="274"/>
      <c r="L636" s="274"/>
      <c r="M636" s="274"/>
      <c r="N636" s="274"/>
      <c r="O636" s="274"/>
      <c r="P636" s="274"/>
      <c r="Q636" s="274"/>
      <c r="R636" s="274"/>
      <c r="S636" s="274"/>
      <c r="T636" s="274"/>
      <c r="U636" s="274"/>
      <c r="V636" s="274"/>
    </row>
    <row r="637" spans="1:22" x14ac:dyDescent="0.25">
      <c r="A637" s="247">
        <v>635</v>
      </c>
      <c r="B637" s="270"/>
      <c r="C637" s="270"/>
      <c r="D637" s="271"/>
      <c r="E637" s="272"/>
      <c r="F637" s="272"/>
      <c r="G637" s="273"/>
      <c r="H637" s="274"/>
      <c r="I637" s="274"/>
      <c r="J637" s="274"/>
      <c r="K637" s="274"/>
      <c r="L637" s="274"/>
      <c r="M637" s="274"/>
      <c r="N637" s="274"/>
      <c r="O637" s="274"/>
      <c r="P637" s="274"/>
      <c r="Q637" s="274"/>
      <c r="R637" s="274"/>
      <c r="S637" s="274"/>
      <c r="T637" s="274"/>
      <c r="U637" s="274"/>
      <c r="V637" s="274"/>
    </row>
    <row r="638" spans="1:22" x14ac:dyDescent="0.25">
      <c r="A638" s="247">
        <v>636</v>
      </c>
      <c r="B638" s="270"/>
      <c r="C638" s="270"/>
      <c r="D638" s="271"/>
      <c r="E638" s="272"/>
      <c r="F638" s="272"/>
      <c r="G638" s="273"/>
      <c r="H638" s="274"/>
      <c r="I638" s="274"/>
      <c r="J638" s="274"/>
      <c r="K638" s="274"/>
      <c r="L638" s="274"/>
      <c r="M638" s="274"/>
      <c r="N638" s="274"/>
      <c r="O638" s="274"/>
      <c r="P638" s="274"/>
      <c r="Q638" s="274"/>
      <c r="R638" s="274"/>
      <c r="S638" s="274"/>
      <c r="T638" s="274"/>
      <c r="U638" s="274"/>
      <c r="V638" s="274"/>
    </row>
    <row r="639" spans="1:22" x14ac:dyDescent="0.25">
      <c r="A639" s="247">
        <v>637</v>
      </c>
      <c r="B639" s="270"/>
      <c r="C639" s="270"/>
      <c r="D639" s="271"/>
      <c r="E639" s="272"/>
      <c r="F639" s="272"/>
      <c r="G639" s="273"/>
      <c r="H639" s="274"/>
      <c r="I639" s="274"/>
      <c r="J639" s="274"/>
      <c r="K639" s="274"/>
      <c r="L639" s="274"/>
      <c r="M639" s="274"/>
      <c r="N639" s="274"/>
      <c r="O639" s="274"/>
      <c r="P639" s="274"/>
      <c r="Q639" s="274"/>
      <c r="R639" s="274"/>
      <c r="S639" s="274"/>
      <c r="T639" s="274"/>
      <c r="U639" s="274"/>
      <c r="V639" s="274"/>
    </row>
    <row r="640" spans="1:22" x14ac:dyDescent="0.25">
      <c r="A640" s="247">
        <v>638</v>
      </c>
      <c r="B640" s="270"/>
      <c r="C640" s="270"/>
      <c r="D640" s="271"/>
      <c r="E640" s="272"/>
      <c r="F640" s="272"/>
      <c r="G640" s="273"/>
      <c r="H640" s="274"/>
      <c r="I640" s="274"/>
      <c r="J640" s="274"/>
      <c r="K640" s="274"/>
      <c r="L640" s="274"/>
      <c r="M640" s="274"/>
      <c r="N640" s="274"/>
      <c r="O640" s="274"/>
      <c r="P640" s="274"/>
      <c r="Q640" s="274"/>
      <c r="R640" s="274"/>
      <c r="S640" s="274"/>
      <c r="T640" s="274"/>
      <c r="U640" s="274"/>
      <c r="V640" s="274"/>
    </row>
    <row r="641" spans="1:22" x14ac:dyDescent="0.25">
      <c r="A641" s="247">
        <v>639</v>
      </c>
      <c r="B641" s="270"/>
      <c r="C641" s="270"/>
      <c r="D641" s="271"/>
      <c r="E641" s="272"/>
      <c r="F641" s="272"/>
      <c r="G641" s="273"/>
      <c r="H641" s="274"/>
      <c r="I641" s="274"/>
      <c r="J641" s="274"/>
      <c r="K641" s="274"/>
      <c r="L641" s="274"/>
      <c r="M641" s="274"/>
      <c r="N641" s="274"/>
      <c r="O641" s="274"/>
      <c r="P641" s="274"/>
      <c r="Q641" s="274"/>
      <c r="R641" s="274"/>
      <c r="S641" s="274"/>
      <c r="T641" s="274"/>
      <c r="U641" s="274"/>
      <c r="V641" s="274"/>
    </row>
    <row r="642" spans="1:22" x14ac:dyDescent="0.25">
      <c r="A642" s="247">
        <v>640</v>
      </c>
      <c r="B642" s="270"/>
      <c r="C642" s="270"/>
      <c r="D642" s="271"/>
      <c r="E642" s="272"/>
      <c r="F642" s="272"/>
      <c r="G642" s="273"/>
      <c r="H642" s="274"/>
      <c r="I642" s="274"/>
      <c r="J642" s="274"/>
      <c r="K642" s="274"/>
      <c r="L642" s="274"/>
      <c r="M642" s="274"/>
      <c r="N642" s="274"/>
      <c r="O642" s="274"/>
      <c r="P642" s="274"/>
      <c r="Q642" s="274"/>
      <c r="R642" s="274"/>
      <c r="S642" s="274"/>
      <c r="T642" s="274"/>
      <c r="U642" s="274"/>
      <c r="V642" s="274"/>
    </row>
    <row r="643" spans="1:22" x14ac:dyDescent="0.25">
      <c r="A643" s="247">
        <v>641</v>
      </c>
      <c r="B643" s="270"/>
      <c r="C643" s="270"/>
      <c r="D643" s="271"/>
      <c r="E643" s="272"/>
      <c r="F643" s="272"/>
      <c r="G643" s="273"/>
      <c r="H643" s="274"/>
      <c r="I643" s="274"/>
      <c r="J643" s="274"/>
      <c r="K643" s="274"/>
      <c r="L643" s="274"/>
      <c r="M643" s="274"/>
      <c r="N643" s="274"/>
      <c r="O643" s="274"/>
      <c r="P643" s="274"/>
      <c r="Q643" s="274"/>
      <c r="R643" s="274"/>
      <c r="S643" s="274"/>
      <c r="T643" s="274"/>
      <c r="U643" s="274"/>
      <c r="V643" s="274"/>
    </row>
    <row r="644" spans="1:22" x14ac:dyDescent="0.25">
      <c r="A644" s="247">
        <v>642</v>
      </c>
      <c r="B644" s="270"/>
      <c r="C644" s="270"/>
      <c r="D644" s="271"/>
      <c r="E644" s="272"/>
      <c r="F644" s="272"/>
      <c r="G644" s="273"/>
      <c r="H644" s="274"/>
      <c r="I644" s="274"/>
      <c r="J644" s="274"/>
      <c r="K644" s="274"/>
      <c r="L644" s="274"/>
      <c r="M644" s="274"/>
      <c r="N644" s="274"/>
      <c r="O644" s="274"/>
      <c r="P644" s="274"/>
      <c r="Q644" s="274"/>
      <c r="R644" s="274"/>
      <c r="S644" s="274"/>
      <c r="T644" s="274"/>
      <c r="U644" s="274"/>
      <c r="V644" s="274"/>
    </row>
    <row r="645" spans="1:22" x14ac:dyDescent="0.25">
      <c r="A645" s="247">
        <v>643</v>
      </c>
      <c r="B645" s="270"/>
      <c r="C645" s="270"/>
      <c r="D645" s="271"/>
      <c r="E645" s="272"/>
      <c r="F645" s="272"/>
      <c r="G645" s="273"/>
      <c r="H645" s="274"/>
      <c r="I645" s="274"/>
      <c r="J645" s="274"/>
      <c r="K645" s="274"/>
      <c r="L645" s="274"/>
      <c r="M645" s="274"/>
      <c r="N645" s="274"/>
      <c r="O645" s="274"/>
      <c r="P645" s="274"/>
      <c r="Q645" s="274"/>
      <c r="R645" s="274"/>
      <c r="S645" s="274"/>
      <c r="T645" s="274"/>
      <c r="U645" s="274"/>
      <c r="V645" s="274"/>
    </row>
    <row r="646" spans="1:22" x14ac:dyDescent="0.25">
      <c r="A646" s="247">
        <v>644</v>
      </c>
      <c r="B646" s="270"/>
      <c r="C646" s="270"/>
      <c r="D646" s="271"/>
      <c r="E646" s="272"/>
      <c r="F646" s="272"/>
      <c r="G646" s="273"/>
      <c r="H646" s="274"/>
      <c r="I646" s="274"/>
      <c r="J646" s="274"/>
      <c r="K646" s="274"/>
      <c r="L646" s="274"/>
      <c r="M646" s="274"/>
      <c r="N646" s="274"/>
      <c r="O646" s="274"/>
      <c r="P646" s="274"/>
      <c r="Q646" s="274"/>
      <c r="R646" s="274"/>
      <c r="S646" s="274"/>
      <c r="T646" s="274"/>
      <c r="U646" s="274"/>
      <c r="V646" s="274"/>
    </row>
    <row r="647" spans="1:22" x14ac:dyDescent="0.25">
      <c r="A647" s="247">
        <v>645</v>
      </c>
      <c r="B647" s="270"/>
      <c r="C647" s="270"/>
      <c r="D647" s="271"/>
      <c r="E647" s="272"/>
      <c r="F647" s="272"/>
      <c r="G647" s="273"/>
      <c r="H647" s="274"/>
      <c r="I647" s="274"/>
      <c r="J647" s="274"/>
      <c r="K647" s="274"/>
      <c r="L647" s="274"/>
      <c r="M647" s="274"/>
      <c r="N647" s="274"/>
      <c r="O647" s="274"/>
      <c r="P647" s="274"/>
      <c r="Q647" s="274"/>
      <c r="R647" s="274"/>
      <c r="S647" s="274"/>
      <c r="T647" s="274"/>
      <c r="U647" s="274"/>
      <c r="V647" s="274"/>
    </row>
    <row r="648" spans="1:22" x14ac:dyDescent="0.25">
      <c r="A648" s="247">
        <v>646</v>
      </c>
      <c r="B648" s="270"/>
      <c r="C648" s="270"/>
      <c r="D648" s="271"/>
      <c r="E648" s="272"/>
      <c r="F648" s="272"/>
      <c r="G648" s="273"/>
      <c r="H648" s="274"/>
      <c r="I648" s="274"/>
      <c r="J648" s="274"/>
      <c r="K648" s="274"/>
      <c r="L648" s="274"/>
      <c r="M648" s="274"/>
      <c r="N648" s="274"/>
      <c r="O648" s="274"/>
      <c r="P648" s="274"/>
      <c r="Q648" s="274"/>
      <c r="R648" s="274"/>
      <c r="S648" s="274"/>
      <c r="T648" s="274"/>
      <c r="U648" s="274"/>
      <c r="V648" s="274"/>
    </row>
    <row r="649" spans="1:22" x14ac:dyDescent="0.25">
      <c r="A649" s="247">
        <v>647</v>
      </c>
      <c r="B649" s="270"/>
      <c r="C649" s="270"/>
      <c r="D649" s="271"/>
      <c r="E649" s="272"/>
      <c r="F649" s="272"/>
      <c r="G649" s="273"/>
      <c r="H649" s="274"/>
      <c r="I649" s="274"/>
      <c r="J649" s="274"/>
      <c r="K649" s="274"/>
      <c r="L649" s="274"/>
      <c r="M649" s="274"/>
      <c r="N649" s="274"/>
      <c r="O649" s="274"/>
      <c r="P649" s="274"/>
      <c r="Q649" s="274"/>
      <c r="R649" s="274"/>
      <c r="S649" s="274"/>
      <c r="T649" s="274"/>
      <c r="U649" s="274"/>
      <c r="V649" s="274"/>
    </row>
    <row r="650" spans="1:22" x14ac:dyDescent="0.25">
      <c r="A650" s="247">
        <v>648</v>
      </c>
      <c r="B650" s="270"/>
      <c r="C650" s="270"/>
      <c r="D650" s="271"/>
      <c r="E650" s="272"/>
      <c r="F650" s="272"/>
      <c r="G650" s="273"/>
      <c r="H650" s="274"/>
      <c r="I650" s="274"/>
      <c r="J650" s="274"/>
      <c r="K650" s="274"/>
      <c r="L650" s="274"/>
      <c r="M650" s="274"/>
      <c r="N650" s="274"/>
      <c r="O650" s="274"/>
      <c r="P650" s="274"/>
      <c r="Q650" s="274"/>
      <c r="R650" s="274"/>
      <c r="S650" s="274"/>
      <c r="T650" s="274"/>
      <c r="U650" s="274"/>
      <c r="V650" s="274"/>
    </row>
    <row r="651" spans="1:22" x14ac:dyDescent="0.25">
      <c r="A651" s="247">
        <v>649</v>
      </c>
      <c r="B651" s="270"/>
      <c r="C651" s="270"/>
      <c r="D651" s="271"/>
      <c r="E651" s="272"/>
      <c r="F651" s="272"/>
      <c r="G651" s="273"/>
      <c r="H651" s="274"/>
      <c r="I651" s="274"/>
      <c r="J651" s="274"/>
      <c r="K651" s="274"/>
      <c r="L651" s="274"/>
      <c r="M651" s="274"/>
      <c r="N651" s="274"/>
      <c r="O651" s="274"/>
      <c r="P651" s="274"/>
      <c r="Q651" s="274"/>
      <c r="R651" s="274"/>
      <c r="S651" s="274"/>
      <c r="T651" s="274"/>
      <c r="U651" s="274"/>
      <c r="V651" s="274"/>
    </row>
    <row r="652" spans="1:22" x14ac:dyDescent="0.25">
      <c r="A652" s="247">
        <v>650</v>
      </c>
      <c r="B652" s="270"/>
      <c r="C652" s="270"/>
      <c r="D652" s="271"/>
      <c r="E652" s="272"/>
      <c r="F652" s="272"/>
      <c r="G652" s="273"/>
      <c r="H652" s="274"/>
      <c r="I652" s="274"/>
      <c r="J652" s="274"/>
      <c r="K652" s="274"/>
      <c r="L652" s="274"/>
      <c r="M652" s="274"/>
      <c r="N652" s="274"/>
      <c r="O652" s="274"/>
      <c r="P652" s="274"/>
      <c r="Q652" s="274"/>
      <c r="R652" s="274"/>
      <c r="S652" s="274"/>
      <c r="T652" s="274"/>
      <c r="U652" s="274"/>
      <c r="V652" s="274"/>
    </row>
    <row r="653" spans="1:22" x14ac:dyDescent="0.25">
      <c r="A653" s="247">
        <v>651</v>
      </c>
      <c r="B653" s="270"/>
      <c r="C653" s="270"/>
      <c r="D653" s="271"/>
      <c r="E653" s="272"/>
      <c r="F653" s="272"/>
      <c r="G653" s="273"/>
      <c r="H653" s="274"/>
      <c r="I653" s="274"/>
      <c r="J653" s="274"/>
      <c r="K653" s="274"/>
      <c r="L653" s="274"/>
      <c r="M653" s="274"/>
      <c r="N653" s="274"/>
      <c r="O653" s="274"/>
      <c r="P653" s="274"/>
      <c r="Q653" s="274"/>
      <c r="R653" s="274"/>
      <c r="S653" s="274"/>
      <c r="T653" s="274"/>
      <c r="U653" s="274"/>
      <c r="V653" s="274"/>
    </row>
    <row r="654" spans="1:22" x14ac:dyDescent="0.25">
      <c r="A654" s="247">
        <v>652</v>
      </c>
      <c r="B654" s="270"/>
      <c r="C654" s="270"/>
      <c r="D654" s="271"/>
      <c r="E654" s="272"/>
      <c r="F654" s="272"/>
      <c r="G654" s="273"/>
      <c r="H654" s="274"/>
      <c r="I654" s="274"/>
      <c r="J654" s="274"/>
      <c r="K654" s="274"/>
      <c r="L654" s="274"/>
      <c r="M654" s="274"/>
      <c r="N654" s="274"/>
      <c r="O654" s="274"/>
      <c r="P654" s="274"/>
      <c r="Q654" s="274"/>
      <c r="R654" s="274"/>
      <c r="S654" s="274"/>
      <c r="T654" s="274"/>
      <c r="U654" s="274"/>
      <c r="V654" s="274"/>
    </row>
    <row r="655" spans="1:22" x14ac:dyDescent="0.25">
      <c r="A655" s="247">
        <v>653</v>
      </c>
      <c r="B655" s="270"/>
      <c r="C655" s="270"/>
      <c r="D655" s="271"/>
      <c r="E655" s="272"/>
      <c r="F655" s="272"/>
      <c r="G655" s="273"/>
      <c r="H655" s="274"/>
      <c r="I655" s="274"/>
      <c r="J655" s="274"/>
      <c r="K655" s="274"/>
      <c r="L655" s="274"/>
      <c r="M655" s="274"/>
      <c r="N655" s="274"/>
      <c r="O655" s="274"/>
      <c r="P655" s="274"/>
      <c r="Q655" s="274"/>
      <c r="R655" s="274"/>
      <c r="S655" s="274"/>
      <c r="T655" s="274"/>
      <c r="U655" s="274"/>
      <c r="V655" s="274"/>
    </row>
    <row r="656" spans="1:22" x14ac:dyDescent="0.25">
      <c r="A656" s="247">
        <v>654</v>
      </c>
      <c r="B656" s="270"/>
      <c r="C656" s="270"/>
      <c r="D656" s="271"/>
      <c r="E656" s="272"/>
      <c r="F656" s="272"/>
      <c r="G656" s="273"/>
      <c r="H656" s="274"/>
      <c r="I656" s="274"/>
      <c r="J656" s="274"/>
      <c r="K656" s="274"/>
      <c r="L656" s="274"/>
      <c r="M656" s="274"/>
      <c r="N656" s="274"/>
      <c r="O656" s="274"/>
      <c r="P656" s="274"/>
      <c r="Q656" s="274"/>
      <c r="R656" s="274"/>
      <c r="S656" s="274"/>
      <c r="T656" s="274"/>
      <c r="U656" s="274"/>
      <c r="V656" s="274"/>
    </row>
    <row r="657" spans="1:22" x14ac:dyDescent="0.25">
      <c r="A657" s="247">
        <v>655</v>
      </c>
      <c r="B657" s="270"/>
      <c r="C657" s="270"/>
      <c r="D657" s="271"/>
      <c r="E657" s="272"/>
      <c r="F657" s="272"/>
      <c r="G657" s="273"/>
      <c r="H657" s="274"/>
      <c r="I657" s="274"/>
      <c r="J657" s="274"/>
      <c r="K657" s="274"/>
      <c r="L657" s="274"/>
      <c r="M657" s="274"/>
      <c r="N657" s="274"/>
      <c r="O657" s="274"/>
      <c r="P657" s="274"/>
      <c r="Q657" s="274"/>
      <c r="R657" s="274"/>
      <c r="S657" s="274"/>
      <c r="T657" s="274"/>
      <c r="U657" s="274"/>
      <c r="V657" s="274"/>
    </row>
    <row r="658" spans="1:22" x14ac:dyDescent="0.25">
      <c r="A658" s="247">
        <v>656</v>
      </c>
      <c r="B658" s="270"/>
      <c r="C658" s="270"/>
      <c r="D658" s="271"/>
      <c r="E658" s="272"/>
      <c r="F658" s="272"/>
      <c r="G658" s="273"/>
      <c r="H658" s="274"/>
      <c r="I658" s="274"/>
      <c r="J658" s="274"/>
      <c r="K658" s="274"/>
      <c r="L658" s="274"/>
      <c r="M658" s="274"/>
      <c r="N658" s="274"/>
      <c r="O658" s="274"/>
      <c r="P658" s="274"/>
      <c r="Q658" s="274"/>
      <c r="R658" s="274"/>
      <c r="S658" s="274"/>
      <c r="T658" s="274"/>
      <c r="U658" s="274"/>
      <c r="V658" s="274"/>
    </row>
    <row r="659" spans="1:22" x14ac:dyDescent="0.25">
      <c r="A659" s="247">
        <v>657</v>
      </c>
      <c r="B659" s="270"/>
      <c r="C659" s="270"/>
      <c r="D659" s="271"/>
      <c r="E659" s="272"/>
      <c r="F659" s="272"/>
      <c r="G659" s="273"/>
      <c r="H659" s="274"/>
      <c r="I659" s="274"/>
      <c r="J659" s="274"/>
      <c r="K659" s="274"/>
      <c r="L659" s="274"/>
      <c r="M659" s="274"/>
      <c r="N659" s="274"/>
      <c r="O659" s="274"/>
      <c r="P659" s="274"/>
      <c r="Q659" s="274"/>
      <c r="R659" s="274"/>
      <c r="S659" s="274"/>
      <c r="T659" s="274"/>
      <c r="U659" s="274"/>
      <c r="V659" s="274"/>
    </row>
    <row r="660" spans="1:22" x14ac:dyDescent="0.25">
      <c r="A660" s="247">
        <v>658</v>
      </c>
      <c r="B660" s="270"/>
      <c r="C660" s="270"/>
      <c r="D660" s="271"/>
      <c r="E660" s="272"/>
      <c r="F660" s="272"/>
      <c r="G660" s="273"/>
      <c r="H660" s="274"/>
      <c r="I660" s="274"/>
      <c r="J660" s="274"/>
      <c r="K660" s="274"/>
      <c r="L660" s="274"/>
      <c r="M660" s="274"/>
      <c r="N660" s="274"/>
      <c r="O660" s="274"/>
      <c r="P660" s="274"/>
      <c r="Q660" s="274"/>
      <c r="R660" s="274"/>
      <c r="S660" s="274"/>
      <c r="T660" s="274"/>
      <c r="U660" s="274"/>
      <c r="V660" s="274"/>
    </row>
    <row r="661" spans="1:22" x14ac:dyDescent="0.25">
      <c r="A661" s="247">
        <v>659</v>
      </c>
      <c r="B661" s="270"/>
      <c r="C661" s="270"/>
      <c r="D661" s="271"/>
      <c r="E661" s="272"/>
      <c r="F661" s="272"/>
      <c r="G661" s="273"/>
      <c r="H661" s="274"/>
      <c r="I661" s="274"/>
      <c r="J661" s="274"/>
      <c r="K661" s="274"/>
      <c r="L661" s="274"/>
      <c r="M661" s="274"/>
      <c r="N661" s="274"/>
      <c r="O661" s="274"/>
      <c r="P661" s="274"/>
      <c r="Q661" s="274"/>
      <c r="R661" s="274"/>
      <c r="S661" s="274"/>
      <c r="T661" s="274"/>
      <c r="U661" s="274"/>
      <c r="V661" s="274"/>
    </row>
    <row r="662" spans="1:22" x14ac:dyDescent="0.25">
      <c r="A662" s="247">
        <v>660</v>
      </c>
      <c r="B662" s="270"/>
      <c r="C662" s="270"/>
      <c r="D662" s="271"/>
      <c r="E662" s="272"/>
      <c r="F662" s="272"/>
      <c r="G662" s="273"/>
      <c r="H662" s="274"/>
      <c r="I662" s="274"/>
      <c r="J662" s="274"/>
      <c r="K662" s="274"/>
      <c r="L662" s="274"/>
      <c r="M662" s="274"/>
      <c r="N662" s="274"/>
      <c r="O662" s="274"/>
      <c r="P662" s="274"/>
      <c r="Q662" s="274"/>
      <c r="R662" s="274"/>
      <c r="S662" s="274"/>
      <c r="T662" s="274"/>
      <c r="U662" s="274"/>
      <c r="V662" s="274"/>
    </row>
    <row r="663" spans="1:22" x14ac:dyDescent="0.25">
      <c r="A663" s="247">
        <v>661</v>
      </c>
      <c r="B663" s="270"/>
      <c r="C663" s="270"/>
      <c r="D663" s="271"/>
      <c r="E663" s="272"/>
      <c r="F663" s="272"/>
      <c r="G663" s="273"/>
      <c r="H663" s="274"/>
      <c r="I663" s="274"/>
      <c r="J663" s="274"/>
      <c r="K663" s="274"/>
      <c r="L663" s="274"/>
      <c r="M663" s="274"/>
      <c r="N663" s="274"/>
      <c r="O663" s="274"/>
      <c r="P663" s="274"/>
      <c r="Q663" s="274"/>
      <c r="R663" s="274"/>
      <c r="S663" s="274"/>
      <c r="T663" s="274"/>
      <c r="U663" s="274"/>
      <c r="V663" s="274"/>
    </row>
    <row r="664" spans="1:22" x14ac:dyDescent="0.25">
      <c r="A664" s="247">
        <v>662</v>
      </c>
      <c r="B664" s="270"/>
      <c r="C664" s="270"/>
      <c r="D664" s="271"/>
      <c r="E664" s="272"/>
      <c r="F664" s="272"/>
      <c r="G664" s="273"/>
      <c r="H664" s="274"/>
      <c r="I664" s="274"/>
      <c r="J664" s="274"/>
      <c r="K664" s="274"/>
      <c r="L664" s="274"/>
      <c r="M664" s="274"/>
      <c r="N664" s="274"/>
      <c r="O664" s="274"/>
      <c r="P664" s="274"/>
      <c r="Q664" s="274"/>
      <c r="R664" s="274"/>
      <c r="S664" s="274"/>
      <c r="T664" s="274"/>
      <c r="U664" s="274"/>
      <c r="V664" s="274"/>
    </row>
    <row r="665" spans="1:22" x14ac:dyDescent="0.25">
      <c r="A665" s="247">
        <v>663</v>
      </c>
      <c r="B665" s="270"/>
      <c r="C665" s="270"/>
      <c r="D665" s="271"/>
      <c r="E665" s="272"/>
      <c r="F665" s="272"/>
      <c r="G665" s="273"/>
      <c r="H665" s="274"/>
      <c r="I665" s="274"/>
      <c r="J665" s="274"/>
      <c r="K665" s="274"/>
      <c r="L665" s="274"/>
      <c r="M665" s="274"/>
      <c r="N665" s="274"/>
      <c r="O665" s="274"/>
      <c r="P665" s="274"/>
      <c r="Q665" s="274"/>
      <c r="R665" s="274"/>
      <c r="S665" s="274"/>
      <c r="T665" s="274"/>
      <c r="U665" s="274"/>
      <c r="V665" s="274"/>
    </row>
    <row r="666" spans="1:22" x14ac:dyDescent="0.25">
      <c r="A666" s="247">
        <v>664</v>
      </c>
      <c r="B666" s="270"/>
      <c r="C666" s="270"/>
      <c r="D666" s="271"/>
      <c r="E666" s="272"/>
      <c r="F666" s="272"/>
      <c r="G666" s="273"/>
      <c r="H666" s="274"/>
      <c r="I666" s="274"/>
      <c r="J666" s="274"/>
      <c r="K666" s="274"/>
      <c r="L666" s="274"/>
      <c r="M666" s="274"/>
      <c r="N666" s="274"/>
      <c r="O666" s="274"/>
      <c r="P666" s="274"/>
      <c r="Q666" s="274"/>
      <c r="R666" s="274"/>
      <c r="S666" s="274"/>
      <c r="T666" s="274"/>
      <c r="U666" s="274"/>
      <c r="V666" s="274"/>
    </row>
    <row r="667" spans="1:22" x14ac:dyDescent="0.25">
      <c r="A667" s="247">
        <v>665</v>
      </c>
      <c r="B667" s="270"/>
      <c r="C667" s="270"/>
      <c r="D667" s="271"/>
      <c r="E667" s="272"/>
      <c r="F667" s="272"/>
      <c r="G667" s="273"/>
      <c r="H667" s="274"/>
      <c r="I667" s="274"/>
      <c r="J667" s="274"/>
      <c r="K667" s="274"/>
      <c r="L667" s="274"/>
      <c r="M667" s="274"/>
      <c r="N667" s="274"/>
      <c r="O667" s="274"/>
      <c r="P667" s="274"/>
      <c r="Q667" s="274"/>
      <c r="R667" s="274"/>
      <c r="S667" s="274"/>
      <c r="T667" s="274"/>
      <c r="U667" s="274"/>
      <c r="V667" s="274"/>
    </row>
    <row r="668" spans="1:22" x14ac:dyDescent="0.25">
      <c r="A668" s="247">
        <v>666</v>
      </c>
      <c r="B668" s="270"/>
      <c r="C668" s="270"/>
      <c r="D668" s="271"/>
      <c r="E668" s="272"/>
      <c r="F668" s="272"/>
      <c r="G668" s="273"/>
      <c r="H668" s="274"/>
      <c r="I668" s="274"/>
      <c r="J668" s="274"/>
      <c r="K668" s="274"/>
      <c r="L668" s="274"/>
      <c r="M668" s="274"/>
      <c r="N668" s="274"/>
      <c r="O668" s="274"/>
      <c r="P668" s="274"/>
      <c r="Q668" s="274"/>
      <c r="R668" s="274"/>
      <c r="S668" s="274"/>
      <c r="T668" s="274"/>
      <c r="U668" s="274"/>
      <c r="V668" s="274"/>
    </row>
    <row r="669" spans="1:22" x14ac:dyDescent="0.25">
      <c r="A669" s="247">
        <v>667</v>
      </c>
      <c r="B669" s="270"/>
      <c r="C669" s="270"/>
      <c r="D669" s="271"/>
      <c r="E669" s="272"/>
      <c r="F669" s="272"/>
      <c r="G669" s="273"/>
      <c r="H669" s="274"/>
      <c r="I669" s="274"/>
      <c r="J669" s="274"/>
      <c r="K669" s="274"/>
      <c r="L669" s="274"/>
      <c r="M669" s="274"/>
      <c r="N669" s="274"/>
      <c r="O669" s="274"/>
      <c r="P669" s="274"/>
      <c r="Q669" s="274"/>
      <c r="R669" s="274"/>
      <c r="S669" s="274"/>
      <c r="T669" s="274"/>
      <c r="U669" s="274"/>
      <c r="V669" s="274"/>
    </row>
    <row r="670" spans="1:22" x14ac:dyDescent="0.25">
      <c r="A670" s="247">
        <v>668</v>
      </c>
      <c r="B670" s="270"/>
      <c r="C670" s="270"/>
      <c r="D670" s="271"/>
      <c r="E670" s="272"/>
      <c r="F670" s="272"/>
      <c r="G670" s="273"/>
      <c r="H670" s="274"/>
      <c r="I670" s="274"/>
      <c r="J670" s="274"/>
      <c r="K670" s="274"/>
      <c r="L670" s="274"/>
      <c r="M670" s="274"/>
      <c r="N670" s="274"/>
      <c r="O670" s="274"/>
      <c r="P670" s="274"/>
      <c r="Q670" s="274"/>
      <c r="R670" s="274"/>
      <c r="S670" s="274"/>
      <c r="T670" s="274"/>
      <c r="U670" s="274"/>
      <c r="V670" s="274"/>
    </row>
    <row r="671" spans="1:22" x14ac:dyDescent="0.25">
      <c r="A671" s="247">
        <v>669</v>
      </c>
      <c r="B671" s="270"/>
      <c r="C671" s="270"/>
      <c r="D671" s="271"/>
      <c r="E671" s="272"/>
      <c r="F671" s="272"/>
      <c r="G671" s="273"/>
      <c r="H671" s="274"/>
      <c r="I671" s="274"/>
      <c r="J671" s="274"/>
      <c r="K671" s="274"/>
      <c r="L671" s="274"/>
      <c r="M671" s="274"/>
      <c r="N671" s="274"/>
      <c r="O671" s="274"/>
      <c r="P671" s="274"/>
      <c r="Q671" s="274"/>
      <c r="R671" s="274"/>
      <c r="S671" s="274"/>
      <c r="T671" s="274"/>
      <c r="U671" s="274"/>
      <c r="V671" s="274"/>
    </row>
    <row r="672" spans="1:22" x14ac:dyDescent="0.25">
      <c r="A672" s="247">
        <v>670</v>
      </c>
      <c r="B672" s="270"/>
      <c r="C672" s="270"/>
      <c r="D672" s="271"/>
      <c r="E672" s="272"/>
      <c r="F672" s="272"/>
      <c r="G672" s="273"/>
      <c r="H672" s="274"/>
      <c r="I672" s="274"/>
      <c r="J672" s="274"/>
      <c r="K672" s="274"/>
      <c r="L672" s="274"/>
      <c r="M672" s="274"/>
      <c r="N672" s="274"/>
      <c r="O672" s="274"/>
      <c r="P672" s="274"/>
      <c r="Q672" s="274"/>
      <c r="R672" s="274"/>
      <c r="S672" s="274"/>
      <c r="T672" s="274"/>
      <c r="U672" s="274"/>
      <c r="V672" s="274"/>
    </row>
    <row r="673" spans="1:22" x14ac:dyDescent="0.25">
      <c r="A673" s="247">
        <v>671</v>
      </c>
      <c r="B673" s="270"/>
      <c r="C673" s="270"/>
      <c r="D673" s="271"/>
      <c r="E673" s="272"/>
      <c r="F673" s="272"/>
      <c r="G673" s="273"/>
      <c r="H673" s="274"/>
      <c r="I673" s="274"/>
      <c r="J673" s="274"/>
      <c r="K673" s="274"/>
      <c r="L673" s="274"/>
      <c r="M673" s="274"/>
      <c r="N673" s="274"/>
      <c r="O673" s="274"/>
      <c r="P673" s="274"/>
      <c r="Q673" s="274"/>
      <c r="R673" s="274"/>
      <c r="S673" s="274"/>
      <c r="T673" s="274"/>
      <c r="U673" s="274"/>
      <c r="V673" s="274"/>
    </row>
    <row r="674" spans="1:22" x14ac:dyDescent="0.25">
      <c r="A674" s="247">
        <v>672</v>
      </c>
      <c r="B674" s="270"/>
      <c r="C674" s="270"/>
      <c r="D674" s="271"/>
      <c r="E674" s="272"/>
      <c r="F674" s="272"/>
      <c r="G674" s="273"/>
      <c r="H674" s="274"/>
      <c r="I674" s="274"/>
      <c r="J674" s="274"/>
      <c r="K674" s="274"/>
      <c r="L674" s="274"/>
      <c r="M674" s="274"/>
      <c r="N674" s="274"/>
      <c r="O674" s="274"/>
      <c r="P674" s="274"/>
      <c r="Q674" s="274"/>
      <c r="R674" s="274"/>
      <c r="S674" s="274"/>
      <c r="T674" s="274"/>
      <c r="U674" s="274"/>
      <c r="V674" s="274"/>
    </row>
    <row r="675" spans="1:22" x14ac:dyDescent="0.25">
      <c r="A675" s="247">
        <v>673</v>
      </c>
      <c r="B675" s="270"/>
      <c r="C675" s="270"/>
      <c r="D675" s="271"/>
      <c r="E675" s="272"/>
      <c r="F675" s="272"/>
      <c r="G675" s="273"/>
      <c r="H675" s="274"/>
      <c r="I675" s="274"/>
      <c r="J675" s="274"/>
      <c r="K675" s="274"/>
      <c r="L675" s="274"/>
      <c r="M675" s="274"/>
      <c r="N675" s="274"/>
      <c r="O675" s="274"/>
      <c r="P675" s="274"/>
      <c r="Q675" s="274"/>
      <c r="R675" s="274"/>
      <c r="S675" s="274"/>
      <c r="T675" s="274"/>
      <c r="U675" s="274"/>
      <c r="V675" s="274"/>
    </row>
    <row r="676" spans="1:22" x14ac:dyDescent="0.25">
      <c r="A676" s="247">
        <v>674</v>
      </c>
      <c r="B676" s="270"/>
      <c r="C676" s="270"/>
      <c r="D676" s="271"/>
      <c r="E676" s="272"/>
      <c r="F676" s="272"/>
      <c r="G676" s="273"/>
      <c r="H676" s="274"/>
      <c r="I676" s="274"/>
      <c r="J676" s="274"/>
      <c r="K676" s="274"/>
      <c r="L676" s="274"/>
      <c r="M676" s="274"/>
      <c r="N676" s="274"/>
      <c r="O676" s="274"/>
      <c r="P676" s="274"/>
      <c r="Q676" s="274"/>
      <c r="R676" s="274"/>
      <c r="S676" s="274"/>
      <c r="T676" s="274"/>
      <c r="U676" s="274"/>
      <c r="V676" s="274"/>
    </row>
    <row r="677" spans="1:22" x14ac:dyDescent="0.25">
      <c r="A677" s="247">
        <v>675</v>
      </c>
      <c r="B677" s="270"/>
      <c r="C677" s="270"/>
      <c r="D677" s="271"/>
      <c r="E677" s="272"/>
      <c r="F677" s="272"/>
      <c r="G677" s="273"/>
      <c r="H677" s="274"/>
      <c r="I677" s="274"/>
      <c r="J677" s="274"/>
      <c r="K677" s="274"/>
      <c r="L677" s="274"/>
      <c r="M677" s="274"/>
      <c r="N677" s="274"/>
      <c r="O677" s="274"/>
      <c r="P677" s="274"/>
      <c r="Q677" s="274"/>
      <c r="R677" s="274"/>
      <c r="S677" s="274"/>
      <c r="T677" s="274"/>
      <c r="U677" s="274"/>
      <c r="V677" s="274"/>
    </row>
    <row r="678" spans="1:22" x14ac:dyDescent="0.25">
      <c r="A678" s="247">
        <v>676</v>
      </c>
      <c r="B678" s="270"/>
      <c r="C678" s="270"/>
      <c r="D678" s="271"/>
      <c r="E678" s="272"/>
      <c r="F678" s="272"/>
      <c r="G678" s="273"/>
      <c r="H678" s="274"/>
      <c r="I678" s="274"/>
      <c r="J678" s="274"/>
      <c r="K678" s="274"/>
      <c r="L678" s="274"/>
      <c r="M678" s="274"/>
      <c r="N678" s="274"/>
      <c r="O678" s="274"/>
      <c r="P678" s="274"/>
      <c r="Q678" s="274"/>
      <c r="R678" s="274"/>
      <c r="S678" s="274"/>
      <c r="T678" s="274"/>
      <c r="U678" s="274"/>
      <c r="V678" s="274"/>
    </row>
    <row r="679" spans="1:22" x14ac:dyDescent="0.25">
      <c r="A679" s="247">
        <v>677</v>
      </c>
      <c r="B679" s="270"/>
      <c r="C679" s="270"/>
      <c r="D679" s="271"/>
      <c r="E679" s="272"/>
      <c r="F679" s="272"/>
      <c r="G679" s="273"/>
      <c r="H679" s="274"/>
      <c r="I679" s="274"/>
      <c r="J679" s="274"/>
      <c r="K679" s="274"/>
      <c r="L679" s="274"/>
      <c r="M679" s="274"/>
      <c r="N679" s="274"/>
      <c r="O679" s="274"/>
      <c r="P679" s="274"/>
      <c r="Q679" s="274"/>
      <c r="R679" s="274"/>
      <c r="S679" s="274"/>
      <c r="T679" s="274"/>
      <c r="U679" s="274"/>
      <c r="V679" s="274"/>
    </row>
    <row r="680" spans="1:22" x14ac:dyDescent="0.25">
      <c r="A680" s="247">
        <v>678</v>
      </c>
      <c r="B680" s="270"/>
      <c r="C680" s="270"/>
      <c r="D680" s="271"/>
      <c r="E680" s="272"/>
      <c r="F680" s="272"/>
      <c r="G680" s="273"/>
      <c r="H680" s="274"/>
      <c r="I680" s="274"/>
      <c r="J680" s="274"/>
      <c r="K680" s="274"/>
      <c r="L680" s="274"/>
      <c r="M680" s="274"/>
      <c r="N680" s="274"/>
      <c r="O680" s="274"/>
      <c r="P680" s="274"/>
      <c r="Q680" s="274"/>
      <c r="R680" s="274"/>
      <c r="S680" s="274"/>
      <c r="T680" s="274"/>
      <c r="U680" s="274"/>
      <c r="V680" s="274"/>
    </row>
    <row r="681" spans="1:22" x14ac:dyDescent="0.25">
      <c r="A681" s="247">
        <v>679</v>
      </c>
      <c r="B681" s="270"/>
      <c r="C681" s="270"/>
      <c r="D681" s="271"/>
      <c r="E681" s="272"/>
      <c r="F681" s="272"/>
      <c r="G681" s="273"/>
      <c r="H681" s="274"/>
      <c r="I681" s="274"/>
      <c r="J681" s="274"/>
      <c r="K681" s="274"/>
      <c r="L681" s="274"/>
      <c r="M681" s="274"/>
      <c r="N681" s="274"/>
      <c r="O681" s="274"/>
      <c r="P681" s="274"/>
      <c r="Q681" s="274"/>
      <c r="R681" s="274"/>
      <c r="S681" s="274"/>
      <c r="T681" s="274"/>
      <c r="U681" s="274"/>
      <c r="V681" s="274"/>
    </row>
    <row r="682" spans="1:22" x14ac:dyDescent="0.25">
      <c r="A682" s="247">
        <v>680</v>
      </c>
      <c r="B682" s="270"/>
      <c r="C682" s="270"/>
      <c r="D682" s="271"/>
      <c r="E682" s="272"/>
      <c r="F682" s="272"/>
      <c r="G682" s="273"/>
      <c r="H682" s="274"/>
      <c r="I682" s="274"/>
      <c r="J682" s="274"/>
      <c r="K682" s="274"/>
      <c r="L682" s="274"/>
      <c r="M682" s="274"/>
      <c r="N682" s="274"/>
      <c r="O682" s="274"/>
      <c r="P682" s="274"/>
      <c r="Q682" s="274"/>
      <c r="R682" s="274"/>
      <c r="S682" s="274"/>
      <c r="T682" s="274"/>
      <c r="U682" s="274"/>
      <c r="V682" s="274"/>
    </row>
    <row r="683" spans="1:22" x14ac:dyDescent="0.25">
      <c r="A683" s="247">
        <v>681</v>
      </c>
      <c r="B683" s="270"/>
      <c r="C683" s="270"/>
      <c r="D683" s="271"/>
      <c r="E683" s="272"/>
      <c r="F683" s="272"/>
      <c r="G683" s="273"/>
      <c r="H683" s="274"/>
      <c r="I683" s="274"/>
      <c r="J683" s="274"/>
      <c r="K683" s="274"/>
      <c r="L683" s="274"/>
      <c r="M683" s="274"/>
      <c r="N683" s="274"/>
      <c r="O683" s="274"/>
      <c r="P683" s="274"/>
      <c r="Q683" s="274"/>
      <c r="R683" s="274"/>
      <c r="S683" s="274"/>
      <c r="T683" s="274"/>
      <c r="U683" s="274"/>
      <c r="V683" s="274"/>
    </row>
    <row r="684" spans="1:22" x14ac:dyDescent="0.25">
      <c r="A684" s="247">
        <v>682</v>
      </c>
      <c r="B684" s="270"/>
      <c r="C684" s="270"/>
      <c r="D684" s="271"/>
      <c r="E684" s="272"/>
      <c r="F684" s="272"/>
      <c r="G684" s="273"/>
      <c r="H684" s="274"/>
      <c r="I684" s="274"/>
      <c r="J684" s="274"/>
      <c r="K684" s="274"/>
      <c r="L684" s="274"/>
      <c r="M684" s="274"/>
      <c r="N684" s="274"/>
      <c r="O684" s="274"/>
      <c r="P684" s="274"/>
      <c r="Q684" s="274"/>
      <c r="R684" s="274"/>
      <c r="S684" s="274"/>
      <c r="T684" s="274"/>
      <c r="U684" s="274"/>
      <c r="V684" s="274"/>
    </row>
    <row r="685" spans="1:22" x14ac:dyDescent="0.25">
      <c r="A685" s="247">
        <v>683</v>
      </c>
      <c r="B685" s="270"/>
      <c r="C685" s="270"/>
      <c r="D685" s="271"/>
      <c r="E685" s="272"/>
      <c r="F685" s="272"/>
      <c r="G685" s="273"/>
      <c r="H685" s="274"/>
      <c r="I685" s="274"/>
      <c r="J685" s="274"/>
      <c r="K685" s="274"/>
      <c r="L685" s="274"/>
      <c r="M685" s="274"/>
      <c r="N685" s="274"/>
      <c r="O685" s="274"/>
      <c r="P685" s="274"/>
      <c r="Q685" s="274"/>
      <c r="R685" s="274"/>
      <c r="S685" s="274"/>
      <c r="T685" s="274"/>
      <c r="U685" s="274"/>
      <c r="V685" s="274"/>
    </row>
    <row r="686" spans="1:22" x14ac:dyDescent="0.25">
      <c r="A686" s="247">
        <v>684</v>
      </c>
      <c r="B686" s="270"/>
      <c r="C686" s="270"/>
      <c r="D686" s="271"/>
      <c r="E686" s="272"/>
      <c r="F686" s="272"/>
      <c r="G686" s="273"/>
      <c r="H686" s="274"/>
      <c r="I686" s="274"/>
      <c r="J686" s="274"/>
      <c r="K686" s="274"/>
      <c r="L686" s="274"/>
      <c r="M686" s="274"/>
      <c r="N686" s="274"/>
      <c r="O686" s="274"/>
      <c r="P686" s="274"/>
      <c r="Q686" s="274"/>
      <c r="R686" s="274"/>
      <c r="S686" s="274"/>
      <c r="T686" s="274"/>
      <c r="U686" s="274"/>
      <c r="V686" s="274"/>
    </row>
    <row r="687" spans="1:22" x14ac:dyDescent="0.25">
      <c r="A687" s="247">
        <v>685</v>
      </c>
      <c r="B687" s="270"/>
      <c r="C687" s="270"/>
      <c r="D687" s="271"/>
      <c r="E687" s="272"/>
      <c r="F687" s="272"/>
      <c r="G687" s="273"/>
      <c r="H687" s="274"/>
      <c r="I687" s="274"/>
      <c r="J687" s="274"/>
      <c r="K687" s="274"/>
      <c r="L687" s="274"/>
      <c r="M687" s="274"/>
      <c r="N687" s="274"/>
      <c r="O687" s="274"/>
      <c r="P687" s="274"/>
      <c r="Q687" s="274"/>
      <c r="R687" s="274"/>
      <c r="S687" s="274"/>
      <c r="T687" s="274"/>
      <c r="U687" s="274"/>
      <c r="V687" s="274"/>
    </row>
    <row r="688" spans="1:22" x14ac:dyDescent="0.25">
      <c r="A688" s="247">
        <v>686</v>
      </c>
      <c r="B688" s="270"/>
      <c r="C688" s="270"/>
      <c r="D688" s="271"/>
      <c r="E688" s="272"/>
      <c r="F688" s="272"/>
      <c r="G688" s="273"/>
      <c r="H688" s="274"/>
      <c r="I688" s="274"/>
      <c r="J688" s="274"/>
      <c r="K688" s="274"/>
      <c r="L688" s="274"/>
      <c r="M688" s="274"/>
      <c r="N688" s="274"/>
      <c r="O688" s="274"/>
      <c r="P688" s="274"/>
      <c r="Q688" s="274"/>
      <c r="R688" s="274"/>
      <c r="S688" s="274"/>
      <c r="T688" s="274"/>
      <c r="U688" s="274"/>
      <c r="V688" s="274"/>
    </row>
    <row r="689" spans="1:22" x14ac:dyDescent="0.25">
      <c r="A689" s="247">
        <v>687</v>
      </c>
      <c r="B689" s="270"/>
      <c r="C689" s="270"/>
      <c r="D689" s="271"/>
      <c r="E689" s="272"/>
      <c r="F689" s="272"/>
      <c r="G689" s="273"/>
      <c r="H689" s="274"/>
      <c r="I689" s="274"/>
      <c r="J689" s="274"/>
      <c r="K689" s="274"/>
      <c r="L689" s="274"/>
      <c r="M689" s="274"/>
      <c r="N689" s="274"/>
      <c r="O689" s="274"/>
      <c r="P689" s="274"/>
      <c r="Q689" s="274"/>
      <c r="R689" s="274"/>
      <c r="S689" s="274"/>
      <c r="T689" s="274"/>
      <c r="U689" s="274"/>
      <c r="V689" s="274"/>
    </row>
    <row r="690" spans="1:22" x14ac:dyDescent="0.25">
      <c r="A690" s="247">
        <v>688</v>
      </c>
      <c r="B690" s="270"/>
      <c r="C690" s="270"/>
      <c r="D690" s="271"/>
      <c r="E690" s="272"/>
      <c r="F690" s="272"/>
      <c r="G690" s="273"/>
      <c r="H690" s="274"/>
      <c r="I690" s="274"/>
      <c r="J690" s="274"/>
      <c r="K690" s="274"/>
      <c r="L690" s="274"/>
      <c r="M690" s="274"/>
      <c r="N690" s="274"/>
      <c r="O690" s="274"/>
      <c r="P690" s="274"/>
      <c r="Q690" s="274"/>
      <c r="R690" s="274"/>
      <c r="S690" s="274"/>
      <c r="T690" s="274"/>
      <c r="U690" s="274"/>
      <c r="V690" s="274"/>
    </row>
    <row r="691" spans="1:22" x14ac:dyDescent="0.25">
      <c r="A691" s="247">
        <v>689</v>
      </c>
      <c r="B691" s="270"/>
      <c r="C691" s="270"/>
      <c r="D691" s="271"/>
      <c r="E691" s="272"/>
      <c r="F691" s="272"/>
      <c r="G691" s="273"/>
      <c r="H691" s="274"/>
      <c r="I691" s="274"/>
      <c r="J691" s="274"/>
      <c r="K691" s="274"/>
      <c r="L691" s="274"/>
      <c r="M691" s="274"/>
      <c r="N691" s="274"/>
      <c r="O691" s="274"/>
      <c r="P691" s="274"/>
      <c r="Q691" s="274"/>
      <c r="R691" s="274"/>
      <c r="S691" s="274"/>
      <c r="T691" s="274"/>
      <c r="U691" s="274"/>
      <c r="V691" s="274"/>
    </row>
    <row r="692" spans="1:22" x14ac:dyDescent="0.25">
      <c r="A692" s="247">
        <v>690</v>
      </c>
      <c r="B692" s="270"/>
      <c r="C692" s="270"/>
      <c r="D692" s="271"/>
      <c r="E692" s="272"/>
      <c r="F692" s="272"/>
      <c r="G692" s="273"/>
      <c r="H692" s="274"/>
      <c r="I692" s="274"/>
      <c r="J692" s="274"/>
      <c r="K692" s="274"/>
      <c r="L692" s="274"/>
      <c r="M692" s="274"/>
      <c r="N692" s="274"/>
      <c r="O692" s="274"/>
      <c r="P692" s="274"/>
      <c r="Q692" s="274"/>
      <c r="R692" s="274"/>
      <c r="S692" s="274"/>
      <c r="T692" s="274"/>
      <c r="U692" s="274"/>
      <c r="V692" s="274"/>
    </row>
    <row r="693" spans="1:22" x14ac:dyDescent="0.25">
      <c r="A693" s="247">
        <v>691</v>
      </c>
      <c r="B693" s="270"/>
      <c r="C693" s="270"/>
      <c r="D693" s="271"/>
      <c r="E693" s="272"/>
      <c r="F693" s="272"/>
      <c r="G693" s="273"/>
      <c r="H693" s="274"/>
      <c r="I693" s="274"/>
      <c r="J693" s="274"/>
      <c r="K693" s="274"/>
      <c r="L693" s="274"/>
      <c r="M693" s="274"/>
      <c r="N693" s="274"/>
      <c r="O693" s="274"/>
      <c r="P693" s="274"/>
      <c r="Q693" s="274"/>
      <c r="R693" s="274"/>
      <c r="S693" s="274"/>
      <c r="T693" s="274"/>
      <c r="U693" s="274"/>
      <c r="V693" s="274"/>
    </row>
    <row r="694" spans="1:22" x14ac:dyDescent="0.25">
      <c r="A694" s="247">
        <v>692</v>
      </c>
      <c r="B694" s="270"/>
      <c r="C694" s="270"/>
      <c r="D694" s="271"/>
      <c r="E694" s="272"/>
      <c r="F694" s="272"/>
      <c r="G694" s="273"/>
      <c r="H694" s="274"/>
      <c r="I694" s="274"/>
      <c r="J694" s="274"/>
      <c r="K694" s="274"/>
      <c r="L694" s="274"/>
      <c r="M694" s="274"/>
      <c r="N694" s="274"/>
      <c r="O694" s="274"/>
      <c r="P694" s="274"/>
      <c r="Q694" s="274"/>
      <c r="R694" s="274"/>
      <c r="S694" s="274"/>
      <c r="T694" s="274"/>
      <c r="U694" s="274"/>
      <c r="V694" s="274"/>
    </row>
    <row r="695" spans="1:22" x14ac:dyDescent="0.25">
      <c r="A695" s="247">
        <v>693</v>
      </c>
      <c r="B695" s="270"/>
      <c r="C695" s="270"/>
      <c r="D695" s="271"/>
      <c r="E695" s="272"/>
      <c r="F695" s="272"/>
      <c r="G695" s="273"/>
      <c r="H695" s="274"/>
      <c r="I695" s="274"/>
      <c r="J695" s="274"/>
      <c r="K695" s="274"/>
      <c r="L695" s="274"/>
      <c r="M695" s="274"/>
      <c r="N695" s="274"/>
      <c r="O695" s="274"/>
      <c r="P695" s="274"/>
      <c r="Q695" s="274"/>
      <c r="R695" s="274"/>
      <c r="S695" s="274"/>
      <c r="T695" s="274"/>
      <c r="U695" s="274"/>
      <c r="V695" s="274"/>
    </row>
    <row r="696" spans="1:22" x14ac:dyDescent="0.25">
      <c r="A696" s="247">
        <v>694</v>
      </c>
      <c r="B696" s="270"/>
      <c r="C696" s="270"/>
      <c r="D696" s="271"/>
      <c r="E696" s="272"/>
      <c r="F696" s="272"/>
      <c r="G696" s="273"/>
      <c r="H696" s="274"/>
      <c r="I696" s="274"/>
      <c r="J696" s="274"/>
      <c r="K696" s="274"/>
      <c r="L696" s="274"/>
      <c r="M696" s="274"/>
      <c r="N696" s="274"/>
      <c r="O696" s="274"/>
      <c r="P696" s="274"/>
      <c r="Q696" s="274"/>
      <c r="R696" s="274"/>
      <c r="S696" s="274"/>
      <c r="T696" s="274"/>
      <c r="U696" s="274"/>
      <c r="V696" s="274"/>
    </row>
    <row r="697" spans="1:22" x14ac:dyDescent="0.25">
      <c r="A697" s="247">
        <v>695</v>
      </c>
      <c r="B697" s="270"/>
      <c r="C697" s="270"/>
      <c r="D697" s="271"/>
      <c r="E697" s="272"/>
      <c r="F697" s="272"/>
      <c r="G697" s="273"/>
      <c r="H697" s="274"/>
      <c r="I697" s="274"/>
      <c r="J697" s="274"/>
      <c r="K697" s="274"/>
      <c r="L697" s="274"/>
      <c r="M697" s="274"/>
      <c r="N697" s="274"/>
      <c r="O697" s="274"/>
      <c r="P697" s="274"/>
      <c r="Q697" s="274"/>
      <c r="R697" s="274"/>
      <c r="S697" s="274"/>
      <c r="T697" s="274"/>
      <c r="U697" s="274"/>
      <c r="V697" s="274"/>
    </row>
    <row r="698" spans="1:22" x14ac:dyDescent="0.25">
      <c r="A698" s="247">
        <v>696</v>
      </c>
      <c r="B698" s="270"/>
      <c r="C698" s="270"/>
      <c r="D698" s="271"/>
      <c r="E698" s="272"/>
      <c r="F698" s="272"/>
      <c r="G698" s="273"/>
      <c r="H698" s="274"/>
      <c r="I698" s="274"/>
      <c r="J698" s="274"/>
      <c r="K698" s="274"/>
      <c r="L698" s="274"/>
      <c r="M698" s="274"/>
      <c r="N698" s="274"/>
      <c r="O698" s="274"/>
      <c r="P698" s="274"/>
      <c r="Q698" s="274"/>
      <c r="R698" s="274"/>
      <c r="S698" s="274"/>
      <c r="T698" s="274"/>
      <c r="U698" s="274"/>
      <c r="V698" s="274"/>
    </row>
    <row r="699" spans="1:22" x14ac:dyDescent="0.25">
      <c r="A699" s="247">
        <v>697</v>
      </c>
      <c r="B699" s="270"/>
      <c r="C699" s="270"/>
      <c r="D699" s="271"/>
      <c r="E699" s="272"/>
      <c r="F699" s="272"/>
      <c r="G699" s="273"/>
      <c r="H699" s="274"/>
      <c r="I699" s="274"/>
      <c r="J699" s="274"/>
      <c r="K699" s="274"/>
      <c r="L699" s="274"/>
      <c r="M699" s="274"/>
      <c r="N699" s="274"/>
      <c r="O699" s="274"/>
      <c r="P699" s="274"/>
      <c r="Q699" s="274"/>
      <c r="R699" s="274"/>
      <c r="S699" s="274"/>
      <c r="T699" s="274"/>
      <c r="U699" s="274"/>
      <c r="V699" s="274"/>
    </row>
    <row r="700" spans="1:22" x14ac:dyDescent="0.25">
      <c r="A700" s="247">
        <v>698</v>
      </c>
      <c r="B700" s="270"/>
      <c r="C700" s="270"/>
      <c r="D700" s="271"/>
      <c r="E700" s="272"/>
      <c r="F700" s="272"/>
      <c r="G700" s="273"/>
      <c r="H700" s="274"/>
      <c r="I700" s="274"/>
      <c r="J700" s="274"/>
      <c r="K700" s="274"/>
      <c r="L700" s="274"/>
      <c r="M700" s="274"/>
      <c r="N700" s="274"/>
      <c r="O700" s="274"/>
      <c r="P700" s="274"/>
      <c r="Q700" s="274"/>
      <c r="R700" s="274"/>
      <c r="S700" s="274"/>
      <c r="T700" s="274"/>
      <c r="U700" s="274"/>
      <c r="V700" s="274"/>
    </row>
    <row r="701" spans="1:22" x14ac:dyDescent="0.25">
      <c r="A701" s="247">
        <v>699</v>
      </c>
      <c r="B701" s="270"/>
      <c r="C701" s="270"/>
      <c r="D701" s="271"/>
      <c r="E701" s="272"/>
      <c r="F701" s="272"/>
      <c r="G701" s="273"/>
      <c r="H701" s="274"/>
      <c r="I701" s="274"/>
      <c r="J701" s="274"/>
      <c r="K701" s="274"/>
      <c r="L701" s="274"/>
      <c r="M701" s="274"/>
      <c r="N701" s="274"/>
      <c r="O701" s="274"/>
      <c r="P701" s="274"/>
      <c r="Q701" s="274"/>
      <c r="R701" s="274"/>
      <c r="S701" s="274"/>
      <c r="T701" s="274"/>
      <c r="U701" s="274"/>
      <c r="V701" s="274"/>
    </row>
    <row r="702" spans="1:22" x14ac:dyDescent="0.25">
      <c r="A702" s="247">
        <v>700</v>
      </c>
      <c r="B702" s="270"/>
      <c r="C702" s="270"/>
      <c r="D702" s="271"/>
      <c r="E702" s="272"/>
      <c r="F702" s="272"/>
      <c r="G702" s="273"/>
      <c r="H702" s="274"/>
      <c r="I702" s="274"/>
      <c r="J702" s="274"/>
      <c r="K702" s="274"/>
      <c r="L702" s="274"/>
      <c r="M702" s="274"/>
      <c r="N702" s="274"/>
      <c r="O702" s="274"/>
      <c r="P702" s="274"/>
      <c r="Q702" s="274"/>
      <c r="R702" s="274"/>
      <c r="S702" s="274"/>
      <c r="T702" s="274"/>
      <c r="U702" s="274"/>
      <c r="V702" s="274"/>
    </row>
    <row r="703" spans="1:22" x14ac:dyDescent="0.25">
      <c r="A703" s="247">
        <v>701</v>
      </c>
      <c r="B703" s="270"/>
      <c r="C703" s="270"/>
      <c r="D703" s="271"/>
      <c r="E703" s="272"/>
      <c r="F703" s="272"/>
      <c r="G703" s="273"/>
      <c r="H703" s="274"/>
      <c r="I703" s="274"/>
      <c r="J703" s="274"/>
      <c r="K703" s="274"/>
      <c r="L703" s="274"/>
      <c r="M703" s="274"/>
      <c r="N703" s="274"/>
      <c r="O703" s="274"/>
      <c r="P703" s="274"/>
      <c r="Q703" s="274"/>
      <c r="R703" s="274"/>
      <c r="S703" s="274"/>
      <c r="T703" s="274"/>
      <c r="U703" s="274"/>
      <c r="V703" s="274"/>
    </row>
    <row r="704" spans="1:22" x14ac:dyDescent="0.25">
      <c r="A704" s="247">
        <v>702</v>
      </c>
      <c r="B704" s="270"/>
      <c r="C704" s="270"/>
      <c r="D704" s="271"/>
      <c r="E704" s="272"/>
      <c r="F704" s="272"/>
      <c r="G704" s="273"/>
      <c r="H704" s="274"/>
      <c r="I704" s="274"/>
      <c r="J704" s="274"/>
      <c r="K704" s="274"/>
      <c r="L704" s="274"/>
      <c r="M704" s="274"/>
      <c r="N704" s="274"/>
      <c r="O704" s="274"/>
      <c r="P704" s="274"/>
      <c r="Q704" s="274"/>
      <c r="R704" s="274"/>
      <c r="S704" s="274"/>
      <c r="T704" s="274"/>
      <c r="U704" s="274"/>
      <c r="V704" s="274"/>
    </row>
    <row r="705" spans="1:22" x14ac:dyDescent="0.25">
      <c r="A705" s="247">
        <v>703</v>
      </c>
      <c r="B705" s="270"/>
      <c r="C705" s="270"/>
      <c r="D705" s="271"/>
      <c r="E705" s="272"/>
      <c r="F705" s="272"/>
      <c r="G705" s="273"/>
      <c r="H705" s="274"/>
      <c r="I705" s="274"/>
      <c r="J705" s="274"/>
      <c r="K705" s="274"/>
      <c r="L705" s="274"/>
      <c r="M705" s="274"/>
      <c r="N705" s="274"/>
      <c r="O705" s="274"/>
      <c r="P705" s="274"/>
      <c r="Q705" s="274"/>
      <c r="R705" s="274"/>
      <c r="S705" s="274"/>
      <c r="T705" s="274"/>
      <c r="U705" s="274"/>
      <c r="V705" s="274"/>
    </row>
    <row r="706" spans="1:22" x14ac:dyDescent="0.25">
      <c r="A706" s="247">
        <v>704</v>
      </c>
      <c r="B706" s="270"/>
      <c r="C706" s="270"/>
      <c r="D706" s="271"/>
      <c r="E706" s="272"/>
      <c r="F706" s="272"/>
      <c r="G706" s="273"/>
      <c r="H706" s="274"/>
      <c r="I706" s="274"/>
      <c r="J706" s="274"/>
      <c r="K706" s="274"/>
      <c r="L706" s="274"/>
      <c r="M706" s="274"/>
      <c r="N706" s="274"/>
      <c r="O706" s="274"/>
      <c r="P706" s="274"/>
      <c r="Q706" s="274"/>
      <c r="R706" s="274"/>
      <c r="S706" s="274"/>
      <c r="T706" s="274"/>
      <c r="U706" s="274"/>
      <c r="V706" s="274"/>
    </row>
    <row r="707" spans="1:22" x14ac:dyDescent="0.25">
      <c r="A707" s="247">
        <v>705</v>
      </c>
      <c r="B707" s="270"/>
      <c r="C707" s="270"/>
      <c r="D707" s="271"/>
      <c r="E707" s="272"/>
      <c r="F707" s="272"/>
      <c r="G707" s="273"/>
      <c r="H707" s="274"/>
      <c r="I707" s="274"/>
      <c r="J707" s="274"/>
      <c r="K707" s="274"/>
      <c r="L707" s="274"/>
      <c r="M707" s="274"/>
      <c r="N707" s="274"/>
      <c r="O707" s="274"/>
      <c r="P707" s="274"/>
      <c r="Q707" s="274"/>
      <c r="R707" s="274"/>
      <c r="S707" s="274"/>
      <c r="T707" s="274"/>
      <c r="U707" s="274"/>
      <c r="V707" s="274"/>
    </row>
    <row r="708" spans="1:22" x14ac:dyDescent="0.25">
      <c r="A708" s="247">
        <v>706</v>
      </c>
      <c r="B708" s="270"/>
      <c r="C708" s="270"/>
      <c r="D708" s="271"/>
      <c r="E708" s="272"/>
      <c r="F708" s="272"/>
      <c r="G708" s="273"/>
      <c r="H708" s="274"/>
      <c r="I708" s="274"/>
      <c r="J708" s="274"/>
      <c r="K708" s="274"/>
      <c r="L708" s="274"/>
      <c r="M708" s="274"/>
      <c r="N708" s="274"/>
      <c r="O708" s="274"/>
      <c r="P708" s="274"/>
      <c r="Q708" s="274"/>
      <c r="R708" s="274"/>
      <c r="S708" s="274"/>
      <c r="T708" s="274"/>
      <c r="U708" s="274"/>
      <c r="V708" s="274"/>
    </row>
    <row r="709" spans="1:22" x14ac:dyDescent="0.25">
      <c r="A709" s="247">
        <v>707</v>
      </c>
      <c r="B709" s="270"/>
      <c r="C709" s="270"/>
      <c r="D709" s="271"/>
      <c r="E709" s="272"/>
      <c r="F709" s="272"/>
      <c r="G709" s="273"/>
      <c r="H709" s="274"/>
      <c r="I709" s="274"/>
      <c r="J709" s="274"/>
      <c r="K709" s="274"/>
      <c r="L709" s="274"/>
      <c r="M709" s="274"/>
      <c r="N709" s="274"/>
      <c r="O709" s="274"/>
      <c r="P709" s="274"/>
      <c r="Q709" s="274"/>
      <c r="R709" s="274"/>
      <c r="S709" s="274"/>
      <c r="T709" s="274"/>
      <c r="U709" s="274"/>
      <c r="V709" s="274"/>
    </row>
    <row r="710" spans="1:22" x14ac:dyDescent="0.25">
      <c r="A710" s="247">
        <v>708</v>
      </c>
      <c r="B710" s="270"/>
      <c r="C710" s="270"/>
      <c r="D710" s="271"/>
      <c r="E710" s="272"/>
      <c r="F710" s="272"/>
      <c r="G710" s="273"/>
      <c r="H710" s="274"/>
      <c r="I710" s="274"/>
      <c r="J710" s="274"/>
      <c r="K710" s="274"/>
      <c r="L710" s="274"/>
      <c r="M710" s="274"/>
      <c r="N710" s="274"/>
      <c r="O710" s="274"/>
      <c r="P710" s="274"/>
      <c r="Q710" s="274"/>
      <c r="R710" s="274"/>
      <c r="S710" s="274"/>
      <c r="T710" s="274"/>
      <c r="U710" s="274"/>
      <c r="V710" s="274"/>
    </row>
    <row r="711" spans="1:22" x14ac:dyDescent="0.25">
      <c r="A711" s="247">
        <v>709</v>
      </c>
      <c r="B711" s="270"/>
      <c r="C711" s="270"/>
      <c r="D711" s="271"/>
      <c r="E711" s="272"/>
      <c r="F711" s="272"/>
      <c r="G711" s="273"/>
      <c r="H711" s="274"/>
      <c r="I711" s="274"/>
      <c r="J711" s="274"/>
      <c r="K711" s="274"/>
      <c r="L711" s="274"/>
      <c r="M711" s="274"/>
      <c r="N711" s="274"/>
      <c r="O711" s="274"/>
      <c r="P711" s="274"/>
      <c r="Q711" s="274"/>
      <c r="R711" s="274"/>
      <c r="S711" s="274"/>
      <c r="T711" s="274"/>
      <c r="U711" s="274"/>
      <c r="V711" s="274"/>
    </row>
    <row r="712" spans="1:22" x14ac:dyDescent="0.25">
      <c r="A712" s="247">
        <v>710</v>
      </c>
      <c r="B712" s="270"/>
      <c r="C712" s="270"/>
      <c r="D712" s="271"/>
      <c r="E712" s="272"/>
      <c r="F712" s="272"/>
      <c r="G712" s="273"/>
      <c r="H712" s="274"/>
      <c r="I712" s="274"/>
      <c r="J712" s="274"/>
      <c r="K712" s="274"/>
      <c r="L712" s="274"/>
      <c r="M712" s="274"/>
      <c r="N712" s="274"/>
      <c r="O712" s="274"/>
      <c r="P712" s="274"/>
      <c r="Q712" s="274"/>
      <c r="R712" s="274"/>
      <c r="S712" s="274"/>
      <c r="T712" s="274"/>
      <c r="U712" s="274"/>
      <c r="V712" s="274"/>
    </row>
    <row r="713" spans="1:22" x14ac:dyDescent="0.25">
      <c r="A713" s="247">
        <v>711</v>
      </c>
      <c r="B713" s="270"/>
      <c r="C713" s="270"/>
      <c r="D713" s="271"/>
      <c r="E713" s="272"/>
      <c r="F713" s="272"/>
      <c r="G713" s="273"/>
      <c r="H713" s="274"/>
      <c r="I713" s="274"/>
      <c r="J713" s="274"/>
      <c r="K713" s="274"/>
      <c r="L713" s="274"/>
      <c r="M713" s="274"/>
      <c r="N713" s="274"/>
      <c r="O713" s="274"/>
      <c r="P713" s="274"/>
      <c r="Q713" s="274"/>
      <c r="R713" s="274"/>
      <c r="S713" s="274"/>
      <c r="T713" s="274"/>
      <c r="U713" s="274"/>
      <c r="V713" s="274"/>
    </row>
    <row r="714" spans="1:22" x14ac:dyDescent="0.25">
      <c r="A714" s="247">
        <v>712</v>
      </c>
      <c r="B714" s="270"/>
      <c r="C714" s="270"/>
      <c r="D714" s="271"/>
      <c r="E714" s="272"/>
      <c r="F714" s="272"/>
      <c r="G714" s="273"/>
      <c r="H714" s="274"/>
      <c r="I714" s="274"/>
      <c r="J714" s="274"/>
      <c r="K714" s="274"/>
      <c r="L714" s="274"/>
      <c r="M714" s="274"/>
      <c r="N714" s="274"/>
      <c r="O714" s="274"/>
      <c r="P714" s="274"/>
      <c r="Q714" s="274"/>
      <c r="R714" s="274"/>
      <c r="S714" s="274"/>
      <c r="T714" s="274"/>
      <c r="U714" s="274"/>
      <c r="V714" s="274"/>
    </row>
    <row r="715" spans="1:22" x14ac:dyDescent="0.25">
      <c r="A715" s="247">
        <v>713</v>
      </c>
      <c r="B715" s="270"/>
      <c r="C715" s="270"/>
      <c r="D715" s="271"/>
      <c r="E715" s="272"/>
      <c r="F715" s="272"/>
      <c r="G715" s="273"/>
      <c r="H715" s="274"/>
      <c r="I715" s="274"/>
      <c r="J715" s="274"/>
      <c r="K715" s="274"/>
      <c r="L715" s="274"/>
      <c r="M715" s="274"/>
      <c r="N715" s="274"/>
      <c r="O715" s="274"/>
      <c r="P715" s="274"/>
      <c r="Q715" s="274"/>
      <c r="R715" s="274"/>
      <c r="S715" s="274"/>
      <c r="T715" s="274"/>
      <c r="U715" s="274"/>
      <c r="V715" s="274"/>
    </row>
    <row r="716" spans="1:22" x14ac:dyDescent="0.25">
      <c r="A716" s="247">
        <v>714</v>
      </c>
      <c r="B716" s="270"/>
      <c r="C716" s="270"/>
      <c r="D716" s="271"/>
      <c r="E716" s="272"/>
      <c r="F716" s="272"/>
      <c r="G716" s="273"/>
      <c r="H716" s="274"/>
      <c r="I716" s="274"/>
      <c r="J716" s="274"/>
      <c r="K716" s="274"/>
      <c r="L716" s="274"/>
      <c r="M716" s="274"/>
      <c r="N716" s="274"/>
      <c r="O716" s="274"/>
      <c r="P716" s="274"/>
      <c r="Q716" s="274"/>
      <c r="R716" s="274"/>
      <c r="S716" s="274"/>
      <c r="T716" s="274"/>
      <c r="U716" s="274"/>
      <c r="V716" s="274"/>
    </row>
    <row r="717" spans="1:22" x14ac:dyDescent="0.25">
      <c r="A717" s="247">
        <v>715</v>
      </c>
      <c r="B717" s="270"/>
      <c r="C717" s="270"/>
      <c r="D717" s="271"/>
      <c r="E717" s="272"/>
      <c r="F717" s="272"/>
      <c r="G717" s="273"/>
      <c r="H717" s="274"/>
      <c r="I717" s="274"/>
      <c r="J717" s="274"/>
      <c r="K717" s="274"/>
      <c r="L717" s="274"/>
      <c r="M717" s="274"/>
      <c r="N717" s="274"/>
      <c r="O717" s="274"/>
      <c r="P717" s="274"/>
      <c r="Q717" s="274"/>
      <c r="R717" s="274"/>
      <c r="S717" s="274"/>
      <c r="T717" s="274"/>
      <c r="U717" s="274"/>
      <c r="V717" s="274"/>
    </row>
    <row r="718" spans="1:22" x14ac:dyDescent="0.25">
      <c r="A718" s="247">
        <v>716</v>
      </c>
      <c r="B718" s="270"/>
      <c r="C718" s="270"/>
      <c r="D718" s="271"/>
      <c r="E718" s="272"/>
      <c r="F718" s="272"/>
      <c r="G718" s="273"/>
      <c r="H718" s="274"/>
      <c r="I718" s="274"/>
      <c r="J718" s="274"/>
      <c r="K718" s="274"/>
      <c r="L718" s="274"/>
      <c r="M718" s="274"/>
      <c r="N718" s="274"/>
      <c r="O718" s="274"/>
      <c r="P718" s="274"/>
      <c r="Q718" s="274"/>
      <c r="R718" s="274"/>
      <c r="S718" s="274"/>
      <c r="T718" s="274"/>
      <c r="U718" s="274"/>
      <c r="V718" s="274"/>
    </row>
    <row r="719" spans="1:22" x14ac:dyDescent="0.25">
      <c r="A719" s="247">
        <v>717</v>
      </c>
      <c r="B719" s="270"/>
      <c r="C719" s="270"/>
      <c r="D719" s="271"/>
      <c r="E719" s="272"/>
      <c r="F719" s="272"/>
      <c r="G719" s="273"/>
      <c r="H719" s="274"/>
      <c r="I719" s="274"/>
      <c r="J719" s="274"/>
      <c r="K719" s="274"/>
      <c r="L719" s="274"/>
      <c r="M719" s="274"/>
      <c r="N719" s="274"/>
      <c r="O719" s="274"/>
      <c r="P719" s="274"/>
      <c r="Q719" s="274"/>
      <c r="R719" s="274"/>
      <c r="S719" s="274"/>
      <c r="T719" s="274"/>
      <c r="U719" s="274"/>
      <c r="V719" s="274"/>
    </row>
    <row r="720" spans="1:22" x14ac:dyDescent="0.25">
      <c r="A720" s="247">
        <v>718</v>
      </c>
      <c r="B720" s="270"/>
      <c r="C720" s="270"/>
      <c r="D720" s="271"/>
      <c r="E720" s="272"/>
      <c r="F720" s="272"/>
      <c r="G720" s="273"/>
      <c r="H720" s="274"/>
      <c r="I720" s="274"/>
      <c r="J720" s="274"/>
      <c r="K720" s="274"/>
      <c r="L720" s="274"/>
      <c r="M720" s="274"/>
      <c r="N720" s="274"/>
      <c r="O720" s="274"/>
      <c r="P720" s="274"/>
      <c r="Q720" s="274"/>
      <c r="R720" s="274"/>
      <c r="S720" s="274"/>
      <c r="T720" s="274"/>
      <c r="U720" s="274"/>
      <c r="V720" s="274"/>
    </row>
    <row r="721" spans="1:22" x14ac:dyDescent="0.25">
      <c r="A721" s="247">
        <v>719</v>
      </c>
      <c r="B721" s="270"/>
      <c r="C721" s="270"/>
      <c r="D721" s="271"/>
      <c r="E721" s="272"/>
      <c r="F721" s="272"/>
      <c r="G721" s="273"/>
      <c r="H721" s="274"/>
      <c r="I721" s="274"/>
      <c r="J721" s="274"/>
      <c r="K721" s="274"/>
      <c r="L721" s="274"/>
      <c r="M721" s="274"/>
      <c r="N721" s="274"/>
      <c r="O721" s="274"/>
      <c r="P721" s="274"/>
      <c r="Q721" s="274"/>
      <c r="R721" s="274"/>
      <c r="S721" s="274"/>
      <c r="T721" s="274"/>
      <c r="U721" s="274"/>
      <c r="V721" s="274"/>
    </row>
    <row r="722" spans="1:22" x14ac:dyDescent="0.25">
      <c r="A722" s="247">
        <v>720</v>
      </c>
      <c r="B722" s="270"/>
      <c r="C722" s="270"/>
      <c r="D722" s="271"/>
      <c r="E722" s="272"/>
      <c r="F722" s="272"/>
      <c r="G722" s="273"/>
      <c r="H722" s="274"/>
      <c r="I722" s="274"/>
      <c r="J722" s="274"/>
      <c r="K722" s="274"/>
      <c r="L722" s="274"/>
      <c r="M722" s="274"/>
      <c r="N722" s="274"/>
      <c r="O722" s="274"/>
      <c r="P722" s="274"/>
      <c r="Q722" s="274"/>
      <c r="R722" s="274"/>
      <c r="S722" s="274"/>
      <c r="T722" s="274"/>
      <c r="U722" s="274"/>
      <c r="V722" s="274"/>
    </row>
    <row r="723" spans="1:22" x14ac:dyDescent="0.25">
      <c r="A723" s="247">
        <v>721</v>
      </c>
      <c r="B723" s="270"/>
      <c r="C723" s="270"/>
      <c r="D723" s="271"/>
      <c r="E723" s="272"/>
      <c r="F723" s="272"/>
      <c r="G723" s="273"/>
      <c r="H723" s="274"/>
      <c r="I723" s="274"/>
      <c r="J723" s="274"/>
      <c r="K723" s="274"/>
      <c r="L723" s="274"/>
      <c r="M723" s="274"/>
      <c r="N723" s="274"/>
      <c r="O723" s="274"/>
      <c r="P723" s="274"/>
      <c r="Q723" s="274"/>
      <c r="R723" s="274"/>
      <c r="S723" s="274"/>
      <c r="T723" s="274"/>
      <c r="U723" s="274"/>
      <c r="V723" s="274"/>
    </row>
    <row r="724" spans="1:22" x14ac:dyDescent="0.25">
      <c r="A724" s="247">
        <v>722</v>
      </c>
      <c r="B724" s="270"/>
      <c r="C724" s="270"/>
      <c r="D724" s="271"/>
      <c r="E724" s="272"/>
      <c r="F724" s="272"/>
      <c r="G724" s="273"/>
      <c r="H724" s="274"/>
      <c r="I724" s="274"/>
      <c r="J724" s="274"/>
      <c r="K724" s="274"/>
      <c r="L724" s="274"/>
      <c r="M724" s="274"/>
      <c r="N724" s="274"/>
      <c r="O724" s="274"/>
      <c r="P724" s="274"/>
      <c r="Q724" s="274"/>
      <c r="R724" s="274"/>
      <c r="S724" s="274"/>
      <c r="T724" s="274"/>
      <c r="U724" s="274"/>
      <c r="V724" s="274"/>
    </row>
    <row r="725" spans="1:22" x14ac:dyDescent="0.25">
      <c r="A725" s="247">
        <v>723</v>
      </c>
      <c r="B725" s="270"/>
      <c r="C725" s="270"/>
      <c r="D725" s="271"/>
      <c r="E725" s="272"/>
      <c r="F725" s="272"/>
      <c r="G725" s="273"/>
      <c r="H725" s="274"/>
      <c r="I725" s="274"/>
      <c r="J725" s="274"/>
      <c r="K725" s="274"/>
      <c r="L725" s="274"/>
      <c r="M725" s="274"/>
      <c r="N725" s="274"/>
      <c r="O725" s="274"/>
      <c r="P725" s="274"/>
      <c r="Q725" s="274"/>
      <c r="R725" s="274"/>
      <c r="S725" s="274"/>
      <c r="T725" s="274"/>
      <c r="U725" s="274"/>
      <c r="V725" s="274"/>
    </row>
    <row r="726" spans="1:22" x14ac:dyDescent="0.25">
      <c r="A726" s="247">
        <v>724</v>
      </c>
      <c r="B726" s="270"/>
      <c r="C726" s="270"/>
      <c r="D726" s="271"/>
      <c r="E726" s="272"/>
      <c r="F726" s="272"/>
      <c r="G726" s="273"/>
      <c r="H726" s="274"/>
      <c r="I726" s="274"/>
      <c r="J726" s="274"/>
      <c r="K726" s="274"/>
      <c r="L726" s="274"/>
      <c r="M726" s="274"/>
      <c r="N726" s="274"/>
      <c r="O726" s="274"/>
      <c r="P726" s="274"/>
      <c r="Q726" s="274"/>
      <c r="R726" s="274"/>
      <c r="S726" s="274"/>
      <c r="T726" s="274"/>
      <c r="U726" s="274"/>
      <c r="V726" s="274"/>
    </row>
    <row r="727" spans="1:22" x14ac:dyDescent="0.25">
      <c r="A727" s="247">
        <v>725</v>
      </c>
      <c r="B727" s="270"/>
      <c r="C727" s="270"/>
      <c r="D727" s="271"/>
      <c r="E727" s="272"/>
      <c r="F727" s="272"/>
      <c r="G727" s="273"/>
      <c r="H727" s="274"/>
      <c r="I727" s="274"/>
      <c r="J727" s="274"/>
      <c r="K727" s="274"/>
      <c r="L727" s="274"/>
      <c r="M727" s="274"/>
      <c r="N727" s="274"/>
      <c r="O727" s="274"/>
      <c r="P727" s="274"/>
      <c r="Q727" s="274"/>
      <c r="R727" s="274"/>
      <c r="S727" s="274"/>
      <c r="T727" s="274"/>
      <c r="U727" s="274"/>
      <c r="V727" s="274"/>
    </row>
    <row r="728" spans="1:22" x14ac:dyDescent="0.25">
      <c r="A728" s="247">
        <v>726</v>
      </c>
      <c r="B728" s="270"/>
      <c r="C728" s="270"/>
      <c r="D728" s="271"/>
      <c r="E728" s="272"/>
      <c r="F728" s="272"/>
      <c r="G728" s="273"/>
      <c r="H728" s="274"/>
      <c r="I728" s="274"/>
      <c r="J728" s="274"/>
      <c r="K728" s="274"/>
      <c r="L728" s="274"/>
      <c r="M728" s="274"/>
      <c r="N728" s="274"/>
      <c r="O728" s="274"/>
      <c r="P728" s="274"/>
      <c r="Q728" s="274"/>
      <c r="R728" s="274"/>
      <c r="S728" s="274"/>
      <c r="T728" s="274"/>
      <c r="U728" s="274"/>
      <c r="V728" s="274"/>
    </row>
    <row r="729" spans="1:22" x14ac:dyDescent="0.25">
      <c r="A729" s="247">
        <v>727</v>
      </c>
      <c r="B729" s="270"/>
      <c r="C729" s="270"/>
      <c r="D729" s="271"/>
      <c r="E729" s="272"/>
      <c r="F729" s="272"/>
      <c r="G729" s="273"/>
      <c r="H729" s="274"/>
      <c r="I729" s="274"/>
      <c r="J729" s="274"/>
      <c r="K729" s="274"/>
      <c r="L729" s="274"/>
      <c r="M729" s="274"/>
      <c r="N729" s="274"/>
      <c r="O729" s="274"/>
      <c r="P729" s="274"/>
      <c r="Q729" s="274"/>
      <c r="R729" s="274"/>
      <c r="S729" s="274"/>
      <c r="T729" s="274"/>
      <c r="U729" s="274"/>
      <c r="V729" s="274"/>
    </row>
    <row r="730" spans="1:22" x14ac:dyDescent="0.25">
      <c r="A730" s="247">
        <v>728</v>
      </c>
      <c r="B730" s="270"/>
      <c r="C730" s="270"/>
      <c r="D730" s="271"/>
      <c r="E730" s="272"/>
      <c r="F730" s="272"/>
      <c r="G730" s="273"/>
      <c r="H730" s="274"/>
      <c r="I730" s="274"/>
      <c r="J730" s="274"/>
      <c r="K730" s="274"/>
      <c r="L730" s="274"/>
      <c r="M730" s="274"/>
      <c r="N730" s="274"/>
      <c r="O730" s="274"/>
      <c r="P730" s="274"/>
      <c r="Q730" s="274"/>
      <c r="R730" s="274"/>
      <c r="S730" s="274"/>
      <c r="T730" s="274"/>
      <c r="U730" s="274"/>
      <c r="V730" s="274"/>
    </row>
    <row r="731" spans="1:22" x14ac:dyDescent="0.25">
      <c r="A731" s="247">
        <v>729</v>
      </c>
      <c r="B731" s="270"/>
      <c r="C731" s="270"/>
      <c r="D731" s="271"/>
      <c r="E731" s="272"/>
      <c r="F731" s="272"/>
      <c r="G731" s="273"/>
      <c r="H731" s="274"/>
      <c r="I731" s="274"/>
      <c r="J731" s="274"/>
      <c r="K731" s="274"/>
      <c r="L731" s="274"/>
      <c r="M731" s="274"/>
      <c r="N731" s="274"/>
      <c r="O731" s="274"/>
      <c r="P731" s="274"/>
      <c r="Q731" s="274"/>
      <c r="R731" s="274"/>
      <c r="S731" s="274"/>
      <c r="T731" s="274"/>
      <c r="U731" s="274"/>
      <c r="V731" s="274"/>
    </row>
    <row r="732" spans="1:22" x14ac:dyDescent="0.25">
      <c r="A732" s="247">
        <v>730</v>
      </c>
      <c r="B732" s="270"/>
      <c r="C732" s="270"/>
      <c r="D732" s="271"/>
      <c r="E732" s="272"/>
      <c r="F732" s="272"/>
      <c r="G732" s="273"/>
      <c r="H732" s="274"/>
      <c r="I732" s="274"/>
      <c r="J732" s="274"/>
      <c r="K732" s="274"/>
      <c r="L732" s="274"/>
      <c r="M732" s="274"/>
      <c r="N732" s="274"/>
      <c r="O732" s="274"/>
      <c r="P732" s="274"/>
      <c r="Q732" s="274"/>
      <c r="R732" s="274"/>
      <c r="S732" s="274"/>
      <c r="T732" s="274"/>
      <c r="U732" s="274"/>
      <c r="V732" s="274"/>
    </row>
    <row r="733" spans="1:22" x14ac:dyDescent="0.25">
      <c r="A733" s="247">
        <v>731</v>
      </c>
      <c r="B733" s="270"/>
      <c r="C733" s="270"/>
      <c r="D733" s="271"/>
      <c r="E733" s="272"/>
      <c r="F733" s="272"/>
      <c r="G733" s="273"/>
      <c r="H733" s="274"/>
      <c r="I733" s="274"/>
      <c r="J733" s="274"/>
      <c r="K733" s="274"/>
      <c r="L733" s="274"/>
      <c r="M733" s="274"/>
      <c r="N733" s="274"/>
      <c r="O733" s="274"/>
      <c r="P733" s="274"/>
      <c r="Q733" s="274"/>
      <c r="R733" s="274"/>
      <c r="S733" s="274"/>
      <c r="T733" s="274"/>
      <c r="U733" s="274"/>
      <c r="V733" s="274"/>
    </row>
    <row r="734" spans="1:22" x14ac:dyDescent="0.25">
      <c r="A734" s="247">
        <v>732</v>
      </c>
      <c r="B734" s="270"/>
      <c r="C734" s="270"/>
      <c r="D734" s="271"/>
      <c r="E734" s="272"/>
      <c r="F734" s="272"/>
      <c r="G734" s="273"/>
      <c r="H734" s="274"/>
      <c r="I734" s="274"/>
      <c r="J734" s="274"/>
      <c r="K734" s="274"/>
      <c r="L734" s="274"/>
      <c r="M734" s="274"/>
      <c r="N734" s="274"/>
      <c r="O734" s="274"/>
      <c r="P734" s="274"/>
      <c r="Q734" s="274"/>
      <c r="R734" s="274"/>
      <c r="S734" s="274"/>
      <c r="T734" s="274"/>
      <c r="U734" s="274"/>
      <c r="V734" s="274"/>
    </row>
    <row r="735" spans="1:22" x14ac:dyDescent="0.25">
      <c r="A735" s="247">
        <v>733</v>
      </c>
      <c r="B735" s="270"/>
      <c r="C735" s="270"/>
      <c r="D735" s="271"/>
      <c r="E735" s="272"/>
      <c r="F735" s="272"/>
      <c r="G735" s="273"/>
      <c r="H735" s="274"/>
      <c r="I735" s="274"/>
      <c r="J735" s="274"/>
      <c r="K735" s="274"/>
      <c r="L735" s="274"/>
      <c r="M735" s="274"/>
      <c r="N735" s="274"/>
      <c r="O735" s="274"/>
      <c r="P735" s="274"/>
      <c r="Q735" s="274"/>
      <c r="R735" s="274"/>
      <c r="S735" s="274"/>
      <c r="T735" s="274"/>
      <c r="U735" s="274"/>
      <c r="V735" s="274"/>
    </row>
    <row r="736" spans="1:22" x14ac:dyDescent="0.25">
      <c r="A736" s="247">
        <v>734</v>
      </c>
      <c r="B736" s="270"/>
      <c r="C736" s="270"/>
      <c r="D736" s="271"/>
      <c r="E736" s="272"/>
      <c r="F736" s="272"/>
      <c r="G736" s="273"/>
      <c r="H736" s="274"/>
      <c r="I736" s="274"/>
      <c r="J736" s="274"/>
      <c r="K736" s="274"/>
      <c r="L736" s="274"/>
      <c r="M736" s="274"/>
      <c r="N736" s="274"/>
      <c r="O736" s="274"/>
      <c r="P736" s="274"/>
      <c r="Q736" s="274"/>
      <c r="R736" s="274"/>
      <c r="S736" s="274"/>
      <c r="T736" s="274"/>
      <c r="U736" s="274"/>
      <c r="V736" s="274"/>
    </row>
    <row r="737" spans="1:22" x14ac:dyDescent="0.25">
      <c r="A737" s="247">
        <v>735</v>
      </c>
      <c r="B737" s="270"/>
      <c r="C737" s="270"/>
      <c r="D737" s="271"/>
      <c r="E737" s="272"/>
      <c r="F737" s="272"/>
      <c r="G737" s="273"/>
      <c r="H737" s="274"/>
      <c r="I737" s="274"/>
      <c r="J737" s="274"/>
      <c r="K737" s="274"/>
      <c r="L737" s="274"/>
      <c r="M737" s="274"/>
      <c r="N737" s="274"/>
      <c r="O737" s="274"/>
      <c r="P737" s="274"/>
      <c r="Q737" s="274"/>
      <c r="R737" s="274"/>
      <c r="S737" s="274"/>
      <c r="T737" s="274"/>
      <c r="U737" s="274"/>
      <c r="V737" s="274"/>
    </row>
    <row r="738" spans="1:22" x14ac:dyDescent="0.25">
      <c r="A738" s="247">
        <v>736</v>
      </c>
      <c r="B738" s="270"/>
      <c r="C738" s="270"/>
      <c r="D738" s="271"/>
      <c r="E738" s="272"/>
      <c r="F738" s="272"/>
      <c r="G738" s="273"/>
      <c r="H738" s="274"/>
      <c r="I738" s="274"/>
      <c r="J738" s="274"/>
      <c r="K738" s="274"/>
      <c r="L738" s="274"/>
      <c r="M738" s="274"/>
      <c r="N738" s="274"/>
      <c r="O738" s="274"/>
      <c r="P738" s="274"/>
      <c r="Q738" s="274"/>
      <c r="R738" s="274"/>
      <c r="S738" s="274"/>
      <c r="T738" s="274"/>
      <c r="U738" s="274"/>
      <c r="V738" s="274"/>
    </row>
    <row r="739" spans="1:22" x14ac:dyDescent="0.25">
      <c r="A739" s="247">
        <v>737</v>
      </c>
      <c r="B739" s="270"/>
      <c r="C739" s="270"/>
      <c r="D739" s="271"/>
      <c r="E739" s="272"/>
      <c r="F739" s="272"/>
      <c r="G739" s="273"/>
      <c r="H739" s="274"/>
      <c r="I739" s="274"/>
      <c r="J739" s="274"/>
      <c r="K739" s="274"/>
      <c r="L739" s="274"/>
      <c r="M739" s="274"/>
      <c r="N739" s="274"/>
      <c r="O739" s="274"/>
      <c r="P739" s="274"/>
      <c r="Q739" s="274"/>
      <c r="R739" s="274"/>
      <c r="S739" s="274"/>
      <c r="T739" s="274"/>
      <c r="U739" s="274"/>
      <c r="V739" s="274"/>
    </row>
    <row r="740" spans="1:22" x14ac:dyDescent="0.25">
      <c r="A740" s="247">
        <v>738</v>
      </c>
      <c r="B740" s="270"/>
      <c r="C740" s="270"/>
      <c r="D740" s="271"/>
      <c r="E740" s="272"/>
      <c r="F740" s="272"/>
      <c r="G740" s="273"/>
      <c r="H740" s="274"/>
      <c r="I740" s="274"/>
      <c r="J740" s="274"/>
      <c r="K740" s="274"/>
      <c r="L740" s="274"/>
      <c r="M740" s="274"/>
      <c r="N740" s="274"/>
      <c r="O740" s="274"/>
      <c r="P740" s="274"/>
      <c r="Q740" s="274"/>
      <c r="R740" s="274"/>
      <c r="S740" s="274"/>
      <c r="T740" s="274"/>
      <c r="U740" s="274"/>
      <c r="V740" s="274"/>
    </row>
    <row r="741" spans="1:22" x14ac:dyDescent="0.25">
      <c r="A741" s="247">
        <v>739</v>
      </c>
      <c r="B741" s="270"/>
      <c r="C741" s="270"/>
      <c r="D741" s="271"/>
      <c r="E741" s="272"/>
      <c r="F741" s="272"/>
      <c r="G741" s="273"/>
      <c r="H741" s="274"/>
      <c r="I741" s="274"/>
      <c r="J741" s="274"/>
      <c r="K741" s="274"/>
      <c r="L741" s="274"/>
      <c r="M741" s="274"/>
      <c r="N741" s="274"/>
      <c r="O741" s="274"/>
      <c r="P741" s="274"/>
      <c r="Q741" s="274"/>
      <c r="R741" s="274"/>
      <c r="S741" s="274"/>
      <c r="T741" s="274"/>
      <c r="U741" s="274"/>
      <c r="V741" s="274"/>
    </row>
    <row r="742" spans="1:22" x14ac:dyDescent="0.25">
      <c r="A742" s="247">
        <v>740</v>
      </c>
      <c r="B742" s="270"/>
      <c r="C742" s="270"/>
      <c r="D742" s="271"/>
      <c r="E742" s="272"/>
      <c r="F742" s="272"/>
      <c r="G742" s="273"/>
      <c r="H742" s="274"/>
      <c r="I742" s="274"/>
      <c r="J742" s="274"/>
      <c r="K742" s="274"/>
      <c r="L742" s="274"/>
      <c r="M742" s="274"/>
      <c r="N742" s="274"/>
      <c r="O742" s="274"/>
      <c r="P742" s="274"/>
      <c r="Q742" s="274"/>
      <c r="R742" s="274"/>
      <c r="S742" s="274"/>
      <c r="T742" s="274"/>
      <c r="U742" s="274"/>
      <c r="V742" s="274"/>
    </row>
    <row r="743" spans="1:22" x14ac:dyDescent="0.25">
      <c r="A743" s="247">
        <v>741</v>
      </c>
      <c r="B743" s="270"/>
      <c r="C743" s="270"/>
      <c r="D743" s="271"/>
      <c r="E743" s="272"/>
      <c r="F743" s="272"/>
      <c r="G743" s="273"/>
      <c r="H743" s="274"/>
      <c r="I743" s="274"/>
      <c r="J743" s="274"/>
      <c r="K743" s="274"/>
      <c r="L743" s="274"/>
      <c r="M743" s="274"/>
      <c r="N743" s="274"/>
      <c r="O743" s="274"/>
      <c r="P743" s="274"/>
      <c r="Q743" s="274"/>
      <c r="R743" s="274"/>
      <c r="S743" s="274"/>
      <c r="T743" s="274"/>
      <c r="U743" s="274"/>
      <c r="V743" s="274"/>
    </row>
    <row r="744" spans="1:22" x14ac:dyDescent="0.25">
      <c r="A744" s="247">
        <v>742</v>
      </c>
      <c r="B744" s="270"/>
      <c r="C744" s="270"/>
      <c r="D744" s="271"/>
      <c r="E744" s="272"/>
      <c r="F744" s="272"/>
      <c r="G744" s="273"/>
      <c r="H744" s="274"/>
      <c r="I744" s="274"/>
      <c r="J744" s="274"/>
      <c r="K744" s="274"/>
      <c r="L744" s="274"/>
      <c r="M744" s="274"/>
      <c r="N744" s="274"/>
      <c r="O744" s="274"/>
      <c r="P744" s="274"/>
      <c r="Q744" s="274"/>
      <c r="R744" s="274"/>
      <c r="S744" s="274"/>
      <c r="T744" s="274"/>
      <c r="U744" s="274"/>
      <c r="V744" s="274"/>
    </row>
    <row r="745" spans="1:22" x14ac:dyDescent="0.25">
      <c r="A745" s="247">
        <v>743</v>
      </c>
      <c r="B745" s="270"/>
      <c r="C745" s="270"/>
      <c r="D745" s="271"/>
      <c r="E745" s="272"/>
      <c r="F745" s="272"/>
      <c r="G745" s="273"/>
      <c r="H745" s="274"/>
      <c r="I745" s="274"/>
      <c r="J745" s="274"/>
      <c r="K745" s="274"/>
      <c r="L745" s="274"/>
      <c r="M745" s="274"/>
      <c r="N745" s="274"/>
      <c r="O745" s="274"/>
      <c r="P745" s="274"/>
      <c r="Q745" s="274"/>
      <c r="R745" s="274"/>
      <c r="S745" s="274"/>
      <c r="T745" s="274"/>
      <c r="U745" s="274"/>
      <c r="V745" s="274"/>
    </row>
    <row r="746" spans="1:22" x14ac:dyDescent="0.25">
      <c r="A746" s="247">
        <v>744</v>
      </c>
      <c r="B746" s="270"/>
      <c r="C746" s="270"/>
      <c r="D746" s="271"/>
      <c r="E746" s="272"/>
      <c r="F746" s="272"/>
      <c r="G746" s="273"/>
      <c r="H746" s="274"/>
      <c r="I746" s="274"/>
      <c r="J746" s="274"/>
      <c r="K746" s="274"/>
      <c r="L746" s="274"/>
      <c r="M746" s="274"/>
      <c r="N746" s="274"/>
      <c r="O746" s="274"/>
      <c r="P746" s="274"/>
      <c r="Q746" s="274"/>
      <c r="R746" s="274"/>
      <c r="S746" s="274"/>
      <c r="T746" s="274"/>
      <c r="U746" s="274"/>
      <c r="V746" s="274"/>
    </row>
    <row r="747" spans="1:22" x14ac:dyDescent="0.25">
      <c r="A747" s="247">
        <v>745</v>
      </c>
      <c r="B747" s="270"/>
      <c r="C747" s="270"/>
      <c r="D747" s="271"/>
      <c r="E747" s="272"/>
      <c r="F747" s="272"/>
      <c r="G747" s="273"/>
      <c r="H747" s="274"/>
      <c r="I747" s="274"/>
      <c r="J747" s="274"/>
      <c r="K747" s="274"/>
      <c r="L747" s="274"/>
      <c r="M747" s="274"/>
      <c r="N747" s="274"/>
      <c r="O747" s="274"/>
      <c r="P747" s="274"/>
      <c r="Q747" s="274"/>
      <c r="R747" s="274"/>
      <c r="S747" s="274"/>
      <c r="T747" s="274"/>
      <c r="U747" s="274"/>
      <c r="V747" s="274"/>
    </row>
    <row r="748" spans="1:22" x14ac:dyDescent="0.25">
      <c r="A748" s="247">
        <v>746</v>
      </c>
      <c r="B748" s="270"/>
      <c r="C748" s="270"/>
      <c r="D748" s="271"/>
      <c r="E748" s="272"/>
      <c r="F748" s="272"/>
      <c r="G748" s="273"/>
      <c r="H748" s="274"/>
      <c r="I748" s="274"/>
      <c r="J748" s="274"/>
      <c r="K748" s="274"/>
      <c r="L748" s="274"/>
      <c r="M748" s="274"/>
      <c r="N748" s="274"/>
      <c r="O748" s="274"/>
      <c r="P748" s="274"/>
      <c r="Q748" s="274"/>
      <c r="R748" s="274"/>
      <c r="S748" s="274"/>
      <c r="T748" s="274"/>
      <c r="U748" s="274"/>
      <c r="V748" s="274"/>
    </row>
    <row r="749" spans="1:22" x14ac:dyDescent="0.25">
      <c r="A749" s="247">
        <v>747</v>
      </c>
      <c r="B749" s="270"/>
      <c r="C749" s="270"/>
      <c r="D749" s="271"/>
      <c r="E749" s="272"/>
      <c r="F749" s="272"/>
      <c r="G749" s="273"/>
      <c r="H749" s="274"/>
      <c r="I749" s="274"/>
      <c r="J749" s="274"/>
      <c r="K749" s="274"/>
      <c r="L749" s="274"/>
      <c r="M749" s="274"/>
      <c r="N749" s="274"/>
      <c r="O749" s="274"/>
      <c r="P749" s="274"/>
      <c r="Q749" s="274"/>
      <c r="R749" s="274"/>
      <c r="S749" s="274"/>
      <c r="T749" s="274"/>
      <c r="U749" s="274"/>
      <c r="V749" s="274"/>
    </row>
    <row r="750" spans="1:22" x14ac:dyDescent="0.25">
      <c r="A750" s="247">
        <v>748</v>
      </c>
      <c r="B750" s="270"/>
      <c r="C750" s="270"/>
      <c r="D750" s="271"/>
      <c r="E750" s="272"/>
      <c r="F750" s="272"/>
      <c r="G750" s="273"/>
      <c r="H750" s="274"/>
      <c r="I750" s="274"/>
      <c r="J750" s="274"/>
      <c r="K750" s="274"/>
      <c r="L750" s="274"/>
      <c r="M750" s="274"/>
      <c r="N750" s="274"/>
      <c r="O750" s="274"/>
      <c r="P750" s="274"/>
      <c r="Q750" s="274"/>
      <c r="R750" s="274"/>
      <c r="S750" s="274"/>
      <c r="T750" s="274"/>
      <c r="U750" s="274"/>
      <c r="V750" s="274"/>
    </row>
    <row r="751" spans="1:22" x14ac:dyDescent="0.25">
      <c r="A751" s="247">
        <v>749</v>
      </c>
      <c r="B751" s="270"/>
      <c r="C751" s="270"/>
      <c r="D751" s="271"/>
      <c r="E751" s="272"/>
      <c r="F751" s="272"/>
      <c r="G751" s="273"/>
      <c r="H751" s="274"/>
      <c r="I751" s="274"/>
      <c r="J751" s="274"/>
      <c r="K751" s="274"/>
      <c r="L751" s="274"/>
      <c r="M751" s="274"/>
      <c r="N751" s="274"/>
      <c r="O751" s="274"/>
      <c r="P751" s="274"/>
      <c r="Q751" s="274"/>
      <c r="R751" s="274"/>
      <c r="S751" s="274"/>
      <c r="T751" s="274"/>
      <c r="U751" s="274"/>
      <c r="V751" s="274"/>
    </row>
    <row r="752" spans="1:22" x14ac:dyDescent="0.25">
      <c r="A752" s="247">
        <v>750</v>
      </c>
      <c r="B752" s="270"/>
      <c r="C752" s="270"/>
      <c r="D752" s="271"/>
      <c r="E752" s="272"/>
      <c r="F752" s="272"/>
      <c r="G752" s="273"/>
      <c r="H752" s="274"/>
      <c r="I752" s="274"/>
      <c r="J752" s="274"/>
      <c r="K752" s="274"/>
      <c r="L752" s="274"/>
      <c r="M752" s="274"/>
      <c r="N752" s="274"/>
      <c r="O752" s="274"/>
      <c r="P752" s="274"/>
      <c r="Q752" s="274"/>
      <c r="R752" s="274"/>
      <c r="S752" s="274"/>
      <c r="T752" s="274"/>
      <c r="U752" s="274"/>
      <c r="V752" s="274"/>
    </row>
    <row r="753" spans="1:22" x14ac:dyDescent="0.25">
      <c r="A753" s="247">
        <v>751</v>
      </c>
      <c r="B753" s="270"/>
      <c r="C753" s="270"/>
      <c r="D753" s="271"/>
      <c r="E753" s="272"/>
      <c r="F753" s="272"/>
      <c r="G753" s="273"/>
      <c r="H753" s="274"/>
      <c r="I753" s="274"/>
      <c r="J753" s="274"/>
      <c r="K753" s="274"/>
      <c r="L753" s="274"/>
      <c r="M753" s="274"/>
      <c r="N753" s="274"/>
      <c r="O753" s="274"/>
      <c r="P753" s="274"/>
      <c r="Q753" s="274"/>
      <c r="R753" s="274"/>
      <c r="S753" s="274"/>
      <c r="T753" s="274"/>
      <c r="U753" s="274"/>
      <c r="V753" s="274"/>
    </row>
    <row r="754" spans="1:22" x14ac:dyDescent="0.25">
      <c r="A754" s="247">
        <v>752</v>
      </c>
      <c r="B754" s="270"/>
      <c r="C754" s="270"/>
      <c r="D754" s="271"/>
      <c r="E754" s="272"/>
      <c r="F754" s="272"/>
      <c r="G754" s="273"/>
      <c r="H754" s="274"/>
      <c r="I754" s="274"/>
      <c r="J754" s="274"/>
      <c r="K754" s="274"/>
      <c r="L754" s="274"/>
      <c r="M754" s="274"/>
      <c r="N754" s="274"/>
      <c r="O754" s="274"/>
      <c r="P754" s="274"/>
      <c r="Q754" s="274"/>
      <c r="R754" s="274"/>
      <c r="S754" s="274"/>
      <c r="T754" s="274"/>
      <c r="U754" s="274"/>
      <c r="V754" s="274"/>
    </row>
    <row r="755" spans="1:22" x14ac:dyDescent="0.25">
      <c r="A755" s="247">
        <v>753</v>
      </c>
      <c r="B755" s="270"/>
      <c r="C755" s="270"/>
      <c r="D755" s="271"/>
      <c r="E755" s="272"/>
      <c r="F755" s="272"/>
      <c r="G755" s="273"/>
      <c r="H755" s="274"/>
      <c r="I755" s="274"/>
      <c r="J755" s="274"/>
      <c r="K755" s="274"/>
      <c r="L755" s="274"/>
      <c r="M755" s="274"/>
      <c r="N755" s="274"/>
      <c r="O755" s="274"/>
      <c r="P755" s="274"/>
      <c r="Q755" s="274"/>
      <c r="R755" s="274"/>
      <c r="S755" s="274"/>
      <c r="T755" s="274"/>
      <c r="U755" s="274"/>
      <c r="V755" s="274"/>
    </row>
    <row r="756" spans="1:22" x14ac:dyDescent="0.25">
      <c r="A756" s="247">
        <v>754</v>
      </c>
      <c r="B756" s="270"/>
      <c r="C756" s="270"/>
      <c r="D756" s="271"/>
      <c r="E756" s="272"/>
      <c r="F756" s="272"/>
      <c r="G756" s="273"/>
      <c r="H756" s="274"/>
      <c r="I756" s="274"/>
      <c r="J756" s="274"/>
      <c r="K756" s="274"/>
      <c r="L756" s="274"/>
      <c r="M756" s="274"/>
      <c r="N756" s="274"/>
      <c r="O756" s="274"/>
      <c r="P756" s="274"/>
      <c r="Q756" s="274"/>
      <c r="R756" s="274"/>
      <c r="S756" s="274"/>
      <c r="T756" s="274"/>
      <c r="U756" s="274"/>
      <c r="V756" s="274"/>
    </row>
    <row r="757" spans="1:22" x14ac:dyDescent="0.25">
      <c r="A757" s="247">
        <v>755</v>
      </c>
      <c r="B757" s="270"/>
      <c r="C757" s="270"/>
      <c r="D757" s="271"/>
      <c r="E757" s="272"/>
      <c r="F757" s="272"/>
      <c r="G757" s="273"/>
      <c r="H757" s="274"/>
      <c r="I757" s="274"/>
      <c r="J757" s="274"/>
      <c r="K757" s="274"/>
      <c r="L757" s="274"/>
      <c r="M757" s="274"/>
      <c r="N757" s="274"/>
      <c r="O757" s="274"/>
      <c r="P757" s="274"/>
      <c r="Q757" s="274"/>
      <c r="R757" s="274"/>
      <c r="S757" s="274"/>
      <c r="T757" s="274"/>
      <c r="U757" s="274"/>
      <c r="V757" s="274"/>
    </row>
    <row r="758" spans="1:22" x14ac:dyDescent="0.25">
      <c r="A758" s="247">
        <v>756</v>
      </c>
      <c r="B758" s="270"/>
      <c r="C758" s="270"/>
      <c r="D758" s="271"/>
      <c r="E758" s="272"/>
      <c r="F758" s="272"/>
      <c r="G758" s="273"/>
      <c r="H758" s="274"/>
      <c r="I758" s="274"/>
      <c r="J758" s="274"/>
      <c r="K758" s="274"/>
      <c r="L758" s="274"/>
      <c r="M758" s="274"/>
      <c r="N758" s="274"/>
      <c r="O758" s="274"/>
      <c r="P758" s="274"/>
      <c r="Q758" s="274"/>
      <c r="R758" s="274"/>
      <c r="S758" s="274"/>
      <c r="T758" s="274"/>
      <c r="U758" s="274"/>
      <c r="V758" s="274"/>
    </row>
    <row r="759" spans="1:22" x14ac:dyDescent="0.25">
      <c r="A759" s="247">
        <v>757</v>
      </c>
      <c r="B759" s="270"/>
      <c r="C759" s="270"/>
      <c r="D759" s="271"/>
      <c r="E759" s="272"/>
      <c r="F759" s="272"/>
      <c r="G759" s="273"/>
      <c r="H759" s="274"/>
      <c r="I759" s="274"/>
      <c r="J759" s="274"/>
      <c r="K759" s="274"/>
      <c r="L759" s="274"/>
      <c r="M759" s="274"/>
      <c r="N759" s="274"/>
      <c r="O759" s="274"/>
      <c r="P759" s="274"/>
      <c r="Q759" s="274"/>
      <c r="R759" s="274"/>
      <c r="S759" s="274"/>
      <c r="T759" s="274"/>
      <c r="U759" s="274"/>
      <c r="V759" s="274"/>
    </row>
    <row r="760" spans="1:22" x14ac:dyDescent="0.25">
      <c r="A760" s="247">
        <v>758</v>
      </c>
      <c r="B760" s="270"/>
      <c r="C760" s="270"/>
      <c r="D760" s="271"/>
      <c r="E760" s="272"/>
      <c r="F760" s="272"/>
      <c r="G760" s="273"/>
      <c r="H760" s="274"/>
      <c r="I760" s="274"/>
      <c r="J760" s="274"/>
      <c r="K760" s="274"/>
      <c r="L760" s="274"/>
      <c r="M760" s="274"/>
      <c r="N760" s="274"/>
      <c r="O760" s="274"/>
      <c r="P760" s="274"/>
      <c r="Q760" s="274"/>
      <c r="R760" s="274"/>
      <c r="S760" s="274"/>
      <c r="T760" s="274"/>
      <c r="U760" s="274"/>
      <c r="V760" s="274"/>
    </row>
    <row r="761" spans="1:22" x14ac:dyDescent="0.25">
      <c r="A761" s="247">
        <v>759</v>
      </c>
      <c r="B761" s="270"/>
      <c r="C761" s="270"/>
      <c r="D761" s="271"/>
      <c r="E761" s="272"/>
      <c r="F761" s="272"/>
      <c r="G761" s="273"/>
      <c r="H761" s="274"/>
      <c r="I761" s="274"/>
      <c r="J761" s="274"/>
      <c r="K761" s="274"/>
      <c r="L761" s="274"/>
      <c r="M761" s="274"/>
      <c r="N761" s="274"/>
      <c r="O761" s="274"/>
      <c r="P761" s="274"/>
      <c r="Q761" s="274"/>
      <c r="R761" s="274"/>
      <c r="S761" s="274"/>
      <c r="T761" s="274"/>
      <c r="U761" s="274"/>
      <c r="V761" s="274"/>
    </row>
    <row r="762" spans="1:22" x14ac:dyDescent="0.25">
      <c r="A762" s="247">
        <v>760</v>
      </c>
      <c r="B762" s="270"/>
      <c r="C762" s="270"/>
      <c r="D762" s="271"/>
      <c r="E762" s="272"/>
      <c r="F762" s="272"/>
      <c r="G762" s="273"/>
      <c r="H762" s="274"/>
      <c r="I762" s="274"/>
      <c r="J762" s="274"/>
      <c r="K762" s="274"/>
      <c r="L762" s="274"/>
      <c r="M762" s="274"/>
      <c r="N762" s="274"/>
      <c r="O762" s="274"/>
      <c r="P762" s="274"/>
      <c r="Q762" s="274"/>
      <c r="R762" s="274"/>
      <c r="S762" s="274"/>
      <c r="T762" s="274"/>
      <c r="U762" s="274"/>
      <c r="V762" s="274"/>
    </row>
    <row r="763" spans="1:22" x14ac:dyDescent="0.25">
      <c r="A763" s="247">
        <v>761</v>
      </c>
      <c r="B763" s="270"/>
      <c r="C763" s="270"/>
      <c r="D763" s="271"/>
      <c r="E763" s="272"/>
      <c r="F763" s="272"/>
      <c r="G763" s="273"/>
      <c r="H763" s="274"/>
      <c r="I763" s="274"/>
      <c r="J763" s="274"/>
      <c r="K763" s="274"/>
      <c r="L763" s="274"/>
      <c r="M763" s="274"/>
      <c r="N763" s="274"/>
      <c r="O763" s="274"/>
      <c r="P763" s="274"/>
      <c r="Q763" s="274"/>
      <c r="R763" s="274"/>
      <c r="S763" s="274"/>
      <c r="T763" s="274"/>
      <c r="U763" s="274"/>
      <c r="V763" s="274"/>
    </row>
    <row r="764" spans="1:22" x14ac:dyDescent="0.25">
      <c r="A764" s="247">
        <v>762</v>
      </c>
      <c r="B764" s="270"/>
      <c r="C764" s="270"/>
      <c r="D764" s="271"/>
      <c r="E764" s="272"/>
      <c r="F764" s="272"/>
      <c r="G764" s="273"/>
      <c r="H764" s="274"/>
      <c r="I764" s="274"/>
      <c r="J764" s="274"/>
      <c r="K764" s="274"/>
      <c r="L764" s="274"/>
      <c r="M764" s="274"/>
      <c r="N764" s="274"/>
      <c r="O764" s="274"/>
      <c r="P764" s="274"/>
      <c r="Q764" s="274"/>
      <c r="R764" s="274"/>
      <c r="S764" s="274"/>
      <c r="T764" s="274"/>
      <c r="U764" s="274"/>
      <c r="V764" s="274"/>
    </row>
    <row r="765" spans="1:22" x14ac:dyDescent="0.25">
      <c r="A765" s="247">
        <v>763</v>
      </c>
      <c r="B765" s="270"/>
      <c r="C765" s="270"/>
      <c r="D765" s="271"/>
      <c r="E765" s="272"/>
      <c r="F765" s="272"/>
      <c r="G765" s="273"/>
      <c r="H765" s="274"/>
      <c r="I765" s="274"/>
      <c r="J765" s="274"/>
      <c r="K765" s="274"/>
      <c r="L765" s="274"/>
      <c r="M765" s="274"/>
      <c r="N765" s="274"/>
      <c r="O765" s="274"/>
      <c r="P765" s="274"/>
      <c r="Q765" s="274"/>
      <c r="R765" s="274"/>
      <c r="S765" s="274"/>
      <c r="T765" s="274"/>
      <c r="U765" s="274"/>
      <c r="V765" s="274"/>
    </row>
    <row r="766" spans="1:22" x14ac:dyDescent="0.25">
      <c r="A766" s="247">
        <v>764</v>
      </c>
      <c r="B766" s="270"/>
      <c r="C766" s="270"/>
      <c r="D766" s="271"/>
      <c r="E766" s="272"/>
      <c r="F766" s="272"/>
      <c r="G766" s="273"/>
      <c r="H766" s="274"/>
      <c r="I766" s="274"/>
      <c r="J766" s="274"/>
      <c r="K766" s="274"/>
      <c r="L766" s="274"/>
      <c r="M766" s="274"/>
      <c r="N766" s="274"/>
      <c r="O766" s="274"/>
      <c r="P766" s="274"/>
      <c r="Q766" s="274"/>
      <c r="R766" s="274"/>
      <c r="S766" s="274"/>
      <c r="T766" s="274"/>
      <c r="U766" s="274"/>
      <c r="V766" s="274"/>
    </row>
    <row r="767" spans="1:22" x14ac:dyDescent="0.25">
      <c r="A767" s="247">
        <v>765</v>
      </c>
      <c r="B767" s="270"/>
      <c r="C767" s="270"/>
      <c r="D767" s="271"/>
      <c r="E767" s="272"/>
      <c r="F767" s="272"/>
      <c r="G767" s="273"/>
      <c r="H767" s="274"/>
      <c r="I767" s="274"/>
      <c r="J767" s="274"/>
      <c r="K767" s="274"/>
      <c r="L767" s="274"/>
      <c r="M767" s="274"/>
      <c r="N767" s="274"/>
      <c r="O767" s="274"/>
      <c r="P767" s="274"/>
      <c r="Q767" s="274"/>
      <c r="R767" s="274"/>
      <c r="S767" s="274"/>
      <c r="T767" s="274"/>
      <c r="U767" s="274"/>
      <c r="V767" s="274"/>
    </row>
    <row r="768" spans="1:22" x14ac:dyDescent="0.25">
      <c r="A768" s="247">
        <v>766</v>
      </c>
      <c r="B768" s="270"/>
      <c r="C768" s="270"/>
      <c r="D768" s="271"/>
      <c r="E768" s="272"/>
      <c r="F768" s="272"/>
      <c r="G768" s="273"/>
      <c r="H768" s="274"/>
      <c r="I768" s="274"/>
      <c r="J768" s="274"/>
      <c r="K768" s="274"/>
      <c r="L768" s="274"/>
      <c r="M768" s="274"/>
      <c r="N768" s="274"/>
      <c r="O768" s="274"/>
      <c r="P768" s="274"/>
      <c r="Q768" s="274"/>
      <c r="R768" s="274"/>
      <c r="S768" s="274"/>
      <c r="T768" s="274"/>
      <c r="U768" s="274"/>
      <c r="V768" s="274"/>
    </row>
    <row r="769" spans="1:22" x14ac:dyDescent="0.25">
      <c r="A769" s="247">
        <v>767</v>
      </c>
      <c r="B769" s="270"/>
      <c r="C769" s="270"/>
      <c r="D769" s="271"/>
      <c r="E769" s="272"/>
      <c r="F769" s="272"/>
      <c r="G769" s="273"/>
      <c r="H769" s="274"/>
      <c r="I769" s="274"/>
      <c r="J769" s="274"/>
      <c r="K769" s="274"/>
      <c r="L769" s="274"/>
      <c r="M769" s="274"/>
      <c r="N769" s="274"/>
      <c r="O769" s="274"/>
      <c r="P769" s="274"/>
      <c r="Q769" s="274"/>
      <c r="R769" s="274"/>
      <c r="S769" s="274"/>
      <c r="T769" s="274"/>
      <c r="U769" s="274"/>
      <c r="V769" s="274"/>
    </row>
    <row r="770" spans="1:22" x14ac:dyDescent="0.25">
      <c r="A770" s="247">
        <v>768</v>
      </c>
      <c r="B770" s="270"/>
      <c r="C770" s="270"/>
      <c r="D770" s="271"/>
      <c r="E770" s="272"/>
      <c r="F770" s="272"/>
      <c r="G770" s="273"/>
      <c r="H770" s="274"/>
      <c r="I770" s="274"/>
      <c r="J770" s="274"/>
      <c r="K770" s="274"/>
      <c r="L770" s="274"/>
      <c r="M770" s="274"/>
      <c r="N770" s="274"/>
      <c r="O770" s="274"/>
      <c r="P770" s="274"/>
      <c r="Q770" s="274"/>
      <c r="R770" s="274"/>
      <c r="S770" s="274"/>
      <c r="T770" s="274"/>
      <c r="U770" s="274"/>
      <c r="V770" s="274"/>
    </row>
    <row r="771" spans="1:22" x14ac:dyDescent="0.25">
      <c r="A771" s="247">
        <v>769</v>
      </c>
      <c r="B771" s="270"/>
      <c r="C771" s="270"/>
      <c r="D771" s="271"/>
      <c r="E771" s="272"/>
      <c r="F771" s="272"/>
      <c r="G771" s="273"/>
      <c r="H771" s="274"/>
      <c r="I771" s="274"/>
      <c r="J771" s="274"/>
      <c r="K771" s="274"/>
      <c r="L771" s="274"/>
      <c r="M771" s="274"/>
      <c r="N771" s="274"/>
      <c r="O771" s="274"/>
      <c r="P771" s="274"/>
      <c r="Q771" s="274"/>
      <c r="R771" s="274"/>
      <c r="S771" s="274"/>
      <c r="T771" s="274"/>
      <c r="U771" s="274"/>
      <c r="V771" s="274"/>
    </row>
    <row r="772" spans="1:22" x14ac:dyDescent="0.25">
      <c r="A772" s="247">
        <v>770</v>
      </c>
      <c r="B772" s="270"/>
      <c r="C772" s="270"/>
      <c r="D772" s="271"/>
      <c r="E772" s="272"/>
      <c r="F772" s="272"/>
      <c r="G772" s="273"/>
      <c r="H772" s="274"/>
      <c r="I772" s="274"/>
      <c r="J772" s="274"/>
      <c r="K772" s="274"/>
      <c r="L772" s="274"/>
      <c r="M772" s="274"/>
      <c r="N772" s="274"/>
      <c r="O772" s="274"/>
      <c r="P772" s="274"/>
      <c r="Q772" s="274"/>
      <c r="R772" s="274"/>
      <c r="S772" s="274"/>
      <c r="T772" s="274"/>
      <c r="U772" s="274"/>
      <c r="V772" s="274"/>
    </row>
    <row r="773" spans="1:22" x14ac:dyDescent="0.25">
      <c r="A773" s="247">
        <v>771</v>
      </c>
      <c r="B773" s="270"/>
      <c r="C773" s="270"/>
      <c r="D773" s="271"/>
      <c r="E773" s="272"/>
      <c r="F773" s="272"/>
      <c r="G773" s="273"/>
      <c r="H773" s="274"/>
      <c r="I773" s="274"/>
      <c r="J773" s="274"/>
      <c r="K773" s="274"/>
      <c r="L773" s="274"/>
      <c r="M773" s="274"/>
      <c r="N773" s="274"/>
      <c r="O773" s="274"/>
      <c r="P773" s="274"/>
      <c r="Q773" s="274"/>
      <c r="R773" s="274"/>
      <c r="S773" s="274"/>
      <c r="T773" s="274"/>
      <c r="U773" s="274"/>
      <c r="V773" s="274"/>
    </row>
    <row r="774" spans="1:22" x14ac:dyDescent="0.25">
      <c r="A774" s="247">
        <v>772</v>
      </c>
      <c r="B774" s="270"/>
      <c r="C774" s="270"/>
      <c r="D774" s="271"/>
      <c r="E774" s="272"/>
      <c r="F774" s="272"/>
      <c r="G774" s="273"/>
      <c r="H774" s="274"/>
      <c r="I774" s="274"/>
      <c r="J774" s="274"/>
      <c r="K774" s="274"/>
      <c r="L774" s="274"/>
      <c r="M774" s="274"/>
      <c r="N774" s="274"/>
      <c r="O774" s="274"/>
      <c r="P774" s="274"/>
      <c r="Q774" s="274"/>
      <c r="R774" s="274"/>
      <c r="S774" s="274"/>
      <c r="T774" s="274"/>
      <c r="U774" s="274"/>
      <c r="V774" s="274"/>
    </row>
    <row r="775" spans="1:22" x14ac:dyDescent="0.25">
      <c r="A775" s="247">
        <v>773</v>
      </c>
      <c r="B775" s="270"/>
      <c r="C775" s="270"/>
      <c r="D775" s="271"/>
      <c r="E775" s="272"/>
      <c r="F775" s="272"/>
      <c r="G775" s="273"/>
      <c r="H775" s="274"/>
      <c r="I775" s="274"/>
      <c r="J775" s="274"/>
      <c r="K775" s="274"/>
      <c r="L775" s="274"/>
      <c r="M775" s="274"/>
      <c r="N775" s="274"/>
      <c r="O775" s="274"/>
      <c r="P775" s="274"/>
      <c r="Q775" s="274"/>
      <c r="R775" s="274"/>
      <c r="S775" s="274"/>
      <c r="T775" s="274"/>
      <c r="U775" s="274"/>
      <c r="V775" s="274"/>
    </row>
    <row r="776" spans="1:22" x14ac:dyDescent="0.25">
      <c r="A776" s="247">
        <v>774</v>
      </c>
      <c r="B776" s="270"/>
      <c r="C776" s="270"/>
      <c r="D776" s="271"/>
      <c r="E776" s="272"/>
      <c r="F776" s="272"/>
      <c r="G776" s="273"/>
      <c r="H776" s="274"/>
      <c r="I776" s="274"/>
      <c r="J776" s="274"/>
      <c r="K776" s="274"/>
      <c r="L776" s="274"/>
      <c r="M776" s="274"/>
      <c r="N776" s="274"/>
      <c r="O776" s="274"/>
      <c r="P776" s="274"/>
      <c r="Q776" s="274"/>
      <c r="R776" s="274"/>
      <c r="S776" s="274"/>
      <c r="T776" s="274"/>
      <c r="U776" s="274"/>
      <c r="V776" s="274"/>
    </row>
    <row r="777" spans="1:22" x14ac:dyDescent="0.25">
      <c r="A777" s="247">
        <v>775</v>
      </c>
      <c r="B777" s="270"/>
      <c r="C777" s="270"/>
      <c r="D777" s="271"/>
      <c r="E777" s="272"/>
      <c r="F777" s="272"/>
      <c r="G777" s="273"/>
      <c r="H777" s="274"/>
      <c r="I777" s="274"/>
      <c r="J777" s="274"/>
      <c r="K777" s="274"/>
      <c r="L777" s="274"/>
      <c r="M777" s="274"/>
      <c r="N777" s="274"/>
      <c r="O777" s="274"/>
      <c r="P777" s="274"/>
      <c r="Q777" s="274"/>
      <c r="R777" s="274"/>
      <c r="S777" s="274"/>
      <c r="T777" s="274"/>
      <c r="U777" s="274"/>
      <c r="V777" s="274"/>
    </row>
    <row r="778" spans="1:22" x14ac:dyDescent="0.25">
      <c r="A778" s="247">
        <v>776</v>
      </c>
      <c r="B778" s="270"/>
      <c r="C778" s="270"/>
      <c r="D778" s="271"/>
      <c r="E778" s="272"/>
      <c r="F778" s="272"/>
      <c r="G778" s="273"/>
      <c r="H778" s="274"/>
      <c r="I778" s="274"/>
      <c r="J778" s="274"/>
      <c r="K778" s="274"/>
      <c r="L778" s="274"/>
      <c r="M778" s="274"/>
      <c r="N778" s="274"/>
      <c r="O778" s="274"/>
      <c r="P778" s="274"/>
      <c r="Q778" s="274"/>
      <c r="R778" s="274"/>
      <c r="S778" s="274"/>
      <c r="T778" s="274"/>
      <c r="U778" s="274"/>
      <c r="V778" s="274"/>
    </row>
    <row r="779" spans="1:22" x14ac:dyDescent="0.25">
      <c r="A779" s="247">
        <v>777</v>
      </c>
      <c r="B779" s="270"/>
      <c r="C779" s="270"/>
      <c r="D779" s="271"/>
      <c r="E779" s="272"/>
      <c r="F779" s="272"/>
      <c r="G779" s="273"/>
      <c r="H779" s="274"/>
      <c r="I779" s="274"/>
      <c r="J779" s="274"/>
      <c r="K779" s="274"/>
      <c r="L779" s="274"/>
      <c r="M779" s="274"/>
      <c r="N779" s="274"/>
      <c r="O779" s="274"/>
      <c r="P779" s="274"/>
      <c r="Q779" s="274"/>
      <c r="R779" s="274"/>
      <c r="S779" s="274"/>
      <c r="T779" s="274"/>
      <c r="U779" s="274"/>
      <c r="V779" s="274"/>
    </row>
    <row r="780" spans="1:22" x14ac:dyDescent="0.25">
      <c r="A780" s="247">
        <v>778</v>
      </c>
      <c r="B780" s="270"/>
      <c r="C780" s="270"/>
      <c r="D780" s="271"/>
      <c r="E780" s="272"/>
      <c r="F780" s="272"/>
      <c r="G780" s="273"/>
      <c r="H780" s="274"/>
      <c r="I780" s="274"/>
      <c r="J780" s="274"/>
      <c r="K780" s="274"/>
      <c r="L780" s="274"/>
      <c r="M780" s="274"/>
      <c r="N780" s="274"/>
      <c r="O780" s="274"/>
      <c r="P780" s="274"/>
      <c r="Q780" s="274"/>
      <c r="R780" s="274"/>
      <c r="S780" s="274"/>
      <c r="T780" s="274"/>
      <c r="U780" s="274"/>
      <c r="V780" s="274"/>
    </row>
    <row r="781" spans="1:22" x14ac:dyDescent="0.25">
      <c r="A781" s="247">
        <v>779</v>
      </c>
      <c r="B781" s="270"/>
      <c r="C781" s="270"/>
      <c r="D781" s="271"/>
      <c r="E781" s="272"/>
      <c r="F781" s="272"/>
      <c r="G781" s="273"/>
      <c r="H781" s="274"/>
      <c r="I781" s="274"/>
      <c r="J781" s="274"/>
      <c r="K781" s="274"/>
      <c r="L781" s="274"/>
      <c r="M781" s="274"/>
      <c r="N781" s="274"/>
      <c r="O781" s="274"/>
      <c r="P781" s="274"/>
      <c r="Q781" s="274"/>
      <c r="R781" s="274"/>
      <c r="S781" s="274"/>
      <c r="T781" s="274"/>
      <c r="U781" s="274"/>
      <c r="V781" s="274"/>
    </row>
    <row r="782" spans="1:22" x14ac:dyDescent="0.25">
      <c r="A782" s="247">
        <v>780</v>
      </c>
      <c r="B782" s="270"/>
      <c r="C782" s="270"/>
      <c r="D782" s="271"/>
      <c r="E782" s="272"/>
      <c r="F782" s="272"/>
      <c r="G782" s="273"/>
      <c r="H782" s="274"/>
      <c r="I782" s="274"/>
      <c r="J782" s="274"/>
      <c r="K782" s="274"/>
      <c r="L782" s="274"/>
      <c r="M782" s="274"/>
      <c r="N782" s="274"/>
      <c r="O782" s="274"/>
      <c r="P782" s="274"/>
      <c r="Q782" s="274"/>
      <c r="R782" s="274"/>
      <c r="S782" s="274"/>
      <c r="T782" s="274"/>
      <c r="U782" s="274"/>
      <c r="V782" s="274"/>
    </row>
    <row r="783" spans="1:22" x14ac:dyDescent="0.25">
      <c r="A783" s="247">
        <v>781</v>
      </c>
      <c r="B783" s="270"/>
      <c r="C783" s="270"/>
      <c r="D783" s="271"/>
      <c r="E783" s="272"/>
      <c r="F783" s="272"/>
      <c r="G783" s="273"/>
      <c r="H783" s="274"/>
      <c r="I783" s="274"/>
      <c r="J783" s="274"/>
      <c r="K783" s="274"/>
      <c r="L783" s="274"/>
      <c r="M783" s="274"/>
      <c r="N783" s="274"/>
      <c r="O783" s="274"/>
      <c r="P783" s="274"/>
      <c r="Q783" s="274"/>
      <c r="R783" s="274"/>
      <c r="S783" s="274"/>
      <c r="T783" s="274"/>
      <c r="U783" s="274"/>
      <c r="V783" s="274"/>
    </row>
    <row r="784" spans="1:22" x14ac:dyDescent="0.25">
      <c r="A784" s="247">
        <v>782</v>
      </c>
      <c r="B784" s="270"/>
      <c r="C784" s="270"/>
      <c r="D784" s="271"/>
      <c r="E784" s="272"/>
      <c r="F784" s="272"/>
      <c r="G784" s="273"/>
      <c r="H784" s="274"/>
      <c r="I784" s="274"/>
      <c r="J784" s="274"/>
      <c r="K784" s="274"/>
      <c r="L784" s="274"/>
      <c r="M784" s="274"/>
      <c r="N784" s="274"/>
      <c r="O784" s="274"/>
      <c r="P784" s="274"/>
      <c r="Q784" s="274"/>
      <c r="R784" s="274"/>
      <c r="S784" s="274"/>
      <c r="T784" s="274"/>
      <c r="U784" s="274"/>
      <c r="V784" s="274"/>
    </row>
    <row r="785" spans="1:22" x14ac:dyDescent="0.25">
      <c r="A785" s="247">
        <v>783</v>
      </c>
      <c r="B785" s="270"/>
      <c r="C785" s="270"/>
      <c r="D785" s="271"/>
      <c r="E785" s="272"/>
      <c r="F785" s="272"/>
      <c r="G785" s="273"/>
      <c r="H785" s="274"/>
      <c r="I785" s="274"/>
      <c r="J785" s="274"/>
      <c r="K785" s="274"/>
      <c r="L785" s="274"/>
      <c r="M785" s="274"/>
      <c r="N785" s="274"/>
      <c r="O785" s="274"/>
      <c r="P785" s="274"/>
      <c r="Q785" s="274"/>
      <c r="R785" s="274"/>
      <c r="S785" s="274"/>
      <c r="T785" s="274"/>
      <c r="U785" s="274"/>
      <c r="V785" s="274"/>
    </row>
    <row r="786" spans="1:22" x14ac:dyDescent="0.25">
      <c r="A786" s="247">
        <v>784</v>
      </c>
      <c r="B786" s="270"/>
      <c r="C786" s="270"/>
      <c r="D786" s="271"/>
      <c r="E786" s="272"/>
      <c r="F786" s="272"/>
      <c r="G786" s="273"/>
      <c r="H786" s="274"/>
      <c r="I786" s="274"/>
      <c r="J786" s="274"/>
      <c r="K786" s="274"/>
      <c r="L786" s="274"/>
      <c r="M786" s="274"/>
      <c r="N786" s="274"/>
      <c r="O786" s="274"/>
      <c r="P786" s="274"/>
      <c r="Q786" s="274"/>
      <c r="R786" s="274"/>
      <c r="S786" s="274"/>
      <c r="T786" s="274"/>
      <c r="U786" s="274"/>
      <c r="V786" s="274"/>
    </row>
    <row r="787" spans="1:22" x14ac:dyDescent="0.25">
      <c r="A787" s="247">
        <v>785</v>
      </c>
      <c r="B787" s="270"/>
      <c r="C787" s="270"/>
      <c r="D787" s="271"/>
      <c r="E787" s="272"/>
      <c r="F787" s="272"/>
      <c r="G787" s="273"/>
      <c r="H787" s="274"/>
      <c r="I787" s="274"/>
      <c r="J787" s="274"/>
      <c r="K787" s="274"/>
      <c r="L787" s="274"/>
      <c r="M787" s="274"/>
      <c r="N787" s="274"/>
      <c r="O787" s="274"/>
      <c r="P787" s="274"/>
      <c r="Q787" s="274"/>
      <c r="R787" s="274"/>
      <c r="S787" s="274"/>
      <c r="T787" s="274"/>
      <c r="U787" s="274"/>
      <c r="V787" s="274"/>
    </row>
    <row r="788" spans="1:22" x14ac:dyDescent="0.25">
      <c r="A788" s="247">
        <v>786</v>
      </c>
      <c r="B788" s="270"/>
      <c r="C788" s="270"/>
      <c r="D788" s="271"/>
      <c r="E788" s="272"/>
      <c r="F788" s="272"/>
      <c r="G788" s="273"/>
      <c r="H788" s="274"/>
      <c r="I788" s="274"/>
      <c r="J788" s="274"/>
      <c r="K788" s="274"/>
      <c r="L788" s="274"/>
      <c r="M788" s="274"/>
      <c r="N788" s="274"/>
      <c r="O788" s="274"/>
      <c r="P788" s="274"/>
      <c r="Q788" s="274"/>
      <c r="R788" s="274"/>
      <c r="S788" s="274"/>
      <c r="T788" s="274"/>
      <c r="U788" s="274"/>
      <c r="V788" s="274"/>
    </row>
    <row r="789" spans="1:22" x14ac:dyDescent="0.25">
      <c r="A789" s="247">
        <v>787</v>
      </c>
      <c r="B789" s="270"/>
      <c r="C789" s="270"/>
      <c r="D789" s="271"/>
      <c r="E789" s="272"/>
      <c r="F789" s="272"/>
      <c r="G789" s="273"/>
      <c r="H789" s="274"/>
      <c r="I789" s="274"/>
      <c r="J789" s="274"/>
      <c r="K789" s="274"/>
      <c r="L789" s="274"/>
      <c r="M789" s="274"/>
      <c r="N789" s="274"/>
      <c r="O789" s="274"/>
      <c r="P789" s="274"/>
      <c r="Q789" s="274"/>
      <c r="R789" s="274"/>
      <c r="S789" s="274"/>
      <c r="T789" s="274"/>
      <c r="U789" s="274"/>
      <c r="V789" s="274"/>
    </row>
    <row r="790" spans="1:22" x14ac:dyDescent="0.25">
      <c r="A790" s="247">
        <v>788</v>
      </c>
      <c r="B790" s="270"/>
      <c r="C790" s="270"/>
      <c r="D790" s="271"/>
      <c r="E790" s="272"/>
      <c r="F790" s="272"/>
      <c r="G790" s="273"/>
      <c r="H790" s="274"/>
      <c r="I790" s="274"/>
      <c r="J790" s="274"/>
      <c r="K790" s="274"/>
      <c r="L790" s="274"/>
      <c r="M790" s="274"/>
      <c r="N790" s="274"/>
      <c r="O790" s="274"/>
      <c r="P790" s="274"/>
      <c r="Q790" s="274"/>
      <c r="R790" s="274"/>
      <c r="S790" s="274"/>
      <c r="T790" s="274"/>
      <c r="U790" s="274"/>
      <c r="V790" s="274"/>
    </row>
    <row r="791" spans="1:22" x14ac:dyDescent="0.25">
      <c r="A791" s="247">
        <v>789</v>
      </c>
      <c r="B791" s="270"/>
      <c r="C791" s="270"/>
      <c r="D791" s="271"/>
      <c r="E791" s="272"/>
      <c r="F791" s="272"/>
      <c r="G791" s="273"/>
      <c r="H791" s="274"/>
      <c r="I791" s="274"/>
      <c r="J791" s="274"/>
      <c r="K791" s="274"/>
      <c r="L791" s="274"/>
      <c r="M791" s="274"/>
      <c r="N791" s="274"/>
      <c r="O791" s="274"/>
      <c r="P791" s="274"/>
      <c r="Q791" s="274"/>
      <c r="R791" s="274"/>
      <c r="S791" s="274"/>
      <c r="T791" s="274"/>
      <c r="U791" s="274"/>
      <c r="V791" s="274"/>
    </row>
    <row r="792" spans="1:22" x14ac:dyDescent="0.25">
      <c r="A792" s="247">
        <v>790</v>
      </c>
      <c r="B792" s="270"/>
      <c r="C792" s="270"/>
      <c r="D792" s="271"/>
      <c r="E792" s="272"/>
      <c r="F792" s="272"/>
      <c r="G792" s="273"/>
      <c r="H792" s="274"/>
      <c r="I792" s="274"/>
      <c r="J792" s="274"/>
      <c r="K792" s="274"/>
      <c r="L792" s="274"/>
      <c r="M792" s="274"/>
      <c r="N792" s="274"/>
      <c r="O792" s="274"/>
      <c r="P792" s="274"/>
      <c r="Q792" s="274"/>
      <c r="R792" s="274"/>
      <c r="S792" s="274"/>
      <c r="T792" s="274"/>
      <c r="U792" s="274"/>
      <c r="V792" s="274"/>
    </row>
    <row r="793" spans="1:22" x14ac:dyDescent="0.25">
      <c r="A793" s="247">
        <v>791</v>
      </c>
      <c r="B793" s="270"/>
      <c r="C793" s="270"/>
      <c r="D793" s="271"/>
      <c r="E793" s="272"/>
      <c r="F793" s="272"/>
      <c r="G793" s="273"/>
      <c r="H793" s="274"/>
      <c r="I793" s="274"/>
      <c r="J793" s="274"/>
      <c r="K793" s="274"/>
      <c r="L793" s="274"/>
      <c r="M793" s="274"/>
      <c r="N793" s="274"/>
      <c r="O793" s="274"/>
      <c r="P793" s="274"/>
      <c r="Q793" s="274"/>
      <c r="R793" s="274"/>
      <c r="S793" s="274"/>
      <c r="T793" s="274"/>
      <c r="U793" s="274"/>
      <c r="V793" s="274"/>
    </row>
    <row r="794" spans="1:22" x14ac:dyDescent="0.25">
      <c r="A794" s="247">
        <v>792</v>
      </c>
      <c r="B794" s="270"/>
      <c r="C794" s="270"/>
      <c r="D794" s="271"/>
      <c r="E794" s="272"/>
      <c r="F794" s="272"/>
      <c r="G794" s="273"/>
      <c r="H794" s="274"/>
      <c r="I794" s="274"/>
      <c r="J794" s="274"/>
      <c r="K794" s="274"/>
      <c r="L794" s="274"/>
      <c r="M794" s="274"/>
      <c r="N794" s="274"/>
      <c r="O794" s="274"/>
      <c r="P794" s="274"/>
      <c r="Q794" s="274"/>
      <c r="R794" s="274"/>
      <c r="S794" s="274"/>
      <c r="T794" s="274"/>
      <c r="U794" s="274"/>
      <c r="V794" s="274"/>
    </row>
    <row r="795" spans="1:22" x14ac:dyDescent="0.25">
      <c r="A795" s="247">
        <v>793</v>
      </c>
      <c r="B795" s="270"/>
      <c r="C795" s="270"/>
      <c r="D795" s="271"/>
      <c r="E795" s="272"/>
      <c r="F795" s="272"/>
      <c r="G795" s="273"/>
      <c r="H795" s="274"/>
      <c r="I795" s="274"/>
      <c r="J795" s="274"/>
      <c r="K795" s="274"/>
      <c r="L795" s="274"/>
      <c r="M795" s="274"/>
      <c r="N795" s="274"/>
      <c r="O795" s="274"/>
      <c r="P795" s="274"/>
      <c r="Q795" s="274"/>
      <c r="R795" s="274"/>
      <c r="S795" s="274"/>
      <c r="T795" s="274"/>
      <c r="U795" s="274"/>
      <c r="V795" s="274"/>
    </row>
    <row r="796" spans="1:22" x14ac:dyDescent="0.25">
      <c r="A796" s="247">
        <v>794</v>
      </c>
      <c r="B796" s="270"/>
      <c r="C796" s="270"/>
      <c r="D796" s="271"/>
      <c r="E796" s="272"/>
      <c r="F796" s="272"/>
      <c r="G796" s="273"/>
      <c r="H796" s="274"/>
      <c r="I796" s="274"/>
      <c r="J796" s="274"/>
      <c r="K796" s="274"/>
      <c r="L796" s="274"/>
      <c r="M796" s="274"/>
      <c r="N796" s="274"/>
      <c r="O796" s="274"/>
      <c r="P796" s="274"/>
      <c r="Q796" s="274"/>
      <c r="R796" s="274"/>
      <c r="S796" s="274"/>
      <c r="T796" s="274"/>
      <c r="U796" s="274"/>
      <c r="V796" s="274"/>
    </row>
    <row r="797" spans="1:22" x14ac:dyDescent="0.25">
      <c r="A797" s="247">
        <v>795</v>
      </c>
      <c r="B797" s="270"/>
      <c r="C797" s="270"/>
      <c r="D797" s="271"/>
      <c r="E797" s="272"/>
      <c r="F797" s="272"/>
      <c r="G797" s="273"/>
      <c r="H797" s="274"/>
      <c r="I797" s="274"/>
      <c r="J797" s="274"/>
      <c r="K797" s="274"/>
      <c r="L797" s="274"/>
      <c r="M797" s="274"/>
      <c r="N797" s="274"/>
      <c r="O797" s="274"/>
      <c r="P797" s="274"/>
      <c r="Q797" s="274"/>
      <c r="R797" s="274"/>
      <c r="S797" s="274"/>
      <c r="T797" s="274"/>
      <c r="U797" s="274"/>
      <c r="V797" s="274"/>
    </row>
    <row r="798" spans="1:22" x14ac:dyDescent="0.25">
      <c r="A798" s="247">
        <v>796</v>
      </c>
      <c r="B798" s="270"/>
      <c r="C798" s="270"/>
      <c r="D798" s="271"/>
      <c r="E798" s="272"/>
      <c r="F798" s="272"/>
      <c r="G798" s="273"/>
      <c r="H798" s="274"/>
      <c r="I798" s="274"/>
      <c r="J798" s="274"/>
      <c r="K798" s="274"/>
      <c r="L798" s="274"/>
      <c r="M798" s="274"/>
      <c r="N798" s="274"/>
      <c r="O798" s="274"/>
      <c r="P798" s="274"/>
      <c r="Q798" s="274"/>
      <c r="R798" s="274"/>
      <c r="S798" s="274"/>
      <c r="T798" s="274"/>
      <c r="U798" s="274"/>
      <c r="V798" s="274"/>
    </row>
    <row r="799" spans="1:22" x14ac:dyDescent="0.25">
      <c r="A799" s="247">
        <v>797</v>
      </c>
      <c r="B799" s="270"/>
      <c r="C799" s="270"/>
      <c r="D799" s="271"/>
      <c r="E799" s="272"/>
      <c r="F799" s="272"/>
      <c r="G799" s="273"/>
      <c r="H799" s="274"/>
      <c r="I799" s="274"/>
      <c r="J799" s="274"/>
      <c r="K799" s="274"/>
      <c r="L799" s="274"/>
      <c r="M799" s="274"/>
      <c r="N799" s="274"/>
      <c r="O799" s="274"/>
      <c r="P799" s="274"/>
      <c r="Q799" s="274"/>
      <c r="R799" s="274"/>
      <c r="S799" s="274"/>
      <c r="T799" s="274"/>
      <c r="U799" s="274"/>
      <c r="V799" s="274"/>
    </row>
    <row r="800" spans="1:22" x14ac:dyDescent="0.25">
      <c r="A800" s="247">
        <v>798</v>
      </c>
      <c r="B800" s="270"/>
      <c r="C800" s="270"/>
      <c r="D800" s="271"/>
      <c r="E800" s="272"/>
      <c r="F800" s="272"/>
      <c r="G800" s="273"/>
      <c r="H800" s="274"/>
      <c r="I800" s="274"/>
      <c r="J800" s="274"/>
      <c r="K800" s="274"/>
      <c r="L800" s="274"/>
      <c r="M800" s="274"/>
      <c r="N800" s="274"/>
      <c r="O800" s="274"/>
      <c r="P800" s="274"/>
      <c r="Q800" s="274"/>
      <c r="R800" s="274"/>
      <c r="S800" s="274"/>
      <c r="T800" s="274"/>
      <c r="U800" s="274"/>
      <c r="V800" s="274"/>
    </row>
    <row r="801" spans="1:22" x14ac:dyDescent="0.25">
      <c r="A801" s="247">
        <v>799</v>
      </c>
      <c r="B801" s="270"/>
      <c r="C801" s="270"/>
      <c r="D801" s="271"/>
      <c r="E801" s="272"/>
      <c r="F801" s="272"/>
      <c r="G801" s="273"/>
      <c r="H801" s="274"/>
      <c r="I801" s="274"/>
      <c r="J801" s="274"/>
      <c r="K801" s="274"/>
      <c r="L801" s="274"/>
      <c r="M801" s="274"/>
      <c r="N801" s="274"/>
      <c r="O801" s="274"/>
      <c r="P801" s="274"/>
      <c r="Q801" s="274"/>
      <c r="R801" s="274"/>
      <c r="S801" s="274"/>
      <c r="T801" s="274"/>
      <c r="U801" s="274"/>
      <c r="V801" s="274"/>
    </row>
    <row r="802" spans="1:22" x14ac:dyDescent="0.25">
      <c r="A802" s="247">
        <v>800</v>
      </c>
      <c r="B802" s="270"/>
      <c r="C802" s="270"/>
      <c r="D802" s="271"/>
      <c r="E802" s="272"/>
      <c r="F802" s="272"/>
      <c r="G802" s="273"/>
      <c r="H802" s="274"/>
      <c r="I802" s="274"/>
      <c r="J802" s="274"/>
      <c r="K802" s="274"/>
      <c r="L802" s="274"/>
      <c r="M802" s="274"/>
      <c r="N802" s="274"/>
      <c r="O802" s="274"/>
      <c r="P802" s="274"/>
      <c r="Q802" s="274"/>
      <c r="R802" s="274"/>
      <c r="S802" s="274"/>
      <c r="T802" s="274"/>
      <c r="U802" s="274"/>
      <c r="V802" s="274"/>
    </row>
    <row r="803" spans="1:22" x14ac:dyDescent="0.25">
      <c r="A803" s="247">
        <v>801</v>
      </c>
      <c r="B803" s="270"/>
      <c r="C803" s="270"/>
      <c r="D803" s="271"/>
      <c r="E803" s="272"/>
      <c r="F803" s="272"/>
      <c r="G803" s="273"/>
      <c r="H803" s="274"/>
      <c r="I803" s="274"/>
      <c r="J803" s="274"/>
      <c r="K803" s="274"/>
      <c r="L803" s="274"/>
      <c r="M803" s="274"/>
      <c r="N803" s="274"/>
      <c r="O803" s="274"/>
      <c r="P803" s="274"/>
      <c r="Q803" s="274"/>
      <c r="R803" s="274"/>
      <c r="S803" s="274"/>
      <c r="T803" s="274"/>
      <c r="U803" s="274"/>
      <c r="V803" s="274"/>
    </row>
    <row r="804" spans="1:22" x14ac:dyDescent="0.25">
      <c r="A804" s="247">
        <v>802</v>
      </c>
      <c r="B804" s="270"/>
      <c r="C804" s="270"/>
      <c r="D804" s="271"/>
      <c r="E804" s="272"/>
      <c r="F804" s="272"/>
      <c r="G804" s="273"/>
      <c r="H804" s="274"/>
      <c r="I804" s="274"/>
      <c r="J804" s="274"/>
      <c r="K804" s="274"/>
      <c r="L804" s="274"/>
      <c r="M804" s="274"/>
      <c r="N804" s="274"/>
      <c r="O804" s="274"/>
      <c r="P804" s="274"/>
      <c r="Q804" s="274"/>
      <c r="R804" s="274"/>
      <c r="S804" s="274"/>
      <c r="T804" s="274"/>
      <c r="U804" s="274"/>
      <c r="V804" s="274"/>
    </row>
    <row r="805" spans="1:22" x14ac:dyDescent="0.25">
      <c r="A805" s="247">
        <v>803</v>
      </c>
      <c r="B805" s="270"/>
      <c r="C805" s="270"/>
      <c r="D805" s="271"/>
      <c r="E805" s="272"/>
      <c r="F805" s="272"/>
      <c r="G805" s="273"/>
      <c r="H805" s="274"/>
      <c r="I805" s="274"/>
      <c r="J805" s="274"/>
      <c r="K805" s="274"/>
      <c r="L805" s="274"/>
      <c r="M805" s="274"/>
      <c r="N805" s="274"/>
      <c r="O805" s="274"/>
      <c r="P805" s="274"/>
      <c r="Q805" s="274"/>
      <c r="R805" s="274"/>
      <c r="S805" s="274"/>
      <c r="T805" s="274"/>
      <c r="U805" s="274"/>
      <c r="V805" s="274"/>
    </row>
    <row r="806" spans="1:22" x14ac:dyDescent="0.25">
      <c r="A806" s="247">
        <v>804</v>
      </c>
      <c r="B806" s="270"/>
      <c r="C806" s="270"/>
      <c r="D806" s="271"/>
      <c r="E806" s="272"/>
      <c r="F806" s="272"/>
      <c r="G806" s="273"/>
      <c r="H806" s="274"/>
      <c r="I806" s="274"/>
      <c r="J806" s="274"/>
      <c r="K806" s="274"/>
      <c r="L806" s="274"/>
      <c r="M806" s="274"/>
      <c r="N806" s="274"/>
      <c r="O806" s="274"/>
      <c r="P806" s="274"/>
      <c r="Q806" s="274"/>
      <c r="R806" s="274"/>
      <c r="S806" s="274"/>
      <c r="T806" s="274"/>
      <c r="U806" s="274"/>
      <c r="V806" s="274"/>
    </row>
    <row r="807" spans="1:22" x14ac:dyDescent="0.25">
      <c r="A807" s="247">
        <v>805</v>
      </c>
      <c r="B807" s="270"/>
      <c r="C807" s="270"/>
      <c r="D807" s="271"/>
      <c r="E807" s="272"/>
      <c r="F807" s="272"/>
      <c r="G807" s="273"/>
      <c r="H807" s="274"/>
      <c r="I807" s="274"/>
      <c r="J807" s="274"/>
      <c r="K807" s="274"/>
      <c r="L807" s="274"/>
      <c r="M807" s="274"/>
      <c r="N807" s="274"/>
      <c r="O807" s="274"/>
      <c r="P807" s="274"/>
      <c r="Q807" s="274"/>
      <c r="R807" s="274"/>
      <c r="S807" s="274"/>
      <c r="T807" s="274"/>
      <c r="U807" s="274"/>
      <c r="V807" s="274"/>
    </row>
    <row r="808" spans="1:22" x14ac:dyDescent="0.25">
      <c r="A808" s="247">
        <v>806</v>
      </c>
      <c r="B808" s="270"/>
      <c r="C808" s="270"/>
      <c r="D808" s="271"/>
      <c r="E808" s="272"/>
      <c r="F808" s="272"/>
      <c r="G808" s="273"/>
      <c r="H808" s="274"/>
      <c r="I808" s="274"/>
      <c r="J808" s="274"/>
      <c r="K808" s="274"/>
      <c r="L808" s="274"/>
      <c r="M808" s="274"/>
      <c r="N808" s="274"/>
      <c r="O808" s="274"/>
      <c r="P808" s="274"/>
      <c r="Q808" s="274"/>
      <c r="R808" s="274"/>
      <c r="S808" s="274"/>
      <c r="T808" s="274"/>
      <c r="U808" s="274"/>
      <c r="V808" s="274"/>
    </row>
    <row r="809" spans="1:22" x14ac:dyDescent="0.25">
      <c r="A809" s="247">
        <v>807</v>
      </c>
      <c r="B809" s="270"/>
      <c r="C809" s="270"/>
      <c r="D809" s="271"/>
      <c r="E809" s="272"/>
      <c r="F809" s="272"/>
      <c r="G809" s="273"/>
      <c r="H809" s="274"/>
      <c r="I809" s="274"/>
      <c r="J809" s="274"/>
      <c r="K809" s="274"/>
      <c r="L809" s="274"/>
      <c r="M809" s="274"/>
      <c r="N809" s="274"/>
      <c r="O809" s="274"/>
      <c r="P809" s="274"/>
      <c r="Q809" s="274"/>
      <c r="R809" s="274"/>
      <c r="S809" s="274"/>
      <c r="T809" s="274"/>
      <c r="U809" s="274"/>
      <c r="V809" s="274"/>
    </row>
    <row r="810" spans="1:22" x14ac:dyDescent="0.25">
      <c r="A810" s="247">
        <v>808</v>
      </c>
      <c r="B810" s="270"/>
      <c r="C810" s="270"/>
      <c r="D810" s="271"/>
      <c r="E810" s="272"/>
      <c r="F810" s="272"/>
      <c r="G810" s="273"/>
      <c r="H810" s="274"/>
      <c r="I810" s="274"/>
      <c r="J810" s="274"/>
      <c r="K810" s="274"/>
      <c r="L810" s="274"/>
      <c r="M810" s="274"/>
      <c r="N810" s="274"/>
      <c r="O810" s="274"/>
      <c r="P810" s="274"/>
      <c r="Q810" s="274"/>
      <c r="R810" s="274"/>
      <c r="S810" s="274"/>
      <c r="T810" s="274"/>
      <c r="U810" s="274"/>
      <c r="V810" s="274"/>
    </row>
    <row r="811" spans="1:22" x14ac:dyDescent="0.25">
      <c r="A811" s="247">
        <v>809</v>
      </c>
      <c r="B811" s="270"/>
      <c r="C811" s="270"/>
      <c r="D811" s="271"/>
      <c r="E811" s="272"/>
      <c r="F811" s="272"/>
      <c r="G811" s="273"/>
      <c r="H811" s="274"/>
      <c r="I811" s="274"/>
      <c r="J811" s="274"/>
      <c r="K811" s="274"/>
      <c r="L811" s="274"/>
      <c r="M811" s="274"/>
      <c r="N811" s="274"/>
      <c r="O811" s="274"/>
      <c r="P811" s="274"/>
      <c r="Q811" s="274"/>
      <c r="R811" s="274"/>
      <c r="S811" s="274"/>
      <c r="T811" s="274"/>
      <c r="U811" s="274"/>
      <c r="V811" s="274"/>
    </row>
    <row r="812" spans="1:22" x14ac:dyDescent="0.25">
      <c r="A812" s="247">
        <v>810</v>
      </c>
      <c r="B812" s="270"/>
      <c r="C812" s="270"/>
      <c r="D812" s="271"/>
      <c r="E812" s="272"/>
      <c r="F812" s="272"/>
      <c r="G812" s="273"/>
      <c r="H812" s="274"/>
      <c r="I812" s="274"/>
      <c r="J812" s="274"/>
      <c r="K812" s="274"/>
      <c r="L812" s="274"/>
      <c r="M812" s="274"/>
      <c r="N812" s="274"/>
      <c r="O812" s="274"/>
      <c r="P812" s="274"/>
      <c r="Q812" s="274"/>
      <c r="R812" s="274"/>
      <c r="S812" s="274"/>
      <c r="T812" s="274"/>
      <c r="U812" s="274"/>
      <c r="V812" s="274"/>
    </row>
    <row r="813" spans="1:22" x14ac:dyDescent="0.25">
      <c r="A813" s="247">
        <v>811</v>
      </c>
      <c r="B813" s="270"/>
      <c r="C813" s="270"/>
      <c r="D813" s="271"/>
      <c r="E813" s="272"/>
      <c r="F813" s="272"/>
      <c r="G813" s="273"/>
      <c r="H813" s="274"/>
      <c r="I813" s="274"/>
      <c r="J813" s="274"/>
      <c r="K813" s="274"/>
      <c r="L813" s="274"/>
      <c r="M813" s="274"/>
      <c r="N813" s="274"/>
      <c r="O813" s="274"/>
      <c r="P813" s="274"/>
      <c r="Q813" s="274"/>
      <c r="R813" s="274"/>
      <c r="S813" s="274"/>
      <c r="T813" s="274"/>
      <c r="U813" s="274"/>
      <c r="V813" s="274"/>
    </row>
    <row r="814" spans="1:22" x14ac:dyDescent="0.25">
      <c r="A814" s="247">
        <v>812</v>
      </c>
      <c r="B814" s="270"/>
      <c r="C814" s="270"/>
      <c r="D814" s="271"/>
      <c r="E814" s="272"/>
      <c r="F814" s="272"/>
      <c r="G814" s="273"/>
      <c r="H814" s="274"/>
      <c r="I814" s="274"/>
      <c r="J814" s="274"/>
      <c r="K814" s="274"/>
      <c r="L814" s="274"/>
      <c r="M814" s="274"/>
      <c r="N814" s="274"/>
      <c r="O814" s="274"/>
      <c r="P814" s="274"/>
      <c r="Q814" s="274"/>
      <c r="R814" s="274"/>
      <c r="S814" s="274"/>
      <c r="T814" s="274"/>
      <c r="U814" s="274"/>
      <c r="V814" s="274"/>
    </row>
    <row r="815" spans="1:22" x14ac:dyDescent="0.25">
      <c r="A815" s="247">
        <v>813</v>
      </c>
      <c r="B815" s="270"/>
      <c r="C815" s="270"/>
      <c r="D815" s="271"/>
      <c r="E815" s="272"/>
      <c r="F815" s="272"/>
      <c r="G815" s="273"/>
      <c r="H815" s="274"/>
      <c r="I815" s="274"/>
      <c r="J815" s="274"/>
      <c r="K815" s="274"/>
      <c r="L815" s="274"/>
      <c r="M815" s="274"/>
      <c r="N815" s="274"/>
      <c r="O815" s="274"/>
      <c r="P815" s="274"/>
      <c r="Q815" s="274"/>
      <c r="R815" s="274"/>
      <c r="S815" s="274"/>
      <c r="T815" s="274"/>
      <c r="U815" s="274"/>
      <c r="V815" s="274"/>
    </row>
    <row r="816" spans="1:22" x14ac:dyDescent="0.25">
      <c r="A816" s="247">
        <v>814</v>
      </c>
      <c r="B816" s="270"/>
      <c r="C816" s="270"/>
      <c r="D816" s="271"/>
      <c r="E816" s="272"/>
      <c r="F816" s="272"/>
      <c r="G816" s="273"/>
      <c r="H816" s="274"/>
      <c r="I816" s="274"/>
      <c r="J816" s="274"/>
      <c r="K816" s="274"/>
      <c r="L816" s="274"/>
      <c r="M816" s="274"/>
      <c r="N816" s="274"/>
      <c r="O816" s="274"/>
      <c r="P816" s="274"/>
      <c r="Q816" s="274"/>
      <c r="R816" s="274"/>
      <c r="S816" s="274"/>
      <c r="T816" s="274"/>
      <c r="U816" s="274"/>
      <c r="V816" s="274"/>
    </row>
    <row r="817" spans="1:22" x14ac:dyDescent="0.25">
      <c r="A817" s="247">
        <v>815</v>
      </c>
      <c r="B817" s="270"/>
      <c r="C817" s="270"/>
      <c r="D817" s="271"/>
      <c r="E817" s="272"/>
      <c r="F817" s="272"/>
      <c r="G817" s="273"/>
      <c r="H817" s="274"/>
      <c r="I817" s="274"/>
      <c r="J817" s="274"/>
      <c r="K817" s="274"/>
      <c r="L817" s="274"/>
      <c r="M817" s="274"/>
      <c r="N817" s="274"/>
      <c r="O817" s="274"/>
      <c r="P817" s="274"/>
      <c r="Q817" s="274"/>
      <c r="R817" s="274"/>
      <c r="S817" s="274"/>
      <c r="T817" s="274"/>
      <c r="U817" s="274"/>
      <c r="V817" s="274"/>
    </row>
    <row r="818" spans="1:22" x14ac:dyDescent="0.25">
      <c r="A818" s="247">
        <v>816</v>
      </c>
      <c r="B818" s="270"/>
      <c r="C818" s="270"/>
      <c r="D818" s="271"/>
      <c r="E818" s="272"/>
      <c r="F818" s="272"/>
      <c r="G818" s="273"/>
      <c r="H818" s="274"/>
      <c r="I818" s="274"/>
      <c r="J818" s="274"/>
      <c r="K818" s="274"/>
      <c r="L818" s="274"/>
      <c r="M818" s="274"/>
      <c r="N818" s="274"/>
      <c r="O818" s="274"/>
      <c r="P818" s="274"/>
      <c r="Q818" s="274"/>
      <c r="R818" s="274"/>
      <c r="S818" s="274"/>
      <c r="T818" s="274"/>
      <c r="U818" s="274"/>
      <c r="V818" s="274"/>
    </row>
    <row r="819" spans="1:22" x14ac:dyDescent="0.25">
      <c r="A819" s="247">
        <v>817</v>
      </c>
      <c r="B819" s="270"/>
      <c r="C819" s="270"/>
      <c r="D819" s="271"/>
      <c r="E819" s="272"/>
      <c r="F819" s="272"/>
      <c r="G819" s="273"/>
      <c r="H819" s="274"/>
      <c r="I819" s="274"/>
      <c r="J819" s="274"/>
      <c r="K819" s="274"/>
      <c r="L819" s="274"/>
      <c r="M819" s="274"/>
      <c r="N819" s="274"/>
      <c r="O819" s="274"/>
      <c r="P819" s="274"/>
      <c r="Q819" s="274"/>
      <c r="R819" s="274"/>
      <c r="S819" s="274"/>
      <c r="T819" s="274"/>
      <c r="U819" s="274"/>
      <c r="V819" s="274"/>
    </row>
    <row r="820" spans="1:22" x14ac:dyDescent="0.25">
      <c r="A820" s="247">
        <v>818</v>
      </c>
      <c r="B820" s="270"/>
      <c r="C820" s="270"/>
      <c r="D820" s="271"/>
      <c r="E820" s="272"/>
      <c r="F820" s="272"/>
      <c r="G820" s="273"/>
      <c r="H820" s="274"/>
      <c r="I820" s="274"/>
      <c r="J820" s="274"/>
      <c r="K820" s="274"/>
      <c r="L820" s="274"/>
      <c r="M820" s="274"/>
      <c r="N820" s="274"/>
      <c r="O820" s="274"/>
      <c r="P820" s="274"/>
      <c r="Q820" s="274"/>
      <c r="R820" s="274"/>
      <c r="S820" s="274"/>
      <c r="T820" s="274"/>
      <c r="U820" s="274"/>
      <c r="V820" s="274"/>
    </row>
    <row r="821" spans="1:22" x14ac:dyDescent="0.25">
      <c r="A821" s="247">
        <v>819</v>
      </c>
      <c r="B821" s="270"/>
      <c r="C821" s="270"/>
      <c r="D821" s="271"/>
      <c r="E821" s="272"/>
      <c r="F821" s="272"/>
      <c r="G821" s="273"/>
      <c r="H821" s="274"/>
      <c r="I821" s="274"/>
      <c r="J821" s="274"/>
      <c r="K821" s="274"/>
      <c r="L821" s="274"/>
      <c r="M821" s="274"/>
      <c r="N821" s="274"/>
      <c r="O821" s="274"/>
      <c r="P821" s="274"/>
      <c r="Q821" s="274"/>
      <c r="R821" s="274"/>
      <c r="S821" s="274"/>
      <c r="T821" s="274"/>
      <c r="U821" s="274"/>
      <c r="V821" s="274"/>
    </row>
    <row r="822" spans="1:22" x14ac:dyDescent="0.25">
      <c r="A822" s="247">
        <v>820</v>
      </c>
      <c r="B822" s="270"/>
      <c r="C822" s="270"/>
      <c r="D822" s="271"/>
      <c r="E822" s="272"/>
      <c r="F822" s="272"/>
      <c r="G822" s="273"/>
      <c r="H822" s="274"/>
      <c r="I822" s="274"/>
      <c r="J822" s="274"/>
      <c r="K822" s="274"/>
      <c r="L822" s="274"/>
      <c r="M822" s="274"/>
      <c r="N822" s="274"/>
      <c r="O822" s="274"/>
      <c r="P822" s="274"/>
      <c r="Q822" s="274"/>
      <c r="R822" s="274"/>
      <c r="S822" s="274"/>
      <c r="T822" s="274"/>
      <c r="U822" s="274"/>
      <c r="V822" s="274"/>
    </row>
    <row r="823" spans="1:22" x14ac:dyDescent="0.25">
      <c r="A823" s="247">
        <v>821</v>
      </c>
      <c r="B823" s="270"/>
      <c r="C823" s="270"/>
      <c r="D823" s="271"/>
      <c r="E823" s="272"/>
      <c r="F823" s="272"/>
      <c r="G823" s="273"/>
      <c r="H823" s="274"/>
      <c r="I823" s="274"/>
      <c r="J823" s="274"/>
      <c r="K823" s="274"/>
      <c r="L823" s="274"/>
      <c r="M823" s="274"/>
      <c r="N823" s="274"/>
      <c r="O823" s="274"/>
      <c r="P823" s="274"/>
      <c r="Q823" s="274"/>
      <c r="R823" s="274"/>
      <c r="S823" s="274"/>
      <c r="T823" s="274"/>
      <c r="U823" s="274"/>
      <c r="V823" s="274"/>
    </row>
    <row r="824" spans="1:22" x14ac:dyDescent="0.25">
      <c r="A824" s="247">
        <v>822</v>
      </c>
      <c r="B824" s="270"/>
      <c r="C824" s="270"/>
      <c r="D824" s="271"/>
      <c r="E824" s="272"/>
      <c r="F824" s="272"/>
      <c r="G824" s="273"/>
      <c r="H824" s="274"/>
      <c r="I824" s="274"/>
      <c r="J824" s="274"/>
      <c r="K824" s="274"/>
      <c r="L824" s="274"/>
      <c r="M824" s="274"/>
      <c r="N824" s="274"/>
      <c r="O824" s="274"/>
      <c r="P824" s="274"/>
      <c r="Q824" s="274"/>
      <c r="R824" s="274"/>
      <c r="S824" s="274"/>
      <c r="T824" s="274"/>
      <c r="U824" s="274"/>
      <c r="V824" s="274"/>
    </row>
    <row r="825" spans="1:22" x14ac:dyDescent="0.25">
      <c r="A825" s="247">
        <v>823</v>
      </c>
      <c r="B825" s="270"/>
      <c r="C825" s="270"/>
      <c r="D825" s="271"/>
      <c r="E825" s="272"/>
      <c r="F825" s="272"/>
      <c r="G825" s="273"/>
      <c r="H825" s="274"/>
      <c r="I825" s="274"/>
      <c r="J825" s="274"/>
      <c r="K825" s="274"/>
      <c r="L825" s="274"/>
      <c r="M825" s="274"/>
      <c r="N825" s="274"/>
      <c r="O825" s="274"/>
      <c r="P825" s="274"/>
      <c r="Q825" s="274"/>
      <c r="R825" s="274"/>
      <c r="S825" s="274"/>
      <c r="T825" s="274"/>
      <c r="U825" s="274"/>
      <c r="V825" s="274"/>
    </row>
    <row r="826" spans="1:22" x14ac:dyDescent="0.25">
      <c r="A826" s="247">
        <v>824</v>
      </c>
      <c r="B826" s="270"/>
      <c r="C826" s="270"/>
      <c r="D826" s="271"/>
      <c r="E826" s="272"/>
      <c r="F826" s="272"/>
      <c r="G826" s="273"/>
      <c r="H826" s="274"/>
      <c r="I826" s="274"/>
      <c r="J826" s="274"/>
      <c r="K826" s="274"/>
      <c r="L826" s="274"/>
      <c r="M826" s="274"/>
      <c r="N826" s="274"/>
      <c r="O826" s="274"/>
      <c r="P826" s="274"/>
      <c r="Q826" s="274"/>
      <c r="R826" s="274"/>
      <c r="S826" s="274"/>
      <c r="T826" s="274"/>
      <c r="U826" s="274"/>
      <c r="V826" s="274"/>
    </row>
    <row r="827" spans="1:22" x14ac:dyDescent="0.25">
      <c r="A827" s="247">
        <v>825</v>
      </c>
      <c r="B827" s="270"/>
      <c r="C827" s="270"/>
      <c r="D827" s="271"/>
      <c r="E827" s="272"/>
      <c r="F827" s="272"/>
      <c r="G827" s="273"/>
      <c r="H827" s="274"/>
      <c r="I827" s="274"/>
      <c r="J827" s="274"/>
      <c r="K827" s="274"/>
      <c r="L827" s="274"/>
      <c r="M827" s="274"/>
      <c r="N827" s="274"/>
      <c r="O827" s="274"/>
      <c r="P827" s="274"/>
      <c r="Q827" s="274"/>
      <c r="R827" s="274"/>
      <c r="S827" s="274"/>
      <c r="T827" s="274"/>
      <c r="U827" s="274"/>
      <c r="V827" s="274"/>
    </row>
    <row r="828" spans="1:22" x14ac:dyDescent="0.25">
      <c r="A828" s="247">
        <v>826</v>
      </c>
      <c r="B828" s="270"/>
      <c r="C828" s="270"/>
      <c r="D828" s="271"/>
      <c r="E828" s="272"/>
      <c r="F828" s="272"/>
      <c r="G828" s="273"/>
      <c r="H828" s="274"/>
      <c r="I828" s="274"/>
      <c r="J828" s="274"/>
      <c r="K828" s="274"/>
      <c r="L828" s="274"/>
      <c r="M828" s="274"/>
      <c r="N828" s="274"/>
      <c r="O828" s="274"/>
      <c r="P828" s="274"/>
      <c r="Q828" s="274"/>
      <c r="R828" s="274"/>
      <c r="S828" s="274"/>
      <c r="T828" s="274"/>
      <c r="U828" s="274"/>
      <c r="V828" s="274"/>
    </row>
    <row r="829" spans="1:22" x14ac:dyDescent="0.25">
      <c r="A829" s="247">
        <v>827</v>
      </c>
      <c r="B829" s="270"/>
      <c r="C829" s="270"/>
      <c r="D829" s="271"/>
      <c r="E829" s="272"/>
      <c r="F829" s="272"/>
      <c r="G829" s="273"/>
      <c r="H829" s="274"/>
      <c r="I829" s="274"/>
      <c r="J829" s="274"/>
      <c r="K829" s="274"/>
      <c r="L829" s="274"/>
      <c r="M829" s="274"/>
      <c r="N829" s="274"/>
      <c r="O829" s="274"/>
      <c r="P829" s="274"/>
      <c r="Q829" s="274"/>
      <c r="R829" s="274"/>
      <c r="S829" s="274"/>
      <c r="T829" s="274"/>
      <c r="U829" s="274"/>
      <c r="V829" s="274"/>
    </row>
    <row r="830" spans="1:22" x14ac:dyDescent="0.25">
      <c r="A830" s="247">
        <v>828</v>
      </c>
      <c r="B830" s="270"/>
      <c r="C830" s="270"/>
      <c r="D830" s="271"/>
      <c r="E830" s="272"/>
      <c r="F830" s="272"/>
      <c r="G830" s="273"/>
      <c r="H830" s="274"/>
      <c r="I830" s="274"/>
      <c r="J830" s="274"/>
      <c r="K830" s="274"/>
      <c r="L830" s="274"/>
      <c r="M830" s="274"/>
      <c r="N830" s="274"/>
      <c r="O830" s="274"/>
      <c r="P830" s="274"/>
      <c r="Q830" s="274"/>
      <c r="R830" s="274"/>
      <c r="S830" s="274"/>
      <c r="T830" s="274"/>
      <c r="U830" s="274"/>
      <c r="V830" s="274"/>
    </row>
    <row r="831" spans="1:22" x14ac:dyDescent="0.25">
      <c r="A831" s="247">
        <v>829</v>
      </c>
      <c r="B831" s="270"/>
      <c r="C831" s="270"/>
      <c r="D831" s="271"/>
      <c r="E831" s="272"/>
      <c r="F831" s="272"/>
      <c r="G831" s="273"/>
      <c r="H831" s="274"/>
      <c r="I831" s="274"/>
      <c r="J831" s="274"/>
      <c r="K831" s="274"/>
      <c r="L831" s="274"/>
      <c r="M831" s="274"/>
      <c r="N831" s="274"/>
      <c r="O831" s="274"/>
      <c r="P831" s="274"/>
      <c r="Q831" s="274"/>
      <c r="R831" s="274"/>
      <c r="S831" s="274"/>
      <c r="T831" s="274"/>
      <c r="U831" s="274"/>
      <c r="V831" s="274"/>
    </row>
    <row r="832" spans="1:22" x14ac:dyDescent="0.25">
      <c r="A832" s="247">
        <v>830</v>
      </c>
      <c r="B832" s="270"/>
      <c r="C832" s="270"/>
      <c r="D832" s="271"/>
      <c r="E832" s="272"/>
      <c r="F832" s="272"/>
      <c r="G832" s="273"/>
      <c r="H832" s="274"/>
      <c r="I832" s="274"/>
      <c r="J832" s="274"/>
      <c r="K832" s="274"/>
      <c r="L832" s="274"/>
      <c r="M832" s="274"/>
      <c r="N832" s="274"/>
      <c r="O832" s="274"/>
      <c r="P832" s="274"/>
      <c r="Q832" s="274"/>
      <c r="R832" s="274"/>
      <c r="S832" s="274"/>
      <c r="T832" s="274"/>
      <c r="U832" s="274"/>
      <c r="V832" s="274"/>
    </row>
    <row r="833" spans="1:22" x14ac:dyDescent="0.25">
      <c r="A833" s="247">
        <v>831</v>
      </c>
      <c r="B833" s="270"/>
      <c r="C833" s="270"/>
      <c r="D833" s="271"/>
      <c r="E833" s="272"/>
      <c r="F833" s="272"/>
      <c r="G833" s="273"/>
      <c r="H833" s="274"/>
      <c r="I833" s="274"/>
      <c r="J833" s="274"/>
      <c r="K833" s="274"/>
      <c r="L833" s="274"/>
      <c r="M833" s="274"/>
      <c r="N833" s="274"/>
      <c r="O833" s="274"/>
      <c r="P833" s="274"/>
      <c r="Q833" s="274"/>
      <c r="R833" s="274"/>
      <c r="S833" s="274"/>
      <c r="T833" s="274"/>
      <c r="U833" s="274"/>
      <c r="V833" s="274"/>
    </row>
    <row r="834" spans="1:22" x14ac:dyDescent="0.25">
      <c r="A834" s="247">
        <v>832</v>
      </c>
      <c r="B834" s="270"/>
      <c r="C834" s="270"/>
      <c r="D834" s="271"/>
      <c r="E834" s="272"/>
      <c r="F834" s="272"/>
      <c r="G834" s="273"/>
      <c r="H834" s="274"/>
      <c r="I834" s="274"/>
      <c r="J834" s="274"/>
      <c r="K834" s="274"/>
      <c r="L834" s="274"/>
      <c r="M834" s="274"/>
      <c r="N834" s="274"/>
      <c r="O834" s="274"/>
      <c r="P834" s="274"/>
      <c r="Q834" s="274"/>
      <c r="R834" s="274"/>
      <c r="S834" s="274"/>
      <c r="T834" s="274"/>
      <c r="U834" s="274"/>
      <c r="V834" s="274"/>
    </row>
    <row r="835" spans="1:22" x14ac:dyDescent="0.25">
      <c r="A835" s="247">
        <v>833</v>
      </c>
      <c r="B835" s="270"/>
      <c r="C835" s="270"/>
      <c r="D835" s="271"/>
      <c r="E835" s="272"/>
      <c r="F835" s="272"/>
      <c r="G835" s="273"/>
      <c r="H835" s="274"/>
      <c r="I835" s="274"/>
      <c r="J835" s="274"/>
      <c r="K835" s="274"/>
      <c r="L835" s="274"/>
      <c r="M835" s="274"/>
      <c r="N835" s="274"/>
      <c r="O835" s="274"/>
      <c r="P835" s="274"/>
      <c r="Q835" s="274"/>
      <c r="R835" s="274"/>
      <c r="S835" s="274"/>
      <c r="T835" s="274"/>
      <c r="U835" s="274"/>
      <c r="V835" s="274"/>
    </row>
    <row r="836" spans="1:22" x14ac:dyDescent="0.25">
      <c r="A836" s="247">
        <v>834</v>
      </c>
      <c r="B836" s="270"/>
      <c r="C836" s="270"/>
      <c r="D836" s="271"/>
      <c r="E836" s="272"/>
      <c r="F836" s="272"/>
      <c r="G836" s="273"/>
      <c r="H836" s="274"/>
      <c r="I836" s="274"/>
      <c r="J836" s="274"/>
      <c r="K836" s="274"/>
      <c r="L836" s="274"/>
      <c r="M836" s="274"/>
      <c r="N836" s="274"/>
      <c r="O836" s="274"/>
      <c r="P836" s="274"/>
      <c r="Q836" s="274"/>
      <c r="R836" s="274"/>
      <c r="S836" s="274"/>
      <c r="T836" s="274"/>
      <c r="U836" s="274"/>
      <c r="V836" s="274"/>
    </row>
    <row r="837" spans="1:22" x14ac:dyDescent="0.25">
      <c r="A837" s="247">
        <v>835</v>
      </c>
      <c r="B837" s="270"/>
      <c r="C837" s="270"/>
      <c r="D837" s="271"/>
      <c r="E837" s="272"/>
      <c r="F837" s="272"/>
      <c r="G837" s="273"/>
      <c r="H837" s="274"/>
      <c r="I837" s="274"/>
      <c r="J837" s="274"/>
      <c r="K837" s="274"/>
      <c r="L837" s="274"/>
      <c r="M837" s="274"/>
      <c r="N837" s="274"/>
      <c r="O837" s="274"/>
      <c r="P837" s="274"/>
      <c r="Q837" s="274"/>
      <c r="R837" s="274"/>
      <c r="S837" s="274"/>
      <c r="T837" s="274"/>
      <c r="U837" s="274"/>
      <c r="V837" s="274"/>
    </row>
    <row r="838" spans="1:22" x14ac:dyDescent="0.25">
      <c r="A838" s="247">
        <v>836</v>
      </c>
      <c r="B838" s="270"/>
      <c r="C838" s="270"/>
      <c r="D838" s="271"/>
      <c r="E838" s="272"/>
      <c r="F838" s="272"/>
      <c r="G838" s="273"/>
      <c r="H838" s="274"/>
      <c r="I838" s="274"/>
      <c r="J838" s="274"/>
      <c r="K838" s="274"/>
      <c r="L838" s="274"/>
      <c r="M838" s="274"/>
      <c r="N838" s="274"/>
      <c r="O838" s="274"/>
      <c r="P838" s="274"/>
      <c r="Q838" s="274"/>
      <c r="R838" s="274"/>
      <c r="S838" s="274"/>
      <c r="T838" s="274"/>
      <c r="U838" s="274"/>
      <c r="V838" s="274"/>
    </row>
    <row r="839" spans="1:22" x14ac:dyDescent="0.25">
      <c r="A839" s="247">
        <v>837</v>
      </c>
      <c r="B839" s="270"/>
      <c r="C839" s="270"/>
      <c r="D839" s="271"/>
      <c r="E839" s="272"/>
      <c r="F839" s="272"/>
      <c r="G839" s="273"/>
      <c r="H839" s="274"/>
      <c r="I839" s="274"/>
      <c r="J839" s="274"/>
      <c r="K839" s="274"/>
      <c r="L839" s="274"/>
      <c r="M839" s="274"/>
      <c r="N839" s="274"/>
      <c r="O839" s="274"/>
      <c r="P839" s="274"/>
      <c r="Q839" s="274"/>
      <c r="R839" s="274"/>
      <c r="S839" s="274"/>
      <c r="T839" s="274"/>
      <c r="U839" s="274"/>
      <c r="V839" s="274"/>
    </row>
    <row r="840" spans="1:22" x14ac:dyDescent="0.25">
      <c r="A840" s="247">
        <v>838</v>
      </c>
      <c r="B840" s="270"/>
      <c r="C840" s="270"/>
      <c r="D840" s="271"/>
      <c r="E840" s="272"/>
      <c r="F840" s="272"/>
      <c r="G840" s="273"/>
      <c r="H840" s="274"/>
      <c r="I840" s="274"/>
      <c r="J840" s="274"/>
      <c r="K840" s="274"/>
      <c r="L840" s="274"/>
      <c r="M840" s="274"/>
      <c r="N840" s="274"/>
      <c r="O840" s="274"/>
      <c r="P840" s="274"/>
      <c r="Q840" s="274"/>
      <c r="R840" s="274"/>
      <c r="S840" s="274"/>
      <c r="T840" s="274"/>
      <c r="U840" s="274"/>
      <c r="V840" s="274"/>
    </row>
    <row r="841" spans="1:22" x14ac:dyDescent="0.25">
      <c r="A841" s="247">
        <v>839</v>
      </c>
      <c r="B841" s="270"/>
      <c r="C841" s="270"/>
      <c r="D841" s="271"/>
      <c r="E841" s="272"/>
      <c r="F841" s="272"/>
      <c r="G841" s="273"/>
      <c r="H841" s="274"/>
      <c r="I841" s="274"/>
      <c r="J841" s="274"/>
      <c r="K841" s="274"/>
      <c r="L841" s="274"/>
      <c r="M841" s="274"/>
      <c r="N841" s="274"/>
      <c r="O841" s="274"/>
      <c r="P841" s="274"/>
      <c r="Q841" s="274"/>
      <c r="R841" s="274"/>
      <c r="S841" s="274"/>
      <c r="T841" s="274"/>
      <c r="U841" s="274"/>
      <c r="V841" s="274"/>
    </row>
    <row r="842" spans="1:22" x14ac:dyDescent="0.25">
      <c r="A842" s="247">
        <v>840</v>
      </c>
      <c r="B842" s="270"/>
      <c r="C842" s="270"/>
      <c r="D842" s="271"/>
      <c r="E842" s="272"/>
      <c r="F842" s="272"/>
      <c r="G842" s="273"/>
      <c r="H842" s="274"/>
      <c r="I842" s="274"/>
      <c r="J842" s="274"/>
      <c r="K842" s="274"/>
      <c r="L842" s="274"/>
      <c r="M842" s="274"/>
      <c r="N842" s="274"/>
      <c r="O842" s="274"/>
      <c r="P842" s="274"/>
      <c r="Q842" s="274"/>
      <c r="R842" s="274"/>
      <c r="S842" s="274"/>
      <c r="T842" s="274"/>
      <c r="U842" s="274"/>
      <c r="V842" s="274"/>
    </row>
    <row r="843" spans="1:22" x14ac:dyDescent="0.25">
      <c r="A843" s="247">
        <v>841</v>
      </c>
      <c r="B843" s="270"/>
      <c r="C843" s="270"/>
      <c r="D843" s="271"/>
      <c r="E843" s="272"/>
      <c r="F843" s="272"/>
      <c r="G843" s="273"/>
      <c r="H843" s="274"/>
      <c r="I843" s="274"/>
      <c r="J843" s="274"/>
      <c r="K843" s="274"/>
      <c r="L843" s="274"/>
      <c r="M843" s="274"/>
      <c r="N843" s="274"/>
      <c r="O843" s="274"/>
      <c r="P843" s="274"/>
      <c r="Q843" s="274"/>
      <c r="R843" s="274"/>
      <c r="S843" s="274"/>
      <c r="T843" s="274"/>
      <c r="U843" s="274"/>
      <c r="V843" s="274"/>
    </row>
    <row r="844" spans="1:22" x14ac:dyDescent="0.25">
      <c r="A844" s="247">
        <v>842</v>
      </c>
      <c r="B844" s="270"/>
      <c r="C844" s="270"/>
      <c r="D844" s="271"/>
      <c r="E844" s="272"/>
      <c r="F844" s="272"/>
      <c r="G844" s="273"/>
      <c r="H844" s="274"/>
      <c r="I844" s="274"/>
      <c r="J844" s="274"/>
      <c r="K844" s="274"/>
      <c r="L844" s="274"/>
      <c r="M844" s="274"/>
      <c r="N844" s="274"/>
      <c r="O844" s="274"/>
      <c r="P844" s="274"/>
      <c r="Q844" s="274"/>
      <c r="R844" s="274"/>
      <c r="S844" s="274"/>
      <c r="T844" s="274"/>
      <c r="U844" s="274"/>
      <c r="V844" s="274"/>
    </row>
    <row r="845" spans="1:22" x14ac:dyDescent="0.25">
      <c r="A845" s="247">
        <v>843</v>
      </c>
      <c r="B845" s="270"/>
      <c r="C845" s="270"/>
      <c r="D845" s="271"/>
      <c r="E845" s="272"/>
      <c r="F845" s="272"/>
      <c r="G845" s="273"/>
      <c r="H845" s="274"/>
      <c r="I845" s="274"/>
      <c r="J845" s="274"/>
      <c r="K845" s="274"/>
      <c r="L845" s="274"/>
      <c r="M845" s="274"/>
      <c r="N845" s="274"/>
      <c r="O845" s="274"/>
      <c r="P845" s="274"/>
      <c r="Q845" s="274"/>
      <c r="R845" s="274"/>
      <c r="S845" s="274"/>
      <c r="T845" s="274"/>
      <c r="U845" s="274"/>
      <c r="V845" s="274"/>
    </row>
    <row r="846" spans="1:22" x14ac:dyDescent="0.25">
      <c r="A846" s="247">
        <v>844</v>
      </c>
      <c r="B846" s="270"/>
      <c r="C846" s="270"/>
      <c r="D846" s="271"/>
      <c r="E846" s="272"/>
      <c r="F846" s="272"/>
      <c r="G846" s="273"/>
      <c r="H846" s="274"/>
      <c r="I846" s="274"/>
      <c r="J846" s="274"/>
      <c r="K846" s="274"/>
      <c r="L846" s="274"/>
      <c r="M846" s="274"/>
      <c r="N846" s="274"/>
      <c r="O846" s="274"/>
      <c r="P846" s="274"/>
      <c r="Q846" s="274"/>
      <c r="R846" s="274"/>
      <c r="S846" s="274"/>
      <c r="T846" s="274"/>
      <c r="U846" s="274"/>
      <c r="V846" s="274"/>
    </row>
    <row r="847" spans="1:22" x14ac:dyDescent="0.25">
      <c r="A847" s="247">
        <v>845</v>
      </c>
      <c r="B847" s="270"/>
      <c r="C847" s="270"/>
      <c r="D847" s="271"/>
      <c r="E847" s="272"/>
      <c r="F847" s="272"/>
      <c r="G847" s="273"/>
      <c r="H847" s="274"/>
      <c r="I847" s="274"/>
      <c r="J847" s="274"/>
      <c r="K847" s="274"/>
      <c r="L847" s="274"/>
      <c r="M847" s="274"/>
      <c r="N847" s="274"/>
      <c r="O847" s="274"/>
      <c r="P847" s="274"/>
      <c r="Q847" s="274"/>
      <c r="R847" s="274"/>
      <c r="S847" s="274"/>
      <c r="T847" s="274"/>
      <c r="U847" s="274"/>
      <c r="V847" s="274"/>
    </row>
    <row r="848" spans="1:22" x14ac:dyDescent="0.25">
      <c r="A848" s="247">
        <v>846</v>
      </c>
      <c r="B848" s="270"/>
      <c r="C848" s="270"/>
      <c r="D848" s="271"/>
      <c r="E848" s="272"/>
      <c r="F848" s="272"/>
      <c r="G848" s="273"/>
      <c r="H848" s="274"/>
      <c r="I848" s="274"/>
      <c r="J848" s="274"/>
      <c r="K848" s="274"/>
      <c r="L848" s="274"/>
      <c r="M848" s="274"/>
      <c r="N848" s="274"/>
      <c r="O848" s="274"/>
      <c r="P848" s="274"/>
      <c r="Q848" s="274"/>
      <c r="R848" s="274"/>
      <c r="S848" s="274"/>
      <c r="T848" s="274"/>
      <c r="U848" s="274"/>
      <c r="V848" s="274"/>
    </row>
    <row r="849" spans="1:22" x14ac:dyDescent="0.25">
      <c r="A849" s="247">
        <v>847</v>
      </c>
      <c r="B849" s="270"/>
      <c r="C849" s="270"/>
      <c r="D849" s="271"/>
      <c r="E849" s="272"/>
      <c r="F849" s="272"/>
      <c r="G849" s="273"/>
      <c r="H849" s="274"/>
      <c r="I849" s="274"/>
      <c r="J849" s="274"/>
      <c r="K849" s="274"/>
      <c r="L849" s="274"/>
      <c r="M849" s="274"/>
      <c r="N849" s="274"/>
      <c r="O849" s="274"/>
      <c r="P849" s="274"/>
      <c r="Q849" s="274"/>
      <c r="R849" s="274"/>
      <c r="S849" s="274"/>
      <c r="T849" s="274"/>
      <c r="U849" s="274"/>
      <c r="V849" s="274"/>
    </row>
    <row r="850" spans="1:22" x14ac:dyDescent="0.25">
      <c r="A850" s="247">
        <v>848</v>
      </c>
      <c r="B850" s="270"/>
      <c r="C850" s="270"/>
      <c r="D850" s="271"/>
      <c r="E850" s="272"/>
      <c r="F850" s="272"/>
      <c r="G850" s="273"/>
      <c r="H850" s="274"/>
      <c r="I850" s="274"/>
      <c r="J850" s="274"/>
      <c r="K850" s="274"/>
      <c r="L850" s="274"/>
      <c r="M850" s="274"/>
      <c r="N850" s="274"/>
      <c r="O850" s="274"/>
      <c r="P850" s="274"/>
      <c r="Q850" s="274"/>
      <c r="R850" s="274"/>
      <c r="S850" s="274"/>
      <c r="T850" s="274"/>
      <c r="U850" s="274"/>
      <c r="V850" s="274"/>
    </row>
    <row r="851" spans="1:22" x14ac:dyDescent="0.25">
      <c r="A851" s="247">
        <v>849</v>
      </c>
      <c r="B851" s="270"/>
      <c r="C851" s="270"/>
      <c r="D851" s="271"/>
      <c r="E851" s="272"/>
      <c r="F851" s="272"/>
      <c r="G851" s="273"/>
      <c r="H851" s="274"/>
      <c r="I851" s="274"/>
      <c r="J851" s="274"/>
      <c r="K851" s="274"/>
      <c r="L851" s="274"/>
      <c r="M851" s="274"/>
      <c r="N851" s="274"/>
      <c r="O851" s="274"/>
      <c r="P851" s="274"/>
      <c r="Q851" s="274"/>
      <c r="R851" s="274"/>
      <c r="S851" s="274"/>
      <c r="T851" s="274"/>
      <c r="U851" s="274"/>
      <c r="V851" s="274"/>
    </row>
    <row r="852" spans="1:22" x14ac:dyDescent="0.25">
      <c r="A852" s="247">
        <v>850</v>
      </c>
      <c r="B852" s="270"/>
      <c r="C852" s="270"/>
      <c r="D852" s="271"/>
      <c r="E852" s="272"/>
      <c r="F852" s="272"/>
      <c r="G852" s="273"/>
      <c r="H852" s="274"/>
      <c r="I852" s="274"/>
      <c r="J852" s="274"/>
      <c r="K852" s="274"/>
      <c r="L852" s="274"/>
      <c r="M852" s="274"/>
      <c r="N852" s="274"/>
      <c r="O852" s="274"/>
      <c r="P852" s="274"/>
      <c r="Q852" s="274"/>
      <c r="R852" s="274"/>
      <c r="S852" s="274"/>
      <c r="T852" s="274"/>
      <c r="U852" s="274"/>
      <c r="V852" s="274"/>
    </row>
    <row r="853" spans="1:22" x14ac:dyDescent="0.25">
      <c r="A853" s="247">
        <v>851</v>
      </c>
      <c r="B853" s="270"/>
      <c r="C853" s="270"/>
      <c r="D853" s="271"/>
      <c r="E853" s="272"/>
      <c r="F853" s="272"/>
      <c r="G853" s="273"/>
      <c r="H853" s="274"/>
      <c r="I853" s="274"/>
      <c r="J853" s="274"/>
      <c r="K853" s="274"/>
      <c r="L853" s="274"/>
      <c r="M853" s="274"/>
      <c r="N853" s="274"/>
      <c r="O853" s="274"/>
      <c r="P853" s="274"/>
      <c r="Q853" s="274"/>
      <c r="R853" s="274"/>
      <c r="S853" s="274"/>
      <c r="T853" s="274"/>
      <c r="U853" s="274"/>
      <c r="V853" s="274"/>
    </row>
    <row r="854" spans="1:22" x14ac:dyDescent="0.25">
      <c r="A854" s="247">
        <v>852</v>
      </c>
      <c r="B854" s="270"/>
      <c r="C854" s="270"/>
      <c r="D854" s="271"/>
      <c r="E854" s="272"/>
      <c r="F854" s="272"/>
      <c r="G854" s="273"/>
      <c r="H854" s="274"/>
      <c r="I854" s="274"/>
      <c r="J854" s="274"/>
      <c r="K854" s="274"/>
      <c r="L854" s="274"/>
      <c r="M854" s="274"/>
      <c r="N854" s="274"/>
      <c r="O854" s="274"/>
      <c r="P854" s="274"/>
      <c r="Q854" s="274"/>
      <c r="R854" s="274"/>
      <c r="S854" s="274"/>
      <c r="T854" s="274"/>
      <c r="U854" s="274"/>
      <c r="V854" s="274"/>
    </row>
    <row r="855" spans="1:22" x14ac:dyDescent="0.25">
      <c r="A855" s="247">
        <v>853</v>
      </c>
      <c r="B855" s="270"/>
      <c r="C855" s="270"/>
      <c r="D855" s="271"/>
      <c r="E855" s="272"/>
      <c r="F855" s="272"/>
      <c r="G855" s="273"/>
      <c r="H855" s="274"/>
      <c r="I855" s="274"/>
      <c r="J855" s="274"/>
      <c r="K855" s="274"/>
      <c r="L855" s="274"/>
      <c r="M855" s="274"/>
      <c r="N855" s="274"/>
      <c r="O855" s="274"/>
      <c r="P855" s="274"/>
      <c r="Q855" s="274"/>
      <c r="R855" s="274"/>
      <c r="S855" s="274"/>
      <c r="T855" s="274"/>
      <c r="U855" s="274"/>
      <c r="V855" s="274"/>
    </row>
    <row r="856" spans="1:22" x14ac:dyDescent="0.25">
      <c r="A856" s="247">
        <v>854</v>
      </c>
      <c r="B856" s="270"/>
      <c r="C856" s="270"/>
      <c r="D856" s="271"/>
      <c r="E856" s="272"/>
      <c r="F856" s="272"/>
      <c r="G856" s="273"/>
      <c r="H856" s="274"/>
      <c r="I856" s="274"/>
      <c r="J856" s="274"/>
      <c r="K856" s="274"/>
      <c r="L856" s="274"/>
      <c r="M856" s="274"/>
      <c r="N856" s="274"/>
      <c r="O856" s="274"/>
      <c r="P856" s="274"/>
      <c r="Q856" s="274"/>
      <c r="R856" s="274"/>
      <c r="S856" s="274"/>
      <c r="T856" s="274"/>
      <c r="U856" s="274"/>
      <c r="V856" s="274"/>
    </row>
    <row r="857" spans="1:22" x14ac:dyDescent="0.25">
      <c r="A857" s="247">
        <v>855</v>
      </c>
      <c r="B857" s="270"/>
      <c r="C857" s="270"/>
      <c r="D857" s="271"/>
      <c r="E857" s="272"/>
      <c r="F857" s="272"/>
      <c r="G857" s="273"/>
      <c r="H857" s="274"/>
      <c r="I857" s="274"/>
      <c r="J857" s="274"/>
      <c r="K857" s="274"/>
      <c r="L857" s="274"/>
      <c r="M857" s="274"/>
      <c r="N857" s="274"/>
      <c r="O857" s="274"/>
      <c r="P857" s="274"/>
      <c r="Q857" s="274"/>
      <c r="R857" s="274"/>
      <c r="S857" s="274"/>
      <c r="T857" s="274"/>
      <c r="U857" s="274"/>
      <c r="V857" s="274"/>
    </row>
    <row r="858" spans="1:22" x14ac:dyDescent="0.25">
      <c r="A858" s="247">
        <v>856</v>
      </c>
      <c r="B858" s="270"/>
      <c r="C858" s="270"/>
      <c r="D858" s="271"/>
      <c r="E858" s="272"/>
      <c r="F858" s="272"/>
      <c r="G858" s="273"/>
      <c r="H858" s="274"/>
      <c r="I858" s="274"/>
      <c r="J858" s="274"/>
      <c r="K858" s="274"/>
      <c r="L858" s="274"/>
      <c r="M858" s="274"/>
      <c r="N858" s="274"/>
      <c r="O858" s="274"/>
      <c r="P858" s="274"/>
      <c r="Q858" s="274"/>
      <c r="R858" s="274"/>
      <c r="S858" s="274"/>
      <c r="T858" s="274"/>
      <c r="U858" s="274"/>
      <c r="V858" s="274"/>
    </row>
    <row r="859" spans="1:22" x14ac:dyDescent="0.25">
      <c r="A859" s="247">
        <v>857</v>
      </c>
      <c r="B859" s="270"/>
      <c r="C859" s="270"/>
      <c r="D859" s="271"/>
      <c r="E859" s="272"/>
      <c r="F859" s="272"/>
      <c r="G859" s="273"/>
      <c r="H859" s="274"/>
      <c r="I859" s="274"/>
      <c r="J859" s="274"/>
      <c r="K859" s="274"/>
      <c r="L859" s="274"/>
      <c r="M859" s="274"/>
      <c r="N859" s="274"/>
      <c r="O859" s="274"/>
      <c r="P859" s="274"/>
      <c r="Q859" s="274"/>
      <c r="R859" s="274"/>
      <c r="S859" s="274"/>
      <c r="T859" s="274"/>
      <c r="U859" s="274"/>
      <c r="V859" s="274"/>
    </row>
    <row r="860" spans="1:22" x14ac:dyDescent="0.25">
      <c r="A860" s="247">
        <v>858</v>
      </c>
      <c r="B860" s="270"/>
      <c r="C860" s="270"/>
      <c r="D860" s="271"/>
      <c r="E860" s="272"/>
      <c r="F860" s="272"/>
      <c r="G860" s="273"/>
      <c r="H860" s="274"/>
      <c r="I860" s="274"/>
      <c r="J860" s="274"/>
      <c r="K860" s="274"/>
      <c r="L860" s="274"/>
      <c r="M860" s="274"/>
      <c r="N860" s="274"/>
      <c r="O860" s="274"/>
      <c r="P860" s="274"/>
      <c r="Q860" s="274"/>
      <c r="R860" s="274"/>
      <c r="S860" s="274"/>
      <c r="T860" s="274"/>
      <c r="U860" s="274"/>
      <c r="V860" s="274"/>
    </row>
    <row r="861" spans="1:22" x14ac:dyDescent="0.25">
      <c r="A861" s="247">
        <v>859</v>
      </c>
      <c r="B861" s="270"/>
      <c r="C861" s="270"/>
      <c r="D861" s="271"/>
      <c r="E861" s="272"/>
      <c r="F861" s="272"/>
      <c r="G861" s="273"/>
      <c r="H861" s="274"/>
      <c r="I861" s="274"/>
      <c r="J861" s="274"/>
      <c r="K861" s="274"/>
      <c r="L861" s="274"/>
      <c r="M861" s="274"/>
      <c r="N861" s="274"/>
      <c r="O861" s="274"/>
      <c r="P861" s="274"/>
      <c r="Q861" s="274"/>
      <c r="R861" s="274"/>
      <c r="S861" s="274"/>
      <c r="T861" s="274"/>
      <c r="U861" s="274"/>
      <c r="V861" s="274"/>
    </row>
    <row r="862" spans="1:22" x14ac:dyDescent="0.25">
      <c r="A862" s="247">
        <v>860</v>
      </c>
      <c r="B862" s="270"/>
      <c r="C862" s="270"/>
      <c r="D862" s="271"/>
      <c r="E862" s="272"/>
      <c r="F862" s="272"/>
      <c r="G862" s="273"/>
      <c r="H862" s="274"/>
      <c r="I862" s="274"/>
      <c r="J862" s="274"/>
      <c r="K862" s="274"/>
      <c r="L862" s="274"/>
      <c r="M862" s="274"/>
      <c r="N862" s="274"/>
      <c r="O862" s="274"/>
      <c r="P862" s="274"/>
      <c r="Q862" s="274"/>
      <c r="R862" s="274"/>
      <c r="S862" s="274"/>
      <c r="T862" s="274"/>
      <c r="U862" s="274"/>
      <c r="V862" s="274"/>
    </row>
    <row r="863" spans="1:22" x14ac:dyDescent="0.25">
      <c r="A863" s="247">
        <v>861</v>
      </c>
      <c r="B863" s="270"/>
      <c r="C863" s="270"/>
      <c r="D863" s="271"/>
      <c r="E863" s="272"/>
      <c r="F863" s="272"/>
      <c r="G863" s="273"/>
      <c r="H863" s="274"/>
      <c r="I863" s="274"/>
      <c r="J863" s="274"/>
      <c r="K863" s="274"/>
      <c r="L863" s="274"/>
      <c r="M863" s="274"/>
      <c r="N863" s="274"/>
      <c r="O863" s="274"/>
      <c r="P863" s="274"/>
      <c r="Q863" s="274"/>
      <c r="R863" s="274"/>
      <c r="S863" s="274"/>
      <c r="T863" s="274"/>
      <c r="U863" s="274"/>
      <c r="V863" s="274"/>
    </row>
    <row r="864" spans="1:22" x14ac:dyDescent="0.25">
      <c r="A864" s="247">
        <v>862</v>
      </c>
      <c r="B864" s="270"/>
      <c r="C864" s="270"/>
      <c r="D864" s="271"/>
      <c r="E864" s="272"/>
      <c r="F864" s="272"/>
      <c r="G864" s="273"/>
      <c r="H864" s="274"/>
      <c r="I864" s="274"/>
      <c r="J864" s="274"/>
      <c r="K864" s="274"/>
      <c r="L864" s="274"/>
      <c r="M864" s="274"/>
      <c r="N864" s="274"/>
      <c r="O864" s="274"/>
      <c r="P864" s="274"/>
      <c r="Q864" s="274"/>
      <c r="R864" s="274"/>
      <c r="S864" s="274"/>
      <c r="T864" s="274"/>
      <c r="U864" s="274"/>
      <c r="V864" s="274"/>
    </row>
    <row r="865" spans="1:22" x14ac:dyDescent="0.25">
      <c r="A865" s="247">
        <v>863</v>
      </c>
      <c r="B865" s="270"/>
      <c r="C865" s="270"/>
      <c r="D865" s="271"/>
      <c r="E865" s="272"/>
      <c r="F865" s="272"/>
      <c r="G865" s="273"/>
      <c r="H865" s="274"/>
      <c r="I865" s="274"/>
      <c r="J865" s="274"/>
      <c r="K865" s="274"/>
      <c r="L865" s="274"/>
      <c r="M865" s="274"/>
      <c r="N865" s="274"/>
      <c r="O865" s="274"/>
      <c r="P865" s="274"/>
      <c r="Q865" s="274"/>
      <c r="R865" s="274"/>
      <c r="S865" s="274"/>
      <c r="T865" s="274"/>
      <c r="U865" s="274"/>
      <c r="V865" s="274"/>
    </row>
    <row r="866" spans="1:22" x14ac:dyDescent="0.25">
      <c r="A866" s="247">
        <v>864</v>
      </c>
      <c r="B866" s="270"/>
      <c r="C866" s="270"/>
      <c r="D866" s="271"/>
      <c r="E866" s="272"/>
      <c r="F866" s="272"/>
      <c r="G866" s="273"/>
      <c r="H866" s="274"/>
      <c r="I866" s="274"/>
      <c r="J866" s="274"/>
      <c r="K866" s="274"/>
      <c r="L866" s="274"/>
      <c r="M866" s="274"/>
      <c r="N866" s="274"/>
      <c r="O866" s="274"/>
      <c r="P866" s="274"/>
      <c r="Q866" s="274"/>
      <c r="R866" s="274"/>
      <c r="S866" s="274"/>
      <c r="T866" s="274"/>
      <c r="U866" s="274"/>
      <c r="V866" s="274"/>
    </row>
    <row r="867" spans="1:22" x14ac:dyDescent="0.25">
      <c r="A867" s="247">
        <v>865</v>
      </c>
      <c r="B867" s="270"/>
      <c r="C867" s="270"/>
      <c r="D867" s="271"/>
      <c r="E867" s="272"/>
      <c r="F867" s="272"/>
      <c r="G867" s="273"/>
      <c r="H867" s="274"/>
      <c r="I867" s="274"/>
      <c r="J867" s="274"/>
      <c r="K867" s="274"/>
      <c r="L867" s="274"/>
      <c r="M867" s="274"/>
      <c r="N867" s="274"/>
      <c r="O867" s="274"/>
      <c r="P867" s="274"/>
      <c r="Q867" s="274"/>
      <c r="R867" s="274"/>
      <c r="S867" s="274"/>
      <c r="T867" s="274"/>
      <c r="U867" s="274"/>
      <c r="V867" s="274"/>
    </row>
    <row r="868" spans="1:22" x14ac:dyDescent="0.25">
      <c r="A868" s="247">
        <v>866</v>
      </c>
      <c r="B868" s="270"/>
      <c r="C868" s="270"/>
      <c r="D868" s="271"/>
      <c r="E868" s="272"/>
      <c r="F868" s="272"/>
      <c r="G868" s="273"/>
      <c r="H868" s="274"/>
      <c r="I868" s="274"/>
      <c r="J868" s="274"/>
      <c r="K868" s="274"/>
      <c r="L868" s="274"/>
      <c r="M868" s="274"/>
      <c r="N868" s="274"/>
      <c r="O868" s="274"/>
      <c r="P868" s="274"/>
      <c r="Q868" s="274"/>
      <c r="R868" s="274"/>
      <c r="S868" s="274"/>
      <c r="T868" s="274"/>
      <c r="U868" s="274"/>
      <c r="V868" s="274"/>
    </row>
    <row r="869" spans="1:22" x14ac:dyDescent="0.25">
      <c r="A869" s="247">
        <v>867</v>
      </c>
      <c r="B869" s="270"/>
      <c r="C869" s="270"/>
      <c r="D869" s="271"/>
      <c r="E869" s="272"/>
      <c r="F869" s="272"/>
      <c r="G869" s="273"/>
      <c r="H869" s="274"/>
      <c r="I869" s="274"/>
      <c r="J869" s="274"/>
      <c r="K869" s="274"/>
      <c r="L869" s="274"/>
      <c r="M869" s="274"/>
      <c r="N869" s="274"/>
      <c r="O869" s="274"/>
      <c r="P869" s="274"/>
      <c r="Q869" s="274"/>
      <c r="R869" s="274"/>
      <c r="S869" s="274"/>
      <c r="T869" s="274"/>
      <c r="U869" s="274"/>
      <c r="V869" s="274"/>
    </row>
    <row r="870" spans="1:22" x14ac:dyDescent="0.25">
      <c r="A870" s="247">
        <v>868</v>
      </c>
      <c r="B870" s="270"/>
      <c r="C870" s="270"/>
      <c r="D870" s="271"/>
      <c r="E870" s="272"/>
      <c r="F870" s="272"/>
      <c r="G870" s="273"/>
      <c r="H870" s="274"/>
      <c r="I870" s="274"/>
      <c r="J870" s="274"/>
      <c r="K870" s="274"/>
      <c r="L870" s="274"/>
      <c r="M870" s="274"/>
      <c r="N870" s="274"/>
      <c r="O870" s="274"/>
      <c r="P870" s="274"/>
      <c r="Q870" s="274"/>
      <c r="R870" s="274"/>
      <c r="S870" s="274"/>
      <c r="T870" s="274"/>
      <c r="U870" s="274"/>
      <c r="V870" s="274"/>
    </row>
    <row r="871" spans="1:22" x14ac:dyDescent="0.25">
      <c r="A871" s="247">
        <v>869</v>
      </c>
      <c r="B871" s="270"/>
      <c r="C871" s="270"/>
      <c r="D871" s="271"/>
      <c r="E871" s="272"/>
      <c r="F871" s="272"/>
      <c r="G871" s="273"/>
      <c r="H871" s="274"/>
      <c r="I871" s="274"/>
      <c r="J871" s="274"/>
      <c r="K871" s="274"/>
      <c r="L871" s="274"/>
      <c r="M871" s="274"/>
      <c r="N871" s="274"/>
      <c r="O871" s="274"/>
      <c r="P871" s="274"/>
      <c r="Q871" s="274"/>
      <c r="R871" s="274"/>
      <c r="S871" s="274"/>
      <c r="T871" s="274"/>
      <c r="U871" s="274"/>
      <c r="V871" s="274"/>
    </row>
    <row r="872" spans="1:22" x14ac:dyDescent="0.25">
      <c r="A872" s="247">
        <v>870</v>
      </c>
      <c r="B872" s="270"/>
      <c r="C872" s="270"/>
      <c r="D872" s="271"/>
      <c r="E872" s="272"/>
      <c r="F872" s="272"/>
      <c r="G872" s="273"/>
      <c r="H872" s="274"/>
      <c r="I872" s="274"/>
      <c r="J872" s="274"/>
      <c r="K872" s="274"/>
      <c r="L872" s="274"/>
      <c r="M872" s="274"/>
      <c r="N872" s="274"/>
      <c r="O872" s="274"/>
      <c r="P872" s="274"/>
      <c r="Q872" s="274"/>
      <c r="R872" s="274"/>
      <c r="S872" s="274"/>
      <c r="T872" s="274"/>
      <c r="U872" s="274"/>
      <c r="V872" s="274"/>
    </row>
    <row r="873" spans="1:22" x14ac:dyDescent="0.25">
      <c r="A873" s="247">
        <v>871</v>
      </c>
      <c r="B873" s="270"/>
      <c r="C873" s="270"/>
      <c r="D873" s="271"/>
      <c r="E873" s="272"/>
      <c r="F873" s="272"/>
      <c r="G873" s="273"/>
      <c r="H873" s="274"/>
      <c r="I873" s="274"/>
      <c r="J873" s="274"/>
      <c r="K873" s="274"/>
      <c r="L873" s="274"/>
      <c r="M873" s="274"/>
      <c r="N873" s="274"/>
      <c r="O873" s="274"/>
      <c r="P873" s="274"/>
      <c r="Q873" s="274"/>
      <c r="R873" s="274"/>
      <c r="S873" s="274"/>
      <c r="T873" s="274"/>
      <c r="U873" s="274"/>
      <c r="V873" s="274"/>
    </row>
    <row r="874" spans="1:22" x14ac:dyDescent="0.25">
      <c r="A874" s="247">
        <v>872</v>
      </c>
      <c r="B874" s="270"/>
      <c r="C874" s="270"/>
      <c r="D874" s="271"/>
      <c r="E874" s="272"/>
      <c r="F874" s="272"/>
      <c r="G874" s="273"/>
      <c r="H874" s="274"/>
      <c r="I874" s="274"/>
      <c r="J874" s="274"/>
      <c r="K874" s="274"/>
      <c r="L874" s="274"/>
      <c r="M874" s="274"/>
      <c r="N874" s="274"/>
      <c r="O874" s="274"/>
      <c r="P874" s="274"/>
      <c r="Q874" s="274"/>
      <c r="R874" s="274"/>
      <c r="S874" s="274"/>
      <c r="T874" s="274"/>
      <c r="U874" s="274"/>
      <c r="V874" s="274"/>
    </row>
    <row r="875" spans="1:22" x14ac:dyDescent="0.25">
      <c r="A875" s="247">
        <v>873</v>
      </c>
      <c r="B875" s="270"/>
      <c r="C875" s="270"/>
      <c r="D875" s="271"/>
      <c r="E875" s="272"/>
      <c r="F875" s="272"/>
      <c r="G875" s="273"/>
      <c r="H875" s="274"/>
      <c r="I875" s="274"/>
      <c r="J875" s="274"/>
      <c r="K875" s="274"/>
      <c r="L875" s="274"/>
      <c r="M875" s="274"/>
      <c r="N875" s="274"/>
      <c r="O875" s="274"/>
      <c r="P875" s="274"/>
      <c r="Q875" s="274"/>
      <c r="R875" s="274"/>
      <c r="S875" s="274"/>
      <c r="T875" s="274"/>
      <c r="U875" s="274"/>
      <c r="V875" s="274"/>
    </row>
    <row r="876" spans="1:22" x14ac:dyDescent="0.25">
      <c r="A876" s="247">
        <v>874</v>
      </c>
      <c r="B876" s="270"/>
      <c r="C876" s="270"/>
      <c r="D876" s="271"/>
      <c r="E876" s="272"/>
      <c r="F876" s="272"/>
      <c r="G876" s="273"/>
      <c r="H876" s="274"/>
      <c r="I876" s="274"/>
      <c r="J876" s="274"/>
      <c r="K876" s="274"/>
      <c r="L876" s="274"/>
      <c r="M876" s="274"/>
      <c r="N876" s="274"/>
      <c r="O876" s="274"/>
      <c r="P876" s="274"/>
      <c r="Q876" s="274"/>
      <c r="R876" s="274"/>
      <c r="S876" s="274"/>
      <c r="T876" s="274"/>
      <c r="U876" s="274"/>
      <c r="V876" s="274"/>
    </row>
    <row r="877" spans="1:22" x14ac:dyDescent="0.25">
      <c r="A877" s="247">
        <v>875</v>
      </c>
      <c r="B877" s="270"/>
      <c r="C877" s="270"/>
      <c r="D877" s="271"/>
      <c r="E877" s="272"/>
      <c r="F877" s="272"/>
      <c r="G877" s="273"/>
      <c r="H877" s="274"/>
      <c r="I877" s="274"/>
      <c r="J877" s="274"/>
      <c r="K877" s="274"/>
      <c r="L877" s="274"/>
      <c r="M877" s="274"/>
      <c r="N877" s="274"/>
      <c r="O877" s="274"/>
      <c r="P877" s="274"/>
      <c r="Q877" s="274"/>
      <c r="R877" s="274"/>
      <c r="S877" s="274"/>
      <c r="T877" s="274"/>
      <c r="U877" s="274"/>
      <c r="V877" s="274"/>
    </row>
    <row r="878" spans="1:22" x14ac:dyDescent="0.25">
      <c r="A878" s="247">
        <v>876</v>
      </c>
      <c r="B878" s="270"/>
      <c r="C878" s="270"/>
      <c r="D878" s="271"/>
      <c r="E878" s="272"/>
      <c r="F878" s="272"/>
      <c r="G878" s="273"/>
      <c r="H878" s="274"/>
      <c r="I878" s="274"/>
      <c r="J878" s="274"/>
      <c r="K878" s="274"/>
      <c r="L878" s="274"/>
      <c r="M878" s="274"/>
      <c r="N878" s="274"/>
      <c r="O878" s="274"/>
      <c r="P878" s="274"/>
      <c r="Q878" s="274"/>
      <c r="R878" s="274"/>
      <c r="S878" s="274"/>
      <c r="T878" s="274"/>
      <c r="U878" s="274"/>
      <c r="V878" s="274"/>
    </row>
    <row r="879" spans="1:22" x14ac:dyDescent="0.25">
      <c r="A879" s="247">
        <v>877</v>
      </c>
      <c r="B879" s="270"/>
      <c r="C879" s="270"/>
      <c r="D879" s="271"/>
      <c r="E879" s="272"/>
      <c r="F879" s="272"/>
      <c r="G879" s="273"/>
      <c r="H879" s="274"/>
      <c r="I879" s="274"/>
      <c r="J879" s="274"/>
      <c r="K879" s="274"/>
      <c r="L879" s="274"/>
      <c r="M879" s="274"/>
      <c r="N879" s="274"/>
      <c r="O879" s="274"/>
      <c r="P879" s="274"/>
      <c r="Q879" s="274"/>
      <c r="R879" s="274"/>
      <c r="S879" s="274"/>
      <c r="T879" s="274"/>
      <c r="U879" s="274"/>
      <c r="V879" s="274"/>
    </row>
    <row r="880" spans="1:22" x14ac:dyDescent="0.25">
      <c r="A880" s="247">
        <v>878</v>
      </c>
      <c r="B880" s="270"/>
      <c r="C880" s="270"/>
      <c r="D880" s="271"/>
      <c r="E880" s="272"/>
      <c r="F880" s="272"/>
      <c r="G880" s="273"/>
      <c r="H880" s="274"/>
      <c r="I880" s="274"/>
      <c r="J880" s="274"/>
      <c r="K880" s="274"/>
      <c r="L880" s="274"/>
      <c r="M880" s="274"/>
      <c r="N880" s="274"/>
      <c r="O880" s="274"/>
      <c r="P880" s="274"/>
      <c r="Q880" s="274"/>
      <c r="R880" s="274"/>
      <c r="S880" s="274"/>
      <c r="T880" s="274"/>
      <c r="U880" s="274"/>
      <c r="V880" s="274"/>
    </row>
    <row r="881" spans="1:22" x14ac:dyDescent="0.25">
      <c r="A881" s="247">
        <v>879</v>
      </c>
      <c r="B881" s="270"/>
      <c r="C881" s="270"/>
      <c r="D881" s="271"/>
      <c r="E881" s="272"/>
      <c r="F881" s="272"/>
      <c r="G881" s="273"/>
      <c r="H881" s="274"/>
      <c r="I881" s="274"/>
      <c r="J881" s="274"/>
      <c r="K881" s="274"/>
      <c r="L881" s="274"/>
      <c r="M881" s="274"/>
      <c r="N881" s="274"/>
      <c r="O881" s="274"/>
      <c r="P881" s="274"/>
      <c r="Q881" s="274"/>
      <c r="R881" s="274"/>
      <c r="S881" s="274"/>
      <c r="T881" s="274"/>
      <c r="U881" s="274"/>
      <c r="V881" s="274"/>
    </row>
    <row r="882" spans="1:22" x14ac:dyDescent="0.25">
      <c r="A882" s="247">
        <v>880</v>
      </c>
      <c r="B882" s="270"/>
      <c r="C882" s="270"/>
      <c r="D882" s="271"/>
      <c r="E882" s="272"/>
      <c r="F882" s="272"/>
      <c r="G882" s="273"/>
      <c r="H882" s="274"/>
      <c r="I882" s="274"/>
      <c r="J882" s="274"/>
      <c r="K882" s="274"/>
      <c r="L882" s="274"/>
      <c r="M882" s="274"/>
      <c r="N882" s="274"/>
      <c r="O882" s="274"/>
      <c r="P882" s="274"/>
      <c r="Q882" s="274"/>
      <c r="R882" s="274"/>
      <c r="S882" s="274"/>
      <c r="T882" s="274"/>
      <c r="U882" s="274"/>
      <c r="V882" s="274"/>
    </row>
    <row r="883" spans="1:22" x14ac:dyDescent="0.25">
      <c r="A883" s="247">
        <v>881</v>
      </c>
      <c r="B883" s="270"/>
      <c r="C883" s="270"/>
      <c r="D883" s="271"/>
      <c r="E883" s="272"/>
      <c r="F883" s="272"/>
      <c r="G883" s="273"/>
      <c r="H883" s="274"/>
      <c r="I883" s="274"/>
      <c r="J883" s="274"/>
      <c r="K883" s="274"/>
      <c r="L883" s="274"/>
      <c r="M883" s="274"/>
      <c r="N883" s="274"/>
      <c r="O883" s="274"/>
      <c r="P883" s="274"/>
      <c r="Q883" s="274"/>
      <c r="R883" s="274"/>
      <c r="S883" s="274"/>
      <c r="T883" s="274"/>
      <c r="U883" s="274"/>
      <c r="V883" s="274"/>
    </row>
    <row r="884" spans="1:22" x14ac:dyDescent="0.25">
      <c r="A884" s="247">
        <v>882</v>
      </c>
      <c r="B884" s="270"/>
      <c r="C884" s="270"/>
      <c r="D884" s="271"/>
      <c r="E884" s="272"/>
      <c r="F884" s="272"/>
      <c r="G884" s="273"/>
      <c r="H884" s="274"/>
      <c r="I884" s="274"/>
      <c r="J884" s="274"/>
      <c r="K884" s="274"/>
      <c r="L884" s="274"/>
      <c r="M884" s="274"/>
      <c r="N884" s="274"/>
      <c r="O884" s="274"/>
      <c r="P884" s="274"/>
      <c r="Q884" s="274"/>
      <c r="R884" s="274"/>
      <c r="S884" s="274"/>
      <c r="T884" s="274"/>
      <c r="U884" s="274"/>
      <c r="V884" s="274"/>
    </row>
    <row r="885" spans="1:22" x14ac:dyDescent="0.25">
      <c r="A885" s="247">
        <v>883</v>
      </c>
      <c r="B885" s="270"/>
      <c r="C885" s="270"/>
      <c r="D885" s="271"/>
      <c r="E885" s="272"/>
      <c r="F885" s="272"/>
      <c r="G885" s="273"/>
      <c r="H885" s="274"/>
      <c r="I885" s="274"/>
      <c r="J885" s="274"/>
      <c r="K885" s="274"/>
      <c r="L885" s="274"/>
      <c r="M885" s="274"/>
      <c r="N885" s="274"/>
      <c r="O885" s="274"/>
      <c r="P885" s="274"/>
      <c r="Q885" s="274"/>
      <c r="R885" s="274"/>
      <c r="S885" s="274"/>
      <c r="T885" s="274"/>
      <c r="U885" s="274"/>
      <c r="V885" s="274"/>
    </row>
    <row r="886" spans="1:22" x14ac:dyDescent="0.25">
      <c r="A886" s="247">
        <v>884</v>
      </c>
      <c r="B886" s="270"/>
      <c r="C886" s="270"/>
      <c r="D886" s="271"/>
      <c r="E886" s="272"/>
      <c r="F886" s="272"/>
      <c r="G886" s="273"/>
      <c r="H886" s="274"/>
      <c r="I886" s="274"/>
      <c r="J886" s="274"/>
      <c r="K886" s="274"/>
      <c r="L886" s="274"/>
      <c r="M886" s="274"/>
      <c r="N886" s="274"/>
      <c r="O886" s="274"/>
      <c r="P886" s="274"/>
      <c r="Q886" s="274"/>
      <c r="R886" s="274"/>
      <c r="S886" s="274"/>
      <c r="T886" s="274"/>
      <c r="U886" s="274"/>
      <c r="V886" s="274"/>
    </row>
    <row r="887" spans="1:22" x14ac:dyDescent="0.25">
      <c r="A887" s="247">
        <v>885</v>
      </c>
      <c r="B887" s="270"/>
      <c r="C887" s="270"/>
      <c r="D887" s="271"/>
      <c r="E887" s="272"/>
      <c r="F887" s="272"/>
      <c r="G887" s="273"/>
      <c r="H887" s="274"/>
      <c r="I887" s="274"/>
      <c r="J887" s="274"/>
      <c r="K887" s="274"/>
      <c r="L887" s="274"/>
      <c r="M887" s="274"/>
      <c r="N887" s="274"/>
      <c r="O887" s="274"/>
      <c r="P887" s="274"/>
      <c r="Q887" s="274"/>
      <c r="R887" s="274"/>
      <c r="S887" s="274"/>
      <c r="T887" s="274"/>
      <c r="U887" s="274"/>
      <c r="V887" s="274"/>
    </row>
    <row r="888" spans="1:22" x14ac:dyDescent="0.25">
      <c r="A888" s="247">
        <v>886</v>
      </c>
      <c r="B888" s="270"/>
      <c r="C888" s="270"/>
      <c r="D888" s="271"/>
      <c r="E888" s="272"/>
      <c r="F888" s="272"/>
      <c r="G888" s="273"/>
      <c r="H888" s="274"/>
      <c r="I888" s="274"/>
      <c r="J888" s="274"/>
      <c r="K888" s="274"/>
      <c r="L888" s="274"/>
      <c r="M888" s="274"/>
      <c r="N888" s="274"/>
      <c r="O888" s="274"/>
      <c r="P888" s="274"/>
      <c r="Q888" s="274"/>
      <c r="R888" s="274"/>
      <c r="S888" s="274"/>
      <c r="T888" s="274"/>
      <c r="U888" s="274"/>
      <c r="V888" s="274"/>
    </row>
    <row r="889" spans="1:22" x14ac:dyDescent="0.25">
      <c r="A889" s="247">
        <v>887</v>
      </c>
      <c r="B889" s="270"/>
      <c r="C889" s="270"/>
      <c r="D889" s="271"/>
      <c r="E889" s="272"/>
      <c r="F889" s="272"/>
      <c r="G889" s="273"/>
      <c r="H889" s="274"/>
      <c r="I889" s="274"/>
      <c r="J889" s="274"/>
      <c r="K889" s="274"/>
      <c r="L889" s="274"/>
      <c r="M889" s="274"/>
      <c r="N889" s="274"/>
      <c r="O889" s="274"/>
      <c r="P889" s="274"/>
      <c r="Q889" s="274"/>
      <c r="R889" s="274"/>
      <c r="S889" s="274"/>
      <c r="T889" s="274"/>
      <c r="U889" s="274"/>
      <c r="V889" s="274"/>
    </row>
    <row r="890" spans="1:22" x14ac:dyDescent="0.25">
      <c r="A890" s="247">
        <v>888</v>
      </c>
      <c r="B890" s="270"/>
      <c r="C890" s="270"/>
      <c r="D890" s="271"/>
      <c r="E890" s="272"/>
      <c r="F890" s="272"/>
      <c r="G890" s="273"/>
      <c r="H890" s="274"/>
      <c r="I890" s="274"/>
      <c r="J890" s="274"/>
      <c r="K890" s="274"/>
      <c r="L890" s="274"/>
      <c r="M890" s="274"/>
      <c r="N890" s="274"/>
      <c r="O890" s="274"/>
      <c r="P890" s="274"/>
      <c r="Q890" s="274"/>
      <c r="R890" s="274"/>
      <c r="S890" s="274"/>
      <c r="T890" s="274"/>
      <c r="U890" s="274"/>
      <c r="V890" s="274"/>
    </row>
    <row r="891" spans="1:22" x14ac:dyDescent="0.25">
      <c r="A891" s="247">
        <v>889</v>
      </c>
      <c r="B891" s="270"/>
      <c r="C891" s="270"/>
      <c r="D891" s="271"/>
      <c r="E891" s="272"/>
      <c r="F891" s="272"/>
      <c r="G891" s="273"/>
      <c r="H891" s="274"/>
      <c r="I891" s="274"/>
      <c r="J891" s="274"/>
      <c r="K891" s="274"/>
      <c r="L891" s="274"/>
      <c r="M891" s="274"/>
      <c r="N891" s="274"/>
      <c r="O891" s="274"/>
      <c r="P891" s="274"/>
      <c r="Q891" s="274"/>
      <c r="R891" s="274"/>
      <c r="S891" s="274"/>
      <c r="T891" s="274"/>
      <c r="U891" s="274"/>
      <c r="V891" s="274"/>
    </row>
    <row r="892" spans="1:22" x14ac:dyDescent="0.25">
      <c r="A892" s="247">
        <v>890</v>
      </c>
      <c r="B892" s="270"/>
      <c r="C892" s="270"/>
      <c r="D892" s="271"/>
      <c r="E892" s="272"/>
      <c r="F892" s="272"/>
      <c r="G892" s="273"/>
      <c r="H892" s="274"/>
      <c r="I892" s="274"/>
      <c r="J892" s="274"/>
      <c r="K892" s="274"/>
      <c r="L892" s="274"/>
      <c r="M892" s="274"/>
      <c r="N892" s="274"/>
      <c r="O892" s="274"/>
      <c r="P892" s="274"/>
      <c r="Q892" s="274"/>
      <c r="R892" s="274"/>
      <c r="S892" s="274"/>
      <c r="T892" s="274"/>
      <c r="U892" s="274"/>
      <c r="V892" s="274"/>
    </row>
    <row r="893" spans="1:22" x14ac:dyDescent="0.25">
      <c r="A893" s="247">
        <v>891</v>
      </c>
      <c r="B893" s="270"/>
      <c r="C893" s="270"/>
      <c r="D893" s="271"/>
      <c r="E893" s="272"/>
      <c r="F893" s="272"/>
      <c r="G893" s="273"/>
      <c r="H893" s="274"/>
      <c r="I893" s="274"/>
      <c r="J893" s="274"/>
      <c r="K893" s="274"/>
      <c r="L893" s="274"/>
      <c r="M893" s="274"/>
      <c r="N893" s="274"/>
      <c r="O893" s="274"/>
      <c r="P893" s="274"/>
      <c r="Q893" s="274"/>
      <c r="R893" s="274"/>
      <c r="S893" s="274"/>
      <c r="T893" s="274"/>
      <c r="U893" s="274"/>
      <c r="V893" s="274"/>
    </row>
    <row r="894" spans="1:22" x14ac:dyDescent="0.25">
      <c r="A894" s="247">
        <v>892</v>
      </c>
      <c r="B894" s="270"/>
      <c r="C894" s="270"/>
      <c r="D894" s="271"/>
      <c r="E894" s="272"/>
      <c r="F894" s="272"/>
      <c r="G894" s="273"/>
      <c r="H894" s="274"/>
      <c r="I894" s="274"/>
      <c r="J894" s="274"/>
      <c r="K894" s="274"/>
      <c r="L894" s="274"/>
      <c r="M894" s="274"/>
      <c r="N894" s="274"/>
      <c r="O894" s="274"/>
      <c r="P894" s="274"/>
      <c r="Q894" s="274"/>
      <c r="R894" s="274"/>
      <c r="S894" s="274"/>
      <c r="T894" s="274"/>
      <c r="U894" s="274"/>
      <c r="V894" s="274"/>
    </row>
    <row r="895" spans="1:22" x14ac:dyDescent="0.25">
      <c r="A895" s="247">
        <v>893</v>
      </c>
      <c r="B895" s="270"/>
      <c r="C895" s="270"/>
      <c r="D895" s="271"/>
      <c r="E895" s="272"/>
      <c r="F895" s="272"/>
      <c r="G895" s="273"/>
      <c r="H895" s="274"/>
      <c r="I895" s="274"/>
      <c r="J895" s="274"/>
      <c r="K895" s="274"/>
      <c r="L895" s="274"/>
      <c r="M895" s="274"/>
      <c r="N895" s="274"/>
      <c r="O895" s="274"/>
      <c r="P895" s="274"/>
      <c r="Q895" s="274"/>
      <c r="R895" s="274"/>
      <c r="S895" s="274"/>
      <c r="T895" s="274"/>
      <c r="U895" s="274"/>
      <c r="V895" s="274"/>
    </row>
    <row r="896" spans="1:22" x14ac:dyDescent="0.25">
      <c r="A896" s="247">
        <v>894</v>
      </c>
      <c r="B896" s="270"/>
      <c r="C896" s="270"/>
      <c r="D896" s="271"/>
      <c r="E896" s="272"/>
      <c r="F896" s="272"/>
      <c r="G896" s="273"/>
      <c r="H896" s="274"/>
      <c r="I896" s="274"/>
      <c r="J896" s="274"/>
      <c r="K896" s="274"/>
      <c r="L896" s="274"/>
      <c r="M896" s="274"/>
      <c r="N896" s="274"/>
      <c r="O896" s="274"/>
      <c r="P896" s="274"/>
      <c r="Q896" s="274"/>
      <c r="R896" s="274"/>
      <c r="S896" s="274"/>
      <c r="T896" s="274"/>
      <c r="U896" s="274"/>
      <c r="V896" s="274"/>
    </row>
    <row r="897" spans="1:22" x14ac:dyDescent="0.25">
      <c r="A897" s="247">
        <v>895</v>
      </c>
      <c r="B897" s="270"/>
      <c r="C897" s="270"/>
      <c r="D897" s="271"/>
      <c r="E897" s="272"/>
      <c r="F897" s="272"/>
      <c r="G897" s="273"/>
      <c r="H897" s="274"/>
      <c r="I897" s="274"/>
      <c r="J897" s="274"/>
      <c r="K897" s="274"/>
      <c r="L897" s="274"/>
      <c r="M897" s="274"/>
      <c r="N897" s="274"/>
      <c r="O897" s="274"/>
      <c r="P897" s="274"/>
      <c r="Q897" s="274"/>
      <c r="R897" s="274"/>
      <c r="S897" s="274"/>
      <c r="T897" s="274"/>
      <c r="U897" s="274"/>
      <c r="V897" s="274"/>
    </row>
    <row r="898" spans="1:22" x14ac:dyDescent="0.25">
      <c r="A898" s="247">
        <v>896</v>
      </c>
      <c r="B898" s="270"/>
      <c r="C898" s="270"/>
      <c r="D898" s="271"/>
      <c r="E898" s="272"/>
      <c r="F898" s="272"/>
      <c r="G898" s="273"/>
      <c r="H898" s="274"/>
      <c r="I898" s="274"/>
      <c r="J898" s="274"/>
      <c r="K898" s="274"/>
      <c r="L898" s="274"/>
      <c r="M898" s="274"/>
      <c r="N898" s="274"/>
      <c r="O898" s="274"/>
      <c r="P898" s="274"/>
      <c r="Q898" s="274"/>
      <c r="R898" s="274"/>
      <c r="S898" s="274"/>
      <c r="T898" s="274"/>
      <c r="U898" s="274"/>
      <c r="V898" s="274"/>
    </row>
    <row r="899" spans="1:22" x14ac:dyDescent="0.25">
      <c r="A899" s="247">
        <v>897</v>
      </c>
      <c r="B899" s="270"/>
      <c r="C899" s="270"/>
      <c r="D899" s="271"/>
      <c r="E899" s="272"/>
      <c r="F899" s="272"/>
      <c r="G899" s="273"/>
      <c r="H899" s="274"/>
      <c r="I899" s="274"/>
      <c r="J899" s="274"/>
      <c r="K899" s="274"/>
      <c r="L899" s="274"/>
      <c r="M899" s="274"/>
      <c r="N899" s="274"/>
      <c r="O899" s="274"/>
      <c r="P899" s="274"/>
      <c r="Q899" s="274"/>
      <c r="R899" s="274"/>
      <c r="S899" s="274"/>
      <c r="T899" s="274"/>
      <c r="U899" s="274"/>
      <c r="V899" s="274"/>
    </row>
    <row r="900" spans="1:22" x14ac:dyDescent="0.25">
      <c r="A900" s="247">
        <v>898</v>
      </c>
      <c r="B900" s="270"/>
      <c r="C900" s="270"/>
      <c r="D900" s="271"/>
      <c r="E900" s="272"/>
      <c r="F900" s="272"/>
      <c r="G900" s="273"/>
      <c r="H900" s="274"/>
      <c r="I900" s="274"/>
      <c r="J900" s="274"/>
      <c r="K900" s="274"/>
      <c r="L900" s="274"/>
      <c r="M900" s="274"/>
      <c r="N900" s="274"/>
      <c r="O900" s="274"/>
      <c r="P900" s="274"/>
      <c r="Q900" s="274"/>
      <c r="R900" s="274"/>
      <c r="S900" s="274"/>
      <c r="T900" s="274"/>
      <c r="U900" s="274"/>
      <c r="V900" s="274"/>
    </row>
    <row r="901" spans="1:22" x14ac:dyDescent="0.25">
      <c r="A901" s="247">
        <v>899</v>
      </c>
      <c r="B901" s="270"/>
      <c r="C901" s="270"/>
      <c r="D901" s="271"/>
      <c r="E901" s="272"/>
      <c r="F901" s="272"/>
      <c r="G901" s="273"/>
      <c r="H901" s="274"/>
      <c r="I901" s="274"/>
      <c r="J901" s="274"/>
      <c r="K901" s="274"/>
      <c r="L901" s="274"/>
      <c r="M901" s="274"/>
      <c r="N901" s="274"/>
      <c r="O901" s="274"/>
      <c r="P901" s="274"/>
      <c r="Q901" s="274"/>
      <c r="R901" s="274"/>
      <c r="S901" s="274"/>
      <c r="T901" s="274"/>
      <c r="U901" s="274"/>
      <c r="V901" s="274"/>
    </row>
    <row r="902" spans="1:22" x14ac:dyDescent="0.25">
      <c r="A902" s="247">
        <v>900</v>
      </c>
      <c r="B902" s="270"/>
      <c r="C902" s="270"/>
      <c r="D902" s="271"/>
      <c r="E902" s="272"/>
      <c r="F902" s="272"/>
      <c r="G902" s="273"/>
      <c r="H902" s="274"/>
      <c r="I902" s="274"/>
      <c r="J902" s="274"/>
      <c r="K902" s="274"/>
      <c r="L902" s="274"/>
      <c r="M902" s="274"/>
      <c r="N902" s="274"/>
      <c r="O902" s="274"/>
      <c r="P902" s="274"/>
      <c r="Q902" s="274"/>
      <c r="R902" s="274"/>
      <c r="S902" s="274"/>
      <c r="T902" s="274"/>
      <c r="U902" s="274"/>
      <c r="V902" s="274"/>
    </row>
    <row r="903" spans="1:22" x14ac:dyDescent="0.25">
      <c r="A903" s="247">
        <v>901</v>
      </c>
      <c r="B903" s="270"/>
      <c r="C903" s="270"/>
      <c r="D903" s="271"/>
      <c r="E903" s="272"/>
      <c r="F903" s="272"/>
      <c r="G903" s="273"/>
      <c r="H903" s="274"/>
      <c r="I903" s="274"/>
      <c r="J903" s="274"/>
      <c r="K903" s="274"/>
      <c r="L903" s="274"/>
      <c r="M903" s="274"/>
      <c r="N903" s="274"/>
      <c r="O903" s="274"/>
      <c r="P903" s="274"/>
      <c r="Q903" s="274"/>
      <c r="R903" s="274"/>
      <c r="S903" s="274"/>
      <c r="T903" s="274"/>
      <c r="U903" s="274"/>
      <c r="V903" s="274"/>
    </row>
    <row r="904" spans="1:22" x14ac:dyDescent="0.25">
      <c r="A904" s="247">
        <v>902</v>
      </c>
      <c r="B904" s="270"/>
      <c r="C904" s="270"/>
      <c r="D904" s="271"/>
      <c r="E904" s="272"/>
      <c r="F904" s="272"/>
      <c r="G904" s="273"/>
      <c r="H904" s="274"/>
      <c r="I904" s="274"/>
      <c r="J904" s="274"/>
      <c r="K904" s="274"/>
      <c r="L904" s="274"/>
      <c r="M904" s="274"/>
      <c r="N904" s="274"/>
      <c r="O904" s="274"/>
      <c r="P904" s="274"/>
      <c r="Q904" s="274"/>
      <c r="R904" s="274"/>
      <c r="S904" s="274"/>
      <c r="T904" s="274"/>
      <c r="U904" s="274"/>
      <c r="V904" s="274"/>
    </row>
    <row r="905" spans="1:22" x14ac:dyDescent="0.25">
      <c r="A905" s="247">
        <v>903</v>
      </c>
      <c r="B905" s="270"/>
      <c r="C905" s="270"/>
      <c r="D905" s="271"/>
      <c r="E905" s="272"/>
      <c r="F905" s="272"/>
      <c r="G905" s="273"/>
      <c r="H905" s="274"/>
      <c r="I905" s="274"/>
      <c r="J905" s="274"/>
      <c r="K905" s="274"/>
      <c r="L905" s="274"/>
      <c r="M905" s="274"/>
      <c r="N905" s="274"/>
      <c r="O905" s="274"/>
      <c r="P905" s="274"/>
      <c r="Q905" s="274"/>
      <c r="R905" s="274"/>
      <c r="S905" s="274"/>
      <c r="T905" s="274"/>
      <c r="U905" s="274"/>
      <c r="V905" s="274"/>
    </row>
    <row r="906" spans="1:22" x14ac:dyDescent="0.25">
      <c r="A906" s="247">
        <v>904</v>
      </c>
      <c r="B906" s="270"/>
      <c r="C906" s="270"/>
      <c r="D906" s="271"/>
      <c r="E906" s="272"/>
      <c r="F906" s="272"/>
      <c r="G906" s="273"/>
      <c r="H906" s="274"/>
      <c r="I906" s="274"/>
      <c r="J906" s="274"/>
      <c r="K906" s="274"/>
      <c r="L906" s="274"/>
      <c r="M906" s="274"/>
      <c r="N906" s="274"/>
      <c r="O906" s="274"/>
      <c r="P906" s="274"/>
      <c r="Q906" s="274"/>
      <c r="R906" s="274"/>
      <c r="S906" s="274"/>
      <c r="T906" s="274"/>
      <c r="U906" s="274"/>
      <c r="V906" s="274"/>
    </row>
    <row r="907" spans="1:22" x14ac:dyDescent="0.25">
      <c r="A907" s="247">
        <v>905</v>
      </c>
      <c r="B907" s="270"/>
      <c r="C907" s="270"/>
      <c r="D907" s="271"/>
      <c r="E907" s="272"/>
      <c r="F907" s="272"/>
      <c r="G907" s="273"/>
      <c r="H907" s="274"/>
      <c r="I907" s="274"/>
      <c r="J907" s="274"/>
      <c r="K907" s="274"/>
      <c r="L907" s="274"/>
      <c r="M907" s="274"/>
      <c r="N907" s="274"/>
      <c r="O907" s="274"/>
      <c r="P907" s="274"/>
      <c r="Q907" s="274"/>
      <c r="R907" s="274"/>
      <c r="S907" s="274"/>
      <c r="T907" s="274"/>
      <c r="U907" s="274"/>
      <c r="V907" s="274"/>
    </row>
    <row r="908" spans="1:22" x14ac:dyDescent="0.25">
      <c r="A908" s="247">
        <v>906</v>
      </c>
      <c r="B908" s="270"/>
      <c r="C908" s="270"/>
      <c r="D908" s="271"/>
      <c r="E908" s="272"/>
      <c r="F908" s="272"/>
      <c r="G908" s="273"/>
      <c r="H908" s="274"/>
      <c r="I908" s="274"/>
      <c r="J908" s="274"/>
      <c r="K908" s="274"/>
      <c r="L908" s="274"/>
      <c r="M908" s="274"/>
      <c r="N908" s="274"/>
      <c r="O908" s="274"/>
      <c r="P908" s="274"/>
      <c r="Q908" s="274"/>
      <c r="R908" s="274"/>
      <c r="S908" s="274"/>
      <c r="T908" s="274"/>
      <c r="U908" s="274"/>
      <c r="V908" s="274"/>
    </row>
    <row r="909" spans="1:22" x14ac:dyDescent="0.25">
      <c r="A909" s="247">
        <v>907</v>
      </c>
      <c r="B909" s="270"/>
      <c r="C909" s="270"/>
      <c r="D909" s="271"/>
      <c r="E909" s="272"/>
      <c r="F909" s="272"/>
      <c r="G909" s="273"/>
      <c r="H909" s="274"/>
      <c r="I909" s="274"/>
      <c r="J909" s="274"/>
      <c r="K909" s="274"/>
      <c r="L909" s="274"/>
      <c r="M909" s="274"/>
      <c r="N909" s="274"/>
      <c r="O909" s="274"/>
      <c r="P909" s="274"/>
      <c r="Q909" s="274"/>
      <c r="R909" s="274"/>
      <c r="S909" s="274"/>
      <c r="T909" s="274"/>
      <c r="U909" s="274"/>
      <c r="V909" s="274"/>
    </row>
    <row r="910" spans="1:22" x14ac:dyDescent="0.25">
      <c r="A910" s="247">
        <v>908</v>
      </c>
      <c r="B910" s="270"/>
      <c r="C910" s="270"/>
      <c r="D910" s="271"/>
      <c r="E910" s="272"/>
      <c r="F910" s="272"/>
      <c r="G910" s="273"/>
      <c r="H910" s="274"/>
      <c r="I910" s="274"/>
      <c r="J910" s="274"/>
      <c r="K910" s="274"/>
      <c r="L910" s="274"/>
      <c r="M910" s="274"/>
      <c r="N910" s="274"/>
      <c r="O910" s="274"/>
      <c r="P910" s="274"/>
      <c r="Q910" s="274"/>
      <c r="R910" s="274"/>
      <c r="S910" s="274"/>
      <c r="T910" s="274"/>
      <c r="U910" s="274"/>
      <c r="V910" s="274"/>
    </row>
    <row r="911" spans="1:22" x14ac:dyDescent="0.25">
      <c r="A911" s="247">
        <v>909</v>
      </c>
      <c r="B911" s="270"/>
      <c r="C911" s="270"/>
      <c r="D911" s="271"/>
      <c r="E911" s="272"/>
      <c r="F911" s="272"/>
      <c r="G911" s="273"/>
      <c r="H911" s="274"/>
      <c r="I911" s="274"/>
      <c r="J911" s="274"/>
      <c r="K911" s="274"/>
      <c r="L911" s="274"/>
      <c r="M911" s="274"/>
      <c r="N911" s="274"/>
      <c r="O911" s="274"/>
      <c r="P911" s="274"/>
      <c r="Q911" s="274"/>
      <c r="R911" s="274"/>
      <c r="S911" s="274"/>
      <c r="T911" s="274"/>
      <c r="U911" s="274"/>
      <c r="V911" s="274"/>
    </row>
    <row r="912" spans="1:22" x14ac:dyDescent="0.25">
      <c r="A912" s="247">
        <v>910</v>
      </c>
      <c r="B912" s="270"/>
      <c r="C912" s="270"/>
      <c r="D912" s="271"/>
      <c r="E912" s="272"/>
      <c r="F912" s="272"/>
      <c r="G912" s="273"/>
      <c r="H912" s="274"/>
      <c r="I912" s="274"/>
      <c r="J912" s="274"/>
      <c r="K912" s="274"/>
      <c r="L912" s="274"/>
      <c r="M912" s="274"/>
      <c r="N912" s="274"/>
      <c r="O912" s="274"/>
      <c r="P912" s="274"/>
      <c r="Q912" s="274"/>
      <c r="R912" s="274"/>
      <c r="S912" s="274"/>
      <c r="T912" s="274"/>
      <c r="U912" s="274"/>
      <c r="V912" s="274"/>
    </row>
    <row r="913" spans="1:22" x14ac:dyDescent="0.25">
      <c r="A913" s="247">
        <v>911</v>
      </c>
      <c r="B913" s="270"/>
      <c r="C913" s="270"/>
      <c r="D913" s="271"/>
      <c r="E913" s="272"/>
      <c r="F913" s="272"/>
      <c r="G913" s="273"/>
      <c r="H913" s="274"/>
      <c r="I913" s="274"/>
      <c r="J913" s="274"/>
      <c r="K913" s="274"/>
      <c r="L913" s="274"/>
      <c r="M913" s="274"/>
      <c r="N913" s="274"/>
      <c r="O913" s="274"/>
      <c r="P913" s="274"/>
      <c r="Q913" s="274"/>
      <c r="R913" s="274"/>
      <c r="S913" s="274"/>
      <c r="T913" s="274"/>
      <c r="U913" s="274"/>
      <c r="V913" s="274"/>
    </row>
    <row r="914" spans="1:22" x14ac:dyDescent="0.25">
      <c r="A914" s="247">
        <v>912</v>
      </c>
      <c r="B914" s="270"/>
      <c r="C914" s="270"/>
      <c r="D914" s="271"/>
      <c r="E914" s="272"/>
      <c r="F914" s="272"/>
      <c r="G914" s="273"/>
      <c r="H914" s="274"/>
      <c r="I914" s="274"/>
      <c r="J914" s="274"/>
      <c r="K914" s="274"/>
      <c r="L914" s="274"/>
      <c r="M914" s="274"/>
      <c r="N914" s="274"/>
      <c r="O914" s="274"/>
      <c r="P914" s="274"/>
      <c r="Q914" s="274"/>
      <c r="R914" s="274"/>
      <c r="S914" s="274"/>
      <c r="T914" s="274"/>
      <c r="U914" s="274"/>
      <c r="V914" s="274"/>
    </row>
    <row r="915" spans="1:22" x14ac:dyDescent="0.25">
      <c r="A915" s="247">
        <v>913</v>
      </c>
      <c r="B915" s="270"/>
      <c r="C915" s="270"/>
      <c r="D915" s="271"/>
      <c r="E915" s="272"/>
      <c r="F915" s="272"/>
      <c r="G915" s="273"/>
      <c r="H915" s="274"/>
      <c r="I915" s="274"/>
      <c r="J915" s="274"/>
      <c r="K915" s="274"/>
      <c r="L915" s="274"/>
      <c r="M915" s="274"/>
      <c r="N915" s="274"/>
      <c r="O915" s="274"/>
      <c r="P915" s="274"/>
      <c r="Q915" s="274"/>
      <c r="R915" s="274"/>
      <c r="S915" s="274"/>
      <c r="T915" s="274"/>
      <c r="U915" s="274"/>
      <c r="V915" s="274"/>
    </row>
    <row r="916" spans="1:22" x14ac:dyDescent="0.25">
      <c r="A916" s="247">
        <v>914</v>
      </c>
      <c r="B916" s="270"/>
      <c r="C916" s="270"/>
      <c r="D916" s="271"/>
      <c r="E916" s="272"/>
      <c r="F916" s="272"/>
      <c r="G916" s="273"/>
      <c r="H916" s="274"/>
      <c r="I916" s="274"/>
      <c r="J916" s="274"/>
      <c r="K916" s="274"/>
      <c r="L916" s="274"/>
      <c r="M916" s="274"/>
      <c r="N916" s="274"/>
      <c r="O916" s="274"/>
      <c r="P916" s="274"/>
      <c r="Q916" s="274"/>
      <c r="R916" s="274"/>
      <c r="S916" s="274"/>
      <c r="T916" s="274"/>
      <c r="U916" s="274"/>
      <c r="V916" s="274"/>
    </row>
    <row r="917" spans="1:22" x14ac:dyDescent="0.25">
      <c r="A917" s="247">
        <v>915</v>
      </c>
      <c r="B917" s="270"/>
      <c r="C917" s="270"/>
      <c r="D917" s="271"/>
      <c r="E917" s="272"/>
      <c r="F917" s="272"/>
      <c r="G917" s="273"/>
      <c r="H917" s="274"/>
      <c r="I917" s="274"/>
      <c r="J917" s="274"/>
      <c r="K917" s="274"/>
      <c r="L917" s="274"/>
      <c r="M917" s="274"/>
      <c r="N917" s="274"/>
      <c r="O917" s="274"/>
      <c r="P917" s="274"/>
      <c r="Q917" s="274"/>
      <c r="R917" s="274"/>
      <c r="S917" s="274"/>
      <c r="T917" s="274"/>
      <c r="U917" s="274"/>
      <c r="V917" s="274"/>
    </row>
    <row r="918" spans="1:22" x14ac:dyDescent="0.25">
      <c r="A918" s="247">
        <v>916</v>
      </c>
      <c r="B918" s="270"/>
      <c r="C918" s="270"/>
      <c r="D918" s="271"/>
      <c r="E918" s="272"/>
      <c r="F918" s="272"/>
      <c r="G918" s="273"/>
      <c r="H918" s="274"/>
      <c r="I918" s="274"/>
      <c r="J918" s="274"/>
      <c r="K918" s="274"/>
      <c r="L918" s="274"/>
      <c r="M918" s="274"/>
      <c r="N918" s="274"/>
      <c r="O918" s="274"/>
      <c r="P918" s="274"/>
      <c r="Q918" s="274"/>
      <c r="R918" s="274"/>
      <c r="S918" s="274"/>
      <c r="T918" s="274"/>
      <c r="U918" s="274"/>
      <c r="V918" s="274"/>
    </row>
    <row r="919" spans="1:22" x14ac:dyDescent="0.25">
      <c r="A919" s="247">
        <v>917</v>
      </c>
      <c r="B919" s="270"/>
      <c r="C919" s="270"/>
      <c r="D919" s="271"/>
      <c r="E919" s="272"/>
      <c r="F919" s="272"/>
      <c r="G919" s="273"/>
      <c r="H919" s="274"/>
      <c r="I919" s="274"/>
      <c r="J919" s="274"/>
      <c r="K919" s="274"/>
      <c r="L919" s="274"/>
      <c r="M919" s="274"/>
      <c r="N919" s="274"/>
      <c r="O919" s="274"/>
      <c r="P919" s="274"/>
      <c r="Q919" s="274"/>
      <c r="R919" s="274"/>
      <c r="S919" s="274"/>
      <c r="T919" s="274"/>
      <c r="U919" s="274"/>
      <c r="V919" s="274"/>
    </row>
    <row r="920" spans="1:22" x14ac:dyDescent="0.25">
      <c r="A920" s="247">
        <v>918</v>
      </c>
      <c r="B920" s="270"/>
      <c r="C920" s="270"/>
      <c r="D920" s="271"/>
      <c r="E920" s="272"/>
      <c r="F920" s="272"/>
      <c r="G920" s="273"/>
      <c r="H920" s="274"/>
      <c r="I920" s="274"/>
      <c r="J920" s="274"/>
      <c r="K920" s="274"/>
      <c r="L920" s="274"/>
      <c r="M920" s="274"/>
      <c r="N920" s="274"/>
      <c r="O920" s="274"/>
      <c r="P920" s="274"/>
      <c r="Q920" s="274"/>
      <c r="R920" s="274"/>
      <c r="S920" s="274"/>
      <c r="T920" s="274"/>
      <c r="U920" s="274"/>
      <c r="V920" s="274"/>
    </row>
    <row r="921" spans="1:22" x14ac:dyDescent="0.25">
      <c r="A921" s="247">
        <v>919</v>
      </c>
      <c r="B921" s="270"/>
      <c r="C921" s="270"/>
      <c r="D921" s="271"/>
      <c r="E921" s="272"/>
      <c r="F921" s="272"/>
      <c r="G921" s="273"/>
      <c r="H921" s="274"/>
      <c r="I921" s="274"/>
      <c r="J921" s="274"/>
      <c r="K921" s="274"/>
      <c r="L921" s="274"/>
      <c r="M921" s="274"/>
      <c r="N921" s="274"/>
      <c r="O921" s="274"/>
      <c r="P921" s="274"/>
      <c r="Q921" s="274"/>
      <c r="R921" s="274"/>
      <c r="S921" s="274"/>
      <c r="T921" s="274"/>
      <c r="U921" s="274"/>
      <c r="V921" s="274"/>
    </row>
    <row r="922" spans="1:22" x14ac:dyDescent="0.25">
      <c r="A922" s="247">
        <v>920</v>
      </c>
      <c r="B922" s="270"/>
      <c r="C922" s="270"/>
      <c r="D922" s="271"/>
      <c r="E922" s="272"/>
      <c r="F922" s="272"/>
      <c r="G922" s="273"/>
      <c r="H922" s="274"/>
      <c r="I922" s="274"/>
      <c r="J922" s="274"/>
      <c r="K922" s="274"/>
      <c r="L922" s="274"/>
      <c r="M922" s="274"/>
      <c r="N922" s="274"/>
      <c r="O922" s="274"/>
      <c r="P922" s="274"/>
      <c r="Q922" s="274"/>
      <c r="R922" s="274"/>
      <c r="S922" s="274"/>
      <c r="T922" s="274"/>
      <c r="U922" s="274"/>
      <c r="V922" s="274"/>
    </row>
    <row r="923" spans="1:22" x14ac:dyDescent="0.25">
      <c r="A923" s="247">
        <v>921</v>
      </c>
      <c r="B923" s="270"/>
      <c r="C923" s="270"/>
      <c r="D923" s="271"/>
      <c r="E923" s="272"/>
      <c r="F923" s="272"/>
      <c r="G923" s="273"/>
      <c r="H923" s="274"/>
      <c r="I923" s="274"/>
      <c r="J923" s="274"/>
      <c r="K923" s="274"/>
      <c r="L923" s="274"/>
      <c r="M923" s="274"/>
      <c r="N923" s="274"/>
      <c r="O923" s="274"/>
      <c r="P923" s="274"/>
      <c r="Q923" s="274"/>
      <c r="R923" s="274"/>
      <c r="S923" s="274"/>
      <c r="T923" s="274"/>
      <c r="U923" s="274"/>
      <c r="V923" s="274"/>
    </row>
    <row r="924" spans="1:22" x14ac:dyDescent="0.25">
      <c r="A924" s="247">
        <v>922</v>
      </c>
      <c r="B924" s="270"/>
      <c r="C924" s="270"/>
      <c r="D924" s="271"/>
      <c r="E924" s="272"/>
      <c r="F924" s="272"/>
      <c r="G924" s="273"/>
      <c r="H924" s="274"/>
      <c r="I924" s="274"/>
      <c r="J924" s="274"/>
      <c r="K924" s="274"/>
      <c r="L924" s="274"/>
      <c r="M924" s="274"/>
      <c r="N924" s="274"/>
      <c r="O924" s="274"/>
      <c r="P924" s="274"/>
      <c r="Q924" s="274"/>
      <c r="R924" s="274"/>
      <c r="S924" s="274"/>
      <c r="T924" s="274"/>
      <c r="U924" s="274"/>
      <c r="V924" s="274"/>
    </row>
    <row r="925" spans="1:22" x14ac:dyDescent="0.25">
      <c r="A925" s="247">
        <v>923</v>
      </c>
      <c r="B925" s="270"/>
      <c r="C925" s="270"/>
      <c r="D925" s="271"/>
      <c r="E925" s="272"/>
      <c r="F925" s="272"/>
      <c r="G925" s="273"/>
      <c r="H925" s="274"/>
      <c r="I925" s="274"/>
      <c r="J925" s="274"/>
      <c r="K925" s="274"/>
      <c r="L925" s="274"/>
      <c r="M925" s="274"/>
      <c r="N925" s="274"/>
      <c r="O925" s="274"/>
      <c r="P925" s="274"/>
      <c r="Q925" s="274"/>
      <c r="R925" s="274"/>
      <c r="S925" s="274"/>
      <c r="T925" s="274"/>
      <c r="U925" s="274"/>
      <c r="V925" s="274"/>
    </row>
    <row r="926" spans="1:22" x14ac:dyDescent="0.25">
      <c r="A926" s="247">
        <v>924</v>
      </c>
      <c r="B926" s="270"/>
      <c r="C926" s="270"/>
      <c r="D926" s="271"/>
      <c r="E926" s="272"/>
      <c r="F926" s="272"/>
      <c r="G926" s="273"/>
      <c r="H926" s="274"/>
      <c r="I926" s="274"/>
      <c r="J926" s="274"/>
      <c r="K926" s="274"/>
      <c r="L926" s="274"/>
      <c r="M926" s="274"/>
      <c r="N926" s="274"/>
      <c r="O926" s="274"/>
      <c r="P926" s="274"/>
      <c r="Q926" s="274"/>
      <c r="R926" s="274"/>
      <c r="S926" s="274"/>
      <c r="T926" s="274"/>
      <c r="U926" s="274"/>
      <c r="V926" s="274"/>
    </row>
    <row r="927" spans="1:22" x14ac:dyDescent="0.25">
      <c r="A927" s="247">
        <v>925</v>
      </c>
      <c r="B927" s="270"/>
      <c r="C927" s="270"/>
      <c r="D927" s="271"/>
      <c r="E927" s="272"/>
      <c r="F927" s="272"/>
      <c r="G927" s="273"/>
      <c r="H927" s="274"/>
      <c r="I927" s="274"/>
      <c r="J927" s="274"/>
      <c r="K927" s="274"/>
      <c r="L927" s="274"/>
      <c r="M927" s="274"/>
      <c r="N927" s="274"/>
      <c r="O927" s="274"/>
      <c r="P927" s="274"/>
      <c r="Q927" s="274"/>
      <c r="R927" s="274"/>
      <c r="S927" s="274"/>
      <c r="T927" s="274"/>
      <c r="U927" s="274"/>
      <c r="V927" s="274"/>
    </row>
    <row r="928" spans="1:22" x14ac:dyDescent="0.25">
      <c r="A928" s="247">
        <v>926</v>
      </c>
      <c r="B928" s="270"/>
      <c r="C928" s="270"/>
      <c r="D928" s="271"/>
      <c r="E928" s="272"/>
      <c r="F928" s="272"/>
      <c r="G928" s="273"/>
      <c r="H928" s="274"/>
      <c r="I928" s="274"/>
      <c r="J928" s="274"/>
      <c r="K928" s="274"/>
      <c r="L928" s="274"/>
      <c r="M928" s="274"/>
      <c r="N928" s="274"/>
      <c r="O928" s="274"/>
      <c r="P928" s="274"/>
      <c r="Q928" s="274"/>
      <c r="R928" s="274"/>
      <c r="S928" s="274"/>
      <c r="T928" s="274"/>
      <c r="U928" s="274"/>
      <c r="V928" s="274"/>
    </row>
    <row r="929" spans="1:22" x14ac:dyDescent="0.25">
      <c r="A929" s="247">
        <v>927</v>
      </c>
      <c r="B929" s="270"/>
      <c r="C929" s="270"/>
      <c r="D929" s="271"/>
      <c r="E929" s="272"/>
      <c r="F929" s="272"/>
      <c r="G929" s="273"/>
      <c r="H929" s="274"/>
      <c r="I929" s="274"/>
      <c r="J929" s="274"/>
      <c r="K929" s="274"/>
      <c r="L929" s="274"/>
      <c r="M929" s="274"/>
      <c r="N929" s="274"/>
      <c r="O929" s="274"/>
      <c r="P929" s="274"/>
      <c r="Q929" s="274"/>
      <c r="R929" s="274"/>
      <c r="S929" s="274"/>
      <c r="T929" s="274"/>
      <c r="U929" s="274"/>
      <c r="V929" s="274"/>
    </row>
    <row r="930" spans="1:22" x14ac:dyDescent="0.25">
      <c r="A930" s="247">
        <v>928</v>
      </c>
      <c r="B930" s="270"/>
      <c r="C930" s="270"/>
      <c r="D930" s="271"/>
      <c r="E930" s="272"/>
      <c r="F930" s="272"/>
      <c r="G930" s="273"/>
      <c r="H930" s="274"/>
      <c r="I930" s="274"/>
      <c r="J930" s="274"/>
      <c r="K930" s="274"/>
      <c r="L930" s="274"/>
      <c r="M930" s="274"/>
      <c r="N930" s="274"/>
      <c r="O930" s="274"/>
      <c r="P930" s="274"/>
      <c r="Q930" s="274"/>
      <c r="R930" s="274"/>
      <c r="S930" s="274"/>
      <c r="T930" s="274"/>
      <c r="U930" s="274"/>
      <c r="V930" s="274"/>
    </row>
    <row r="931" spans="1:22" x14ac:dyDescent="0.25">
      <c r="A931" s="247">
        <v>929</v>
      </c>
      <c r="B931" s="270"/>
      <c r="C931" s="270"/>
      <c r="D931" s="271"/>
      <c r="E931" s="272"/>
      <c r="F931" s="272"/>
      <c r="G931" s="273"/>
      <c r="H931" s="274"/>
      <c r="I931" s="274"/>
      <c r="J931" s="274"/>
      <c r="K931" s="274"/>
      <c r="L931" s="274"/>
      <c r="M931" s="274"/>
      <c r="N931" s="274"/>
      <c r="O931" s="274"/>
      <c r="P931" s="274"/>
      <c r="Q931" s="274"/>
      <c r="R931" s="274"/>
      <c r="S931" s="274"/>
      <c r="T931" s="274"/>
      <c r="U931" s="274"/>
      <c r="V931" s="274"/>
    </row>
    <row r="932" spans="1:22" x14ac:dyDescent="0.25">
      <c r="A932" s="247">
        <v>930</v>
      </c>
      <c r="B932" s="270"/>
      <c r="C932" s="270"/>
      <c r="D932" s="271"/>
      <c r="E932" s="272"/>
      <c r="F932" s="272"/>
      <c r="G932" s="273"/>
      <c r="H932" s="274"/>
      <c r="I932" s="274"/>
      <c r="J932" s="274"/>
      <c r="K932" s="274"/>
      <c r="L932" s="274"/>
      <c r="M932" s="274"/>
      <c r="N932" s="274"/>
      <c r="O932" s="274"/>
      <c r="P932" s="274"/>
      <c r="Q932" s="274"/>
      <c r="R932" s="274"/>
      <c r="S932" s="274"/>
      <c r="T932" s="274"/>
      <c r="U932" s="274"/>
      <c r="V932" s="274"/>
    </row>
    <row r="933" spans="1:22" x14ac:dyDescent="0.25">
      <c r="A933" s="247">
        <v>931</v>
      </c>
      <c r="B933" s="270"/>
      <c r="C933" s="270"/>
      <c r="D933" s="271"/>
      <c r="E933" s="272"/>
      <c r="F933" s="272"/>
      <c r="G933" s="273"/>
      <c r="H933" s="274"/>
      <c r="I933" s="274"/>
      <c r="J933" s="274"/>
      <c r="K933" s="274"/>
      <c r="L933" s="274"/>
      <c r="M933" s="274"/>
      <c r="N933" s="274"/>
      <c r="O933" s="274"/>
      <c r="P933" s="274"/>
      <c r="Q933" s="274"/>
      <c r="R933" s="274"/>
      <c r="S933" s="274"/>
      <c r="T933" s="274"/>
      <c r="U933" s="274"/>
      <c r="V933" s="274"/>
    </row>
    <row r="934" spans="1:22" x14ac:dyDescent="0.25">
      <c r="A934" s="247">
        <v>932</v>
      </c>
      <c r="B934" s="270"/>
      <c r="C934" s="270"/>
      <c r="D934" s="271"/>
      <c r="E934" s="272"/>
      <c r="F934" s="272"/>
      <c r="G934" s="273"/>
      <c r="H934" s="274"/>
      <c r="I934" s="274"/>
      <c r="J934" s="274"/>
      <c r="K934" s="274"/>
      <c r="L934" s="274"/>
      <c r="M934" s="274"/>
      <c r="N934" s="274"/>
      <c r="O934" s="274"/>
      <c r="P934" s="274"/>
      <c r="Q934" s="274"/>
      <c r="R934" s="274"/>
      <c r="S934" s="274"/>
      <c r="T934" s="274"/>
      <c r="U934" s="274"/>
      <c r="V934" s="274"/>
    </row>
    <row r="935" spans="1:22" x14ac:dyDescent="0.25">
      <c r="A935" s="247">
        <v>933</v>
      </c>
      <c r="B935" s="270"/>
      <c r="C935" s="270"/>
      <c r="D935" s="271"/>
      <c r="E935" s="272"/>
      <c r="F935" s="272"/>
      <c r="G935" s="273"/>
      <c r="H935" s="274"/>
      <c r="I935" s="274"/>
      <c r="J935" s="274"/>
      <c r="K935" s="274"/>
      <c r="L935" s="274"/>
      <c r="M935" s="274"/>
      <c r="N935" s="274"/>
      <c r="O935" s="274"/>
      <c r="P935" s="274"/>
      <c r="Q935" s="274"/>
      <c r="R935" s="274"/>
      <c r="S935" s="274"/>
      <c r="T935" s="274"/>
      <c r="U935" s="274"/>
      <c r="V935" s="274"/>
    </row>
    <row r="936" spans="1:22" x14ac:dyDescent="0.25">
      <c r="A936" s="247">
        <v>934</v>
      </c>
      <c r="B936" s="270"/>
      <c r="C936" s="270"/>
      <c r="D936" s="271"/>
      <c r="E936" s="272"/>
      <c r="F936" s="272"/>
      <c r="G936" s="273"/>
      <c r="H936" s="274"/>
      <c r="I936" s="274"/>
      <c r="J936" s="274"/>
      <c r="K936" s="274"/>
      <c r="L936" s="274"/>
      <c r="M936" s="274"/>
      <c r="N936" s="274"/>
      <c r="O936" s="274"/>
      <c r="P936" s="274"/>
      <c r="Q936" s="274"/>
      <c r="R936" s="274"/>
      <c r="S936" s="274"/>
      <c r="T936" s="274"/>
      <c r="U936" s="274"/>
      <c r="V936" s="274"/>
    </row>
    <row r="937" spans="1:22" x14ac:dyDescent="0.25">
      <c r="A937" s="247">
        <v>935</v>
      </c>
      <c r="B937" s="270"/>
      <c r="C937" s="270"/>
      <c r="D937" s="271"/>
      <c r="E937" s="272"/>
      <c r="F937" s="272"/>
      <c r="G937" s="273"/>
      <c r="H937" s="274"/>
      <c r="I937" s="274"/>
      <c r="J937" s="274"/>
      <c r="K937" s="274"/>
      <c r="L937" s="274"/>
      <c r="M937" s="274"/>
      <c r="N937" s="274"/>
      <c r="O937" s="274"/>
      <c r="P937" s="274"/>
      <c r="Q937" s="274"/>
      <c r="R937" s="274"/>
      <c r="S937" s="274"/>
      <c r="T937" s="274"/>
      <c r="U937" s="274"/>
      <c r="V937" s="274"/>
    </row>
    <row r="938" spans="1:22" x14ac:dyDescent="0.25">
      <c r="A938" s="247">
        <v>936</v>
      </c>
      <c r="B938" s="270"/>
      <c r="C938" s="270"/>
      <c r="D938" s="271"/>
      <c r="E938" s="272"/>
      <c r="F938" s="272"/>
      <c r="G938" s="273"/>
      <c r="H938" s="274"/>
      <c r="I938" s="274"/>
      <c r="J938" s="274"/>
      <c r="K938" s="274"/>
      <c r="L938" s="274"/>
      <c r="M938" s="274"/>
      <c r="N938" s="274"/>
      <c r="O938" s="274"/>
      <c r="P938" s="274"/>
      <c r="Q938" s="274"/>
      <c r="R938" s="274"/>
      <c r="S938" s="274"/>
      <c r="T938" s="274"/>
      <c r="U938" s="274"/>
      <c r="V938" s="274"/>
    </row>
    <row r="939" spans="1:22" x14ac:dyDescent="0.25">
      <c r="A939" s="247">
        <v>937</v>
      </c>
      <c r="B939" s="270"/>
      <c r="C939" s="270"/>
      <c r="D939" s="271"/>
      <c r="E939" s="272"/>
      <c r="F939" s="272"/>
      <c r="G939" s="273"/>
      <c r="H939" s="274"/>
      <c r="I939" s="274"/>
      <c r="J939" s="274"/>
      <c r="K939" s="274"/>
      <c r="L939" s="274"/>
      <c r="M939" s="274"/>
      <c r="N939" s="274"/>
      <c r="O939" s="274"/>
      <c r="P939" s="274"/>
      <c r="Q939" s="274"/>
      <c r="R939" s="274"/>
      <c r="S939" s="274"/>
      <c r="T939" s="274"/>
      <c r="U939" s="274"/>
      <c r="V939" s="274"/>
    </row>
    <row r="940" spans="1:22" x14ac:dyDescent="0.25">
      <c r="A940" s="247">
        <v>938</v>
      </c>
      <c r="B940" s="270"/>
      <c r="C940" s="270"/>
      <c r="D940" s="271"/>
      <c r="E940" s="272"/>
      <c r="F940" s="272"/>
      <c r="G940" s="273"/>
      <c r="H940" s="274"/>
      <c r="I940" s="274"/>
      <c r="J940" s="274"/>
      <c r="K940" s="274"/>
      <c r="L940" s="274"/>
      <c r="M940" s="274"/>
      <c r="N940" s="274"/>
      <c r="O940" s="274"/>
      <c r="P940" s="274"/>
      <c r="Q940" s="274"/>
      <c r="R940" s="274"/>
      <c r="S940" s="274"/>
      <c r="T940" s="274"/>
      <c r="U940" s="274"/>
      <c r="V940" s="274"/>
    </row>
    <row r="941" spans="1:22" x14ac:dyDescent="0.25">
      <c r="A941" s="247">
        <v>939</v>
      </c>
      <c r="B941" s="270"/>
      <c r="C941" s="270"/>
      <c r="D941" s="271"/>
      <c r="E941" s="272"/>
      <c r="F941" s="272"/>
      <c r="G941" s="273"/>
      <c r="H941" s="274"/>
      <c r="I941" s="274"/>
      <c r="J941" s="274"/>
      <c r="K941" s="274"/>
      <c r="L941" s="274"/>
      <c r="M941" s="274"/>
      <c r="N941" s="274"/>
      <c r="O941" s="274"/>
      <c r="P941" s="274"/>
      <c r="Q941" s="274"/>
      <c r="R941" s="274"/>
      <c r="S941" s="274"/>
      <c r="T941" s="274"/>
      <c r="U941" s="274"/>
      <c r="V941" s="274"/>
    </row>
    <row r="942" spans="1:22" x14ac:dyDescent="0.25">
      <c r="A942" s="247">
        <v>940</v>
      </c>
      <c r="B942" s="270"/>
      <c r="C942" s="270"/>
      <c r="D942" s="271"/>
      <c r="E942" s="272"/>
      <c r="F942" s="272"/>
      <c r="G942" s="273"/>
      <c r="H942" s="274"/>
      <c r="I942" s="274"/>
      <c r="J942" s="274"/>
      <c r="K942" s="274"/>
      <c r="L942" s="274"/>
      <c r="M942" s="274"/>
      <c r="N942" s="274"/>
      <c r="O942" s="274"/>
      <c r="P942" s="274"/>
      <c r="Q942" s="274"/>
      <c r="R942" s="274"/>
      <c r="S942" s="274"/>
      <c r="T942" s="274"/>
      <c r="U942" s="274"/>
      <c r="V942" s="274"/>
    </row>
    <row r="943" spans="1:22" x14ac:dyDescent="0.25">
      <c r="A943" s="247">
        <v>941</v>
      </c>
      <c r="B943" s="270"/>
      <c r="C943" s="270"/>
      <c r="D943" s="271"/>
      <c r="E943" s="272"/>
      <c r="F943" s="272"/>
      <c r="G943" s="273"/>
      <c r="H943" s="274"/>
      <c r="I943" s="274"/>
      <c r="J943" s="274"/>
      <c r="K943" s="274"/>
      <c r="L943" s="274"/>
      <c r="M943" s="274"/>
      <c r="N943" s="274"/>
      <c r="O943" s="274"/>
      <c r="P943" s="274"/>
      <c r="Q943" s="274"/>
      <c r="R943" s="274"/>
      <c r="S943" s="274"/>
      <c r="T943" s="274"/>
      <c r="U943" s="274"/>
      <c r="V943" s="274"/>
    </row>
    <row r="944" spans="1:22" x14ac:dyDescent="0.25">
      <c r="A944" s="247">
        <v>942</v>
      </c>
      <c r="B944" s="270"/>
      <c r="C944" s="270"/>
      <c r="D944" s="271"/>
      <c r="E944" s="272"/>
      <c r="F944" s="272"/>
      <c r="G944" s="273"/>
      <c r="H944" s="274"/>
      <c r="I944" s="274"/>
      <c r="J944" s="274"/>
      <c r="K944" s="274"/>
      <c r="L944" s="274"/>
      <c r="M944" s="274"/>
      <c r="N944" s="274"/>
      <c r="O944" s="274"/>
      <c r="P944" s="274"/>
      <c r="Q944" s="274"/>
      <c r="R944" s="274"/>
      <c r="S944" s="274"/>
      <c r="T944" s="274"/>
      <c r="U944" s="274"/>
      <c r="V944" s="274"/>
    </row>
    <row r="945" spans="1:22" x14ac:dyDescent="0.25">
      <c r="A945" s="247">
        <v>943</v>
      </c>
      <c r="B945" s="270"/>
      <c r="C945" s="270"/>
      <c r="D945" s="271"/>
      <c r="E945" s="272"/>
      <c r="F945" s="272"/>
      <c r="G945" s="273"/>
      <c r="H945" s="274"/>
      <c r="I945" s="274"/>
      <c r="J945" s="274"/>
      <c r="K945" s="274"/>
      <c r="L945" s="274"/>
      <c r="M945" s="274"/>
      <c r="N945" s="274"/>
      <c r="O945" s="274"/>
      <c r="P945" s="274"/>
      <c r="Q945" s="274"/>
      <c r="R945" s="274"/>
      <c r="S945" s="274"/>
      <c r="T945" s="274"/>
      <c r="U945" s="274"/>
      <c r="V945" s="274"/>
    </row>
    <row r="946" spans="1:22" x14ac:dyDescent="0.25">
      <c r="A946" s="247">
        <v>944</v>
      </c>
      <c r="B946" s="270"/>
      <c r="C946" s="270"/>
      <c r="D946" s="271"/>
      <c r="E946" s="272"/>
      <c r="F946" s="272"/>
      <c r="G946" s="273"/>
      <c r="H946" s="274"/>
      <c r="I946" s="274"/>
      <c r="J946" s="274"/>
      <c r="K946" s="274"/>
      <c r="L946" s="274"/>
      <c r="M946" s="274"/>
      <c r="N946" s="274"/>
      <c r="O946" s="274"/>
      <c r="P946" s="274"/>
      <c r="Q946" s="274"/>
      <c r="R946" s="274"/>
      <c r="S946" s="274"/>
      <c r="T946" s="274"/>
      <c r="U946" s="274"/>
      <c r="V946" s="274"/>
    </row>
    <row r="947" spans="1:22" x14ac:dyDescent="0.25">
      <c r="A947" s="247">
        <v>945</v>
      </c>
      <c r="B947" s="270"/>
      <c r="C947" s="270"/>
      <c r="D947" s="271"/>
      <c r="E947" s="272"/>
      <c r="F947" s="272"/>
      <c r="G947" s="273"/>
      <c r="H947" s="274"/>
      <c r="I947" s="274"/>
      <c r="J947" s="274"/>
      <c r="K947" s="274"/>
      <c r="L947" s="274"/>
      <c r="M947" s="274"/>
      <c r="N947" s="274"/>
      <c r="O947" s="274"/>
      <c r="P947" s="274"/>
      <c r="Q947" s="274"/>
      <c r="R947" s="274"/>
      <c r="S947" s="274"/>
      <c r="T947" s="274"/>
      <c r="U947" s="274"/>
      <c r="V947" s="274"/>
    </row>
    <row r="948" spans="1:22" x14ac:dyDescent="0.25">
      <c r="A948" s="247">
        <v>946</v>
      </c>
      <c r="B948" s="270"/>
      <c r="C948" s="270"/>
      <c r="D948" s="271"/>
      <c r="E948" s="272"/>
      <c r="F948" s="272"/>
      <c r="G948" s="273"/>
      <c r="H948" s="274"/>
      <c r="I948" s="274"/>
      <c r="J948" s="274"/>
      <c r="K948" s="274"/>
      <c r="L948" s="274"/>
      <c r="M948" s="274"/>
      <c r="N948" s="274"/>
      <c r="O948" s="274"/>
      <c r="P948" s="274"/>
      <c r="Q948" s="274"/>
      <c r="R948" s="274"/>
      <c r="S948" s="274"/>
      <c r="T948" s="274"/>
      <c r="U948" s="274"/>
      <c r="V948" s="274"/>
    </row>
    <row r="949" spans="1:22" x14ac:dyDescent="0.25">
      <c r="A949" s="247">
        <v>947</v>
      </c>
      <c r="B949" s="270"/>
      <c r="C949" s="270"/>
      <c r="D949" s="271"/>
      <c r="E949" s="272"/>
      <c r="F949" s="272"/>
      <c r="G949" s="273"/>
      <c r="H949" s="274"/>
      <c r="I949" s="274"/>
      <c r="J949" s="274"/>
      <c r="K949" s="274"/>
      <c r="L949" s="274"/>
      <c r="M949" s="274"/>
      <c r="N949" s="274"/>
      <c r="O949" s="274"/>
      <c r="P949" s="274"/>
      <c r="Q949" s="274"/>
      <c r="R949" s="274"/>
      <c r="S949" s="274"/>
      <c r="T949" s="274"/>
      <c r="U949" s="274"/>
      <c r="V949" s="274"/>
    </row>
    <row r="950" spans="1:22" x14ac:dyDescent="0.25">
      <c r="A950" s="247">
        <v>948</v>
      </c>
      <c r="B950" s="270"/>
      <c r="C950" s="270"/>
      <c r="D950" s="271"/>
      <c r="E950" s="272"/>
      <c r="F950" s="272"/>
      <c r="G950" s="273"/>
      <c r="H950" s="274"/>
      <c r="I950" s="274"/>
      <c r="J950" s="274"/>
      <c r="K950" s="274"/>
      <c r="L950" s="274"/>
      <c r="M950" s="274"/>
      <c r="N950" s="274"/>
      <c r="O950" s="274"/>
      <c r="P950" s="274"/>
      <c r="Q950" s="274"/>
      <c r="R950" s="274"/>
      <c r="S950" s="274"/>
      <c r="T950" s="274"/>
      <c r="U950" s="274"/>
      <c r="V950" s="274"/>
    </row>
    <row r="951" spans="1:22" x14ac:dyDescent="0.25">
      <c r="A951" s="247">
        <v>949</v>
      </c>
      <c r="B951" s="270"/>
      <c r="C951" s="270"/>
      <c r="D951" s="271"/>
      <c r="E951" s="272"/>
      <c r="F951" s="272"/>
      <c r="G951" s="273"/>
      <c r="H951" s="274"/>
      <c r="I951" s="274"/>
      <c r="J951" s="274"/>
      <c r="K951" s="274"/>
      <c r="L951" s="274"/>
      <c r="M951" s="274"/>
      <c r="N951" s="274"/>
      <c r="O951" s="274"/>
      <c r="P951" s="274"/>
      <c r="Q951" s="274"/>
      <c r="R951" s="274"/>
      <c r="S951" s="274"/>
      <c r="T951" s="274"/>
      <c r="U951" s="274"/>
      <c r="V951" s="274"/>
    </row>
    <row r="952" spans="1:22" x14ac:dyDescent="0.25">
      <c r="A952" s="247">
        <v>950</v>
      </c>
      <c r="B952" s="270"/>
      <c r="C952" s="270"/>
      <c r="D952" s="271"/>
      <c r="E952" s="272"/>
      <c r="F952" s="272"/>
      <c r="G952" s="273"/>
      <c r="H952" s="274"/>
      <c r="I952" s="274"/>
      <c r="J952" s="274"/>
      <c r="K952" s="274"/>
      <c r="L952" s="274"/>
      <c r="M952" s="274"/>
      <c r="N952" s="274"/>
      <c r="O952" s="274"/>
      <c r="P952" s="274"/>
      <c r="Q952" s="274"/>
      <c r="R952" s="274"/>
      <c r="S952" s="274"/>
      <c r="T952" s="274"/>
      <c r="U952" s="274"/>
      <c r="V952" s="274"/>
    </row>
    <row r="953" spans="1:22" x14ac:dyDescent="0.25">
      <c r="A953" s="247">
        <v>951</v>
      </c>
      <c r="B953" s="270"/>
      <c r="C953" s="270"/>
      <c r="D953" s="271"/>
      <c r="E953" s="272"/>
      <c r="F953" s="272"/>
      <c r="G953" s="273"/>
      <c r="H953" s="274"/>
      <c r="I953" s="274"/>
      <c r="J953" s="274"/>
      <c r="K953" s="274"/>
      <c r="L953" s="274"/>
      <c r="M953" s="274"/>
      <c r="N953" s="274"/>
      <c r="O953" s="274"/>
      <c r="P953" s="274"/>
      <c r="Q953" s="274"/>
      <c r="R953" s="274"/>
      <c r="S953" s="274"/>
      <c r="T953" s="274"/>
      <c r="U953" s="274"/>
      <c r="V953" s="274"/>
    </row>
    <row r="954" spans="1:22" x14ac:dyDescent="0.25">
      <c r="A954" s="247">
        <v>952</v>
      </c>
      <c r="B954" s="270"/>
      <c r="C954" s="270"/>
      <c r="D954" s="271"/>
      <c r="E954" s="272"/>
      <c r="F954" s="272"/>
      <c r="G954" s="273"/>
      <c r="H954" s="274"/>
      <c r="I954" s="274"/>
      <c r="J954" s="274"/>
      <c r="K954" s="274"/>
      <c r="L954" s="274"/>
      <c r="M954" s="274"/>
      <c r="N954" s="274"/>
      <c r="O954" s="274"/>
      <c r="P954" s="274"/>
      <c r="Q954" s="274"/>
      <c r="R954" s="274"/>
      <c r="S954" s="274"/>
      <c r="T954" s="274"/>
      <c r="U954" s="274"/>
      <c r="V954" s="274"/>
    </row>
    <row r="955" spans="1:22" x14ac:dyDescent="0.25">
      <c r="A955" s="247">
        <v>953</v>
      </c>
      <c r="B955" s="270"/>
      <c r="C955" s="270"/>
      <c r="D955" s="271"/>
      <c r="E955" s="272"/>
      <c r="F955" s="272"/>
      <c r="G955" s="273"/>
      <c r="H955" s="274"/>
      <c r="I955" s="274"/>
      <c r="J955" s="274"/>
      <c r="K955" s="274"/>
      <c r="L955" s="274"/>
      <c r="M955" s="274"/>
      <c r="N955" s="274"/>
      <c r="O955" s="274"/>
      <c r="P955" s="274"/>
      <c r="Q955" s="274"/>
      <c r="R955" s="274"/>
      <c r="S955" s="274"/>
      <c r="T955" s="274"/>
      <c r="U955" s="274"/>
      <c r="V955" s="274"/>
    </row>
    <row r="956" spans="1:22" x14ac:dyDescent="0.25">
      <c r="A956" s="247">
        <v>954</v>
      </c>
      <c r="B956" s="270"/>
      <c r="C956" s="270"/>
      <c r="D956" s="271"/>
      <c r="E956" s="272"/>
      <c r="F956" s="272"/>
      <c r="G956" s="273"/>
      <c r="H956" s="274"/>
      <c r="I956" s="274"/>
      <c r="J956" s="274"/>
      <c r="K956" s="274"/>
      <c r="L956" s="274"/>
      <c r="M956" s="274"/>
      <c r="N956" s="274"/>
      <c r="O956" s="274"/>
      <c r="P956" s="274"/>
      <c r="Q956" s="274"/>
      <c r="R956" s="274"/>
      <c r="S956" s="274"/>
      <c r="T956" s="274"/>
      <c r="U956" s="274"/>
      <c r="V956" s="274"/>
    </row>
    <row r="957" spans="1:22" x14ac:dyDescent="0.25">
      <c r="A957" s="247">
        <v>955</v>
      </c>
      <c r="B957" s="270"/>
      <c r="C957" s="270"/>
      <c r="D957" s="271"/>
      <c r="E957" s="272"/>
      <c r="F957" s="272"/>
      <c r="G957" s="273"/>
      <c r="H957" s="274"/>
      <c r="I957" s="274"/>
      <c r="J957" s="274"/>
      <c r="K957" s="274"/>
      <c r="L957" s="274"/>
      <c r="M957" s="274"/>
      <c r="N957" s="274"/>
      <c r="O957" s="274"/>
      <c r="P957" s="274"/>
      <c r="Q957" s="274"/>
      <c r="R957" s="274"/>
      <c r="S957" s="274"/>
      <c r="T957" s="274"/>
      <c r="U957" s="274"/>
      <c r="V957" s="274"/>
    </row>
    <row r="958" spans="1:22" x14ac:dyDescent="0.25">
      <c r="A958" s="247">
        <v>956</v>
      </c>
      <c r="B958" s="270"/>
      <c r="C958" s="270"/>
      <c r="D958" s="271"/>
      <c r="E958" s="272"/>
      <c r="F958" s="272"/>
      <c r="G958" s="273"/>
      <c r="H958" s="274"/>
      <c r="I958" s="274"/>
      <c r="J958" s="274"/>
      <c r="K958" s="274"/>
      <c r="L958" s="274"/>
      <c r="M958" s="274"/>
      <c r="N958" s="274"/>
      <c r="O958" s="274"/>
      <c r="P958" s="274"/>
      <c r="Q958" s="274"/>
      <c r="R958" s="274"/>
      <c r="S958" s="274"/>
      <c r="T958" s="274"/>
      <c r="U958" s="274"/>
      <c r="V958" s="274"/>
    </row>
    <row r="959" spans="1:22" x14ac:dyDescent="0.25">
      <c r="A959" s="247">
        <v>957</v>
      </c>
      <c r="B959" s="270"/>
      <c r="C959" s="270"/>
      <c r="D959" s="271"/>
      <c r="E959" s="272"/>
      <c r="F959" s="272"/>
      <c r="G959" s="273"/>
      <c r="H959" s="274"/>
      <c r="I959" s="274"/>
      <c r="J959" s="274"/>
      <c r="K959" s="274"/>
      <c r="L959" s="274"/>
      <c r="M959" s="274"/>
      <c r="N959" s="274"/>
      <c r="O959" s="274"/>
      <c r="P959" s="274"/>
      <c r="Q959" s="274"/>
      <c r="R959" s="274"/>
      <c r="S959" s="274"/>
      <c r="T959" s="274"/>
      <c r="U959" s="274"/>
      <c r="V959" s="274"/>
    </row>
    <row r="960" spans="1:22" x14ac:dyDescent="0.25">
      <c r="A960" s="247">
        <v>958</v>
      </c>
      <c r="B960" s="270"/>
      <c r="C960" s="270"/>
      <c r="D960" s="271"/>
      <c r="E960" s="272"/>
      <c r="F960" s="272"/>
      <c r="G960" s="273"/>
      <c r="H960" s="274"/>
      <c r="I960" s="274"/>
      <c r="J960" s="274"/>
      <c r="K960" s="274"/>
      <c r="L960" s="274"/>
      <c r="M960" s="274"/>
      <c r="N960" s="274"/>
      <c r="O960" s="274"/>
      <c r="P960" s="274"/>
      <c r="Q960" s="274"/>
      <c r="R960" s="274"/>
      <c r="S960" s="274"/>
      <c r="T960" s="274"/>
      <c r="U960" s="274"/>
      <c r="V960" s="274"/>
    </row>
    <row r="961" spans="1:22" x14ac:dyDescent="0.25">
      <c r="A961" s="247">
        <v>959</v>
      </c>
      <c r="B961" s="270"/>
      <c r="C961" s="270"/>
      <c r="D961" s="271"/>
      <c r="E961" s="272"/>
      <c r="F961" s="272"/>
      <c r="G961" s="273"/>
      <c r="H961" s="274"/>
      <c r="I961" s="274"/>
      <c r="J961" s="274"/>
      <c r="K961" s="274"/>
      <c r="L961" s="274"/>
      <c r="M961" s="274"/>
      <c r="N961" s="274"/>
      <c r="O961" s="274"/>
      <c r="P961" s="274"/>
      <c r="Q961" s="274"/>
      <c r="R961" s="274"/>
      <c r="S961" s="274"/>
      <c r="T961" s="274"/>
      <c r="U961" s="274"/>
      <c r="V961" s="274"/>
    </row>
    <row r="962" spans="1:22" x14ac:dyDescent="0.25">
      <c r="A962" s="247">
        <v>960</v>
      </c>
      <c r="B962" s="270"/>
      <c r="C962" s="270"/>
      <c r="D962" s="271"/>
      <c r="E962" s="272"/>
      <c r="F962" s="272"/>
      <c r="G962" s="273"/>
      <c r="H962" s="274"/>
      <c r="I962" s="274"/>
      <c r="J962" s="274"/>
      <c r="K962" s="274"/>
      <c r="L962" s="274"/>
      <c r="M962" s="274"/>
      <c r="N962" s="274"/>
      <c r="O962" s="274"/>
      <c r="P962" s="274"/>
      <c r="Q962" s="274"/>
      <c r="R962" s="274"/>
      <c r="S962" s="274"/>
      <c r="T962" s="274"/>
      <c r="U962" s="274"/>
      <c r="V962" s="274"/>
    </row>
    <row r="963" spans="1:22" x14ac:dyDescent="0.25">
      <c r="A963" s="247">
        <v>961</v>
      </c>
      <c r="B963" s="270"/>
      <c r="C963" s="270"/>
      <c r="D963" s="271"/>
      <c r="E963" s="272"/>
      <c r="F963" s="272"/>
      <c r="G963" s="273"/>
      <c r="H963" s="274"/>
      <c r="I963" s="274"/>
      <c r="J963" s="274"/>
      <c r="K963" s="274"/>
      <c r="L963" s="274"/>
      <c r="M963" s="274"/>
      <c r="N963" s="274"/>
      <c r="O963" s="274"/>
      <c r="P963" s="274"/>
      <c r="Q963" s="274"/>
      <c r="R963" s="274"/>
      <c r="S963" s="274"/>
      <c r="T963" s="274"/>
      <c r="U963" s="274"/>
      <c r="V963" s="274"/>
    </row>
    <row r="964" spans="1:22" x14ac:dyDescent="0.25">
      <c r="A964" s="247">
        <v>962</v>
      </c>
      <c r="B964" s="270"/>
      <c r="C964" s="270"/>
      <c r="D964" s="271"/>
      <c r="E964" s="272"/>
      <c r="F964" s="272"/>
      <c r="G964" s="273"/>
      <c r="H964" s="274"/>
      <c r="I964" s="274"/>
      <c r="J964" s="274"/>
      <c r="K964" s="274"/>
      <c r="L964" s="274"/>
      <c r="M964" s="274"/>
      <c r="N964" s="274"/>
      <c r="O964" s="274"/>
      <c r="P964" s="274"/>
      <c r="Q964" s="274"/>
      <c r="R964" s="274"/>
      <c r="S964" s="274"/>
      <c r="T964" s="274"/>
      <c r="U964" s="274"/>
      <c r="V964" s="274"/>
    </row>
    <row r="965" spans="1:22" x14ac:dyDescent="0.25">
      <c r="A965" s="247">
        <v>963</v>
      </c>
      <c r="B965" s="270"/>
      <c r="C965" s="270"/>
      <c r="D965" s="271"/>
      <c r="E965" s="272"/>
      <c r="F965" s="272"/>
      <c r="G965" s="273"/>
      <c r="H965" s="274"/>
      <c r="I965" s="274"/>
      <c r="J965" s="274"/>
      <c r="K965" s="274"/>
      <c r="L965" s="274"/>
      <c r="M965" s="274"/>
      <c r="N965" s="274"/>
      <c r="O965" s="274"/>
      <c r="P965" s="274"/>
      <c r="Q965" s="274"/>
      <c r="R965" s="274"/>
      <c r="S965" s="274"/>
      <c r="T965" s="274"/>
      <c r="U965" s="274"/>
      <c r="V965" s="274"/>
    </row>
    <row r="966" spans="1:22" x14ac:dyDescent="0.25">
      <c r="A966" s="247">
        <v>964</v>
      </c>
      <c r="B966" s="270"/>
      <c r="C966" s="270"/>
      <c r="D966" s="271"/>
      <c r="E966" s="272"/>
      <c r="F966" s="272"/>
      <c r="G966" s="273"/>
      <c r="H966" s="274"/>
      <c r="I966" s="274"/>
      <c r="J966" s="274"/>
      <c r="K966" s="274"/>
      <c r="L966" s="274"/>
      <c r="M966" s="274"/>
      <c r="N966" s="274"/>
      <c r="O966" s="274"/>
      <c r="P966" s="274"/>
      <c r="Q966" s="274"/>
      <c r="R966" s="274"/>
      <c r="S966" s="274"/>
      <c r="T966" s="274"/>
      <c r="U966" s="274"/>
      <c r="V966" s="274"/>
    </row>
    <row r="967" spans="1:22" x14ac:dyDescent="0.25">
      <c r="A967" s="247">
        <v>965</v>
      </c>
      <c r="B967" s="270"/>
      <c r="C967" s="270"/>
      <c r="D967" s="271"/>
      <c r="E967" s="272"/>
      <c r="F967" s="272"/>
      <c r="G967" s="273"/>
      <c r="H967" s="274"/>
      <c r="I967" s="274"/>
      <c r="J967" s="274"/>
      <c r="K967" s="274"/>
      <c r="L967" s="274"/>
      <c r="M967" s="274"/>
      <c r="N967" s="274"/>
      <c r="O967" s="274"/>
      <c r="P967" s="274"/>
      <c r="Q967" s="274"/>
      <c r="R967" s="274"/>
      <c r="S967" s="274"/>
      <c r="T967" s="274"/>
      <c r="U967" s="274"/>
      <c r="V967" s="274"/>
    </row>
    <row r="968" spans="1:22" x14ac:dyDescent="0.25">
      <c r="A968" s="247">
        <v>966</v>
      </c>
      <c r="B968" s="270"/>
      <c r="C968" s="270"/>
      <c r="D968" s="271"/>
      <c r="E968" s="272"/>
      <c r="F968" s="272"/>
      <c r="G968" s="273"/>
      <c r="H968" s="274"/>
      <c r="I968" s="274"/>
      <c r="J968" s="274"/>
      <c r="K968" s="274"/>
      <c r="L968" s="274"/>
      <c r="M968" s="274"/>
      <c r="N968" s="274"/>
      <c r="O968" s="274"/>
      <c r="P968" s="274"/>
      <c r="Q968" s="274"/>
      <c r="R968" s="274"/>
      <c r="S968" s="274"/>
      <c r="T968" s="274"/>
      <c r="U968" s="274"/>
      <c r="V968" s="274"/>
    </row>
    <row r="969" spans="1:22" x14ac:dyDescent="0.25">
      <c r="A969" s="247">
        <v>967</v>
      </c>
      <c r="B969" s="270"/>
      <c r="C969" s="270"/>
      <c r="D969" s="271"/>
      <c r="E969" s="272"/>
      <c r="F969" s="272"/>
      <c r="G969" s="273"/>
      <c r="H969" s="274"/>
      <c r="I969" s="274"/>
      <c r="J969" s="274"/>
      <c r="K969" s="274"/>
      <c r="L969" s="274"/>
      <c r="M969" s="274"/>
      <c r="N969" s="274"/>
      <c r="O969" s="274"/>
      <c r="P969" s="274"/>
      <c r="Q969" s="274"/>
      <c r="R969" s="274"/>
      <c r="S969" s="274"/>
      <c r="T969" s="274"/>
      <c r="U969" s="274"/>
      <c r="V969" s="274"/>
    </row>
    <row r="970" spans="1:22" x14ac:dyDescent="0.25">
      <c r="A970" s="247">
        <v>968</v>
      </c>
      <c r="B970" s="270"/>
      <c r="C970" s="270"/>
      <c r="D970" s="271"/>
      <c r="E970" s="272"/>
      <c r="F970" s="272"/>
      <c r="G970" s="273"/>
      <c r="H970" s="274"/>
      <c r="I970" s="274"/>
      <c r="J970" s="274"/>
      <c r="K970" s="274"/>
      <c r="L970" s="274"/>
      <c r="M970" s="274"/>
      <c r="N970" s="274"/>
      <c r="O970" s="274"/>
      <c r="P970" s="274"/>
      <c r="Q970" s="274"/>
      <c r="R970" s="274"/>
      <c r="S970" s="274"/>
      <c r="T970" s="274"/>
      <c r="U970" s="274"/>
      <c r="V970" s="274"/>
    </row>
    <row r="971" spans="1:22" x14ac:dyDescent="0.25">
      <c r="A971" s="247">
        <v>969</v>
      </c>
      <c r="B971" s="270"/>
      <c r="C971" s="270"/>
      <c r="D971" s="271"/>
      <c r="E971" s="272"/>
      <c r="F971" s="272"/>
      <c r="G971" s="273"/>
      <c r="H971" s="274"/>
      <c r="I971" s="274"/>
      <c r="J971" s="274"/>
      <c r="K971" s="274"/>
      <c r="L971" s="274"/>
      <c r="M971" s="274"/>
      <c r="N971" s="274"/>
      <c r="O971" s="274"/>
      <c r="P971" s="274"/>
      <c r="Q971" s="274"/>
      <c r="R971" s="274"/>
      <c r="S971" s="274"/>
      <c r="T971" s="274"/>
      <c r="U971" s="274"/>
      <c r="V971" s="274"/>
    </row>
    <row r="972" spans="1:22" x14ac:dyDescent="0.25">
      <c r="A972" s="247">
        <v>970</v>
      </c>
      <c r="B972" s="270"/>
      <c r="C972" s="270"/>
      <c r="D972" s="271"/>
      <c r="E972" s="272"/>
      <c r="F972" s="272"/>
      <c r="G972" s="273"/>
      <c r="H972" s="274"/>
      <c r="I972" s="274"/>
      <c r="J972" s="274"/>
      <c r="K972" s="274"/>
      <c r="L972" s="274"/>
      <c r="M972" s="274"/>
      <c r="N972" s="274"/>
      <c r="O972" s="274"/>
      <c r="P972" s="274"/>
      <c r="Q972" s="274"/>
      <c r="R972" s="274"/>
      <c r="S972" s="274"/>
      <c r="T972" s="274"/>
      <c r="U972" s="274"/>
      <c r="V972" s="274"/>
    </row>
    <row r="973" spans="1:22" x14ac:dyDescent="0.25">
      <c r="A973" s="247">
        <v>971</v>
      </c>
      <c r="B973" s="270"/>
      <c r="C973" s="270"/>
      <c r="D973" s="271"/>
      <c r="E973" s="272"/>
      <c r="F973" s="272"/>
      <c r="G973" s="273"/>
      <c r="H973" s="274"/>
      <c r="I973" s="274"/>
      <c r="J973" s="274"/>
      <c r="K973" s="274"/>
      <c r="L973" s="274"/>
      <c r="M973" s="274"/>
      <c r="N973" s="274"/>
      <c r="O973" s="274"/>
      <c r="P973" s="274"/>
      <c r="Q973" s="274"/>
      <c r="R973" s="274"/>
      <c r="S973" s="274"/>
      <c r="T973" s="274"/>
      <c r="U973" s="274"/>
      <c r="V973" s="274"/>
    </row>
    <row r="974" spans="1:22" x14ac:dyDescent="0.25">
      <c r="A974" s="247">
        <v>972</v>
      </c>
      <c r="B974" s="270"/>
      <c r="C974" s="270"/>
      <c r="D974" s="271"/>
      <c r="E974" s="272"/>
      <c r="F974" s="272"/>
      <c r="G974" s="273"/>
      <c r="H974" s="274"/>
      <c r="I974" s="274"/>
      <c r="J974" s="274"/>
      <c r="K974" s="274"/>
      <c r="L974" s="274"/>
      <c r="M974" s="274"/>
      <c r="N974" s="274"/>
      <c r="O974" s="274"/>
      <c r="P974" s="274"/>
      <c r="Q974" s="274"/>
      <c r="R974" s="274"/>
      <c r="S974" s="274"/>
      <c r="T974" s="274"/>
      <c r="U974" s="274"/>
      <c r="V974" s="274"/>
    </row>
    <row r="975" spans="1:22" x14ac:dyDescent="0.25">
      <c r="A975" s="247">
        <v>973</v>
      </c>
      <c r="B975" s="270"/>
      <c r="C975" s="270"/>
      <c r="D975" s="271"/>
      <c r="E975" s="272"/>
      <c r="F975" s="272"/>
      <c r="G975" s="273"/>
      <c r="H975" s="274"/>
      <c r="I975" s="274"/>
      <c r="J975" s="274"/>
      <c r="K975" s="274"/>
      <c r="L975" s="274"/>
      <c r="M975" s="274"/>
      <c r="N975" s="274"/>
      <c r="O975" s="274"/>
      <c r="P975" s="274"/>
      <c r="Q975" s="274"/>
      <c r="R975" s="274"/>
      <c r="S975" s="274"/>
      <c r="T975" s="274"/>
      <c r="U975" s="274"/>
      <c r="V975" s="274"/>
    </row>
    <row r="976" spans="1:22" x14ac:dyDescent="0.25">
      <c r="A976" s="247">
        <v>974</v>
      </c>
      <c r="B976" s="270"/>
      <c r="C976" s="270"/>
      <c r="D976" s="271"/>
      <c r="E976" s="272"/>
      <c r="F976" s="272"/>
      <c r="G976" s="273"/>
      <c r="H976" s="274"/>
      <c r="I976" s="274"/>
      <c r="J976" s="274"/>
      <c r="K976" s="274"/>
      <c r="L976" s="274"/>
      <c r="M976" s="274"/>
      <c r="N976" s="274"/>
      <c r="O976" s="274"/>
      <c r="P976" s="274"/>
      <c r="Q976" s="274"/>
      <c r="R976" s="274"/>
      <c r="S976" s="274"/>
      <c r="T976" s="274"/>
      <c r="U976" s="274"/>
      <c r="V976" s="274"/>
    </row>
    <row r="977" spans="1:22" x14ac:dyDescent="0.25">
      <c r="A977" s="247">
        <v>975</v>
      </c>
      <c r="B977" s="270"/>
      <c r="C977" s="270"/>
      <c r="D977" s="271"/>
      <c r="E977" s="272"/>
      <c r="F977" s="272"/>
      <c r="G977" s="273"/>
      <c r="H977" s="274"/>
      <c r="I977" s="274"/>
      <c r="J977" s="274"/>
      <c r="K977" s="274"/>
      <c r="L977" s="274"/>
      <c r="M977" s="274"/>
      <c r="N977" s="274"/>
      <c r="O977" s="274"/>
      <c r="P977" s="274"/>
      <c r="Q977" s="274"/>
      <c r="R977" s="274"/>
      <c r="S977" s="274"/>
      <c r="T977" s="274"/>
      <c r="U977" s="274"/>
      <c r="V977" s="274"/>
    </row>
    <row r="978" spans="1:22" x14ac:dyDescent="0.25">
      <c r="A978" s="247">
        <v>976</v>
      </c>
      <c r="B978" s="270"/>
      <c r="C978" s="270"/>
      <c r="D978" s="271"/>
      <c r="E978" s="272"/>
      <c r="F978" s="272"/>
      <c r="G978" s="273"/>
      <c r="H978" s="274"/>
      <c r="I978" s="274"/>
      <c r="J978" s="274"/>
      <c r="K978" s="274"/>
      <c r="L978" s="274"/>
      <c r="M978" s="274"/>
      <c r="N978" s="274"/>
      <c r="O978" s="274"/>
      <c r="P978" s="274"/>
      <c r="Q978" s="274"/>
      <c r="R978" s="274"/>
      <c r="S978" s="274"/>
      <c r="T978" s="274"/>
      <c r="U978" s="274"/>
      <c r="V978" s="274"/>
    </row>
    <row r="979" spans="1:22" x14ac:dyDescent="0.25">
      <c r="A979" s="247">
        <v>977</v>
      </c>
      <c r="B979" s="270"/>
      <c r="C979" s="270"/>
      <c r="D979" s="271"/>
      <c r="E979" s="272"/>
      <c r="F979" s="272"/>
      <c r="G979" s="273"/>
      <c r="H979" s="274"/>
      <c r="I979" s="274"/>
      <c r="J979" s="274"/>
      <c r="K979" s="274"/>
      <c r="L979" s="274"/>
      <c r="M979" s="274"/>
      <c r="N979" s="274"/>
      <c r="O979" s="274"/>
      <c r="P979" s="274"/>
      <c r="Q979" s="274"/>
      <c r="R979" s="274"/>
      <c r="S979" s="274"/>
      <c r="T979" s="274"/>
      <c r="U979" s="274"/>
      <c r="V979" s="274"/>
    </row>
    <row r="980" spans="1:22" x14ac:dyDescent="0.25">
      <c r="A980" s="247">
        <v>978</v>
      </c>
      <c r="B980" s="270"/>
      <c r="C980" s="270"/>
      <c r="D980" s="271"/>
      <c r="E980" s="272"/>
      <c r="F980" s="272"/>
      <c r="G980" s="273"/>
      <c r="H980" s="274"/>
      <c r="I980" s="274"/>
      <c r="J980" s="274"/>
      <c r="K980" s="274"/>
      <c r="L980" s="274"/>
      <c r="M980" s="274"/>
      <c r="N980" s="274"/>
      <c r="O980" s="274"/>
      <c r="P980" s="274"/>
      <c r="Q980" s="274"/>
      <c r="R980" s="274"/>
      <c r="S980" s="274"/>
      <c r="T980" s="274"/>
      <c r="U980" s="274"/>
      <c r="V980" s="274"/>
    </row>
    <row r="981" spans="1:22" x14ac:dyDescent="0.25">
      <c r="A981" s="247">
        <v>979</v>
      </c>
      <c r="B981" s="270"/>
      <c r="C981" s="270"/>
      <c r="D981" s="271"/>
      <c r="E981" s="272"/>
      <c r="F981" s="272"/>
      <c r="G981" s="273"/>
      <c r="H981" s="274"/>
      <c r="I981" s="274"/>
      <c r="J981" s="274"/>
      <c r="K981" s="274"/>
      <c r="L981" s="274"/>
      <c r="M981" s="274"/>
      <c r="N981" s="274"/>
      <c r="O981" s="274"/>
      <c r="P981" s="274"/>
      <c r="Q981" s="274"/>
      <c r="R981" s="274"/>
      <c r="S981" s="274"/>
      <c r="T981" s="274"/>
      <c r="U981" s="274"/>
      <c r="V981" s="274"/>
    </row>
    <row r="982" spans="1:22" x14ac:dyDescent="0.25">
      <c r="A982" s="247">
        <v>980</v>
      </c>
      <c r="B982" s="270"/>
      <c r="C982" s="270"/>
      <c r="D982" s="271"/>
      <c r="E982" s="272"/>
      <c r="F982" s="272"/>
      <c r="G982" s="273"/>
      <c r="H982" s="274"/>
      <c r="I982" s="274"/>
      <c r="J982" s="274"/>
      <c r="K982" s="274"/>
      <c r="L982" s="274"/>
      <c r="M982" s="274"/>
      <c r="N982" s="274"/>
      <c r="O982" s="274"/>
      <c r="P982" s="274"/>
      <c r="Q982" s="274"/>
      <c r="R982" s="274"/>
      <c r="S982" s="274"/>
      <c r="T982" s="274"/>
      <c r="U982" s="274"/>
      <c r="V982" s="274"/>
    </row>
    <row r="983" spans="1:22" x14ac:dyDescent="0.25">
      <c r="A983" s="247">
        <v>981</v>
      </c>
      <c r="B983" s="270"/>
      <c r="C983" s="270"/>
      <c r="D983" s="271"/>
      <c r="E983" s="272"/>
      <c r="F983" s="272"/>
      <c r="G983" s="273"/>
      <c r="H983" s="274"/>
      <c r="I983" s="274"/>
      <c r="J983" s="274"/>
      <c r="K983" s="274"/>
      <c r="L983" s="274"/>
      <c r="M983" s="274"/>
      <c r="N983" s="274"/>
      <c r="O983" s="274"/>
      <c r="P983" s="274"/>
      <c r="Q983" s="274"/>
      <c r="R983" s="274"/>
      <c r="S983" s="274"/>
      <c r="T983" s="274"/>
      <c r="U983" s="274"/>
      <c r="V983" s="274"/>
    </row>
    <row r="984" spans="1:22" x14ac:dyDescent="0.25">
      <c r="A984" s="247">
        <v>982</v>
      </c>
      <c r="B984" s="270"/>
      <c r="C984" s="270"/>
      <c r="D984" s="271"/>
      <c r="E984" s="272"/>
      <c r="F984" s="272"/>
      <c r="G984" s="273"/>
      <c r="H984" s="274"/>
      <c r="I984" s="274"/>
      <c r="J984" s="274"/>
      <c r="K984" s="274"/>
      <c r="L984" s="274"/>
      <c r="M984" s="274"/>
      <c r="N984" s="274"/>
      <c r="O984" s="274"/>
      <c r="P984" s="274"/>
      <c r="Q984" s="274"/>
      <c r="R984" s="274"/>
      <c r="S984" s="274"/>
      <c r="T984" s="274"/>
      <c r="U984" s="274"/>
      <c r="V984" s="274"/>
    </row>
    <row r="985" spans="1:22" x14ac:dyDescent="0.25">
      <c r="A985" s="247">
        <v>983</v>
      </c>
      <c r="B985" s="270"/>
      <c r="C985" s="270"/>
      <c r="D985" s="271"/>
      <c r="E985" s="272"/>
      <c r="F985" s="272"/>
      <c r="G985" s="273"/>
      <c r="H985" s="274"/>
      <c r="I985" s="274"/>
      <c r="J985" s="274"/>
      <c r="K985" s="274"/>
      <c r="L985" s="274"/>
      <c r="M985" s="274"/>
      <c r="N985" s="274"/>
      <c r="O985" s="274"/>
      <c r="P985" s="274"/>
      <c r="Q985" s="274"/>
      <c r="R985" s="274"/>
      <c r="S985" s="274"/>
      <c r="T985" s="274"/>
      <c r="U985" s="274"/>
      <c r="V985" s="274"/>
    </row>
    <row r="986" spans="1:22" x14ac:dyDescent="0.25">
      <c r="A986" s="247">
        <v>984</v>
      </c>
      <c r="B986" s="270"/>
      <c r="C986" s="270"/>
      <c r="D986" s="271"/>
      <c r="E986" s="272"/>
      <c r="F986" s="272"/>
      <c r="G986" s="273"/>
      <c r="H986" s="274"/>
      <c r="I986" s="274"/>
      <c r="J986" s="274"/>
      <c r="K986" s="274"/>
      <c r="L986" s="274"/>
      <c r="M986" s="274"/>
      <c r="N986" s="274"/>
      <c r="O986" s="274"/>
      <c r="P986" s="274"/>
      <c r="Q986" s="274"/>
      <c r="R986" s="274"/>
      <c r="S986" s="274"/>
      <c r="T986" s="274"/>
      <c r="U986" s="274"/>
      <c r="V986" s="274"/>
    </row>
    <row r="987" spans="1:22" x14ac:dyDescent="0.25">
      <c r="A987" s="247">
        <v>985</v>
      </c>
      <c r="B987" s="270"/>
      <c r="C987" s="270"/>
      <c r="D987" s="271"/>
      <c r="E987" s="272"/>
      <c r="F987" s="272"/>
      <c r="G987" s="273"/>
      <c r="H987" s="274"/>
      <c r="I987" s="274"/>
      <c r="J987" s="274"/>
      <c r="K987" s="274"/>
      <c r="L987" s="274"/>
      <c r="M987" s="274"/>
      <c r="N987" s="274"/>
      <c r="O987" s="274"/>
      <c r="P987" s="274"/>
      <c r="Q987" s="274"/>
      <c r="R987" s="274"/>
      <c r="S987" s="274"/>
      <c r="T987" s="274"/>
      <c r="U987" s="274"/>
      <c r="V987" s="274"/>
    </row>
    <row r="988" spans="1:22" x14ac:dyDescent="0.25">
      <c r="A988" s="247">
        <v>986</v>
      </c>
      <c r="B988" s="270"/>
      <c r="C988" s="270"/>
      <c r="D988" s="271"/>
      <c r="E988" s="272"/>
      <c r="F988" s="272"/>
      <c r="G988" s="273"/>
      <c r="H988" s="274"/>
      <c r="I988" s="274"/>
      <c r="J988" s="274"/>
      <c r="K988" s="274"/>
      <c r="L988" s="274"/>
      <c r="M988" s="274"/>
      <c r="N988" s="274"/>
      <c r="O988" s="274"/>
      <c r="P988" s="274"/>
      <c r="Q988" s="274"/>
      <c r="R988" s="274"/>
      <c r="S988" s="274"/>
      <c r="T988" s="274"/>
      <c r="U988" s="274"/>
      <c r="V988" s="274"/>
    </row>
    <row r="989" spans="1:22" x14ac:dyDescent="0.25">
      <c r="A989" s="247">
        <v>987</v>
      </c>
      <c r="B989" s="270"/>
      <c r="C989" s="270"/>
      <c r="D989" s="271"/>
      <c r="E989" s="272"/>
      <c r="F989" s="272"/>
      <c r="G989" s="273"/>
      <c r="H989" s="274"/>
      <c r="I989" s="274"/>
      <c r="J989" s="274"/>
      <c r="K989" s="274"/>
      <c r="L989" s="274"/>
      <c r="M989" s="274"/>
      <c r="N989" s="274"/>
      <c r="O989" s="274"/>
      <c r="P989" s="274"/>
      <c r="Q989" s="274"/>
      <c r="R989" s="274"/>
      <c r="S989" s="274"/>
      <c r="T989" s="274"/>
      <c r="U989" s="274"/>
      <c r="V989" s="274"/>
    </row>
    <row r="990" spans="1:22" x14ac:dyDescent="0.25">
      <c r="A990" s="247">
        <v>988</v>
      </c>
      <c r="B990" s="270"/>
      <c r="C990" s="270"/>
      <c r="D990" s="271"/>
      <c r="E990" s="272"/>
      <c r="F990" s="272"/>
      <c r="G990" s="273"/>
      <c r="H990" s="274"/>
      <c r="I990" s="274"/>
      <c r="J990" s="274"/>
      <c r="K990" s="274"/>
      <c r="L990" s="274"/>
      <c r="M990" s="274"/>
      <c r="N990" s="274"/>
      <c r="O990" s="274"/>
      <c r="P990" s="274"/>
      <c r="Q990" s="274"/>
      <c r="R990" s="274"/>
      <c r="S990" s="274"/>
      <c r="T990" s="274"/>
      <c r="U990" s="274"/>
      <c r="V990" s="274"/>
    </row>
    <row r="991" spans="1:22" x14ac:dyDescent="0.25">
      <c r="A991" s="247">
        <v>989</v>
      </c>
      <c r="B991" s="270"/>
      <c r="C991" s="270"/>
      <c r="D991" s="271"/>
      <c r="E991" s="272"/>
      <c r="F991" s="272"/>
      <c r="G991" s="273"/>
      <c r="H991" s="274"/>
      <c r="I991" s="274"/>
      <c r="J991" s="274"/>
      <c r="K991" s="274"/>
      <c r="L991" s="274"/>
      <c r="M991" s="274"/>
      <c r="N991" s="274"/>
      <c r="O991" s="274"/>
      <c r="P991" s="274"/>
      <c r="Q991" s="274"/>
      <c r="R991" s="274"/>
      <c r="S991" s="274"/>
      <c r="T991" s="274"/>
      <c r="U991" s="274"/>
      <c r="V991" s="274"/>
    </row>
    <row r="992" spans="1:22" x14ac:dyDescent="0.25">
      <c r="A992" s="247">
        <v>990</v>
      </c>
      <c r="B992" s="270"/>
      <c r="C992" s="270"/>
      <c r="D992" s="271"/>
      <c r="E992" s="272"/>
      <c r="F992" s="272"/>
      <c r="G992" s="273"/>
      <c r="H992" s="274"/>
      <c r="I992" s="274"/>
      <c r="J992" s="274"/>
      <c r="K992" s="274"/>
      <c r="L992" s="274"/>
      <c r="M992" s="274"/>
      <c r="N992" s="274"/>
      <c r="O992" s="274"/>
      <c r="P992" s="274"/>
      <c r="Q992" s="274"/>
      <c r="R992" s="274"/>
      <c r="S992" s="274"/>
      <c r="T992" s="274"/>
      <c r="U992" s="274"/>
      <c r="V992" s="274"/>
    </row>
    <row r="993" spans="1:22" x14ac:dyDescent="0.25">
      <c r="A993" s="247">
        <v>991</v>
      </c>
      <c r="B993" s="270"/>
      <c r="C993" s="270"/>
      <c r="D993" s="271"/>
      <c r="E993" s="272"/>
      <c r="F993" s="272"/>
      <c r="G993" s="273"/>
      <c r="H993" s="274"/>
      <c r="I993" s="274"/>
      <c r="J993" s="274"/>
      <c r="K993" s="274"/>
      <c r="L993" s="274"/>
      <c r="M993" s="274"/>
      <c r="N993" s="274"/>
      <c r="O993" s="274"/>
      <c r="P993" s="274"/>
      <c r="Q993" s="274"/>
      <c r="R993" s="274"/>
      <c r="S993" s="274"/>
      <c r="T993" s="274"/>
      <c r="U993" s="274"/>
      <c r="V993" s="274"/>
    </row>
    <row r="994" spans="1:22" x14ac:dyDescent="0.25">
      <c r="A994" s="247">
        <v>992</v>
      </c>
      <c r="B994" s="270"/>
      <c r="C994" s="270"/>
      <c r="D994" s="271"/>
      <c r="E994" s="272"/>
      <c r="F994" s="272"/>
      <c r="G994" s="273"/>
      <c r="H994" s="274"/>
      <c r="I994" s="274"/>
      <c r="J994" s="274"/>
      <c r="K994" s="274"/>
      <c r="L994" s="274"/>
      <c r="M994" s="274"/>
      <c r="N994" s="274"/>
      <c r="O994" s="274"/>
      <c r="P994" s="274"/>
      <c r="Q994" s="274"/>
      <c r="R994" s="274"/>
      <c r="S994" s="274"/>
      <c r="T994" s="274"/>
      <c r="U994" s="274"/>
      <c r="V994" s="274"/>
    </row>
    <row r="995" spans="1:22" x14ac:dyDescent="0.25">
      <c r="A995" s="247">
        <v>993</v>
      </c>
      <c r="B995" s="270"/>
      <c r="C995" s="270"/>
      <c r="D995" s="271"/>
      <c r="E995" s="272"/>
      <c r="F995" s="272"/>
      <c r="G995" s="273"/>
      <c r="H995" s="274"/>
      <c r="I995" s="274"/>
      <c r="J995" s="274"/>
      <c r="K995" s="274"/>
      <c r="L995" s="274"/>
      <c r="M995" s="274"/>
      <c r="N995" s="274"/>
      <c r="O995" s="274"/>
      <c r="P995" s="274"/>
      <c r="Q995" s="274"/>
      <c r="R995" s="274"/>
      <c r="S995" s="274"/>
      <c r="T995" s="274"/>
      <c r="U995" s="274"/>
      <c r="V995" s="274"/>
    </row>
    <row r="996" spans="1:22" x14ac:dyDescent="0.25">
      <c r="A996" s="247">
        <v>994</v>
      </c>
      <c r="B996" s="270"/>
      <c r="C996" s="270"/>
      <c r="D996" s="271"/>
      <c r="E996" s="272"/>
      <c r="F996" s="272"/>
      <c r="G996" s="273"/>
      <c r="H996" s="274"/>
      <c r="I996" s="274"/>
      <c r="J996" s="274"/>
      <c r="K996" s="274"/>
      <c r="L996" s="274"/>
      <c r="M996" s="274"/>
      <c r="N996" s="274"/>
      <c r="O996" s="274"/>
      <c r="P996" s="274"/>
      <c r="Q996" s="274"/>
      <c r="R996" s="274"/>
      <c r="S996" s="274"/>
      <c r="T996" s="274"/>
      <c r="U996" s="274"/>
      <c r="V996" s="274"/>
    </row>
    <row r="997" spans="1:22" x14ac:dyDescent="0.25">
      <c r="A997" s="247">
        <v>995</v>
      </c>
      <c r="B997" s="270"/>
      <c r="C997" s="270"/>
      <c r="D997" s="271"/>
      <c r="E997" s="272"/>
      <c r="F997" s="272"/>
      <c r="G997" s="273"/>
      <c r="H997" s="274"/>
      <c r="I997" s="274"/>
      <c r="J997" s="274"/>
      <c r="K997" s="274"/>
      <c r="L997" s="274"/>
      <c r="M997" s="274"/>
      <c r="N997" s="274"/>
      <c r="O997" s="274"/>
      <c r="P997" s="274"/>
      <c r="Q997" s="274"/>
      <c r="R997" s="274"/>
      <c r="S997" s="274"/>
      <c r="T997" s="274"/>
      <c r="U997" s="274"/>
      <c r="V997" s="274"/>
    </row>
    <row r="998" spans="1:22" x14ac:dyDescent="0.25">
      <c r="A998" s="247">
        <v>996</v>
      </c>
      <c r="B998" s="270"/>
      <c r="C998" s="270"/>
      <c r="D998" s="271"/>
      <c r="E998" s="272"/>
      <c r="F998" s="272"/>
      <c r="G998" s="273"/>
      <c r="H998" s="274"/>
      <c r="I998" s="274"/>
      <c r="J998" s="274"/>
      <c r="K998" s="274"/>
      <c r="L998" s="274"/>
      <c r="M998" s="274"/>
      <c r="N998" s="274"/>
      <c r="O998" s="274"/>
      <c r="P998" s="274"/>
      <c r="Q998" s="274"/>
      <c r="R998" s="274"/>
      <c r="S998" s="274"/>
      <c r="T998" s="274"/>
      <c r="U998" s="274"/>
      <c r="V998" s="274"/>
    </row>
    <row r="999" spans="1:22" x14ac:dyDescent="0.25">
      <c r="A999" s="247">
        <v>997</v>
      </c>
      <c r="B999" s="270"/>
      <c r="C999" s="270"/>
      <c r="D999" s="271"/>
      <c r="E999" s="272"/>
      <c r="F999" s="272"/>
      <c r="G999" s="273"/>
      <c r="H999" s="274"/>
      <c r="I999" s="274"/>
      <c r="J999" s="274"/>
      <c r="K999" s="274"/>
      <c r="L999" s="274"/>
      <c r="M999" s="274"/>
      <c r="N999" s="274"/>
      <c r="O999" s="274"/>
      <c r="P999" s="274"/>
      <c r="Q999" s="274"/>
      <c r="R999" s="274"/>
      <c r="S999" s="274"/>
      <c r="T999" s="274"/>
      <c r="U999" s="274"/>
      <c r="V999" s="274"/>
    </row>
    <row r="1000" spans="1:22" x14ac:dyDescent="0.25">
      <c r="A1000" s="247">
        <v>998</v>
      </c>
      <c r="B1000" s="270"/>
      <c r="C1000" s="270"/>
      <c r="D1000" s="271"/>
      <c r="E1000" s="272"/>
      <c r="F1000" s="272"/>
      <c r="G1000" s="273"/>
      <c r="H1000" s="274"/>
      <c r="I1000" s="274"/>
      <c r="J1000" s="274"/>
      <c r="K1000" s="274"/>
      <c r="L1000" s="274"/>
      <c r="M1000" s="274"/>
      <c r="N1000" s="274"/>
      <c r="O1000" s="274"/>
      <c r="P1000" s="274"/>
      <c r="Q1000" s="274"/>
      <c r="R1000" s="274"/>
      <c r="S1000" s="274"/>
      <c r="T1000" s="274"/>
      <c r="U1000" s="274"/>
      <c r="V1000" s="274"/>
    </row>
    <row r="1001" spans="1:22" x14ac:dyDescent="0.25">
      <c r="A1001" s="247">
        <v>999</v>
      </c>
      <c r="B1001" s="270"/>
      <c r="C1001" s="270"/>
      <c r="D1001" s="271"/>
      <c r="E1001" s="272"/>
      <c r="F1001" s="272"/>
      <c r="G1001" s="273"/>
      <c r="H1001" s="274"/>
      <c r="I1001" s="274"/>
      <c r="J1001" s="274"/>
      <c r="K1001" s="274"/>
      <c r="L1001" s="274"/>
      <c r="M1001" s="274"/>
      <c r="N1001" s="274"/>
      <c r="O1001" s="274"/>
      <c r="P1001" s="274"/>
      <c r="Q1001" s="274"/>
      <c r="R1001" s="274"/>
      <c r="S1001" s="274"/>
      <c r="T1001" s="274"/>
      <c r="U1001" s="274"/>
      <c r="V1001" s="274"/>
    </row>
    <row r="1002" spans="1:22" x14ac:dyDescent="0.25">
      <c r="A1002" s="247">
        <v>1000</v>
      </c>
      <c r="B1002" s="270"/>
      <c r="C1002" s="270"/>
      <c r="D1002" s="271"/>
      <c r="E1002" s="272"/>
      <c r="F1002" s="272"/>
      <c r="G1002" s="273"/>
      <c r="H1002" s="274"/>
      <c r="I1002" s="274"/>
      <c r="J1002" s="274"/>
      <c r="K1002" s="274"/>
      <c r="L1002" s="274"/>
      <c r="M1002" s="274"/>
      <c r="N1002" s="274"/>
      <c r="O1002" s="274"/>
      <c r="P1002" s="274"/>
      <c r="Q1002" s="274"/>
      <c r="R1002" s="274"/>
      <c r="S1002" s="274"/>
      <c r="T1002" s="274"/>
      <c r="U1002" s="274"/>
      <c r="V1002" s="274"/>
    </row>
    <row r="1003" spans="1:22" x14ac:dyDescent="0.25">
      <c r="A1003" s="247">
        <v>1001</v>
      </c>
      <c r="B1003" s="270"/>
      <c r="C1003" s="270"/>
      <c r="D1003" s="271"/>
      <c r="E1003" s="272"/>
      <c r="F1003" s="272"/>
      <c r="G1003" s="273"/>
      <c r="H1003" s="274"/>
      <c r="I1003" s="274"/>
      <c r="J1003" s="274"/>
      <c r="K1003" s="274"/>
      <c r="L1003" s="274"/>
      <c r="M1003" s="274"/>
      <c r="N1003" s="274"/>
      <c r="O1003" s="274"/>
      <c r="P1003" s="274"/>
      <c r="Q1003" s="274"/>
      <c r="R1003" s="274"/>
      <c r="S1003" s="274"/>
      <c r="T1003" s="274"/>
      <c r="U1003" s="274"/>
      <c r="V1003" s="274"/>
    </row>
    <row r="1004" spans="1:22" x14ac:dyDescent="0.25">
      <c r="A1004" s="247">
        <v>1002</v>
      </c>
      <c r="B1004" s="270"/>
      <c r="C1004" s="270"/>
      <c r="D1004" s="271"/>
      <c r="E1004" s="272"/>
      <c r="F1004" s="272"/>
      <c r="G1004" s="273"/>
      <c r="H1004" s="274"/>
      <c r="I1004" s="274"/>
      <c r="J1004" s="274"/>
      <c r="K1004" s="274"/>
      <c r="L1004" s="274"/>
      <c r="M1004" s="274"/>
      <c r="N1004" s="274"/>
      <c r="O1004" s="274"/>
      <c r="P1004" s="274"/>
      <c r="Q1004" s="274"/>
      <c r="R1004" s="274"/>
      <c r="S1004" s="274"/>
      <c r="T1004" s="274"/>
      <c r="U1004" s="274"/>
      <c r="V1004" s="274"/>
    </row>
    <row r="1005" spans="1:22" x14ac:dyDescent="0.25">
      <c r="A1005" s="247">
        <v>1003</v>
      </c>
      <c r="B1005" s="270"/>
      <c r="C1005" s="270"/>
      <c r="D1005" s="271"/>
      <c r="E1005" s="272"/>
      <c r="F1005" s="272"/>
      <c r="G1005" s="273"/>
      <c r="H1005" s="274"/>
      <c r="I1005" s="274"/>
      <c r="J1005" s="274"/>
      <c r="K1005" s="274"/>
      <c r="L1005" s="274"/>
      <c r="M1005" s="274"/>
      <c r="N1005" s="274"/>
      <c r="O1005" s="274"/>
      <c r="P1005" s="274"/>
      <c r="Q1005" s="274"/>
      <c r="R1005" s="274"/>
      <c r="S1005" s="274"/>
      <c r="T1005" s="274"/>
      <c r="U1005" s="274"/>
      <c r="V1005" s="274"/>
    </row>
    <row r="1006" spans="1:22" x14ac:dyDescent="0.25">
      <c r="A1006" s="247">
        <v>1004</v>
      </c>
      <c r="B1006" s="270"/>
      <c r="C1006" s="270"/>
      <c r="D1006" s="271"/>
      <c r="E1006" s="272"/>
      <c r="F1006" s="272"/>
      <c r="G1006" s="273"/>
      <c r="H1006" s="274"/>
      <c r="I1006" s="274"/>
      <c r="J1006" s="274"/>
      <c r="K1006" s="274"/>
      <c r="L1006" s="274"/>
      <c r="M1006" s="274"/>
      <c r="N1006" s="274"/>
      <c r="O1006" s="274"/>
      <c r="P1006" s="274"/>
      <c r="Q1006" s="274"/>
      <c r="R1006" s="274"/>
      <c r="S1006" s="274"/>
      <c r="T1006" s="274"/>
      <c r="U1006" s="274"/>
      <c r="V1006" s="274"/>
    </row>
    <row r="1007" spans="1:22" x14ac:dyDescent="0.25">
      <c r="A1007" s="247">
        <v>1005</v>
      </c>
      <c r="B1007" s="270"/>
      <c r="C1007" s="270"/>
      <c r="D1007" s="271"/>
      <c r="E1007" s="272"/>
      <c r="F1007" s="272"/>
      <c r="G1007" s="273"/>
      <c r="H1007" s="274"/>
      <c r="I1007" s="274"/>
      <c r="J1007" s="274"/>
      <c r="K1007" s="274"/>
      <c r="L1007" s="274"/>
      <c r="M1007" s="274"/>
      <c r="N1007" s="274"/>
      <c r="O1007" s="274"/>
      <c r="P1007" s="274"/>
      <c r="Q1007" s="274"/>
      <c r="R1007" s="274"/>
      <c r="S1007" s="274"/>
      <c r="T1007" s="274"/>
      <c r="U1007" s="274"/>
      <c r="V1007" s="274"/>
    </row>
    <row r="1008" spans="1:22" x14ac:dyDescent="0.25">
      <c r="A1008" s="247">
        <v>1006</v>
      </c>
      <c r="B1008" s="270"/>
      <c r="C1008" s="270"/>
      <c r="D1008" s="271"/>
      <c r="E1008" s="272"/>
      <c r="F1008" s="272"/>
      <c r="G1008" s="273"/>
      <c r="H1008" s="274"/>
      <c r="I1008" s="274"/>
      <c r="J1008" s="274"/>
      <c r="K1008" s="274"/>
      <c r="L1008" s="274"/>
      <c r="M1008" s="274"/>
      <c r="N1008" s="274"/>
      <c r="O1008" s="274"/>
      <c r="P1008" s="274"/>
      <c r="Q1008" s="274"/>
      <c r="R1008" s="274"/>
      <c r="S1008" s="274"/>
      <c r="T1008" s="274"/>
      <c r="U1008" s="274"/>
      <c r="V1008" s="274"/>
    </row>
    <row r="1009" spans="1:22" x14ac:dyDescent="0.25">
      <c r="A1009" s="247">
        <v>1007</v>
      </c>
      <c r="B1009" s="270"/>
      <c r="C1009" s="270"/>
      <c r="D1009" s="271"/>
      <c r="E1009" s="272"/>
      <c r="F1009" s="272"/>
      <c r="G1009" s="273"/>
      <c r="H1009" s="274"/>
      <c r="I1009" s="274"/>
      <c r="J1009" s="274"/>
      <c r="K1009" s="274"/>
      <c r="L1009" s="274"/>
      <c r="M1009" s="274"/>
      <c r="N1009" s="274"/>
      <c r="O1009" s="274"/>
      <c r="P1009" s="274"/>
      <c r="Q1009" s="274"/>
      <c r="R1009" s="274"/>
      <c r="S1009" s="274"/>
      <c r="T1009" s="274"/>
      <c r="U1009" s="274"/>
      <c r="V1009" s="274"/>
    </row>
    <row r="1010" spans="1:22" x14ac:dyDescent="0.25">
      <c r="A1010" s="247">
        <v>1008</v>
      </c>
      <c r="B1010" s="270"/>
      <c r="C1010" s="270"/>
      <c r="D1010" s="271"/>
      <c r="E1010" s="272"/>
      <c r="F1010" s="272"/>
      <c r="G1010" s="273"/>
      <c r="H1010" s="274"/>
      <c r="I1010" s="274"/>
      <c r="J1010" s="274"/>
      <c r="K1010" s="274"/>
      <c r="L1010" s="274"/>
      <c r="M1010" s="274"/>
      <c r="N1010" s="274"/>
      <c r="O1010" s="274"/>
      <c r="P1010" s="274"/>
      <c r="Q1010" s="274"/>
      <c r="R1010" s="274"/>
      <c r="S1010" s="274"/>
      <c r="T1010" s="274"/>
      <c r="U1010" s="274"/>
      <c r="V1010" s="274"/>
    </row>
    <row r="1011" spans="1:22" x14ac:dyDescent="0.25">
      <c r="A1011" s="247">
        <v>1009</v>
      </c>
      <c r="B1011" s="270"/>
      <c r="C1011" s="270"/>
      <c r="D1011" s="271"/>
      <c r="E1011" s="272"/>
      <c r="F1011" s="272"/>
      <c r="G1011" s="273"/>
      <c r="H1011" s="274"/>
      <c r="I1011" s="274"/>
      <c r="J1011" s="274"/>
      <c r="K1011" s="274"/>
      <c r="L1011" s="274"/>
      <c r="M1011" s="274"/>
      <c r="N1011" s="274"/>
      <c r="O1011" s="274"/>
      <c r="P1011" s="274"/>
      <c r="Q1011" s="274"/>
      <c r="R1011" s="274"/>
      <c r="S1011" s="274"/>
      <c r="T1011" s="274"/>
      <c r="U1011" s="274"/>
      <c r="V1011" s="274"/>
    </row>
    <row r="1012" spans="1:22" x14ac:dyDescent="0.25">
      <c r="A1012" s="247">
        <v>1010</v>
      </c>
      <c r="B1012" s="270"/>
      <c r="C1012" s="270"/>
      <c r="D1012" s="271"/>
      <c r="E1012" s="272"/>
      <c r="F1012" s="272"/>
      <c r="G1012" s="273"/>
      <c r="H1012" s="274"/>
      <c r="I1012" s="274"/>
      <c r="J1012" s="274"/>
      <c r="K1012" s="274"/>
      <c r="L1012" s="274"/>
      <c r="M1012" s="274"/>
      <c r="N1012" s="274"/>
      <c r="O1012" s="274"/>
      <c r="P1012" s="274"/>
      <c r="Q1012" s="274"/>
      <c r="R1012" s="274"/>
      <c r="S1012" s="274"/>
      <c r="T1012" s="274"/>
      <c r="U1012" s="274"/>
      <c r="V1012" s="274"/>
    </row>
    <row r="1013" spans="1:22" x14ac:dyDescent="0.25">
      <c r="A1013" s="247">
        <v>1011</v>
      </c>
      <c r="B1013" s="270"/>
      <c r="C1013" s="270"/>
      <c r="D1013" s="271"/>
      <c r="E1013" s="272"/>
      <c r="F1013" s="272"/>
      <c r="G1013" s="273"/>
      <c r="H1013" s="274"/>
      <c r="I1013" s="274"/>
      <c r="J1013" s="274"/>
      <c r="K1013" s="274"/>
      <c r="L1013" s="274"/>
      <c r="M1013" s="274"/>
      <c r="N1013" s="274"/>
      <c r="O1013" s="274"/>
      <c r="P1013" s="274"/>
      <c r="Q1013" s="274"/>
      <c r="R1013" s="274"/>
      <c r="S1013" s="274"/>
      <c r="T1013" s="274"/>
      <c r="U1013" s="274"/>
      <c r="V1013" s="274"/>
    </row>
    <row r="1014" spans="1:22" x14ac:dyDescent="0.25">
      <c r="A1014" s="247">
        <v>1012</v>
      </c>
      <c r="B1014" s="270"/>
      <c r="C1014" s="270"/>
      <c r="D1014" s="271"/>
      <c r="E1014" s="272"/>
      <c r="F1014" s="272"/>
      <c r="G1014" s="273"/>
      <c r="H1014" s="274"/>
      <c r="I1014" s="274"/>
      <c r="J1014" s="274"/>
      <c r="K1014" s="274"/>
      <c r="L1014" s="274"/>
      <c r="M1014" s="274"/>
      <c r="N1014" s="274"/>
      <c r="O1014" s="274"/>
      <c r="P1014" s="274"/>
      <c r="Q1014" s="274"/>
      <c r="R1014" s="274"/>
      <c r="S1014" s="274"/>
      <c r="T1014" s="274"/>
      <c r="U1014" s="274"/>
      <c r="V1014" s="274"/>
    </row>
    <row r="1015" spans="1:22" x14ac:dyDescent="0.25">
      <c r="A1015" s="247">
        <v>1013</v>
      </c>
      <c r="B1015" s="270"/>
      <c r="C1015" s="270"/>
      <c r="D1015" s="271"/>
      <c r="E1015" s="272"/>
      <c r="F1015" s="272"/>
      <c r="G1015" s="273"/>
      <c r="H1015" s="274"/>
      <c r="I1015" s="274"/>
      <c r="J1015" s="274"/>
      <c r="K1015" s="274"/>
      <c r="L1015" s="274"/>
      <c r="M1015" s="274"/>
      <c r="N1015" s="274"/>
      <c r="O1015" s="274"/>
      <c r="P1015" s="274"/>
      <c r="Q1015" s="274"/>
      <c r="R1015" s="274"/>
      <c r="S1015" s="274"/>
      <c r="T1015" s="274"/>
      <c r="U1015" s="274"/>
      <c r="V1015" s="274"/>
    </row>
    <row r="1016" spans="1:22" x14ac:dyDescent="0.25">
      <c r="A1016" s="247">
        <v>1014</v>
      </c>
      <c r="B1016" s="270"/>
      <c r="C1016" s="270"/>
      <c r="D1016" s="271"/>
      <c r="E1016" s="272"/>
      <c r="F1016" s="272"/>
      <c r="G1016" s="273"/>
      <c r="H1016" s="274"/>
      <c r="I1016" s="274"/>
      <c r="J1016" s="274"/>
      <c r="K1016" s="274"/>
      <c r="L1016" s="274"/>
      <c r="M1016" s="274"/>
      <c r="N1016" s="274"/>
      <c r="O1016" s="274"/>
      <c r="P1016" s="274"/>
      <c r="Q1016" s="274"/>
      <c r="R1016" s="274"/>
      <c r="S1016" s="274"/>
      <c r="T1016" s="274"/>
      <c r="U1016" s="274"/>
      <c r="V1016" s="274"/>
    </row>
    <row r="1017" spans="1:22" x14ac:dyDescent="0.25">
      <c r="A1017" s="247">
        <v>1015</v>
      </c>
      <c r="B1017" s="270"/>
      <c r="C1017" s="270"/>
      <c r="D1017" s="271"/>
      <c r="E1017" s="272"/>
      <c r="F1017" s="272"/>
      <c r="G1017" s="273"/>
      <c r="H1017" s="274"/>
      <c r="I1017" s="274"/>
      <c r="J1017" s="274"/>
      <c r="K1017" s="274"/>
      <c r="L1017" s="274"/>
      <c r="M1017" s="274"/>
      <c r="N1017" s="274"/>
      <c r="O1017" s="274"/>
      <c r="P1017" s="274"/>
      <c r="Q1017" s="274"/>
      <c r="R1017" s="274"/>
      <c r="S1017" s="274"/>
      <c r="T1017" s="274"/>
      <c r="U1017" s="274"/>
      <c r="V1017" s="274"/>
    </row>
    <row r="1018" spans="1:22" x14ac:dyDescent="0.25">
      <c r="A1018" s="247">
        <v>1016</v>
      </c>
      <c r="B1018" s="270"/>
      <c r="C1018" s="270"/>
      <c r="D1018" s="271"/>
      <c r="E1018" s="272"/>
      <c r="F1018" s="272"/>
      <c r="G1018" s="273"/>
      <c r="H1018" s="274"/>
      <c r="I1018" s="274"/>
      <c r="J1018" s="274"/>
      <c r="K1018" s="274"/>
      <c r="L1018" s="274"/>
      <c r="M1018" s="274"/>
      <c r="N1018" s="274"/>
      <c r="O1018" s="274"/>
      <c r="P1018" s="274"/>
      <c r="Q1018" s="274"/>
      <c r="R1018" s="274"/>
      <c r="S1018" s="274"/>
      <c r="T1018" s="274"/>
      <c r="U1018" s="274"/>
      <c r="V1018" s="274"/>
    </row>
    <row r="1019" spans="1:22" x14ac:dyDescent="0.25">
      <c r="A1019" s="247">
        <v>1017</v>
      </c>
      <c r="B1019" s="270"/>
      <c r="C1019" s="270"/>
      <c r="D1019" s="271"/>
      <c r="E1019" s="272"/>
      <c r="F1019" s="272"/>
      <c r="G1019" s="273"/>
      <c r="H1019" s="274"/>
      <c r="I1019" s="274"/>
      <c r="J1019" s="274"/>
      <c r="K1019" s="274"/>
      <c r="L1019" s="274"/>
      <c r="M1019" s="274"/>
      <c r="N1019" s="274"/>
      <c r="O1019" s="274"/>
      <c r="P1019" s="274"/>
      <c r="Q1019" s="274"/>
      <c r="R1019" s="274"/>
      <c r="S1019" s="274"/>
      <c r="T1019" s="274"/>
      <c r="U1019" s="274"/>
      <c r="V1019" s="274"/>
    </row>
    <row r="1020" spans="1:22" x14ac:dyDescent="0.25">
      <c r="A1020" s="247">
        <v>1018</v>
      </c>
      <c r="B1020" s="270"/>
      <c r="C1020" s="270"/>
      <c r="D1020" s="271"/>
      <c r="E1020" s="272"/>
      <c r="F1020" s="272"/>
      <c r="G1020" s="273"/>
      <c r="H1020" s="274"/>
      <c r="I1020" s="274"/>
      <c r="J1020" s="274"/>
      <c r="K1020" s="274"/>
      <c r="L1020" s="274"/>
      <c r="M1020" s="274"/>
      <c r="N1020" s="274"/>
      <c r="O1020" s="274"/>
      <c r="P1020" s="274"/>
      <c r="Q1020" s="274"/>
      <c r="R1020" s="274"/>
      <c r="S1020" s="274"/>
      <c r="T1020" s="274"/>
      <c r="U1020" s="274"/>
      <c r="V1020" s="274"/>
    </row>
    <row r="1021" spans="1:22" x14ac:dyDescent="0.25">
      <c r="A1021" s="247">
        <v>1019</v>
      </c>
      <c r="B1021" s="270"/>
      <c r="C1021" s="270"/>
      <c r="D1021" s="271"/>
      <c r="E1021" s="272"/>
      <c r="F1021" s="272"/>
      <c r="G1021" s="273"/>
      <c r="H1021" s="274"/>
      <c r="I1021" s="274"/>
      <c r="J1021" s="274"/>
      <c r="K1021" s="274"/>
      <c r="L1021" s="274"/>
      <c r="M1021" s="274"/>
      <c r="N1021" s="274"/>
      <c r="O1021" s="274"/>
      <c r="P1021" s="274"/>
      <c r="Q1021" s="274"/>
      <c r="R1021" s="274"/>
      <c r="S1021" s="274"/>
      <c r="T1021" s="274"/>
      <c r="U1021" s="274"/>
      <c r="V1021" s="274"/>
    </row>
    <row r="1022" spans="1:22" x14ac:dyDescent="0.25">
      <c r="A1022" s="247">
        <v>1020</v>
      </c>
      <c r="B1022" s="270"/>
      <c r="C1022" s="270"/>
      <c r="D1022" s="271"/>
      <c r="E1022" s="272"/>
      <c r="F1022" s="272"/>
      <c r="G1022" s="273"/>
      <c r="H1022" s="274"/>
      <c r="I1022" s="274"/>
      <c r="J1022" s="274"/>
      <c r="K1022" s="274"/>
      <c r="L1022" s="274"/>
      <c r="M1022" s="274"/>
      <c r="N1022" s="274"/>
      <c r="O1022" s="274"/>
      <c r="P1022" s="274"/>
      <c r="Q1022" s="274"/>
      <c r="R1022" s="274"/>
      <c r="S1022" s="274"/>
      <c r="T1022" s="274"/>
      <c r="U1022" s="274"/>
      <c r="V1022" s="274"/>
    </row>
    <row r="1023" spans="1:22" x14ac:dyDescent="0.25">
      <c r="A1023" s="247">
        <v>1021</v>
      </c>
      <c r="B1023" s="270"/>
      <c r="C1023" s="270"/>
      <c r="D1023" s="271"/>
      <c r="E1023" s="272"/>
      <c r="F1023" s="272"/>
      <c r="G1023" s="273"/>
      <c r="H1023" s="274"/>
      <c r="I1023" s="274"/>
      <c r="J1023" s="274"/>
      <c r="K1023" s="274"/>
      <c r="L1023" s="274"/>
      <c r="M1023" s="274"/>
      <c r="N1023" s="274"/>
      <c r="O1023" s="274"/>
      <c r="P1023" s="274"/>
      <c r="Q1023" s="274"/>
      <c r="R1023" s="274"/>
      <c r="S1023" s="274"/>
      <c r="T1023" s="274"/>
      <c r="U1023" s="274"/>
      <c r="V1023" s="274"/>
    </row>
    <row r="1024" spans="1:22" x14ac:dyDescent="0.25">
      <c r="A1024" s="247">
        <v>1022</v>
      </c>
      <c r="B1024" s="270"/>
      <c r="C1024" s="270"/>
      <c r="D1024" s="271"/>
      <c r="E1024" s="272"/>
      <c r="F1024" s="272"/>
      <c r="G1024" s="273"/>
      <c r="H1024" s="274"/>
      <c r="I1024" s="274"/>
      <c r="J1024" s="274"/>
      <c r="K1024" s="274"/>
      <c r="L1024" s="274"/>
      <c r="M1024" s="274"/>
      <c r="N1024" s="274"/>
      <c r="O1024" s="274"/>
      <c r="P1024" s="274"/>
      <c r="Q1024" s="274"/>
      <c r="R1024" s="274"/>
      <c r="S1024" s="274"/>
      <c r="T1024" s="274"/>
      <c r="U1024" s="274"/>
      <c r="V1024" s="274"/>
    </row>
    <row r="1025" spans="1:22" x14ac:dyDescent="0.25">
      <c r="A1025" s="247">
        <v>1023</v>
      </c>
      <c r="B1025" s="270"/>
      <c r="C1025" s="270"/>
      <c r="D1025" s="271"/>
      <c r="E1025" s="272"/>
      <c r="F1025" s="272"/>
      <c r="G1025" s="273"/>
      <c r="H1025" s="274"/>
      <c r="I1025" s="274"/>
      <c r="J1025" s="274"/>
      <c r="K1025" s="274"/>
      <c r="L1025" s="274"/>
      <c r="M1025" s="274"/>
      <c r="N1025" s="274"/>
      <c r="O1025" s="274"/>
      <c r="P1025" s="274"/>
      <c r="Q1025" s="274"/>
      <c r="R1025" s="274"/>
      <c r="S1025" s="274"/>
      <c r="T1025" s="274"/>
      <c r="U1025" s="274"/>
      <c r="V1025" s="274"/>
    </row>
    <row r="1026" spans="1:22" x14ac:dyDescent="0.25">
      <c r="A1026" s="247">
        <v>1024</v>
      </c>
      <c r="B1026" s="270"/>
      <c r="C1026" s="270"/>
      <c r="D1026" s="271"/>
      <c r="E1026" s="272"/>
      <c r="F1026" s="272"/>
      <c r="G1026" s="273"/>
      <c r="H1026" s="274"/>
      <c r="I1026" s="274"/>
      <c r="J1026" s="274"/>
      <c r="K1026" s="274"/>
      <c r="L1026" s="274"/>
      <c r="M1026" s="274"/>
      <c r="N1026" s="274"/>
      <c r="O1026" s="274"/>
      <c r="P1026" s="274"/>
      <c r="Q1026" s="274"/>
      <c r="R1026" s="274"/>
      <c r="S1026" s="274"/>
      <c r="T1026" s="274"/>
      <c r="U1026" s="274"/>
      <c r="V1026" s="274"/>
    </row>
    <row r="1027" spans="1:22" x14ac:dyDescent="0.25">
      <c r="A1027" s="247">
        <v>1025</v>
      </c>
      <c r="B1027" s="270"/>
      <c r="C1027" s="270"/>
      <c r="D1027" s="271"/>
      <c r="E1027" s="272"/>
      <c r="F1027" s="272"/>
      <c r="G1027" s="273"/>
      <c r="H1027" s="274"/>
      <c r="I1027" s="274"/>
      <c r="J1027" s="274"/>
      <c r="K1027" s="274"/>
      <c r="L1027" s="274"/>
      <c r="M1027" s="274"/>
      <c r="N1027" s="274"/>
      <c r="O1027" s="274"/>
      <c r="P1027" s="274"/>
      <c r="Q1027" s="274"/>
      <c r="R1027" s="274"/>
      <c r="S1027" s="274"/>
      <c r="T1027" s="274"/>
      <c r="U1027" s="274"/>
      <c r="V1027" s="274"/>
    </row>
    <row r="1028" spans="1:22" x14ac:dyDescent="0.25">
      <c r="A1028" s="247">
        <v>1026</v>
      </c>
      <c r="B1028" s="270"/>
      <c r="C1028" s="270"/>
      <c r="D1028" s="271"/>
      <c r="E1028" s="272"/>
      <c r="F1028" s="272"/>
      <c r="G1028" s="273"/>
      <c r="H1028" s="274"/>
      <c r="I1028" s="274"/>
      <c r="J1028" s="274"/>
      <c r="K1028" s="274"/>
      <c r="L1028" s="274"/>
      <c r="M1028" s="274"/>
      <c r="N1028" s="274"/>
      <c r="O1028" s="274"/>
      <c r="P1028" s="274"/>
      <c r="Q1028" s="274"/>
      <c r="R1028" s="274"/>
      <c r="S1028" s="274"/>
      <c r="T1028" s="274"/>
      <c r="U1028" s="274"/>
      <c r="V1028" s="274"/>
    </row>
    <row r="1029" spans="1:22" x14ac:dyDescent="0.25">
      <c r="A1029" s="247">
        <v>1027</v>
      </c>
      <c r="B1029" s="270"/>
      <c r="C1029" s="270"/>
      <c r="D1029" s="271"/>
      <c r="E1029" s="272"/>
      <c r="F1029" s="272"/>
      <c r="G1029" s="273"/>
      <c r="H1029" s="274"/>
      <c r="I1029" s="274"/>
      <c r="J1029" s="274"/>
      <c r="K1029" s="274"/>
      <c r="L1029" s="274"/>
      <c r="M1029" s="274"/>
      <c r="N1029" s="274"/>
      <c r="O1029" s="274"/>
      <c r="P1029" s="274"/>
      <c r="Q1029" s="274"/>
      <c r="R1029" s="274"/>
      <c r="S1029" s="274"/>
      <c r="T1029" s="274"/>
      <c r="U1029" s="274"/>
      <c r="V1029" s="274"/>
    </row>
    <row r="1030" spans="1:22" x14ac:dyDescent="0.25">
      <c r="A1030" s="247">
        <v>1028</v>
      </c>
      <c r="B1030" s="270"/>
      <c r="C1030" s="270"/>
      <c r="D1030" s="271"/>
      <c r="E1030" s="272"/>
      <c r="F1030" s="272"/>
      <c r="G1030" s="273"/>
      <c r="H1030" s="274"/>
      <c r="I1030" s="274"/>
      <c r="J1030" s="274"/>
      <c r="K1030" s="274"/>
      <c r="L1030" s="274"/>
      <c r="M1030" s="274"/>
      <c r="N1030" s="274"/>
      <c r="O1030" s="274"/>
      <c r="P1030" s="274"/>
      <c r="Q1030" s="274"/>
      <c r="R1030" s="274"/>
      <c r="S1030" s="274"/>
      <c r="T1030" s="274"/>
      <c r="U1030" s="274"/>
      <c r="V1030" s="274"/>
    </row>
    <row r="1031" spans="1:22" x14ac:dyDescent="0.25">
      <c r="A1031" s="247">
        <v>1029</v>
      </c>
      <c r="B1031" s="270"/>
      <c r="C1031" s="270"/>
      <c r="D1031" s="271"/>
      <c r="E1031" s="272"/>
      <c r="F1031" s="272"/>
      <c r="G1031" s="273"/>
      <c r="H1031" s="274"/>
      <c r="I1031" s="274"/>
      <c r="J1031" s="274"/>
      <c r="K1031" s="274"/>
      <c r="L1031" s="274"/>
      <c r="M1031" s="274"/>
      <c r="N1031" s="274"/>
      <c r="O1031" s="274"/>
      <c r="P1031" s="274"/>
      <c r="Q1031" s="274"/>
      <c r="R1031" s="274"/>
      <c r="S1031" s="274"/>
      <c r="T1031" s="274"/>
      <c r="U1031" s="274"/>
      <c r="V1031" s="274"/>
    </row>
    <row r="1032" spans="1:22" x14ac:dyDescent="0.25">
      <c r="A1032" s="247">
        <v>1030</v>
      </c>
      <c r="B1032" s="270"/>
      <c r="C1032" s="270"/>
      <c r="D1032" s="271"/>
      <c r="E1032" s="272"/>
      <c r="F1032" s="272"/>
      <c r="G1032" s="273"/>
      <c r="H1032" s="274"/>
      <c r="I1032" s="274"/>
      <c r="J1032" s="274"/>
      <c r="K1032" s="274"/>
      <c r="L1032" s="274"/>
      <c r="M1032" s="274"/>
      <c r="N1032" s="274"/>
      <c r="O1032" s="274"/>
      <c r="P1032" s="274"/>
      <c r="Q1032" s="274"/>
      <c r="R1032" s="274"/>
      <c r="S1032" s="274"/>
      <c r="T1032" s="274"/>
      <c r="U1032" s="274"/>
      <c r="V1032" s="274"/>
    </row>
    <row r="1033" spans="1:22" x14ac:dyDescent="0.25">
      <c r="A1033" s="247">
        <v>1031</v>
      </c>
      <c r="B1033" s="270"/>
      <c r="C1033" s="270"/>
      <c r="D1033" s="271"/>
      <c r="E1033" s="272"/>
      <c r="F1033" s="272"/>
      <c r="G1033" s="273"/>
      <c r="H1033" s="274"/>
      <c r="I1033" s="274"/>
      <c r="J1033" s="274"/>
      <c r="K1033" s="274"/>
      <c r="L1033" s="274"/>
      <c r="M1033" s="274"/>
      <c r="N1033" s="274"/>
      <c r="O1033" s="274"/>
      <c r="P1033" s="274"/>
      <c r="Q1033" s="274"/>
      <c r="R1033" s="274"/>
      <c r="S1033" s="274"/>
      <c r="T1033" s="274"/>
      <c r="U1033" s="274"/>
      <c r="V1033" s="274"/>
    </row>
    <row r="1034" spans="1:22" x14ac:dyDescent="0.25">
      <c r="A1034" s="247">
        <v>1032</v>
      </c>
      <c r="B1034" s="270"/>
      <c r="C1034" s="270"/>
      <c r="D1034" s="271"/>
      <c r="E1034" s="272"/>
      <c r="F1034" s="272"/>
      <c r="G1034" s="273"/>
      <c r="H1034" s="274"/>
      <c r="I1034" s="274"/>
      <c r="J1034" s="274"/>
      <c r="K1034" s="274"/>
      <c r="L1034" s="274"/>
      <c r="M1034" s="274"/>
      <c r="N1034" s="274"/>
      <c r="O1034" s="274"/>
      <c r="P1034" s="274"/>
      <c r="Q1034" s="274"/>
      <c r="R1034" s="274"/>
      <c r="S1034" s="274"/>
      <c r="T1034" s="274"/>
      <c r="U1034" s="274"/>
      <c r="V1034" s="274"/>
    </row>
    <row r="1035" spans="1:22" x14ac:dyDescent="0.25">
      <c r="A1035" s="247">
        <v>1033</v>
      </c>
      <c r="B1035" s="270"/>
      <c r="C1035" s="270"/>
      <c r="D1035" s="271"/>
      <c r="E1035" s="272"/>
      <c r="F1035" s="272"/>
      <c r="G1035" s="273"/>
      <c r="H1035" s="274"/>
      <c r="I1035" s="274"/>
      <c r="J1035" s="274"/>
      <c r="K1035" s="274"/>
      <c r="L1035" s="274"/>
      <c r="M1035" s="274"/>
      <c r="N1035" s="274"/>
      <c r="O1035" s="274"/>
      <c r="P1035" s="274"/>
      <c r="Q1035" s="274"/>
      <c r="R1035" s="274"/>
      <c r="S1035" s="274"/>
      <c r="T1035" s="274"/>
      <c r="U1035" s="274"/>
      <c r="V1035" s="274"/>
    </row>
    <row r="1036" spans="1:22" x14ac:dyDescent="0.25">
      <c r="A1036" s="247">
        <v>1034</v>
      </c>
      <c r="B1036" s="270"/>
      <c r="C1036" s="270"/>
      <c r="D1036" s="271"/>
      <c r="E1036" s="272"/>
      <c r="F1036" s="272"/>
      <c r="G1036" s="273"/>
      <c r="H1036" s="274"/>
      <c r="I1036" s="274"/>
      <c r="J1036" s="274"/>
      <c r="K1036" s="274"/>
      <c r="L1036" s="274"/>
      <c r="M1036" s="274"/>
      <c r="N1036" s="274"/>
      <c r="O1036" s="274"/>
      <c r="P1036" s="274"/>
      <c r="Q1036" s="274"/>
      <c r="R1036" s="274"/>
      <c r="S1036" s="274"/>
      <c r="T1036" s="274"/>
      <c r="U1036" s="274"/>
      <c r="V1036" s="274"/>
    </row>
    <row r="1037" spans="1:22" x14ac:dyDescent="0.25">
      <c r="A1037" s="247">
        <v>1035</v>
      </c>
      <c r="B1037" s="270"/>
      <c r="C1037" s="270"/>
      <c r="D1037" s="271"/>
      <c r="E1037" s="272"/>
      <c r="F1037" s="272"/>
      <c r="G1037" s="273"/>
      <c r="H1037" s="274"/>
      <c r="I1037" s="274"/>
      <c r="J1037" s="274"/>
      <c r="K1037" s="274"/>
      <c r="L1037" s="274"/>
      <c r="M1037" s="274"/>
      <c r="N1037" s="274"/>
      <c r="O1037" s="274"/>
      <c r="P1037" s="274"/>
      <c r="Q1037" s="274"/>
      <c r="R1037" s="274"/>
      <c r="S1037" s="274"/>
      <c r="T1037" s="274"/>
      <c r="U1037" s="274"/>
      <c r="V1037" s="274"/>
    </row>
    <row r="1038" spans="1:22" x14ac:dyDescent="0.25">
      <c r="A1038" s="247">
        <v>1036</v>
      </c>
      <c r="B1038" s="270"/>
      <c r="C1038" s="270"/>
      <c r="D1038" s="271"/>
      <c r="E1038" s="272"/>
      <c r="F1038" s="272"/>
      <c r="G1038" s="273"/>
      <c r="H1038" s="274"/>
      <c r="I1038" s="274"/>
      <c r="J1038" s="274"/>
      <c r="K1038" s="274"/>
      <c r="L1038" s="274"/>
      <c r="M1038" s="274"/>
      <c r="N1038" s="274"/>
      <c r="O1038" s="274"/>
      <c r="P1038" s="274"/>
      <c r="Q1038" s="274"/>
      <c r="R1038" s="274"/>
      <c r="S1038" s="274"/>
      <c r="T1038" s="274"/>
      <c r="U1038" s="274"/>
      <c r="V1038" s="274"/>
    </row>
    <row r="1039" spans="1:22" x14ac:dyDescent="0.25">
      <c r="A1039" s="247">
        <v>1037</v>
      </c>
      <c r="B1039" s="270"/>
      <c r="C1039" s="270"/>
      <c r="D1039" s="271"/>
      <c r="E1039" s="272"/>
      <c r="F1039" s="272"/>
      <c r="G1039" s="273"/>
      <c r="H1039" s="274"/>
      <c r="I1039" s="274"/>
      <c r="J1039" s="274"/>
      <c r="K1039" s="274"/>
      <c r="L1039" s="274"/>
      <c r="M1039" s="274"/>
      <c r="N1039" s="274"/>
      <c r="O1039" s="274"/>
      <c r="P1039" s="274"/>
      <c r="Q1039" s="274"/>
      <c r="R1039" s="274"/>
      <c r="S1039" s="274"/>
      <c r="T1039" s="274"/>
      <c r="U1039" s="274"/>
      <c r="V1039" s="274"/>
    </row>
    <row r="1040" spans="1:22" x14ac:dyDescent="0.25">
      <c r="A1040" s="247">
        <v>1038</v>
      </c>
      <c r="B1040" s="270"/>
      <c r="C1040" s="270"/>
      <c r="D1040" s="271"/>
      <c r="E1040" s="272"/>
      <c r="F1040" s="272"/>
      <c r="G1040" s="273"/>
      <c r="H1040" s="274"/>
      <c r="I1040" s="274"/>
      <c r="J1040" s="274"/>
      <c r="K1040" s="274"/>
      <c r="L1040" s="274"/>
      <c r="M1040" s="274"/>
      <c r="N1040" s="274"/>
      <c r="O1040" s="274"/>
      <c r="P1040" s="274"/>
      <c r="Q1040" s="274"/>
      <c r="R1040" s="274"/>
      <c r="S1040" s="274"/>
      <c r="T1040" s="274"/>
      <c r="U1040" s="274"/>
      <c r="V1040" s="274"/>
    </row>
    <row r="1041" spans="1:22" x14ac:dyDescent="0.25">
      <c r="A1041" s="247">
        <v>1039</v>
      </c>
      <c r="B1041" s="270"/>
      <c r="C1041" s="270"/>
      <c r="D1041" s="271"/>
      <c r="E1041" s="272"/>
      <c r="F1041" s="272"/>
      <c r="G1041" s="273"/>
      <c r="H1041" s="274"/>
      <c r="I1041" s="274"/>
      <c r="J1041" s="274"/>
      <c r="K1041" s="274"/>
      <c r="L1041" s="274"/>
      <c r="M1041" s="274"/>
      <c r="N1041" s="274"/>
      <c r="O1041" s="274"/>
      <c r="P1041" s="274"/>
      <c r="Q1041" s="274"/>
      <c r="R1041" s="274"/>
      <c r="S1041" s="274"/>
      <c r="T1041" s="274"/>
      <c r="U1041" s="274"/>
      <c r="V1041" s="274"/>
    </row>
    <row r="1042" spans="1:22" x14ac:dyDescent="0.25">
      <c r="A1042" s="247">
        <v>1040</v>
      </c>
      <c r="B1042" s="270"/>
      <c r="C1042" s="270"/>
      <c r="D1042" s="271"/>
      <c r="E1042" s="272"/>
      <c r="F1042" s="272"/>
      <c r="G1042" s="273"/>
      <c r="H1042" s="274"/>
      <c r="I1042" s="274"/>
      <c r="J1042" s="274"/>
      <c r="K1042" s="274"/>
      <c r="L1042" s="274"/>
      <c r="M1042" s="274"/>
      <c r="N1042" s="274"/>
      <c r="O1042" s="274"/>
      <c r="P1042" s="274"/>
      <c r="Q1042" s="274"/>
      <c r="R1042" s="274"/>
      <c r="S1042" s="274"/>
      <c r="T1042" s="274"/>
      <c r="U1042" s="274"/>
      <c r="V1042" s="274"/>
    </row>
    <row r="1043" spans="1:22" x14ac:dyDescent="0.25">
      <c r="A1043" s="247">
        <v>1041</v>
      </c>
      <c r="B1043" s="270"/>
      <c r="C1043" s="270"/>
      <c r="D1043" s="271"/>
      <c r="E1043" s="272"/>
      <c r="F1043" s="272"/>
      <c r="G1043" s="273"/>
      <c r="H1043" s="274"/>
      <c r="I1043" s="274"/>
      <c r="J1043" s="274"/>
      <c r="K1043" s="274"/>
      <c r="L1043" s="274"/>
      <c r="M1043" s="274"/>
      <c r="N1043" s="274"/>
      <c r="O1043" s="274"/>
      <c r="P1043" s="274"/>
      <c r="Q1043" s="274"/>
      <c r="R1043" s="274"/>
      <c r="S1043" s="274"/>
      <c r="T1043" s="274"/>
      <c r="U1043" s="274"/>
      <c r="V1043" s="274"/>
    </row>
    <row r="1044" spans="1:22" x14ac:dyDescent="0.25">
      <c r="A1044" s="247">
        <v>1042</v>
      </c>
      <c r="B1044" s="270"/>
      <c r="C1044" s="270"/>
      <c r="D1044" s="271"/>
      <c r="E1044" s="272"/>
      <c r="F1044" s="272"/>
      <c r="G1044" s="273"/>
      <c r="H1044" s="274"/>
      <c r="I1044" s="274"/>
      <c r="J1044" s="274"/>
      <c r="K1044" s="274"/>
      <c r="L1044" s="274"/>
      <c r="M1044" s="274"/>
      <c r="N1044" s="274"/>
      <c r="O1044" s="274"/>
      <c r="P1044" s="274"/>
      <c r="Q1044" s="274"/>
      <c r="R1044" s="274"/>
      <c r="S1044" s="274"/>
      <c r="T1044" s="274"/>
      <c r="U1044" s="274"/>
      <c r="V1044" s="274"/>
    </row>
    <row r="1045" spans="1:22" x14ac:dyDescent="0.25">
      <c r="A1045" s="247">
        <v>1043</v>
      </c>
      <c r="B1045" s="270"/>
      <c r="C1045" s="270"/>
      <c r="D1045" s="271"/>
      <c r="E1045" s="272"/>
      <c r="F1045" s="272"/>
      <c r="G1045" s="273"/>
      <c r="H1045" s="274"/>
      <c r="I1045" s="274"/>
      <c r="J1045" s="274"/>
      <c r="K1045" s="274"/>
      <c r="L1045" s="274"/>
      <c r="M1045" s="274"/>
      <c r="N1045" s="274"/>
      <c r="O1045" s="274"/>
      <c r="P1045" s="274"/>
      <c r="Q1045" s="274"/>
      <c r="R1045" s="274"/>
      <c r="S1045" s="274"/>
      <c r="T1045" s="274"/>
      <c r="U1045" s="274"/>
      <c r="V1045" s="274"/>
    </row>
    <row r="1046" spans="1:22" x14ac:dyDescent="0.25">
      <c r="A1046" s="247">
        <v>1044</v>
      </c>
      <c r="B1046" s="270"/>
      <c r="C1046" s="270"/>
      <c r="D1046" s="271"/>
      <c r="E1046" s="272"/>
      <c r="F1046" s="272"/>
      <c r="G1046" s="273"/>
      <c r="H1046" s="274"/>
      <c r="I1046" s="274"/>
      <c r="J1046" s="274"/>
      <c r="K1046" s="274"/>
      <c r="L1046" s="274"/>
      <c r="M1046" s="274"/>
      <c r="N1046" s="274"/>
      <c r="O1046" s="274"/>
      <c r="P1046" s="274"/>
      <c r="Q1046" s="274"/>
      <c r="R1046" s="274"/>
      <c r="S1046" s="274"/>
      <c r="T1046" s="274"/>
      <c r="U1046" s="274"/>
      <c r="V1046" s="274"/>
    </row>
    <row r="1047" spans="1:22" x14ac:dyDescent="0.25">
      <c r="A1047" s="247">
        <v>1045</v>
      </c>
      <c r="B1047" s="270"/>
      <c r="C1047" s="270"/>
      <c r="D1047" s="271"/>
      <c r="E1047" s="272"/>
      <c r="F1047" s="272"/>
      <c r="G1047" s="273"/>
      <c r="H1047" s="274"/>
      <c r="I1047" s="274"/>
      <c r="J1047" s="274"/>
      <c r="K1047" s="274"/>
      <c r="L1047" s="274"/>
      <c r="M1047" s="274"/>
      <c r="N1047" s="274"/>
      <c r="O1047" s="274"/>
      <c r="P1047" s="274"/>
      <c r="Q1047" s="274"/>
      <c r="R1047" s="274"/>
      <c r="S1047" s="274"/>
      <c r="T1047" s="274"/>
      <c r="U1047" s="274"/>
      <c r="V1047" s="274"/>
    </row>
    <row r="1048" spans="1:22" x14ac:dyDescent="0.25">
      <c r="A1048" s="247">
        <v>1046</v>
      </c>
      <c r="B1048" s="270"/>
      <c r="C1048" s="270"/>
      <c r="D1048" s="271"/>
      <c r="E1048" s="272"/>
      <c r="F1048" s="272"/>
      <c r="G1048" s="273"/>
      <c r="H1048" s="274"/>
      <c r="I1048" s="274"/>
      <c r="J1048" s="274"/>
      <c r="K1048" s="274"/>
      <c r="L1048" s="274"/>
      <c r="M1048" s="274"/>
      <c r="N1048" s="274"/>
      <c r="O1048" s="274"/>
      <c r="P1048" s="274"/>
      <c r="Q1048" s="274"/>
      <c r="R1048" s="274"/>
      <c r="S1048" s="274"/>
      <c r="T1048" s="274"/>
      <c r="U1048" s="274"/>
      <c r="V1048" s="274"/>
    </row>
    <row r="1049" spans="1:22" x14ac:dyDescent="0.25">
      <c r="A1049" s="247">
        <v>1047</v>
      </c>
      <c r="B1049" s="270"/>
      <c r="C1049" s="270"/>
      <c r="D1049" s="271"/>
      <c r="E1049" s="272"/>
      <c r="F1049" s="272"/>
      <c r="G1049" s="273"/>
      <c r="H1049" s="274"/>
      <c r="I1049" s="274"/>
      <c r="J1049" s="274"/>
      <c r="K1049" s="274"/>
      <c r="L1049" s="274"/>
      <c r="M1049" s="274"/>
      <c r="N1049" s="274"/>
      <c r="O1049" s="274"/>
      <c r="P1049" s="274"/>
      <c r="Q1049" s="274"/>
      <c r="R1049" s="274"/>
      <c r="S1049" s="274"/>
      <c r="T1049" s="274"/>
      <c r="U1049" s="274"/>
      <c r="V1049" s="274"/>
    </row>
    <row r="1050" spans="1:22" x14ac:dyDescent="0.25">
      <c r="A1050" s="247">
        <v>1048</v>
      </c>
      <c r="B1050" s="270"/>
      <c r="C1050" s="270"/>
      <c r="D1050" s="271"/>
      <c r="E1050" s="272"/>
      <c r="F1050" s="272"/>
      <c r="G1050" s="273"/>
      <c r="H1050" s="274"/>
      <c r="I1050" s="274"/>
      <c r="J1050" s="274"/>
      <c r="K1050" s="274"/>
      <c r="L1050" s="274"/>
      <c r="M1050" s="274"/>
      <c r="N1050" s="274"/>
      <c r="O1050" s="274"/>
      <c r="P1050" s="274"/>
      <c r="Q1050" s="274"/>
      <c r="R1050" s="274"/>
      <c r="S1050" s="274"/>
      <c r="T1050" s="274"/>
      <c r="U1050" s="274"/>
      <c r="V1050" s="274"/>
    </row>
    <row r="1051" spans="1:22" x14ac:dyDescent="0.25">
      <c r="A1051" s="247">
        <v>1049</v>
      </c>
      <c r="B1051" s="270"/>
      <c r="C1051" s="270"/>
      <c r="D1051" s="271"/>
      <c r="E1051" s="272"/>
      <c r="F1051" s="272"/>
      <c r="G1051" s="273"/>
      <c r="H1051" s="274"/>
      <c r="I1051" s="274"/>
      <c r="J1051" s="274"/>
      <c r="K1051" s="274"/>
      <c r="L1051" s="274"/>
      <c r="M1051" s="274"/>
      <c r="N1051" s="274"/>
      <c r="O1051" s="274"/>
      <c r="P1051" s="274"/>
      <c r="Q1051" s="274"/>
      <c r="R1051" s="274"/>
      <c r="S1051" s="274"/>
      <c r="T1051" s="274"/>
      <c r="U1051" s="274"/>
      <c r="V1051" s="274"/>
    </row>
    <row r="1052" spans="1:22" x14ac:dyDescent="0.25">
      <c r="A1052" s="247">
        <v>1050</v>
      </c>
      <c r="B1052" s="270"/>
      <c r="C1052" s="270"/>
      <c r="D1052" s="271"/>
      <c r="E1052" s="272"/>
      <c r="F1052" s="272"/>
      <c r="G1052" s="273"/>
      <c r="H1052" s="274"/>
      <c r="I1052" s="274"/>
      <c r="J1052" s="274"/>
      <c r="K1052" s="274"/>
      <c r="L1052" s="274"/>
      <c r="M1052" s="274"/>
      <c r="N1052" s="274"/>
      <c r="O1052" s="274"/>
      <c r="P1052" s="274"/>
      <c r="Q1052" s="274"/>
      <c r="R1052" s="274"/>
      <c r="S1052" s="274"/>
      <c r="T1052" s="274"/>
      <c r="U1052" s="274"/>
      <c r="V1052" s="274"/>
    </row>
    <row r="1053" spans="1:22" x14ac:dyDescent="0.25">
      <c r="A1053" s="247">
        <v>1051</v>
      </c>
      <c r="B1053" s="270"/>
      <c r="C1053" s="270"/>
      <c r="D1053" s="271"/>
      <c r="E1053" s="272"/>
      <c r="F1053" s="272"/>
      <c r="G1053" s="273"/>
      <c r="H1053" s="274"/>
      <c r="I1053" s="274"/>
      <c r="J1053" s="274"/>
      <c r="K1053" s="274"/>
      <c r="L1053" s="274"/>
      <c r="M1053" s="274"/>
      <c r="N1053" s="274"/>
      <c r="O1053" s="274"/>
      <c r="P1053" s="274"/>
      <c r="Q1053" s="274"/>
      <c r="R1053" s="274"/>
      <c r="S1053" s="274"/>
      <c r="T1053" s="274"/>
      <c r="U1053" s="274"/>
      <c r="V1053" s="274"/>
    </row>
    <row r="1054" spans="1:22" x14ac:dyDescent="0.25">
      <c r="A1054" s="247">
        <v>1052</v>
      </c>
      <c r="B1054" s="270"/>
      <c r="C1054" s="270"/>
      <c r="D1054" s="271"/>
      <c r="E1054" s="272"/>
      <c r="F1054" s="272"/>
      <c r="G1054" s="273"/>
      <c r="H1054" s="274"/>
      <c r="I1054" s="274"/>
      <c r="J1054" s="274"/>
      <c r="K1054" s="274"/>
      <c r="L1054" s="274"/>
      <c r="M1054" s="274"/>
      <c r="N1054" s="274"/>
      <c r="O1054" s="274"/>
      <c r="P1054" s="274"/>
      <c r="Q1054" s="274"/>
      <c r="R1054" s="274"/>
      <c r="S1054" s="274"/>
      <c r="T1054" s="274"/>
      <c r="U1054" s="274"/>
      <c r="V1054" s="274"/>
    </row>
    <row r="1055" spans="1:22" x14ac:dyDescent="0.25">
      <c r="A1055" s="247">
        <v>1053</v>
      </c>
      <c r="B1055" s="270"/>
      <c r="C1055" s="270"/>
      <c r="D1055" s="271"/>
      <c r="E1055" s="272"/>
      <c r="F1055" s="272"/>
      <c r="G1055" s="273"/>
      <c r="H1055" s="274"/>
      <c r="I1055" s="274"/>
      <c r="J1055" s="274"/>
      <c r="K1055" s="274"/>
      <c r="L1055" s="274"/>
      <c r="M1055" s="274"/>
      <c r="N1055" s="274"/>
      <c r="O1055" s="274"/>
      <c r="P1055" s="274"/>
      <c r="Q1055" s="274"/>
      <c r="R1055" s="274"/>
      <c r="S1055" s="274"/>
      <c r="T1055" s="274"/>
      <c r="U1055" s="274"/>
      <c r="V1055" s="274"/>
    </row>
    <row r="1056" spans="1:22" x14ac:dyDescent="0.25">
      <c r="A1056" s="247">
        <v>1054</v>
      </c>
      <c r="B1056" s="270"/>
      <c r="C1056" s="270"/>
      <c r="D1056" s="271"/>
      <c r="E1056" s="272"/>
      <c r="F1056" s="272"/>
      <c r="G1056" s="273"/>
      <c r="H1056" s="274"/>
      <c r="I1056" s="274"/>
      <c r="J1056" s="274"/>
      <c r="K1056" s="274"/>
      <c r="L1056" s="274"/>
      <c r="M1056" s="274"/>
      <c r="N1056" s="274"/>
      <c r="O1056" s="274"/>
      <c r="P1056" s="274"/>
      <c r="Q1056" s="274"/>
      <c r="R1056" s="274"/>
      <c r="S1056" s="274"/>
      <c r="T1056" s="274"/>
      <c r="U1056" s="274"/>
      <c r="V1056" s="274"/>
    </row>
    <row r="1057" spans="1:22" x14ac:dyDescent="0.25">
      <c r="A1057" s="247">
        <v>1055</v>
      </c>
      <c r="B1057" s="270"/>
      <c r="C1057" s="270"/>
      <c r="D1057" s="271"/>
      <c r="E1057" s="272"/>
      <c r="F1057" s="272"/>
      <c r="G1057" s="273"/>
      <c r="H1057" s="274"/>
      <c r="I1057" s="274"/>
      <c r="J1057" s="274"/>
      <c r="K1057" s="274"/>
      <c r="L1057" s="274"/>
      <c r="M1057" s="274"/>
      <c r="N1057" s="274"/>
      <c r="O1057" s="274"/>
      <c r="P1057" s="274"/>
      <c r="Q1057" s="274"/>
      <c r="R1057" s="274"/>
      <c r="S1057" s="274"/>
      <c r="T1057" s="274"/>
      <c r="U1057" s="274"/>
      <c r="V1057" s="274"/>
    </row>
    <row r="1058" spans="1:22" x14ac:dyDescent="0.25">
      <c r="A1058" s="247">
        <v>1056</v>
      </c>
      <c r="B1058" s="270"/>
      <c r="C1058" s="270"/>
      <c r="D1058" s="271"/>
      <c r="E1058" s="272"/>
      <c r="F1058" s="272"/>
      <c r="G1058" s="273"/>
      <c r="H1058" s="274"/>
      <c r="I1058" s="274"/>
      <c r="J1058" s="274"/>
      <c r="K1058" s="274"/>
      <c r="L1058" s="274"/>
      <c r="M1058" s="274"/>
      <c r="N1058" s="274"/>
      <c r="O1058" s="274"/>
      <c r="P1058" s="274"/>
      <c r="Q1058" s="274"/>
      <c r="R1058" s="274"/>
      <c r="S1058" s="274"/>
      <c r="T1058" s="274"/>
      <c r="U1058" s="274"/>
      <c r="V1058" s="274"/>
    </row>
    <row r="1059" spans="1:22" x14ac:dyDescent="0.25">
      <c r="A1059" s="247">
        <v>1057</v>
      </c>
      <c r="B1059" s="270"/>
      <c r="C1059" s="270"/>
      <c r="D1059" s="271"/>
      <c r="E1059" s="272"/>
      <c r="F1059" s="272"/>
      <c r="G1059" s="273"/>
      <c r="H1059" s="274"/>
      <c r="I1059" s="274"/>
      <c r="J1059" s="274"/>
      <c r="K1059" s="274"/>
      <c r="L1059" s="274"/>
      <c r="M1059" s="274"/>
      <c r="N1059" s="274"/>
      <c r="O1059" s="274"/>
      <c r="P1059" s="274"/>
      <c r="Q1059" s="274"/>
      <c r="R1059" s="274"/>
      <c r="S1059" s="274"/>
      <c r="T1059" s="274"/>
      <c r="U1059" s="274"/>
      <c r="V1059" s="274"/>
    </row>
    <row r="1060" spans="1:22" x14ac:dyDescent="0.25">
      <c r="A1060" s="247">
        <v>1058</v>
      </c>
      <c r="B1060" s="270"/>
      <c r="C1060" s="270"/>
      <c r="D1060" s="271"/>
      <c r="E1060" s="272"/>
      <c r="F1060" s="272"/>
      <c r="G1060" s="273"/>
      <c r="H1060" s="274"/>
      <c r="I1060" s="274"/>
      <c r="J1060" s="274"/>
      <c r="K1060" s="274"/>
      <c r="L1060" s="274"/>
      <c r="M1060" s="274"/>
      <c r="N1060" s="274"/>
      <c r="O1060" s="274"/>
      <c r="P1060" s="274"/>
      <c r="Q1060" s="274"/>
      <c r="R1060" s="274"/>
      <c r="S1060" s="274"/>
      <c r="T1060" s="274"/>
      <c r="U1060" s="274"/>
      <c r="V1060" s="274"/>
    </row>
    <row r="1061" spans="1:22" x14ac:dyDescent="0.25">
      <c r="A1061" s="247">
        <v>1059</v>
      </c>
      <c r="B1061" s="270"/>
      <c r="C1061" s="270"/>
      <c r="D1061" s="271"/>
      <c r="E1061" s="272"/>
      <c r="F1061" s="272"/>
      <c r="G1061" s="273"/>
      <c r="H1061" s="274"/>
      <c r="I1061" s="274"/>
      <c r="J1061" s="274"/>
      <c r="K1061" s="274"/>
      <c r="L1061" s="274"/>
      <c r="M1061" s="274"/>
      <c r="N1061" s="274"/>
      <c r="O1061" s="274"/>
      <c r="P1061" s="274"/>
      <c r="Q1061" s="274"/>
      <c r="R1061" s="274"/>
      <c r="S1061" s="274"/>
      <c r="T1061" s="274"/>
      <c r="U1061" s="274"/>
      <c r="V1061" s="274"/>
    </row>
    <row r="1062" spans="1:22" x14ac:dyDescent="0.25">
      <c r="A1062" s="247">
        <v>1060</v>
      </c>
      <c r="B1062" s="270"/>
      <c r="C1062" s="270"/>
      <c r="D1062" s="271"/>
      <c r="E1062" s="272"/>
      <c r="F1062" s="272"/>
      <c r="G1062" s="273"/>
      <c r="H1062" s="274"/>
      <c r="I1062" s="274"/>
      <c r="J1062" s="274"/>
      <c r="K1062" s="274"/>
      <c r="L1062" s="274"/>
      <c r="M1062" s="274"/>
      <c r="N1062" s="274"/>
      <c r="O1062" s="274"/>
      <c r="P1062" s="274"/>
      <c r="Q1062" s="274"/>
      <c r="R1062" s="274"/>
      <c r="S1062" s="274"/>
      <c r="T1062" s="274"/>
      <c r="U1062" s="274"/>
      <c r="V1062" s="274"/>
    </row>
    <row r="1063" spans="1:22" x14ac:dyDescent="0.25">
      <c r="A1063" s="247">
        <v>1061</v>
      </c>
      <c r="B1063" s="270"/>
      <c r="C1063" s="270"/>
      <c r="D1063" s="271"/>
      <c r="E1063" s="272"/>
      <c r="F1063" s="272"/>
      <c r="G1063" s="273"/>
      <c r="H1063" s="274"/>
      <c r="I1063" s="274"/>
      <c r="J1063" s="274"/>
      <c r="K1063" s="274"/>
      <c r="L1063" s="274"/>
      <c r="M1063" s="274"/>
      <c r="N1063" s="274"/>
      <c r="O1063" s="274"/>
      <c r="P1063" s="274"/>
      <c r="Q1063" s="274"/>
      <c r="R1063" s="274"/>
      <c r="S1063" s="274"/>
      <c r="T1063" s="274"/>
      <c r="U1063" s="274"/>
      <c r="V1063" s="274"/>
    </row>
    <row r="1064" spans="1:22" x14ac:dyDescent="0.25">
      <c r="A1064" s="247">
        <v>1062</v>
      </c>
      <c r="B1064" s="270"/>
      <c r="C1064" s="270"/>
      <c r="D1064" s="271"/>
      <c r="E1064" s="272"/>
      <c r="F1064" s="272"/>
      <c r="G1064" s="273"/>
      <c r="H1064" s="274"/>
      <c r="I1064" s="274"/>
      <c r="J1064" s="274"/>
      <c r="K1064" s="274"/>
      <c r="L1064" s="274"/>
      <c r="M1064" s="274"/>
      <c r="N1064" s="274"/>
      <c r="O1064" s="274"/>
      <c r="P1064" s="274"/>
      <c r="Q1064" s="274"/>
      <c r="R1064" s="274"/>
      <c r="S1064" s="274"/>
      <c r="T1064" s="274"/>
      <c r="U1064" s="274"/>
      <c r="V1064" s="274"/>
    </row>
    <row r="1065" spans="1:22" x14ac:dyDescent="0.25">
      <c r="A1065" s="247">
        <v>1063</v>
      </c>
      <c r="B1065" s="270"/>
      <c r="C1065" s="270"/>
      <c r="D1065" s="271"/>
      <c r="E1065" s="272"/>
      <c r="F1065" s="272"/>
      <c r="G1065" s="273"/>
      <c r="H1065" s="274"/>
      <c r="I1065" s="274"/>
      <c r="J1065" s="274"/>
      <c r="K1065" s="274"/>
      <c r="L1065" s="274"/>
      <c r="M1065" s="274"/>
      <c r="N1065" s="274"/>
      <c r="O1065" s="274"/>
      <c r="P1065" s="274"/>
      <c r="Q1065" s="274"/>
      <c r="R1065" s="274"/>
      <c r="S1065" s="274"/>
      <c r="T1065" s="274"/>
      <c r="U1065" s="274"/>
      <c r="V1065" s="274"/>
    </row>
    <row r="1066" spans="1:22" x14ac:dyDescent="0.25">
      <c r="A1066" s="247">
        <v>1064</v>
      </c>
      <c r="B1066" s="270"/>
      <c r="C1066" s="270"/>
      <c r="D1066" s="271"/>
      <c r="E1066" s="272"/>
      <c r="F1066" s="272"/>
      <c r="G1066" s="273"/>
      <c r="H1066" s="274"/>
      <c r="I1066" s="274"/>
      <c r="J1066" s="274"/>
      <c r="K1066" s="274"/>
      <c r="L1066" s="274"/>
      <c r="M1066" s="274"/>
      <c r="N1066" s="274"/>
      <c r="O1066" s="274"/>
      <c r="P1066" s="274"/>
      <c r="Q1066" s="274"/>
      <c r="R1066" s="274"/>
      <c r="S1066" s="274"/>
      <c r="T1066" s="274"/>
      <c r="U1066" s="274"/>
      <c r="V1066" s="274"/>
    </row>
    <row r="1067" spans="1:22" x14ac:dyDescent="0.25">
      <c r="A1067" s="247">
        <v>1065</v>
      </c>
      <c r="B1067" s="270"/>
      <c r="C1067" s="270"/>
      <c r="D1067" s="271"/>
      <c r="E1067" s="272"/>
      <c r="F1067" s="272"/>
      <c r="G1067" s="273"/>
      <c r="H1067" s="274"/>
      <c r="I1067" s="274"/>
      <c r="J1067" s="274"/>
      <c r="K1067" s="274"/>
      <c r="L1067" s="274"/>
      <c r="M1067" s="274"/>
      <c r="N1067" s="274"/>
      <c r="O1067" s="274"/>
      <c r="P1067" s="274"/>
      <c r="Q1067" s="274"/>
      <c r="R1067" s="274"/>
      <c r="S1067" s="274"/>
      <c r="T1067" s="274"/>
      <c r="U1067" s="274"/>
      <c r="V1067" s="274"/>
    </row>
    <row r="1068" spans="1:22" x14ac:dyDescent="0.25">
      <c r="A1068" s="247">
        <v>1066</v>
      </c>
      <c r="B1068" s="270"/>
      <c r="C1068" s="270"/>
      <c r="D1068" s="271"/>
      <c r="E1068" s="272"/>
      <c r="F1068" s="272"/>
      <c r="G1068" s="273"/>
      <c r="H1068" s="274"/>
      <c r="I1068" s="274"/>
      <c r="J1068" s="274"/>
      <c r="K1068" s="274"/>
      <c r="L1068" s="274"/>
      <c r="M1068" s="274"/>
      <c r="N1068" s="274"/>
      <c r="O1068" s="274"/>
      <c r="P1068" s="274"/>
      <c r="Q1068" s="274"/>
      <c r="R1068" s="274"/>
      <c r="S1068" s="274"/>
      <c r="T1068" s="274"/>
      <c r="U1068" s="274"/>
      <c r="V1068" s="274"/>
    </row>
    <row r="1069" spans="1:22" x14ac:dyDescent="0.25">
      <c r="A1069" s="247">
        <v>1067</v>
      </c>
      <c r="B1069" s="270"/>
      <c r="C1069" s="270"/>
      <c r="D1069" s="271"/>
      <c r="E1069" s="272"/>
      <c r="F1069" s="272"/>
      <c r="G1069" s="273"/>
      <c r="H1069" s="274"/>
      <c r="I1069" s="274"/>
      <c r="J1069" s="274"/>
      <c r="K1069" s="274"/>
      <c r="L1069" s="274"/>
      <c r="M1069" s="274"/>
      <c r="N1069" s="274"/>
      <c r="O1069" s="274"/>
      <c r="P1069" s="274"/>
      <c r="Q1069" s="274"/>
      <c r="R1069" s="274"/>
      <c r="S1069" s="274"/>
      <c r="T1069" s="274"/>
      <c r="U1069" s="274"/>
      <c r="V1069" s="274"/>
    </row>
    <row r="1070" spans="1:22" x14ac:dyDescent="0.25">
      <c r="A1070" s="247">
        <v>1068</v>
      </c>
      <c r="B1070" s="270"/>
      <c r="C1070" s="270"/>
      <c r="D1070" s="271"/>
      <c r="E1070" s="272"/>
      <c r="F1070" s="272"/>
      <c r="G1070" s="273"/>
      <c r="H1070" s="274"/>
      <c r="I1070" s="274"/>
      <c r="J1070" s="274"/>
      <c r="K1070" s="274"/>
      <c r="L1070" s="274"/>
      <c r="M1070" s="274"/>
      <c r="N1070" s="274"/>
      <c r="O1070" s="274"/>
      <c r="P1070" s="274"/>
      <c r="Q1070" s="274"/>
      <c r="R1070" s="274"/>
      <c r="S1070" s="274"/>
      <c r="T1070" s="274"/>
      <c r="U1070" s="274"/>
      <c r="V1070" s="274"/>
    </row>
    <row r="1071" spans="1:22" x14ac:dyDescent="0.25">
      <c r="A1071" s="247">
        <v>1069</v>
      </c>
      <c r="B1071" s="270"/>
      <c r="C1071" s="270"/>
      <c r="D1071" s="271"/>
      <c r="E1071" s="272"/>
      <c r="F1071" s="272"/>
      <c r="G1071" s="273"/>
      <c r="H1071" s="274"/>
      <c r="I1071" s="274"/>
      <c r="J1071" s="274"/>
      <c r="K1071" s="274"/>
      <c r="L1071" s="274"/>
      <c r="M1071" s="274"/>
      <c r="N1071" s="274"/>
      <c r="O1071" s="274"/>
      <c r="P1071" s="274"/>
      <c r="Q1071" s="274"/>
      <c r="R1071" s="274"/>
      <c r="S1071" s="274"/>
      <c r="T1071" s="274"/>
      <c r="U1071" s="274"/>
      <c r="V1071" s="274"/>
    </row>
    <row r="1072" spans="1:22" x14ac:dyDescent="0.25">
      <c r="A1072" s="247">
        <v>1070</v>
      </c>
      <c r="B1072" s="270"/>
      <c r="C1072" s="270"/>
      <c r="D1072" s="271"/>
      <c r="E1072" s="272"/>
      <c r="F1072" s="272"/>
      <c r="G1072" s="273"/>
      <c r="H1072" s="274"/>
      <c r="I1072" s="274"/>
      <c r="J1072" s="274"/>
      <c r="K1072" s="274"/>
      <c r="L1072" s="274"/>
      <c r="M1072" s="274"/>
      <c r="N1072" s="274"/>
      <c r="O1072" s="274"/>
      <c r="P1072" s="274"/>
      <c r="Q1072" s="274"/>
      <c r="R1072" s="274"/>
      <c r="S1072" s="274"/>
      <c r="T1072" s="274"/>
      <c r="U1072" s="274"/>
      <c r="V1072" s="274"/>
    </row>
    <row r="1073" spans="1:22" x14ac:dyDescent="0.25">
      <c r="A1073" s="247">
        <v>1071</v>
      </c>
      <c r="B1073" s="270"/>
      <c r="C1073" s="270"/>
      <c r="D1073" s="271"/>
      <c r="E1073" s="272"/>
      <c r="F1073" s="272"/>
      <c r="G1073" s="273"/>
      <c r="H1073" s="274"/>
      <c r="I1073" s="274"/>
      <c r="J1073" s="274"/>
      <c r="K1073" s="274"/>
      <c r="L1073" s="274"/>
      <c r="M1073" s="274"/>
      <c r="N1073" s="274"/>
      <c r="O1073" s="274"/>
      <c r="P1073" s="274"/>
      <c r="Q1073" s="274"/>
      <c r="R1073" s="274"/>
      <c r="S1073" s="274"/>
      <c r="T1073" s="274"/>
      <c r="U1073" s="274"/>
      <c r="V1073" s="274"/>
    </row>
    <row r="1074" spans="1:22" x14ac:dyDescent="0.25">
      <c r="A1074" s="247">
        <v>1072</v>
      </c>
      <c r="B1074" s="270"/>
      <c r="C1074" s="270"/>
      <c r="D1074" s="271"/>
      <c r="E1074" s="272"/>
      <c r="F1074" s="272"/>
      <c r="G1074" s="273"/>
      <c r="H1074" s="274"/>
      <c r="I1074" s="274"/>
      <c r="J1074" s="274"/>
      <c r="K1074" s="274"/>
      <c r="L1074" s="274"/>
      <c r="M1074" s="274"/>
      <c r="N1074" s="274"/>
      <c r="O1074" s="274"/>
      <c r="P1074" s="274"/>
      <c r="Q1074" s="274"/>
      <c r="R1074" s="274"/>
      <c r="S1074" s="274"/>
      <c r="T1074" s="274"/>
      <c r="U1074" s="274"/>
      <c r="V1074" s="274"/>
    </row>
    <row r="1075" spans="1:22" x14ac:dyDescent="0.25">
      <c r="A1075" s="247">
        <v>1073</v>
      </c>
      <c r="B1075" s="270"/>
      <c r="C1075" s="270"/>
      <c r="D1075" s="271"/>
      <c r="E1075" s="272"/>
      <c r="F1075" s="272"/>
      <c r="G1075" s="273"/>
      <c r="H1075" s="274"/>
      <c r="I1075" s="274"/>
      <c r="J1075" s="274"/>
      <c r="K1075" s="274"/>
      <c r="L1075" s="274"/>
      <c r="M1075" s="274"/>
      <c r="N1075" s="274"/>
      <c r="O1075" s="274"/>
      <c r="P1075" s="274"/>
      <c r="Q1075" s="274"/>
      <c r="R1075" s="274"/>
      <c r="S1075" s="274"/>
      <c r="T1075" s="274"/>
      <c r="U1075" s="274"/>
      <c r="V1075" s="274"/>
    </row>
    <row r="1076" spans="1:22" x14ac:dyDescent="0.25">
      <c r="A1076" s="247">
        <v>1074</v>
      </c>
      <c r="B1076" s="270"/>
      <c r="C1076" s="270"/>
      <c r="D1076" s="271"/>
      <c r="E1076" s="272"/>
      <c r="F1076" s="272"/>
      <c r="G1076" s="273"/>
      <c r="H1076" s="274"/>
      <c r="I1076" s="274"/>
      <c r="J1076" s="274"/>
      <c r="K1076" s="274"/>
      <c r="L1076" s="274"/>
      <c r="M1076" s="274"/>
      <c r="N1076" s="274"/>
      <c r="O1076" s="274"/>
      <c r="P1076" s="274"/>
      <c r="Q1076" s="274"/>
      <c r="R1076" s="274"/>
      <c r="S1076" s="274"/>
      <c r="T1076" s="274"/>
      <c r="U1076" s="274"/>
      <c r="V1076" s="274"/>
    </row>
    <row r="1077" spans="1:22" x14ac:dyDescent="0.25">
      <c r="A1077" s="247">
        <v>1075</v>
      </c>
      <c r="B1077" s="270"/>
      <c r="C1077" s="270"/>
      <c r="D1077" s="271"/>
      <c r="E1077" s="272"/>
      <c r="F1077" s="272"/>
      <c r="G1077" s="273"/>
      <c r="H1077" s="274"/>
      <c r="I1077" s="274"/>
      <c r="J1077" s="274"/>
      <c r="K1077" s="274"/>
      <c r="L1077" s="274"/>
      <c r="M1077" s="274"/>
      <c r="N1077" s="274"/>
      <c r="O1077" s="274"/>
      <c r="P1077" s="274"/>
      <c r="Q1077" s="274"/>
      <c r="R1077" s="274"/>
      <c r="S1077" s="274"/>
      <c r="T1077" s="274"/>
      <c r="U1077" s="274"/>
      <c r="V1077" s="274"/>
    </row>
    <row r="1078" spans="1:22" x14ac:dyDescent="0.25">
      <c r="A1078" s="247">
        <v>1076</v>
      </c>
      <c r="B1078" s="270"/>
      <c r="C1078" s="270"/>
      <c r="D1078" s="271"/>
      <c r="E1078" s="272"/>
      <c r="F1078" s="272"/>
      <c r="G1078" s="273"/>
      <c r="H1078" s="274"/>
      <c r="I1078" s="274"/>
      <c r="J1078" s="274"/>
      <c r="K1078" s="274"/>
      <c r="L1078" s="274"/>
      <c r="M1078" s="274"/>
      <c r="N1078" s="274"/>
      <c r="O1078" s="274"/>
      <c r="P1078" s="274"/>
      <c r="Q1078" s="274"/>
      <c r="R1078" s="274"/>
      <c r="S1078" s="274"/>
      <c r="T1078" s="274"/>
      <c r="U1078" s="274"/>
      <c r="V1078" s="274"/>
    </row>
    <row r="1079" spans="1:22" x14ac:dyDescent="0.25">
      <c r="A1079" s="247">
        <v>1077</v>
      </c>
      <c r="B1079" s="270"/>
      <c r="C1079" s="270"/>
      <c r="D1079" s="271"/>
      <c r="E1079" s="272"/>
      <c r="F1079" s="272"/>
      <c r="G1079" s="273"/>
      <c r="H1079" s="274"/>
      <c r="I1079" s="274"/>
      <c r="J1079" s="274"/>
      <c r="K1079" s="274"/>
      <c r="L1079" s="274"/>
      <c r="M1079" s="274"/>
      <c r="N1079" s="274"/>
      <c r="O1079" s="274"/>
      <c r="P1079" s="274"/>
      <c r="Q1079" s="274"/>
      <c r="R1079" s="274"/>
      <c r="S1079" s="274"/>
      <c r="T1079" s="274"/>
      <c r="U1079" s="274"/>
      <c r="V1079" s="274"/>
    </row>
    <row r="1080" spans="1:22" x14ac:dyDescent="0.25">
      <c r="A1080" s="247">
        <v>1078</v>
      </c>
      <c r="B1080" s="270"/>
      <c r="C1080" s="270"/>
      <c r="D1080" s="271"/>
      <c r="E1080" s="272"/>
      <c r="F1080" s="272"/>
      <c r="G1080" s="273"/>
      <c r="H1080" s="274"/>
      <c r="I1080" s="274"/>
      <c r="J1080" s="274"/>
      <c r="K1080" s="274"/>
      <c r="L1080" s="274"/>
      <c r="M1080" s="274"/>
      <c r="N1080" s="274"/>
      <c r="O1080" s="274"/>
      <c r="P1080" s="274"/>
      <c r="Q1080" s="274"/>
      <c r="R1080" s="274"/>
      <c r="S1080" s="274"/>
      <c r="T1080" s="274"/>
      <c r="U1080" s="274"/>
      <c r="V1080" s="274"/>
    </row>
    <row r="1081" spans="1:22" x14ac:dyDescent="0.25">
      <c r="A1081" s="247">
        <v>1079</v>
      </c>
      <c r="B1081" s="270"/>
      <c r="C1081" s="270"/>
      <c r="D1081" s="271"/>
      <c r="E1081" s="272"/>
      <c r="F1081" s="272"/>
      <c r="G1081" s="273"/>
      <c r="H1081" s="274"/>
      <c r="I1081" s="274"/>
      <c r="J1081" s="274"/>
      <c r="K1081" s="274"/>
      <c r="L1081" s="274"/>
      <c r="M1081" s="274"/>
      <c r="N1081" s="274"/>
      <c r="O1081" s="274"/>
      <c r="P1081" s="274"/>
      <c r="Q1081" s="274"/>
      <c r="R1081" s="274"/>
      <c r="S1081" s="274"/>
      <c r="T1081" s="274"/>
      <c r="U1081" s="274"/>
      <c r="V1081" s="274"/>
    </row>
    <row r="1082" spans="1:22" x14ac:dyDescent="0.25">
      <c r="A1082" s="247">
        <v>1080</v>
      </c>
      <c r="B1082" s="270"/>
      <c r="C1082" s="270"/>
      <c r="D1082" s="271"/>
      <c r="E1082" s="272"/>
      <c r="F1082" s="272"/>
      <c r="G1082" s="273"/>
      <c r="H1082" s="274"/>
      <c r="I1082" s="274"/>
      <c r="J1082" s="274"/>
      <c r="K1082" s="274"/>
      <c r="L1082" s="274"/>
      <c r="M1082" s="274"/>
      <c r="N1082" s="274"/>
      <c r="O1082" s="274"/>
      <c r="P1082" s="274"/>
      <c r="Q1082" s="274"/>
      <c r="R1082" s="274"/>
      <c r="S1082" s="274"/>
      <c r="T1082" s="274"/>
      <c r="U1082" s="274"/>
      <c r="V1082" s="274"/>
    </row>
    <row r="1083" spans="1:22" x14ac:dyDescent="0.25">
      <c r="A1083" s="247">
        <v>1081</v>
      </c>
      <c r="B1083" s="270"/>
      <c r="C1083" s="270"/>
      <c r="D1083" s="271"/>
      <c r="E1083" s="272"/>
      <c r="F1083" s="272"/>
      <c r="G1083" s="273"/>
      <c r="H1083" s="274"/>
      <c r="I1083" s="274"/>
      <c r="J1083" s="274"/>
      <c r="K1083" s="274"/>
      <c r="L1083" s="274"/>
      <c r="M1083" s="274"/>
      <c r="N1083" s="274"/>
      <c r="O1083" s="274"/>
      <c r="P1083" s="274"/>
      <c r="Q1083" s="274"/>
      <c r="R1083" s="274"/>
      <c r="S1083" s="274"/>
      <c r="T1083" s="274"/>
      <c r="U1083" s="274"/>
      <c r="V1083" s="274"/>
    </row>
    <row r="1084" spans="1:22" x14ac:dyDescent="0.25">
      <c r="A1084" s="247">
        <v>1082</v>
      </c>
      <c r="B1084" s="270"/>
      <c r="C1084" s="270"/>
      <c r="D1084" s="271"/>
      <c r="E1084" s="272"/>
      <c r="F1084" s="272"/>
      <c r="G1084" s="273"/>
      <c r="H1084" s="274"/>
      <c r="I1084" s="274"/>
      <c r="J1084" s="274"/>
      <c r="K1084" s="274"/>
      <c r="L1084" s="274"/>
      <c r="M1084" s="274"/>
      <c r="N1084" s="274"/>
      <c r="O1084" s="274"/>
      <c r="P1084" s="274"/>
      <c r="Q1084" s="274"/>
      <c r="R1084" s="274"/>
      <c r="S1084" s="274"/>
      <c r="T1084" s="274"/>
      <c r="U1084" s="274"/>
      <c r="V1084" s="274"/>
    </row>
    <row r="1085" spans="1:22" x14ac:dyDescent="0.25">
      <c r="A1085" s="247">
        <v>1083</v>
      </c>
      <c r="B1085" s="270"/>
      <c r="C1085" s="270"/>
      <c r="D1085" s="271"/>
      <c r="E1085" s="272"/>
      <c r="F1085" s="272"/>
      <c r="G1085" s="273"/>
      <c r="H1085" s="274"/>
      <c r="I1085" s="274"/>
      <c r="J1085" s="274"/>
      <c r="K1085" s="274"/>
      <c r="L1085" s="274"/>
      <c r="M1085" s="274"/>
      <c r="N1085" s="274"/>
      <c r="O1085" s="274"/>
      <c r="P1085" s="274"/>
      <c r="Q1085" s="274"/>
      <c r="R1085" s="274"/>
      <c r="S1085" s="274"/>
      <c r="T1085" s="274"/>
      <c r="U1085" s="274"/>
      <c r="V1085" s="274"/>
    </row>
    <row r="1086" spans="1:22" x14ac:dyDescent="0.25">
      <c r="A1086" s="247">
        <v>1084</v>
      </c>
      <c r="B1086" s="270"/>
      <c r="C1086" s="270"/>
      <c r="D1086" s="271"/>
      <c r="E1086" s="272"/>
      <c r="F1086" s="272"/>
      <c r="G1086" s="273"/>
      <c r="H1086" s="274"/>
      <c r="I1086" s="274"/>
      <c r="J1086" s="274"/>
      <c r="K1086" s="274"/>
      <c r="L1086" s="274"/>
      <c r="M1086" s="274"/>
      <c r="N1086" s="274"/>
      <c r="O1086" s="274"/>
      <c r="P1086" s="274"/>
      <c r="Q1086" s="274"/>
      <c r="R1086" s="274"/>
      <c r="S1086" s="274"/>
      <c r="T1086" s="274"/>
      <c r="U1086" s="274"/>
      <c r="V1086" s="274"/>
    </row>
    <row r="1087" spans="1:22" x14ac:dyDescent="0.25">
      <c r="A1087" s="247">
        <v>1085</v>
      </c>
      <c r="B1087" s="270"/>
      <c r="C1087" s="270"/>
      <c r="D1087" s="271"/>
      <c r="E1087" s="272"/>
      <c r="F1087" s="272"/>
      <c r="G1087" s="273"/>
      <c r="H1087" s="274"/>
      <c r="I1087" s="274"/>
      <c r="J1087" s="274"/>
      <c r="K1087" s="274"/>
      <c r="L1087" s="274"/>
      <c r="M1087" s="274"/>
      <c r="N1087" s="274"/>
      <c r="O1087" s="274"/>
      <c r="P1087" s="274"/>
      <c r="Q1087" s="274"/>
      <c r="R1087" s="274"/>
      <c r="S1087" s="274"/>
      <c r="T1087" s="274"/>
      <c r="U1087" s="274"/>
      <c r="V1087" s="274"/>
    </row>
    <row r="1088" spans="1:22" x14ac:dyDescent="0.25">
      <c r="A1088" s="247">
        <v>1086</v>
      </c>
      <c r="B1088" s="270"/>
      <c r="C1088" s="270"/>
      <c r="D1088" s="271"/>
      <c r="E1088" s="272"/>
      <c r="F1088" s="272"/>
      <c r="G1088" s="273"/>
      <c r="H1088" s="274"/>
      <c r="I1088" s="274"/>
      <c r="J1088" s="274"/>
      <c r="K1088" s="274"/>
      <c r="L1088" s="274"/>
      <c r="M1088" s="274"/>
      <c r="N1088" s="274"/>
      <c r="O1088" s="274"/>
      <c r="P1088" s="274"/>
      <c r="Q1088" s="274"/>
      <c r="R1088" s="274"/>
      <c r="S1088" s="274"/>
      <c r="T1088" s="274"/>
      <c r="U1088" s="274"/>
      <c r="V1088" s="274"/>
    </row>
    <row r="1089" spans="1:22" x14ac:dyDescent="0.25">
      <c r="A1089" s="247">
        <v>1087</v>
      </c>
      <c r="B1089" s="270"/>
      <c r="C1089" s="270"/>
      <c r="D1089" s="271"/>
      <c r="E1089" s="272"/>
      <c r="F1089" s="272"/>
      <c r="G1089" s="273"/>
      <c r="H1089" s="274"/>
      <c r="I1089" s="274"/>
      <c r="J1089" s="274"/>
      <c r="K1089" s="274"/>
      <c r="L1089" s="274"/>
      <c r="M1089" s="274"/>
      <c r="N1089" s="274"/>
      <c r="O1089" s="274"/>
      <c r="P1089" s="274"/>
      <c r="Q1089" s="274"/>
      <c r="R1089" s="274"/>
      <c r="S1089" s="274"/>
      <c r="T1089" s="274"/>
      <c r="U1089" s="274"/>
      <c r="V1089" s="274"/>
    </row>
    <row r="1090" spans="1:22" x14ac:dyDescent="0.25">
      <c r="A1090" s="247">
        <v>1088</v>
      </c>
      <c r="B1090" s="270"/>
      <c r="C1090" s="270"/>
      <c r="D1090" s="271"/>
      <c r="E1090" s="272"/>
      <c r="F1090" s="272"/>
      <c r="G1090" s="273"/>
      <c r="H1090" s="274"/>
      <c r="I1090" s="274"/>
      <c r="J1090" s="274"/>
      <c r="K1090" s="274"/>
      <c r="L1090" s="274"/>
      <c r="M1090" s="274"/>
      <c r="N1090" s="274"/>
      <c r="O1090" s="274"/>
      <c r="P1090" s="274"/>
      <c r="Q1090" s="274"/>
      <c r="R1090" s="274"/>
      <c r="S1090" s="274"/>
      <c r="T1090" s="274"/>
      <c r="U1090" s="274"/>
      <c r="V1090" s="274"/>
    </row>
    <row r="1091" spans="1:22" x14ac:dyDescent="0.25">
      <c r="A1091" s="247">
        <v>1089</v>
      </c>
      <c r="B1091" s="270"/>
      <c r="C1091" s="270"/>
      <c r="D1091" s="271"/>
      <c r="E1091" s="272"/>
      <c r="F1091" s="272"/>
      <c r="G1091" s="273"/>
      <c r="H1091" s="274"/>
      <c r="I1091" s="274"/>
      <c r="J1091" s="274"/>
      <c r="K1091" s="274"/>
      <c r="L1091" s="274"/>
      <c r="M1091" s="274"/>
      <c r="N1091" s="274"/>
      <c r="O1091" s="274"/>
      <c r="P1091" s="274"/>
      <c r="Q1091" s="274"/>
      <c r="R1091" s="274"/>
      <c r="S1091" s="274"/>
      <c r="T1091" s="274"/>
      <c r="U1091" s="274"/>
      <c r="V1091" s="274"/>
    </row>
    <row r="1092" spans="1:22" x14ac:dyDescent="0.25">
      <c r="A1092" s="247">
        <v>1090</v>
      </c>
      <c r="B1092" s="270"/>
      <c r="C1092" s="270"/>
      <c r="D1092" s="271"/>
      <c r="E1092" s="272"/>
      <c r="F1092" s="272"/>
      <c r="G1092" s="273"/>
      <c r="H1092" s="274"/>
      <c r="I1092" s="274"/>
      <c r="J1092" s="274"/>
      <c r="K1092" s="274"/>
      <c r="L1092" s="274"/>
      <c r="M1092" s="274"/>
      <c r="N1092" s="274"/>
      <c r="O1092" s="274"/>
      <c r="P1092" s="274"/>
      <c r="Q1092" s="274"/>
      <c r="R1092" s="274"/>
      <c r="S1092" s="274"/>
      <c r="T1092" s="274"/>
      <c r="U1092" s="274"/>
      <c r="V1092" s="274"/>
    </row>
    <row r="1093" spans="1:22" x14ac:dyDescent="0.25">
      <c r="A1093" s="247">
        <v>1091</v>
      </c>
      <c r="B1093" s="270"/>
      <c r="C1093" s="270"/>
      <c r="D1093" s="271"/>
      <c r="E1093" s="272"/>
      <c r="F1093" s="272"/>
      <c r="G1093" s="273"/>
      <c r="H1093" s="274"/>
      <c r="I1093" s="274"/>
      <c r="J1093" s="274"/>
      <c r="K1093" s="274"/>
      <c r="L1093" s="274"/>
      <c r="M1093" s="274"/>
      <c r="N1093" s="274"/>
      <c r="O1093" s="274"/>
      <c r="P1093" s="274"/>
      <c r="Q1093" s="274"/>
      <c r="R1093" s="274"/>
      <c r="S1093" s="274"/>
      <c r="T1093" s="274"/>
      <c r="U1093" s="274"/>
      <c r="V1093" s="274"/>
    </row>
    <row r="1094" spans="1:22" x14ac:dyDescent="0.25">
      <c r="A1094" s="247">
        <v>1092</v>
      </c>
      <c r="B1094" s="270"/>
      <c r="C1094" s="270"/>
      <c r="D1094" s="271"/>
      <c r="E1094" s="272"/>
      <c r="F1094" s="272"/>
      <c r="G1094" s="273"/>
      <c r="H1094" s="274"/>
      <c r="I1094" s="274"/>
      <c r="J1094" s="274"/>
      <c r="K1094" s="274"/>
      <c r="L1094" s="274"/>
      <c r="M1094" s="274"/>
      <c r="N1094" s="274"/>
      <c r="O1094" s="274"/>
      <c r="P1094" s="274"/>
      <c r="Q1094" s="274"/>
      <c r="R1094" s="274"/>
      <c r="S1094" s="274"/>
      <c r="T1094" s="274"/>
      <c r="U1094" s="274"/>
      <c r="V1094" s="274"/>
    </row>
    <row r="1095" spans="1:22" x14ac:dyDescent="0.25">
      <c r="A1095" s="247">
        <v>1093</v>
      </c>
      <c r="B1095" s="270"/>
      <c r="C1095" s="270"/>
      <c r="D1095" s="271"/>
      <c r="E1095" s="272"/>
      <c r="F1095" s="272"/>
      <c r="G1095" s="273"/>
      <c r="H1095" s="274"/>
      <c r="I1095" s="274"/>
      <c r="J1095" s="274"/>
      <c r="K1095" s="274"/>
      <c r="L1095" s="274"/>
      <c r="M1095" s="274"/>
      <c r="N1095" s="274"/>
      <c r="O1095" s="274"/>
      <c r="P1095" s="274"/>
      <c r="Q1095" s="274"/>
      <c r="R1095" s="274"/>
      <c r="S1095" s="274"/>
      <c r="T1095" s="274"/>
      <c r="U1095" s="274"/>
      <c r="V1095" s="274"/>
    </row>
    <row r="1096" spans="1:22" x14ac:dyDescent="0.25">
      <c r="A1096" s="247">
        <v>1094</v>
      </c>
      <c r="B1096" s="270"/>
      <c r="C1096" s="270"/>
      <c r="D1096" s="271"/>
      <c r="E1096" s="272"/>
      <c r="F1096" s="272"/>
      <c r="G1096" s="273"/>
      <c r="H1096" s="274"/>
      <c r="I1096" s="274"/>
      <c r="J1096" s="274"/>
      <c r="K1096" s="274"/>
      <c r="L1096" s="274"/>
      <c r="M1096" s="274"/>
      <c r="N1096" s="274"/>
      <c r="O1096" s="274"/>
      <c r="P1096" s="274"/>
      <c r="Q1096" s="274"/>
      <c r="R1096" s="274"/>
      <c r="S1096" s="274"/>
      <c r="T1096" s="274"/>
      <c r="U1096" s="274"/>
      <c r="V1096" s="274"/>
    </row>
    <row r="1097" spans="1:22" x14ac:dyDescent="0.25">
      <c r="A1097" s="247">
        <v>1095</v>
      </c>
      <c r="B1097" s="270"/>
      <c r="C1097" s="270"/>
      <c r="D1097" s="271"/>
      <c r="E1097" s="272"/>
      <c r="F1097" s="272"/>
      <c r="G1097" s="273"/>
      <c r="H1097" s="274"/>
      <c r="I1097" s="274"/>
      <c r="J1097" s="274"/>
      <c r="K1097" s="274"/>
      <c r="L1097" s="274"/>
      <c r="M1097" s="274"/>
      <c r="N1097" s="274"/>
      <c r="O1097" s="274"/>
      <c r="P1097" s="274"/>
      <c r="Q1097" s="274"/>
      <c r="R1097" s="274"/>
      <c r="S1097" s="274"/>
      <c r="T1097" s="274"/>
      <c r="U1097" s="274"/>
      <c r="V1097" s="274"/>
    </row>
    <row r="1098" spans="1:22" x14ac:dyDescent="0.25">
      <c r="A1098" s="247">
        <v>1096</v>
      </c>
      <c r="B1098" s="270"/>
      <c r="C1098" s="270"/>
      <c r="D1098" s="271"/>
      <c r="E1098" s="272"/>
      <c r="F1098" s="272"/>
      <c r="G1098" s="273"/>
      <c r="H1098" s="274"/>
      <c r="I1098" s="274"/>
      <c r="J1098" s="274"/>
      <c r="K1098" s="274"/>
      <c r="L1098" s="274"/>
      <c r="M1098" s="274"/>
      <c r="N1098" s="274"/>
      <c r="O1098" s="274"/>
      <c r="P1098" s="274"/>
      <c r="Q1098" s="274"/>
      <c r="R1098" s="274"/>
      <c r="S1098" s="274"/>
      <c r="T1098" s="274"/>
      <c r="U1098" s="274"/>
      <c r="V1098" s="274"/>
    </row>
    <row r="1099" spans="1:22" x14ac:dyDescent="0.25">
      <c r="A1099" s="247">
        <v>1097</v>
      </c>
      <c r="B1099" s="270"/>
      <c r="C1099" s="270"/>
      <c r="D1099" s="271"/>
      <c r="E1099" s="272"/>
      <c r="F1099" s="272"/>
      <c r="G1099" s="273"/>
      <c r="H1099" s="274"/>
      <c r="I1099" s="274"/>
      <c r="J1099" s="274"/>
      <c r="K1099" s="274"/>
      <c r="L1099" s="274"/>
      <c r="M1099" s="274"/>
      <c r="N1099" s="274"/>
      <c r="O1099" s="274"/>
      <c r="P1099" s="274"/>
      <c r="Q1099" s="274"/>
      <c r="R1099" s="274"/>
      <c r="S1099" s="274"/>
      <c r="T1099" s="274"/>
      <c r="U1099" s="274"/>
      <c r="V1099" s="274"/>
    </row>
    <row r="1100" spans="1:22" x14ac:dyDescent="0.25">
      <c r="A1100" s="247">
        <v>1098</v>
      </c>
      <c r="B1100" s="270"/>
      <c r="C1100" s="270"/>
      <c r="D1100" s="271"/>
      <c r="E1100" s="272"/>
      <c r="F1100" s="272"/>
      <c r="G1100" s="273"/>
      <c r="H1100" s="274"/>
      <c r="I1100" s="274"/>
      <c r="J1100" s="274"/>
      <c r="K1100" s="274"/>
      <c r="L1100" s="274"/>
      <c r="M1100" s="274"/>
      <c r="N1100" s="274"/>
      <c r="O1100" s="274"/>
      <c r="P1100" s="274"/>
      <c r="Q1100" s="274"/>
      <c r="R1100" s="274"/>
      <c r="S1100" s="274"/>
      <c r="T1100" s="274"/>
      <c r="U1100" s="274"/>
      <c r="V1100" s="274"/>
    </row>
    <row r="1101" spans="1:22" x14ac:dyDescent="0.25">
      <c r="A1101" s="247">
        <v>1099</v>
      </c>
      <c r="B1101" s="270"/>
      <c r="C1101" s="270"/>
      <c r="D1101" s="271"/>
      <c r="E1101" s="272"/>
      <c r="F1101" s="272"/>
      <c r="G1101" s="273"/>
      <c r="H1101" s="274"/>
      <c r="I1101" s="274"/>
      <c r="J1101" s="274"/>
      <c r="K1101" s="274"/>
      <c r="L1101" s="274"/>
      <c r="M1101" s="274"/>
      <c r="N1101" s="274"/>
      <c r="O1101" s="274"/>
      <c r="P1101" s="274"/>
      <c r="Q1101" s="274"/>
      <c r="R1101" s="274"/>
      <c r="S1101" s="274"/>
      <c r="T1101" s="274"/>
      <c r="U1101" s="274"/>
      <c r="V1101" s="274"/>
    </row>
    <row r="1102" spans="1:22" x14ac:dyDescent="0.25">
      <c r="A1102" s="247">
        <v>1100</v>
      </c>
      <c r="B1102" s="270"/>
      <c r="C1102" s="270"/>
      <c r="D1102" s="271"/>
      <c r="E1102" s="272"/>
      <c r="F1102" s="272"/>
      <c r="G1102" s="273"/>
      <c r="H1102" s="274"/>
      <c r="I1102" s="274"/>
      <c r="J1102" s="274"/>
      <c r="K1102" s="274"/>
      <c r="L1102" s="274"/>
      <c r="M1102" s="274"/>
      <c r="N1102" s="274"/>
      <c r="O1102" s="274"/>
      <c r="P1102" s="274"/>
      <c r="Q1102" s="274"/>
      <c r="R1102" s="274"/>
      <c r="S1102" s="274"/>
      <c r="T1102" s="274"/>
      <c r="U1102" s="274"/>
      <c r="V1102" s="274"/>
    </row>
    <row r="1103" spans="1:22" x14ac:dyDescent="0.25">
      <c r="A1103" s="247">
        <v>1101</v>
      </c>
      <c r="B1103" s="270"/>
      <c r="C1103" s="270"/>
      <c r="D1103" s="271"/>
      <c r="E1103" s="272"/>
      <c r="F1103" s="272"/>
      <c r="G1103" s="273"/>
      <c r="H1103" s="274"/>
      <c r="I1103" s="274"/>
      <c r="J1103" s="274"/>
      <c r="K1103" s="274"/>
      <c r="L1103" s="274"/>
      <c r="M1103" s="274"/>
      <c r="N1103" s="274"/>
      <c r="O1103" s="274"/>
      <c r="P1103" s="274"/>
      <c r="Q1103" s="274"/>
      <c r="R1103" s="274"/>
      <c r="S1103" s="274"/>
      <c r="T1103" s="274"/>
      <c r="U1103" s="274"/>
      <c r="V1103" s="274"/>
    </row>
    <row r="1104" spans="1:22" x14ac:dyDescent="0.25">
      <c r="A1104" s="247">
        <v>1102</v>
      </c>
      <c r="B1104" s="270"/>
      <c r="C1104" s="270"/>
      <c r="D1104" s="271"/>
      <c r="E1104" s="272"/>
      <c r="F1104" s="272"/>
      <c r="G1104" s="273"/>
      <c r="H1104" s="274"/>
      <c r="I1104" s="274"/>
      <c r="J1104" s="274"/>
      <c r="K1104" s="274"/>
      <c r="L1104" s="274"/>
      <c r="M1104" s="274"/>
      <c r="N1104" s="274"/>
      <c r="O1104" s="274"/>
      <c r="P1104" s="274"/>
      <c r="Q1104" s="274"/>
      <c r="R1104" s="274"/>
      <c r="S1104" s="274"/>
      <c r="T1104" s="274"/>
      <c r="U1104" s="274"/>
      <c r="V1104" s="274"/>
    </row>
    <row r="1105" spans="1:22" x14ac:dyDescent="0.25">
      <c r="A1105" s="247">
        <v>1103</v>
      </c>
      <c r="B1105" s="270"/>
      <c r="C1105" s="270"/>
      <c r="D1105" s="271"/>
      <c r="E1105" s="272"/>
      <c r="F1105" s="272"/>
      <c r="G1105" s="273"/>
      <c r="H1105" s="274"/>
      <c r="I1105" s="274"/>
      <c r="J1105" s="274"/>
      <c r="K1105" s="274"/>
      <c r="L1105" s="274"/>
      <c r="M1105" s="274"/>
      <c r="N1105" s="274"/>
      <c r="O1105" s="274"/>
      <c r="P1105" s="274"/>
      <c r="Q1105" s="274"/>
      <c r="R1105" s="274"/>
      <c r="S1105" s="274"/>
      <c r="T1105" s="274"/>
      <c r="U1105" s="274"/>
      <c r="V1105" s="274"/>
    </row>
    <row r="1106" spans="1:22" x14ac:dyDescent="0.25">
      <c r="A1106" s="247">
        <v>1104</v>
      </c>
      <c r="B1106" s="270"/>
      <c r="C1106" s="270"/>
      <c r="D1106" s="271"/>
      <c r="E1106" s="272"/>
      <c r="F1106" s="272"/>
      <c r="G1106" s="273"/>
      <c r="H1106" s="274"/>
      <c r="I1106" s="274"/>
      <c r="J1106" s="274"/>
      <c r="K1106" s="274"/>
      <c r="L1106" s="274"/>
      <c r="M1106" s="274"/>
      <c r="N1106" s="274"/>
      <c r="O1106" s="274"/>
      <c r="P1106" s="274"/>
      <c r="Q1106" s="274"/>
      <c r="R1106" s="274"/>
      <c r="S1106" s="274"/>
      <c r="T1106" s="274"/>
      <c r="U1106" s="274"/>
      <c r="V1106" s="274"/>
    </row>
    <row r="1107" spans="1:22" x14ac:dyDescent="0.25">
      <c r="A1107" s="247">
        <v>1105</v>
      </c>
      <c r="B1107" s="270"/>
      <c r="C1107" s="270"/>
      <c r="D1107" s="271"/>
      <c r="E1107" s="272"/>
      <c r="F1107" s="272"/>
      <c r="G1107" s="273"/>
      <c r="H1107" s="274"/>
      <c r="I1107" s="274"/>
      <c r="J1107" s="274"/>
      <c r="K1107" s="274"/>
      <c r="L1107" s="274"/>
      <c r="M1107" s="274"/>
      <c r="N1107" s="274"/>
      <c r="O1107" s="274"/>
      <c r="P1107" s="274"/>
      <c r="Q1107" s="274"/>
      <c r="R1107" s="274"/>
      <c r="S1107" s="274"/>
      <c r="T1107" s="274"/>
      <c r="U1107" s="274"/>
      <c r="V1107" s="274"/>
    </row>
    <row r="1108" spans="1:22" x14ac:dyDescent="0.25">
      <c r="A1108" s="247">
        <v>1106</v>
      </c>
      <c r="B1108" s="270"/>
      <c r="C1108" s="270"/>
      <c r="D1108" s="271"/>
      <c r="E1108" s="272"/>
      <c r="F1108" s="272"/>
      <c r="G1108" s="273"/>
      <c r="H1108" s="274"/>
      <c r="I1108" s="274"/>
      <c r="J1108" s="274"/>
      <c r="K1108" s="274"/>
      <c r="L1108" s="274"/>
      <c r="M1108" s="274"/>
      <c r="N1108" s="274"/>
      <c r="O1108" s="274"/>
      <c r="P1108" s="274"/>
      <c r="Q1108" s="274"/>
      <c r="R1108" s="274"/>
      <c r="S1108" s="274"/>
      <c r="T1108" s="274"/>
      <c r="U1108" s="274"/>
      <c r="V1108" s="274"/>
    </row>
    <row r="1109" spans="1:22" x14ac:dyDescent="0.25">
      <c r="A1109" s="247">
        <v>1107</v>
      </c>
      <c r="B1109" s="270"/>
      <c r="C1109" s="270"/>
      <c r="D1109" s="271"/>
      <c r="E1109" s="272"/>
      <c r="F1109" s="272"/>
      <c r="G1109" s="273"/>
      <c r="H1109" s="274"/>
      <c r="I1109" s="274"/>
      <c r="J1109" s="274"/>
      <c r="K1109" s="274"/>
      <c r="L1109" s="274"/>
      <c r="M1109" s="274"/>
      <c r="N1109" s="274"/>
      <c r="O1109" s="274"/>
      <c r="P1109" s="274"/>
      <c r="Q1109" s="274"/>
      <c r="R1109" s="274"/>
      <c r="S1109" s="274"/>
      <c r="T1109" s="274"/>
      <c r="U1109" s="274"/>
      <c r="V1109" s="274"/>
    </row>
    <row r="1110" spans="1:22" x14ac:dyDescent="0.25">
      <c r="A1110" s="247">
        <v>1108</v>
      </c>
      <c r="B1110" s="270"/>
      <c r="C1110" s="270"/>
      <c r="D1110" s="271"/>
      <c r="E1110" s="272"/>
      <c r="F1110" s="272"/>
      <c r="G1110" s="273"/>
      <c r="H1110" s="274"/>
      <c r="I1110" s="274"/>
      <c r="J1110" s="274"/>
      <c r="K1110" s="274"/>
      <c r="L1110" s="274"/>
      <c r="M1110" s="274"/>
      <c r="N1110" s="274"/>
      <c r="O1110" s="274"/>
      <c r="P1110" s="274"/>
      <c r="Q1110" s="274"/>
      <c r="R1110" s="274"/>
      <c r="S1110" s="274"/>
      <c r="T1110" s="274"/>
      <c r="U1110" s="274"/>
      <c r="V1110" s="274"/>
    </row>
    <row r="1111" spans="1:22" x14ac:dyDescent="0.25">
      <c r="A1111" s="247">
        <v>1109</v>
      </c>
      <c r="B1111" s="270"/>
      <c r="C1111" s="270"/>
      <c r="D1111" s="271"/>
      <c r="E1111" s="272"/>
      <c r="F1111" s="272"/>
      <c r="G1111" s="273"/>
      <c r="H1111" s="274"/>
      <c r="I1111" s="274"/>
      <c r="J1111" s="274"/>
      <c r="K1111" s="274"/>
      <c r="L1111" s="274"/>
      <c r="M1111" s="274"/>
      <c r="N1111" s="274"/>
      <c r="O1111" s="274"/>
      <c r="P1111" s="274"/>
      <c r="Q1111" s="274"/>
      <c r="R1111" s="274"/>
      <c r="S1111" s="274"/>
      <c r="T1111" s="274"/>
      <c r="U1111" s="274"/>
      <c r="V1111" s="274"/>
    </row>
    <row r="1112" spans="1:22" x14ac:dyDescent="0.25">
      <c r="A1112" s="247">
        <v>1110</v>
      </c>
      <c r="B1112" s="270"/>
      <c r="C1112" s="270"/>
      <c r="D1112" s="271"/>
      <c r="E1112" s="272"/>
      <c r="F1112" s="272"/>
      <c r="G1112" s="273"/>
      <c r="H1112" s="274"/>
      <c r="I1112" s="274"/>
      <c r="J1112" s="274"/>
      <c r="K1112" s="274"/>
      <c r="L1112" s="274"/>
      <c r="M1112" s="274"/>
      <c r="N1112" s="274"/>
      <c r="O1112" s="274"/>
      <c r="P1112" s="274"/>
      <c r="Q1112" s="274"/>
      <c r="R1112" s="274"/>
      <c r="S1112" s="274"/>
      <c r="T1112" s="274"/>
      <c r="U1112" s="274"/>
      <c r="V1112" s="274"/>
    </row>
    <row r="1113" spans="1:22" x14ac:dyDescent="0.25">
      <c r="A1113" s="247">
        <v>1111</v>
      </c>
      <c r="B1113" s="270"/>
      <c r="C1113" s="270"/>
      <c r="D1113" s="271"/>
      <c r="E1113" s="272"/>
      <c r="F1113" s="272"/>
      <c r="G1113" s="273"/>
      <c r="H1113" s="274"/>
      <c r="I1113" s="274"/>
      <c r="J1113" s="274"/>
      <c r="K1113" s="274"/>
      <c r="L1113" s="274"/>
      <c r="M1113" s="274"/>
      <c r="N1113" s="274"/>
      <c r="O1113" s="274"/>
      <c r="P1113" s="274"/>
      <c r="Q1113" s="274"/>
      <c r="R1113" s="274"/>
      <c r="S1113" s="274"/>
      <c r="T1113" s="274"/>
      <c r="U1113" s="274"/>
      <c r="V1113" s="274"/>
    </row>
    <row r="1114" spans="1:22" x14ac:dyDescent="0.25">
      <c r="A1114" s="247">
        <v>1112</v>
      </c>
      <c r="B1114" s="270"/>
      <c r="C1114" s="270"/>
      <c r="D1114" s="271"/>
      <c r="E1114" s="272"/>
      <c r="F1114" s="272"/>
      <c r="G1114" s="273"/>
      <c r="H1114" s="274"/>
      <c r="I1114" s="274"/>
      <c r="J1114" s="274"/>
      <c r="K1114" s="274"/>
      <c r="L1114" s="274"/>
      <c r="M1114" s="274"/>
      <c r="N1114" s="274"/>
      <c r="O1114" s="274"/>
      <c r="P1114" s="274"/>
      <c r="Q1114" s="274"/>
      <c r="R1114" s="274"/>
      <c r="S1114" s="274"/>
      <c r="T1114" s="274"/>
      <c r="U1114" s="274"/>
      <c r="V1114" s="274"/>
    </row>
    <row r="1115" spans="1:22" x14ac:dyDescent="0.25">
      <c r="A1115" s="247">
        <v>1113</v>
      </c>
      <c r="B1115" s="270"/>
      <c r="C1115" s="270"/>
      <c r="D1115" s="271"/>
      <c r="E1115" s="272"/>
      <c r="F1115" s="272"/>
      <c r="G1115" s="273"/>
      <c r="H1115" s="274"/>
      <c r="I1115" s="274"/>
      <c r="J1115" s="274"/>
      <c r="K1115" s="274"/>
      <c r="L1115" s="274"/>
      <c r="M1115" s="274"/>
      <c r="N1115" s="274"/>
      <c r="O1115" s="274"/>
      <c r="P1115" s="274"/>
      <c r="Q1115" s="274"/>
      <c r="R1115" s="274"/>
      <c r="S1115" s="274"/>
      <c r="T1115" s="274"/>
      <c r="U1115" s="274"/>
      <c r="V1115" s="274"/>
    </row>
    <row r="1116" spans="1:22" x14ac:dyDescent="0.25">
      <c r="A1116" s="247">
        <v>1114</v>
      </c>
      <c r="B1116" s="270"/>
      <c r="C1116" s="270"/>
      <c r="D1116" s="271"/>
      <c r="E1116" s="272"/>
      <c r="F1116" s="272"/>
      <c r="G1116" s="273"/>
      <c r="H1116" s="274"/>
      <c r="I1116" s="274"/>
      <c r="J1116" s="274"/>
      <c r="K1116" s="274"/>
      <c r="L1116" s="274"/>
      <c r="M1116" s="274"/>
      <c r="N1116" s="274"/>
      <c r="O1116" s="274"/>
      <c r="P1116" s="274"/>
      <c r="Q1116" s="274"/>
      <c r="R1116" s="274"/>
      <c r="S1116" s="274"/>
      <c r="T1116" s="274"/>
      <c r="U1116" s="274"/>
      <c r="V1116" s="274"/>
    </row>
    <row r="1117" spans="1:22" x14ac:dyDescent="0.25">
      <c r="A1117" s="247">
        <v>1115</v>
      </c>
      <c r="B1117" s="270"/>
      <c r="C1117" s="270"/>
      <c r="D1117" s="271"/>
      <c r="E1117" s="272"/>
      <c r="F1117" s="272"/>
      <c r="G1117" s="273"/>
      <c r="H1117" s="274"/>
      <c r="I1117" s="274"/>
      <c r="J1117" s="274"/>
      <c r="K1117" s="274"/>
      <c r="L1117" s="274"/>
      <c r="M1117" s="274"/>
      <c r="N1117" s="274"/>
      <c r="O1117" s="274"/>
      <c r="P1117" s="274"/>
      <c r="Q1117" s="274"/>
      <c r="R1117" s="274"/>
      <c r="S1117" s="274"/>
      <c r="T1117" s="274"/>
      <c r="U1117" s="274"/>
      <c r="V1117" s="274"/>
    </row>
    <row r="1118" spans="1:22" x14ac:dyDescent="0.25">
      <c r="A1118" s="247">
        <v>1116</v>
      </c>
      <c r="B1118" s="270"/>
      <c r="C1118" s="270"/>
      <c r="D1118" s="271"/>
      <c r="E1118" s="272"/>
      <c r="F1118" s="272"/>
      <c r="G1118" s="273"/>
      <c r="H1118" s="274"/>
      <c r="I1118" s="274"/>
      <c r="J1118" s="274"/>
      <c r="K1118" s="274"/>
      <c r="L1118" s="274"/>
      <c r="M1118" s="274"/>
      <c r="N1118" s="274"/>
      <c r="O1118" s="274"/>
      <c r="P1118" s="274"/>
      <c r="Q1118" s="274"/>
      <c r="R1118" s="274"/>
      <c r="S1118" s="274"/>
      <c r="T1118" s="274"/>
      <c r="U1118" s="274"/>
      <c r="V1118" s="274"/>
    </row>
    <row r="1119" spans="1:22" x14ac:dyDescent="0.25">
      <c r="A1119" s="247">
        <v>1117</v>
      </c>
      <c r="B1119" s="270"/>
      <c r="C1119" s="270"/>
      <c r="D1119" s="271"/>
      <c r="E1119" s="272"/>
      <c r="F1119" s="272"/>
      <c r="G1119" s="273"/>
      <c r="H1119" s="274"/>
      <c r="I1119" s="274"/>
      <c r="J1119" s="274"/>
      <c r="K1119" s="274"/>
      <c r="L1119" s="274"/>
      <c r="M1119" s="274"/>
      <c r="N1119" s="274"/>
      <c r="O1119" s="274"/>
      <c r="P1119" s="274"/>
      <c r="Q1119" s="274"/>
      <c r="R1119" s="274"/>
      <c r="S1119" s="274"/>
      <c r="T1119" s="274"/>
      <c r="U1119" s="274"/>
      <c r="V1119" s="274"/>
    </row>
    <row r="1120" spans="1:22" x14ac:dyDescent="0.25">
      <c r="A1120" s="247">
        <v>1118</v>
      </c>
      <c r="B1120" s="270"/>
      <c r="C1120" s="270"/>
      <c r="D1120" s="271"/>
      <c r="E1120" s="272"/>
      <c r="F1120" s="272"/>
      <c r="G1120" s="273"/>
      <c r="H1120" s="274"/>
      <c r="I1120" s="274"/>
      <c r="J1120" s="274"/>
      <c r="K1120" s="274"/>
      <c r="L1120" s="274"/>
      <c r="M1120" s="274"/>
      <c r="N1120" s="274"/>
      <c r="O1120" s="274"/>
      <c r="P1120" s="274"/>
      <c r="Q1120" s="274"/>
      <c r="R1120" s="274"/>
      <c r="S1120" s="274"/>
      <c r="T1120" s="274"/>
      <c r="U1120" s="274"/>
      <c r="V1120" s="274"/>
    </row>
    <row r="1121" spans="1:22" x14ac:dyDescent="0.25">
      <c r="A1121" s="247">
        <v>1119</v>
      </c>
      <c r="B1121" s="270"/>
      <c r="C1121" s="270"/>
      <c r="D1121" s="271"/>
      <c r="E1121" s="272"/>
      <c r="F1121" s="272"/>
      <c r="G1121" s="273"/>
      <c r="H1121" s="274"/>
      <c r="I1121" s="274"/>
      <c r="J1121" s="274"/>
      <c r="K1121" s="274"/>
      <c r="L1121" s="274"/>
      <c r="M1121" s="274"/>
      <c r="N1121" s="274"/>
      <c r="O1121" s="274"/>
      <c r="P1121" s="274"/>
      <c r="Q1121" s="274"/>
      <c r="R1121" s="274"/>
      <c r="S1121" s="274"/>
      <c r="T1121" s="274"/>
      <c r="U1121" s="274"/>
      <c r="V1121" s="274"/>
    </row>
    <row r="1122" spans="1:22" x14ac:dyDescent="0.25">
      <c r="A1122" s="247">
        <v>1120</v>
      </c>
      <c r="B1122" s="270"/>
      <c r="C1122" s="270"/>
      <c r="D1122" s="271"/>
      <c r="E1122" s="272"/>
      <c r="F1122" s="272"/>
      <c r="G1122" s="273"/>
      <c r="H1122" s="274"/>
      <c r="I1122" s="274"/>
      <c r="J1122" s="274"/>
      <c r="K1122" s="274"/>
      <c r="L1122" s="274"/>
      <c r="M1122" s="274"/>
      <c r="N1122" s="274"/>
      <c r="O1122" s="274"/>
      <c r="P1122" s="274"/>
      <c r="Q1122" s="274"/>
      <c r="R1122" s="274"/>
      <c r="S1122" s="274"/>
      <c r="T1122" s="274"/>
      <c r="U1122" s="274"/>
      <c r="V1122" s="274"/>
    </row>
    <row r="1123" spans="1:22" x14ac:dyDescent="0.25">
      <c r="A1123" s="247">
        <v>1121</v>
      </c>
      <c r="B1123" s="270"/>
      <c r="C1123" s="270"/>
      <c r="D1123" s="271"/>
      <c r="E1123" s="272"/>
      <c r="F1123" s="272"/>
      <c r="G1123" s="273"/>
      <c r="H1123" s="274"/>
      <c r="I1123" s="274"/>
      <c r="J1123" s="274"/>
      <c r="K1123" s="274"/>
      <c r="L1123" s="274"/>
      <c r="M1123" s="274"/>
      <c r="N1123" s="274"/>
      <c r="O1123" s="274"/>
      <c r="P1123" s="274"/>
      <c r="Q1123" s="274"/>
      <c r="R1123" s="274"/>
      <c r="S1123" s="274"/>
      <c r="T1123" s="274"/>
      <c r="U1123" s="274"/>
      <c r="V1123" s="274"/>
    </row>
    <row r="1124" spans="1:22" x14ac:dyDescent="0.25">
      <c r="A1124" s="247">
        <v>1122</v>
      </c>
      <c r="B1124" s="270"/>
      <c r="C1124" s="270"/>
      <c r="D1124" s="271"/>
      <c r="E1124" s="272"/>
      <c r="F1124" s="272"/>
      <c r="G1124" s="273"/>
      <c r="H1124" s="274"/>
      <c r="I1124" s="274"/>
      <c r="J1124" s="274"/>
      <c r="K1124" s="274"/>
      <c r="L1124" s="274"/>
      <c r="M1124" s="274"/>
      <c r="N1124" s="274"/>
      <c r="O1124" s="274"/>
      <c r="P1124" s="274"/>
      <c r="Q1124" s="274"/>
      <c r="R1124" s="274"/>
      <c r="S1124" s="274"/>
      <c r="T1124" s="274"/>
      <c r="U1124" s="274"/>
      <c r="V1124" s="274"/>
    </row>
    <row r="1125" spans="1:22" x14ac:dyDescent="0.25">
      <c r="A1125" s="247">
        <v>1123</v>
      </c>
      <c r="B1125" s="270"/>
      <c r="C1125" s="270"/>
      <c r="D1125" s="271"/>
      <c r="E1125" s="272"/>
      <c r="F1125" s="272"/>
      <c r="G1125" s="273"/>
      <c r="H1125" s="274"/>
      <c r="I1125" s="274"/>
      <c r="J1125" s="274"/>
      <c r="K1125" s="274"/>
      <c r="L1125" s="274"/>
      <c r="M1125" s="274"/>
      <c r="N1125" s="274"/>
      <c r="O1125" s="274"/>
      <c r="P1125" s="274"/>
      <c r="Q1125" s="274"/>
      <c r="R1125" s="274"/>
      <c r="S1125" s="274"/>
      <c r="T1125" s="274"/>
      <c r="U1125" s="274"/>
      <c r="V1125" s="274"/>
    </row>
    <row r="1126" spans="1:22" x14ac:dyDescent="0.25">
      <c r="A1126" s="247">
        <v>1124</v>
      </c>
      <c r="B1126" s="270"/>
      <c r="C1126" s="270"/>
      <c r="D1126" s="271"/>
      <c r="E1126" s="272"/>
      <c r="F1126" s="272"/>
      <c r="G1126" s="273"/>
      <c r="H1126" s="274"/>
      <c r="I1126" s="274"/>
      <c r="J1126" s="274"/>
      <c r="K1126" s="274"/>
      <c r="L1126" s="274"/>
      <c r="M1126" s="274"/>
      <c r="N1126" s="274"/>
      <c r="O1126" s="274"/>
      <c r="P1126" s="274"/>
      <c r="Q1126" s="274"/>
      <c r="R1126" s="274"/>
      <c r="S1126" s="274"/>
      <c r="T1126" s="274"/>
      <c r="U1126" s="274"/>
      <c r="V1126" s="274"/>
    </row>
    <row r="1127" spans="1:22" x14ac:dyDescent="0.25">
      <c r="A1127" s="247">
        <v>1125</v>
      </c>
      <c r="B1127" s="270"/>
      <c r="C1127" s="270"/>
      <c r="D1127" s="271"/>
      <c r="E1127" s="272"/>
      <c r="F1127" s="272"/>
      <c r="G1127" s="273"/>
      <c r="H1127" s="274"/>
      <c r="I1127" s="274"/>
      <c r="J1127" s="274"/>
      <c r="K1127" s="274"/>
      <c r="L1127" s="274"/>
      <c r="M1127" s="274"/>
      <c r="N1127" s="274"/>
      <c r="O1127" s="274"/>
      <c r="P1127" s="274"/>
      <c r="Q1127" s="274"/>
      <c r="R1127" s="274"/>
      <c r="S1127" s="274"/>
      <c r="T1127" s="274"/>
      <c r="U1127" s="274"/>
      <c r="V1127" s="274"/>
    </row>
    <row r="1128" spans="1:22" x14ac:dyDescent="0.25">
      <c r="A1128" s="247">
        <v>1126</v>
      </c>
      <c r="B1128" s="270"/>
      <c r="C1128" s="270"/>
      <c r="D1128" s="271"/>
      <c r="E1128" s="272"/>
      <c r="F1128" s="272"/>
      <c r="G1128" s="273"/>
      <c r="H1128" s="274"/>
      <c r="I1128" s="274"/>
      <c r="J1128" s="274"/>
      <c r="K1128" s="274"/>
      <c r="L1128" s="274"/>
      <c r="M1128" s="274"/>
      <c r="N1128" s="274"/>
      <c r="O1128" s="274"/>
      <c r="P1128" s="274"/>
      <c r="Q1128" s="274"/>
      <c r="R1128" s="274"/>
      <c r="S1128" s="274"/>
      <c r="T1128" s="274"/>
      <c r="U1128" s="274"/>
      <c r="V1128" s="274"/>
    </row>
    <row r="1129" spans="1:22" x14ac:dyDescent="0.25">
      <c r="A1129" s="247">
        <v>1127</v>
      </c>
      <c r="B1129" s="270"/>
      <c r="C1129" s="270"/>
      <c r="D1129" s="271"/>
      <c r="E1129" s="272"/>
      <c r="F1129" s="272"/>
      <c r="G1129" s="273"/>
      <c r="H1129" s="274"/>
      <c r="I1129" s="274"/>
      <c r="J1129" s="274"/>
      <c r="K1129" s="274"/>
      <c r="L1129" s="274"/>
      <c r="M1129" s="274"/>
      <c r="N1129" s="274"/>
      <c r="O1129" s="274"/>
      <c r="P1129" s="274"/>
      <c r="Q1129" s="274"/>
      <c r="R1129" s="274"/>
      <c r="S1129" s="274"/>
      <c r="T1129" s="274"/>
      <c r="U1129" s="274"/>
      <c r="V1129" s="274"/>
    </row>
    <row r="1130" spans="1:22" x14ac:dyDescent="0.25">
      <c r="A1130" s="247">
        <v>1128</v>
      </c>
      <c r="B1130" s="270"/>
      <c r="C1130" s="270"/>
      <c r="D1130" s="271"/>
      <c r="E1130" s="272"/>
      <c r="F1130" s="272"/>
      <c r="G1130" s="273"/>
      <c r="H1130" s="274"/>
      <c r="I1130" s="274"/>
      <c r="J1130" s="274"/>
      <c r="K1130" s="274"/>
      <c r="L1130" s="274"/>
      <c r="M1130" s="274"/>
      <c r="N1130" s="274"/>
      <c r="O1130" s="274"/>
      <c r="P1130" s="274"/>
      <c r="Q1130" s="274"/>
      <c r="R1130" s="274"/>
      <c r="S1130" s="274"/>
      <c r="T1130" s="274"/>
      <c r="U1130" s="274"/>
      <c r="V1130" s="274"/>
    </row>
    <row r="1131" spans="1:22" x14ac:dyDescent="0.25">
      <c r="A1131" s="247">
        <v>1129</v>
      </c>
      <c r="B1131" s="270"/>
      <c r="C1131" s="270"/>
      <c r="D1131" s="271"/>
      <c r="E1131" s="272"/>
      <c r="F1131" s="272"/>
      <c r="G1131" s="273"/>
      <c r="H1131" s="274"/>
      <c r="I1131" s="274"/>
      <c r="J1131" s="274"/>
      <c r="K1131" s="274"/>
      <c r="L1131" s="274"/>
      <c r="M1131" s="274"/>
      <c r="N1131" s="274"/>
      <c r="O1131" s="274"/>
      <c r="P1131" s="274"/>
      <c r="Q1131" s="274"/>
      <c r="R1131" s="274"/>
      <c r="S1131" s="274"/>
      <c r="T1131" s="274"/>
      <c r="U1131" s="274"/>
      <c r="V1131" s="274"/>
    </row>
    <row r="1132" spans="1:22" x14ac:dyDescent="0.25">
      <c r="A1132" s="247">
        <v>1130</v>
      </c>
      <c r="B1132" s="270"/>
      <c r="C1132" s="270"/>
      <c r="D1132" s="271"/>
      <c r="E1132" s="272"/>
      <c r="F1132" s="272"/>
      <c r="G1132" s="273"/>
      <c r="H1132" s="274"/>
      <c r="I1132" s="274"/>
      <c r="J1132" s="274"/>
      <c r="K1132" s="274"/>
      <c r="L1132" s="274"/>
      <c r="M1132" s="274"/>
      <c r="N1132" s="274"/>
      <c r="O1132" s="274"/>
      <c r="P1132" s="274"/>
      <c r="Q1132" s="274"/>
      <c r="R1132" s="274"/>
      <c r="S1132" s="274"/>
      <c r="T1132" s="274"/>
      <c r="U1132" s="274"/>
      <c r="V1132" s="274"/>
    </row>
    <row r="1133" spans="1:22" x14ac:dyDescent="0.25">
      <c r="A1133" s="247">
        <v>1131</v>
      </c>
      <c r="B1133" s="270"/>
      <c r="C1133" s="270"/>
      <c r="D1133" s="271"/>
      <c r="E1133" s="272"/>
      <c r="F1133" s="272"/>
      <c r="G1133" s="273"/>
      <c r="H1133" s="274"/>
      <c r="I1133" s="274"/>
      <c r="J1133" s="274"/>
      <c r="K1133" s="274"/>
      <c r="L1133" s="274"/>
      <c r="M1133" s="274"/>
      <c r="N1133" s="274"/>
      <c r="O1133" s="274"/>
      <c r="P1133" s="274"/>
      <c r="Q1133" s="274"/>
      <c r="R1133" s="274"/>
      <c r="S1133" s="274"/>
      <c r="T1133" s="274"/>
      <c r="U1133" s="274"/>
      <c r="V1133" s="274"/>
    </row>
    <row r="1134" spans="1:22" x14ac:dyDescent="0.25">
      <c r="A1134" s="247">
        <v>1132</v>
      </c>
      <c r="B1134" s="270"/>
      <c r="C1134" s="270"/>
      <c r="D1134" s="271"/>
      <c r="E1134" s="272"/>
      <c r="F1134" s="272"/>
      <c r="G1134" s="273"/>
      <c r="H1134" s="274"/>
      <c r="I1134" s="274"/>
      <c r="J1134" s="274"/>
      <c r="K1134" s="274"/>
      <c r="L1134" s="274"/>
      <c r="M1134" s="274"/>
      <c r="N1134" s="274"/>
      <c r="O1134" s="274"/>
      <c r="P1134" s="274"/>
      <c r="Q1134" s="274"/>
      <c r="R1134" s="274"/>
      <c r="S1134" s="274"/>
      <c r="T1134" s="274"/>
      <c r="U1134" s="274"/>
      <c r="V1134" s="274"/>
    </row>
    <row r="1135" spans="1:22" x14ac:dyDescent="0.25">
      <c r="A1135" s="247">
        <v>1133</v>
      </c>
      <c r="B1135" s="270"/>
      <c r="C1135" s="270"/>
      <c r="D1135" s="271"/>
      <c r="E1135" s="272"/>
      <c r="F1135" s="272"/>
      <c r="G1135" s="273"/>
      <c r="H1135" s="274"/>
      <c r="I1135" s="274"/>
      <c r="J1135" s="274"/>
      <c r="K1135" s="274"/>
      <c r="L1135" s="274"/>
      <c r="M1135" s="274"/>
      <c r="N1135" s="274"/>
      <c r="O1135" s="274"/>
      <c r="P1135" s="274"/>
      <c r="Q1135" s="274"/>
      <c r="R1135" s="274"/>
      <c r="S1135" s="274"/>
      <c r="T1135" s="274"/>
      <c r="U1135" s="274"/>
      <c r="V1135" s="274"/>
    </row>
    <row r="1136" spans="1:22" x14ac:dyDescent="0.25">
      <c r="A1136" s="247">
        <v>1134</v>
      </c>
      <c r="B1136" s="270"/>
      <c r="C1136" s="270"/>
      <c r="D1136" s="271"/>
      <c r="E1136" s="272"/>
      <c r="F1136" s="272"/>
      <c r="G1136" s="273"/>
      <c r="H1136" s="274"/>
      <c r="I1136" s="274"/>
      <c r="J1136" s="274"/>
      <c r="K1136" s="274"/>
      <c r="L1136" s="274"/>
      <c r="M1136" s="274"/>
      <c r="N1136" s="274"/>
      <c r="O1136" s="274"/>
      <c r="P1136" s="274"/>
      <c r="Q1136" s="274"/>
      <c r="R1136" s="274"/>
      <c r="S1136" s="274"/>
      <c r="T1136" s="274"/>
      <c r="U1136" s="274"/>
      <c r="V1136" s="274"/>
    </row>
    <row r="1137" spans="1:22" x14ac:dyDescent="0.25">
      <c r="A1137" s="247">
        <v>1135</v>
      </c>
      <c r="B1137" s="270"/>
      <c r="C1137" s="270"/>
      <c r="D1137" s="271"/>
      <c r="E1137" s="272"/>
      <c r="F1137" s="272"/>
      <c r="G1137" s="273"/>
      <c r="H1137" s="274"/>
      <c r="I1137" s="274"/>
      <c r="J1137" s="274"/>
      <c r="K1137" s="274"/>
      <c r="L1137" s="274"/>
      <c r="M1137" s="274"/>
      <c r="N1137" s="274"/>
      <c r="O1137" s="274"/>
      <c r="P1137" s="274"/>
      <c r="Q1137" s="274"/>
      <c r="R1137" s="274"/>
      <c r="S1137" s="274"/>
      <c r="T1137" s="274"/>
      <c r="U1137" s="274"/>
      <c r="V1137" s="274"/>
    </row>
    <row r="1138" spans="1:22" x14ac:dyDescent="0.25">
      <c r="A1138" s="247">
        <v>1136</v>
      </c>
      <c r="B1138" s="270"/>
      <c r="C1138" s="270"/>
      <c r="D1138" s="271"/>
      <c r="E1138" s="272"/>
      <c r="F1138" s="272"/>
      <c r="G1138" s="273"/>
      <c r="H1138" s="274"/>
      <c r="I1138" s="274"/>
      <c r="J1138" s="274"/>
      <c r="K1138" s="274"/>
      <c r="L1138" s="274"/>
      <c r="M1138" s="274"/>
      <c r="N1138" s="274"/>
      <c r="O1138" s="274"/>
      <c r="P1138" s="274"/>
      <c r="Q1138" s="274"/>
      <c r="R1138" s="274"/>
      <c r="S1138" s="274"/>
      <c r="T1138" s="274"/>
      <c r="U1138" s="274"/>
      <c r="V1138" s="274"/>
    </row>
    <row r="1139" spans="1:22" x14ac:dyDescent="0.25">
      <c r="A1139" s="247">
        <v>1137</v>
      </c>
      <c r="B1139" s="270"/>
      <c r="C1139" s="270"/>
      <c r="D1139" s="271"/>
      <c r="E1139" s="272"/>
      <c r="F1139" s="272"/>
      <c r="G1139" s="273"/>
      <c r="H1139" s="274"/>
      <c r="I1139" s="274"/>
      <c r="J1139" s="274"/>
      <c r="K1139" s="274"/>
      <c r="L1139" s="274"/>
      <c r="M1139" s="274"/>
      <c r="N1139" s="274"/>
      <c r="O1139" s="274"/>
      <c r="P1139" s="274"/>
      <c r="Q1139" s="274"/>
      <c r="R1139" s="274"/>
      <c r="S1139" s="274"/>
      <c r="T1139" s="274"/>
      <c r="U1139" s="274"/>
      <c r="V1139" s="274"/>
    </row>
    <row r="1140" spans="1:22" x14ac:dyDescent="0.25">
      <c r="A1140" s="247">
        <v>1138</v>
      </c>
      <c r="B1140" s="270"/>
      <c r="C1140" s="270"/>
      <c r="D1140" s="271"/>
      <c r="E1140" s="272"/>
      <c r="F1140" s="272"/>
      <c r="G1140" s="273"/>
      <c r="H1140" s="274"/>
      <c r="I1140" s="274"/>
      <c r="J1140" s="274"/>
      <c r="K1140" s="274"/>
      <c r="L1140" s="274"/>
      <c r="M1140" s="274"/>
      <c r="N1140" s="274"/>
      <c r="O1140" s="274"/>
      <c r="P1140" s="274"/>
      <c r="Q1140" s="274"/>
      <c r="R1140" s="274"/>
      <c r="S1140" s="274"/>
      <c r="T1140" s="274"/>
      <c r="U1140" s="274"/>
      <c r="V1140" s="274"/>
    </row>
    <row r="1141" spans="1:22" x14ac:dyDescent="0.25">
      <c r="A1141" s="247">
        <v>1139</v>
      </c>
      <c r="B1141" s="270"/>
      <c r="C1141" s="270"/>
      <c r="D1141" s="271"/>
      <c r="E1141" s="272"/>
      <c r="F1141" s="272"/>
      <c r="G1141" s="273"/>
      <c r="H1141" s="274"/>
      <c r="I1141" s="274"/>
      <c r="J1141" s="274"/>
      <c r="K1141" s="274"/>
      <c r="L1141" s="274"/>
      <c r="M1141" s="274"/>
      <c r="N1141" s="274"/>
      <c r="O1141" s="274"/>
      <c r="P1141" s="274"/>
      <c r="Q1141" s="274"/>
      <c r="R1141" s="274"/>
      <c r="S1141" s="274"/>
      <c r="T1141" s="274"/>
      <c r="U1141" s="274"/>
      <c r="V1141" s="274"/>
    </row>
    <row r="1142" spans="1:22" x14ac:dyDescent="0.25">
      <c r="A1142" s="247">
        <v>1140</v>
      </c>
      <c r="B1142" s="270"/>
      <c r="C1142" s="270"/>
      <c r="D1142" s="271"/>
      <c r="E1142" s="272"/>
      <c r="F1142" s="272"/>
      <c r="G1142" s="273"/>
      <c r="H1142" s="274"/>
      <c r="I1142" s="274"/>
      <c r="J1142" s="274"/>
      <c r="K1142" s="274"/>
      <c r="L1142" s="274"/>
      <c r="M1142" s="274"/>
      <c r="N1142" s="274"/>
      <c r="O1142" s="274"/>
      <c r="P1142" s="274"/>
      <c r="Q1142" s="274"/>
      <c r="R1142" s="274"/>
      <c r="S1142" s="274"/>
      <c r="T1142" s="274"/>
      <c r="U1142" s="274"/>
      <c r="V1142" s="274"/>
    </row>
    <row r="1143" spans="1:22" x14ac:dyDescent="0.25">
      <c r="A1143" s="247">
        <v>1141</v>
      </c>
      <c r="B1143" s="270"/>
      <c r="C1143" s="270"/>
      <c r="D1143" s="271"/>
      <c r="E1143" s="272"/>
      <c r="F1143" s="272"/>
      <c r="G1143" s="273"/>
      <c r="H1143" s="274"/>
      <c r="I1143" s="274"/>
      <c r="J1143" s="274"/>
      <c r="K1143" s="274"/>
      <c r="L1143" s="274"/>
      <c r="M1143" s="274"/>
      <c r="N1143" s="274"/>
      <c r="O1143" s="274"/>
      <c r="P1143" s="274"/>
      <c r="Q1143" s="274"/>
      <c r="R1143" s="274"/>
      <c r="S1143" s="274"/>
      <c r="T1143" s="274"/>
      <c r="U1143" s="274"/>
      <c r="V1143" s="274"/>
    </row>
    <row r="1144" spans="1:22" x14ac:dyDescent="0.25">
      <c r="A1144" s="247">
        <v>1142</v>
      </c>
      <c r="B1144" s="270"/>
      <c r="C1144" s="270"/>
      <c r="D1144" s="271"/>
      <c r="E1144" s="272"/>
      <c r="F1144" s="272"/>
      <c r="G1144" s="273"/>
      <c r="H1144" s="274"/>
      <c r="I1144" s="274"/>
      <c r="J1144" s="274"/>
      <c r="K1144" s="274"/>
      <c r="L1144" s="274"/>
      <c r="M1144" s="274"/>
      <c r="N1144" s="274"/>
      <c r="O1144" s="274"/>
      <c r="P1144" s="274"/>
      <c r="Q1144" s="274"/>
      <c r="R1144" s="274"/>
      <c r="S1144" s="274"/>
      <c r="T1144" s="274"/>
      <c r="U1144" s="274"/>
      <c r="V1144" s="274"/>
    </row>
    <row r="1145" spans="1:22" x14ac:dyDescent="0.25">
      <c r="A1145" s="247">
        <v>1143</v>
      </c>
      <c r="B1145" s="270"/>
      <c r="C1145" s="270"/>
      <c r="D1145" s="271"/>
      <c r="E1145" s="272"/>
      <c r="F1145" s="272"/>
      <c r="G1145" s="273"/>
      <c r="H1145" s="274"/>
      <c r="I1145" s="274"/>
      <c r="J1145" s="274"/>
      <c r="K1145" s="274"/>
      <c r="L1145" s="274"/>
      <c r="M1145" s="274"/>
      <c r="N1145" s="274"/>
      <c r="O1145" s="274"/>
      <c r="P1145" s="274"/>
      <c r="Q1145" s="274"/>
      <c r="R1145" s="274"/>
      <c r="S1145" s="274"/>
      <c r="T1145" s="274"/>
      <c r="U1145" s="274"/>
      <c r="V1145" s="274"/>
    </row>
    <row r="1146" spans="1:22" x14ac:dyDescent="0.25">
      <c r="A1146" s="247">
        <v>1144</v>
      </c>
      <c r="B1146" s="270"/>
      <c r="C1146" s="270"/>
      <c r="D1146" s="271"/>
      <c r="E1146" s="272"/>
      <c r="F1146" s="272"/>
      <c r="G1146" s="273"/>
      <c r="H1146" s="274"/>
      <c r="I1146" s="274"/>
      <c r="J1146" s="274"/>
      <c r="K1146" s="274"/>
      <c r="L1146" s="274"/>
      <c r="M1146" s="274"/>
      <c r="N1146" s="274"/>
      <c r="O1146" s="274"/>
      <c r="P1146" s="274"/>
      <c r="Q1146" s="274"/>
      <c r="R1146" s="274"/>
      <c r="S1146" s="274"/>
      <c r="T1146" s="274"/>
      <c r="U1146" s="274"/>
      <c r="V1146" s="274"/>
    </row>
    <row r="1147" spans="1:22" x14ac:dyDescent="0.25">
      <c r="A1147" s="247">
        <v>1145</v>
      </c>
      <c r="B1147" s="270"/>
      <c r="C1147" s="270"/>
      <c r="D1147" s="271"/>
      <c r="E1147" s="272"/>
      <c r="F1147" s="272"/>
      <c r="G1147" s="273"/>
      <c r="H1147" s="274"/>
      <c r="I1147" s="274"/>
      <c r="J1147" s="274"/>
      <c r="K1147" s="274"/>
      <c r="L1147" s="274"/>
      <c r="M1147" s="274"/>
      <c r="N1147" s="274"/>
      <c r="O1147" s="274"/>
      <c r="P1147" s="274"/>
      <c r="Q1147" s="274"/>
      <c r="R1147" s="274"/>
      <c r="S1147" s="274"/>
      <c r="T1147" s="274"/>
      <c r="U1147" s="274"/>
      <c r="V1147" s="274"/>
    </row>
    <row r="1148" spans="1:22" x14ac:dyDescent="0.25">
      <c r="A1148" s="247">
        <v>1146</v>
      </c>
      <c r="B1148" s="270"/>
      <c r="C1148" s="270"/>
      <c r="D1148" s="271"/>
      <c r="E1148" s="272"/>
      <c r="F1148" s="272"/>
      <c r="G1148" s="273"/>
      <c r="H1148" s="274"/>
      <c r="I1148" s="274"/>
      <c r="J1148" s="274"/>
      <c r="K1148" s="274"/>
      <c r="L1148" s="274"/>
      <c r="M1148" s="274"/>
      <c r="N1148" s="274"/>
      <c r="O1148" s="274"/>
      <c r="P1148" s="274"/>
      <c r="Q1148" s="274"/>
      <c r="R1148" s="274"/>
      <c r="S1148" s="274"/>
      <c r="T1148" s="274"/>
      <c r="U1148" s="274"/>
      <c r="V1148" s="274"/>
    </row>
    <row r="1149" spans="1:22" x14ac:dyDescent="0.25">
      <c r="A1149" s="247">
        <v>1147</v>
      </c>
      <c r="B1149" s="270"/>
      <c r="C1149" s="270"/>
      <c r="D1149" s="271"/>
      <c r="E1149" s="272"/>
      <c r="F1149" s="272"/>
      <c r="G1149" s="273"/>
      <c r="H1149" s="274"/>
      <c r="I1149" s="274"/>
      <c r="J1149" s="274"/>
      <c r="K1149" s="274"/>
      <c r="L1149" s="274"/>
      <c r="M1149" s="274"/>
      <c r="N1149" s="274"/>
      <c r="O1149" s="274"/>
      <c r="P1149" s="274"/>
      <c r="Q1149" s="274"/>
      <c r="R1149" s="274"/>
      <c r="S1149" s="274"/>
      <c r="T1149" s="274"/>
      <c r="U1149" s="274"/>
      <c r="V1149" s="274"/>
    </row>
    <row r="1150" spans="1:22" x14ac:dyDescent="0.25">
      <c r="A1150" s="247">
        <v>1148</v>
      </c>
      <c r="B1150" s="270"/>
      <c r="C1150" s="270"/>
      <c r="D1150" s="271"/>
      <c r="E1150" s="272"/>
      <c r="F1150" s="272"/>
      <c r="G1150" s="273"/>
      <c r="H1150" s="274"/>
      <c r="I1150" s="274"/>
      <c r="J1150" s="274"/>
      <c r="K1150" s="274"/>
      <c r="L1150" s="274"/>
      <c r="M1150" s="274"/>
      <c r="N1150" s="274"/>
      <c r="O1150" s="274"/>
      <c r="P1150" s="274"/>
      <c r="Q1150" s="274"/>
      <c r="R1150" s="274"/>
      <c r="S1150" s="274"/>
      <c r="T1150" s="274"/>
      <c r="U1150" s="274"/>
      <c r="V1150" s="274"/>
    </row>
    <row r="1151" spans="1:22" x14ac:dyDescent="0.25">
      <c r="A1151" s="247">
        <v>1149</v>
      </c>
      <c r="B1151" s="270"/>
      <c r="C1151" s="270"/>
      <c r="D1151" s="271"/>
      <c r="E1151" s="272"/>
      <c r="F1151" s="272"/>
      <c r="G1151" s="273"/>
      <c r="H1151" s="274"/>
      <c r="I1151" s="274"/>
      <c r="J1151" s="274"/>
      <c r="K1151" s="274"/>
      <c r="L1151" s="274"/>
      <c r="M1151" s="274"/>
      <c r="N1151" s="274"/>
      <c r="O1151" s="274"/>
      <c r="P1151" s="274"/>
      <c r="Q1151" s="274"/>
      <c r="R1151" s="274"/>
      <c r="S1151" s="274"/>
      <c r="T1151" s="274"/>
      <c r="U1151" s="274"/>
      <c r="V1151" s="274"/>
    </row>
    <row r="1152" spans="1:22" x14ac:dyDescent="0.25">
      <c r="A1152" s="247">
        <v>1150</v>
      </c>
      <c r="B1152" s="270"/>
      <c r="C1152" s="270"/>
      <c r="D1152" s="271"/>
      <c r="E1152" s="272"/>
      <c r="F1152" s="272"/>
      <c r="G1152" s="273"/>
      <c r="H1152" s="274"/>
      <c r="I1152" s="274"/>
      <c r="J1152" s="274"/>
      <c r="K1152" s="274"/>
      <c r="L1152" s="274"/>
      <c r="M1152" s="274"/>
      <c r="N1152" s="274"/>
      <c r="O1152" s="274"/>
      <c r="P1152" s="274"/>
      <c r="Q1152" s="274"/>
      <c r="R1152" s="274"/>
      <c r="S1152" s="274"/>
      <c r="T1152" s="274"/>
      <c r="U1152" s="274"/>
      <c r="V1152" s="274"/>
    </row>
    <row r="1153" spans="1:22" x14ac:dyDescent="0.25">
      <c r="A1153" s="247">
        <v>1151</v>
      </c>
      <c r="B1153" s="270"/>
      <c r="C1153" s="270"/>
      <c r="D1153" s="271"/>
      <c r="E1153" s="272"/>
      <c r="F1153" s="272"/>
      <c r="G1153" s="273"/>
      <c r="H1153" s="274"/>
      <c r="I1153" s="274"/>
      <c r="J1153" s="274"/>
      <c r="K1153" s="274"/>
      <c r="L1153" s="274"/>
      <c r="M1153" s="274"/>
      <c r="N1153" s="274"/>
      <c r="O1153" s="274"/>
      <c r="P1153" s="274"/>
      <c r="Q1153" s="274"/>
      <c r="R1153" s="274"/>
      <c r="S1153" s="274"/>
      <c r="T1153" s="274"/>
      <c r="U1153" s="274"/>
      <c r="V1153" s="274"/>
    </row>
    <row r="1154" spans="1:22" x14ac:dyDescent="0.25">
      <c r="A1154" s="247">
        <v>1152</v>
      </c>
      <c r="B1154" s="270"/>
      <c r="C1154" s="270"/>
      <c r="D1154" s="271"/>
      <c r="E1154" s="272"/>
      <c r="F1154" s="272"/>
      <c r="G1154" s="273"/>
      <c r="H1154" s="274"/>
      <c r="I1154" s="274"/>
      <c r="J1154" s="274"/>
      <c r="K1154" s="274"/>
      <c r="L1154" s="274"/>
      <c r="M1154" s="274"/>
      <c r="N1154" s="274"/>
      <c r="O1154" s="274"/>
      <c r="P1154" s="274"/>
      <c r="Q1154" s="274"/>
      <c r="R1154" s="274"/>
      <c r="S1154" s="274"/>
      <c r="T1154" s="274"/>
      <c r="U1154" s="274"/>
      <c r="V1154" s="274"/>
    </row>
    <row r="1155" spans="1:22" x14ac:dyDescent="0.25">
      <c r="A1155" s="247">
        <v>1153</v>
      </c>
      <c r="B1155" s="270"/>
      <c r="C1155" s="270"/>
      <c r="D1155" s="271"/>
      <c r="E1155" s="272"/>
      <c r="F1155" s="272"/>
      <c r="G1155" s="273"/>
      <c r="H1155" s="274"/>
      <c r="I1155" s="274"/>
      <c r="J1155" s="274"/>
      <c r="K1155" s="274"/>
      <c r="L1155" s="274"/>
      <c r="M1155" s="274"/>
      <c r="N1155" s="274"/>
      <c r="O1155" s="274"/>
      <c r="P1155" s="274"/>
      <c r="Q1155" s="274"/>
      <c r="R1155" s="274"/>
      <c r="S1155" s="274"/>
      <c r="T1155" s="274"/>
      <c r="U1155" s="274"/>
      <c r="V1155" s="274"/>
    </row>
    <row r="1156" spans="1:22" x14ac:dyDescent="0.25">
      <c r="A1156" s="247">
        <v>1154</v>
      </c>
      <c r="B1156" s="270"/>
      <c r="C1156" s="270"/>
      <c r="D1156" s="271"/>
      <c r="E1156" s="272"/>
      <c r="F1156" s="272"/>
      <c r="G1156" s="273"/>
      <c r="H1156" s="274"/>
      <c r="I1156" s="274"/>
      <c r="J1156" s="274"/>
      <c r="K1156" s="274"/>
      <c r="L1156" s="274"/>
      <c r="M1156" s="274"/>
      <c r="N1156" s="274"/>
      <c r="O1156" s="274"/>
      <c r="P1156" s="274"/>
      <c r="Q1156" s="274"/>
      <c r="R1156" s="274"/>
      <c r="S1156" s="274"/>
      <c r="T1156" s="274"/>
      <c r="U1156" s="274"/>
      <c r="V1156" s="274"/>
    </row>
    <row r="1157" spans="1:22" x14ac:dyDescent="0.25">
      <c r="A1157" s="247">
        <v>1155</v>
      </c>
      <c r="B1157" s="270"/>
      <c r="C1157" s="270"/>
      <c r="D1157" s="271"/>
      <c r="E1157" s="272"/>
      <c r="F1157" s="272"/>
      <c r="G1157" s="273"/>
      <c r="H1157" s="274"/>
      <c r="I1157" s="274"/>
      <c r="J1157" s="274"/>
      <c r="K1157" s="274"/>
      <c r="L1157" s="274"/>
      <c r="M1157" s="274"/>
      <c r="N1157" s="274"/>
      <c r="O1157" s="274"/>
      <c r="P1157" s="274"/>
      <c r="Q1157" s="274"/>
      <c r="R1157" s="274"/>
      <c r="S1157" s="274"/>
      <c r="T1157" s="274"/>
      <c r="U1157" s="274"/>
      <c r="V1157" s="274"/>
    </row>
    <row r="1158" spans="1:22" x14ac:dyDescent="0.25">
      <c r="A1158" s="247">
        <v>1156</v>
      </c>
      <c r="B1158" s="270"/>
      <c r="C1158" s="270"/>
      <c r="D1158" s="271"/>
      <c r="E1158" s="272"/>
      <c r="F1158" s="272"/>
      <c r="G1158" s="273"/>
      <c r="H1158" s="274"/>
      <c r="I1158" s="274"/>
      <c r="J1158" s="274"/>
      <c r="K1158" s="274"/>
      <c r="L1158" s="274"/>
      <c r="M1158" s="274"/>
      <c r="N1158" s="274"/>
      <c r="O1158" s="274"/>
      <c r="P1158" s="274"/>
      <c r="Q1158" s="274"/>
      <c r="R1158" s="274"/>
      <c r="S1158" s="274"/>
      <c r="T1158" s="274"/>
      <c r="U1158" s="274"/>
      <c r="V1158" s="274"/>
    </row>
    <row r="1159" spans="1:22" x14ac:dyDescent="0.25">
      <c r="A1159" s="247">
        <v>1157</v>
      </c>
      <c r="B1159" s="270"/>
      <c r="C1159" s="270"/>
      <c r="D1159" s="271"/>
      <c r="E1159" s="272"/>
      <c r="F1159" s="272"/>
      <c r="G1159" s="273"/>
      <c r="H1159" s="274"/>
      <c r="I1159" s="274"/>
      <c r="J1159" s="274"/>
      <c r="K1159" s="274"/>
      <c r="L1159" s="274"/>
      <c r="M1159" s="274"/>
      <c r="N1159" s="274"/>
      <c r="O1159" s="274"/>
      <c r="P1159" s="274"/>
      <c r="Q1159" s="274"/>
      <c r="R1159" s="274"/>
      <c r="S1159" s="274"/>
      <c r="T1159" s="274"/>
      <c r="U1159" s="274"/>
      <c r="V1159" s="274"/>
    </row>
    <row r="1160" spans="1:22" x14ac:dyDescent="0.25">
      <c r="A1160" s="247">
        <v>1158</v>
      </c>
      <c r="B1160" s="270"/>
      <c r="C1160" s="270"/>
      <c r="D1160" s="271"/>
      <c r="E1160" s="272"/>
      <c r="F1160" s="272"/>
      <c r="G1160" s="273"/>
      <c r="H1160" s="274"/>
      <c r="I1160" s="274"/>
      <c r="J1160" s="274"/>
      <c r="K1160" s="274"/>
      <c r="L1160" s="274"/>
      <c r="M1160" s="274"/>
      <c r="N1160" s="274"/>
      <c r="O1160" s="274"/>
      <c r="P1160" s="274"/>
      <c r="Q1160" s="274"/>
      <c r="R1160" s="274"/>
      <c r="S1160" s="274"/>
      <c r="T1160" s="274"/>
      <c r="U1160" s="274"/>
      <c r="V1160" s="274"/>
    </row>
    <row r="1161" spans="1:22" x14ac:dyDescent="0.25">
      <c r="A1161" s="247">
        <v>1159</v>
      </c>
      <c r="B1161" s="270"/>
      <c r="C1161" s="270"/>
      <c r="D1161" s="271"/>
      <c r="E1161" s="272"/>
      <c r="F1161" s="272"/>
      <c r="G1161" s="273"/>
      <c r="H1161" s="274"/>
      <c r="I1161" s="274"/>
      <c r="J1161" s="274"/>
      <c r="K1161" s="274"/>
      <c r="L1161" s="274"/>
      <c r="M1161" s="274"/>
      <c r="N1161" s="274"/>
      <c r="O1161" s="274"/>
      <c r="P1161" s="274"/>
      <c r="Q1161" s="274"/>
      <c r="R1161" s="274"/>
      <c r="S1161" s="274"/>
      <c r="T1161" s="274"/>
      <c r="U1161" s="274"/>
      <c r="V1161" s="274"/>
    </row>
    <row r="1162" spans="1:22" x14ac:dyDescent="0.25">
      <c r="A1162" s="247">
        <v>1160</v>
      </c>
      <c r="B1162" s="270"/>
      <c r="C1162" s="270"/>
      <c r="D1162" s="271"/>
      <c r="E1162" s="272"/>
      <c r="F1162" s="272"/>
      <c r="G1162" s="273"/>
      <c r="H1162" s="274"/>
      <c r="I1162" s="274"/>
      <c r="J1162" s="274"/>
      <c r="K1162" s="274"/>
      <c r="L1162" s="274"/>
      <c r="M1162" s="274"/>
      <c r="N1162" s="274"/>
      <c r="O1162" s="274"/>
      <c r="P1162" s="274"/>
      <c r="Q1162" s="274"/>
      <c r="R1162" s="274"/>
      <c r="S1162" s="274"/>
      <c r="T1162" s="274"/>
      <c r="U1162" s="274"/>
      <c r="V1162" s="274"/>
    </row>
    <row r="1163" spans="1:22" x14ac:dyDescent="0.25">
      <c r="A1163" s="247">
        <v>1161</v>
      </c>
      <c r="B1163" s="270"/>
      <c r="C1163" s="270"/>
      <c r="D1163" s="271"/>
      <c r="E1163" s="272"/>
      <c r="F1163" s="272"/>
      <c r="G1163" s="273"/>
      <c r="H1163" s="274"/>
      <c r="I1163" s="274"/>
      <c r="J1163" s="274"/>
      <c r="K1163" s="274"/>
      <c r="L1163" s="274"/>
      <c r="M1163" s="274"/>
      <c r="N1163" s="274"/>
      <c r="O1163" s="274"/>
      <c r="P1163" s="274"/>
      <c r="Q1163" s="274"/>
      <c r="R1163" s="274"/>
      <c r="S1163" s="274"/>
      <c r="T1163" s="274"/>
      <c r="U1163" s="274"/>
      <c r="V1163" s="274"/>
    </row>
    <row r="1164" spans="1:22" x14ac:dyDescent="0.25">
      <c r="A1164" s="247">
        <v>1162</v>
      </c>
      <c r="B1164" s="270"/>
      <c r="C1164" s="270"/>
      <c r="D1164" s="271"/>
      <c r="E1164" s="272"/>
      <c r="F1164" s="272"/>
      <c r="G1164" s="273"/>
      <c r="H1164" s="274"/>
      <c r="I1164" s="274"/>
      <c r="J1164" s="274"/>
      <c r="K1164" s="274"/>
      <c r="L1164" s="274"/>
      <c r="M1164" s="274"/>
      <c r="N1164" s="274"/>
      <c r="O1164" s="274"/>
      <c r="P1164" s="274"/>
      <c r="Q1164" s="274"/>
      <c r="R1164" s="274"/>
      <c r="S1164" s="274"/>
      <c r="T1164" s="274"/>
      <c r="U1164" s="274"/>
      <c r="V1164" s="274"/>
    </row>
    <row r="1165" spans="1:22" x14ac:dyDescent="0.25">
      <c r="A1165" s="247">
        <v>1163</v>
      </c>
      <c r="B1165" s="270"/>
      <c r="C1165" s="270"/>
      <c r="D1165" s="271"/>
      <c r="E1165" s="272"/>
      <c r="F1165" s="272"/>
      <c r="G1165" s="273"/>
      <c r="H1165" s="274"/>
      <c r="I1165" s="274"/>
      <c r="J1165" s="274"/>
      <c r="K1165" s="274"/>
      <c r="L1165" s="274"/>
      <c r="M1165" s="274"/>
      <c r="N1165" s="274"/>
      <c r="O1165" s="274"/>
      <c r="P1165" s="274"/>
      <c r="Q1165" s="274"/>
      <c r="R1165" s="274"/>
      <c r="S1165" s="274"/>
      <c r="T1165" s="274"/>
      <c r="U1165" s="274"/>
      <c r="V1165" s="274"/>
    </row>
    <row r="1166" spans="1:22" x14ac:dyDescent="0.25">
      <c r="A1166" s="247">
        <v>1164</v>
      </c>
      <c r="B1166" s="270"/>
      <c r="C1166" s="270"/>
      <c r="D1166" s="271"/>
      <c r="E1166" s="272"/>
      <c r="F1166" s="272"/>
      <c r="G1166" s="273"/>
      <c r="H1166" s="274"/>
      <c r="I1166" s="274"/>
      <c r="J1166" s="274"/>
      <c r="K1166" s="274"/>
      <c r="L1166" s="274"/>
      <c r="M1166" s="274"/>
      <c r="N1166" s="274"/>
      <c r="O1166" s="274"/>
      <c r="P1166" s="274"/>
      <c r="Q1166" s="274"/>
      <c r="R1166" s="274"/>
      <c r="S1166" s="274"/>
      <c r="T1166" s="274"/>
      <c r="U1166" s="274"/>
      <c r="V1166" s="274"/>
    </row>
    <row r="1167" spans="1:22" x14ac:dyDescent="0.25">
      <c r="A1167" s="247">
        <v>1165</v>
      </c>
      <c r="B1167" s="270"/>
      <c r="C1167" s="270"/>
      <c r="D1167" s="271"/>
      <c r="E1167" s="272"/>
      <c r="F1167" s="272"/>
      <c r="G1167" s="273"/>
      <c r="H1167" s="274"/>
      <c r="I1167" s="274"/>
      <c r="J1167" s="274"/>
      <c r="K1167" s="274"/>
      <c r="L1167" s="274"/>
      <c r="M1167" s="274"/>
      <c r="N1167" s="274"/>
      <c r="O1167" s="274"/>
      <c r="P1167" s="274"/>
      <c r="Q1167" s="274"/>
      <c r="R1167" s="274"/>
      <c r="S1167" s="274"/>
      <c r="T1167" s="274"/>
      <c r="U1167" s="274"/>
      <c r="V1167" s="274"/>
    </row>
    <row r="1168" spans="1:22" x14ac:dyDescent="0.25">
      <c r="A1168" s="247">
        <v>1166</v>
      </c>
      <c r="B1168" s="270"/>
      <c r="C1168" s="270"/>
      <c r="D1168" s="271"/>
      <c r="E1168" s="272"/>
      <c r="F1168" s="272"/>
      <c r="G1168" s="273"/>
      <c r="H1168" s="274"/>
      <c r="I1168" s="274"/>
      <c r="J1168" s="274"/>
      <c r="K1168" s="274"/>
      <c r="L1168" s="274"/>
      <c r="M1168" s="274"/>
      <c r="N1168" s="274"/>
      <c r="O1168" s="274"/>
      <c r="P1168" s="274"/>
      <c r="Q1168" s="274"/>
      <c r="R1168" s="274"/>
      <c r="S1168" s="274"/>
      <c r="T1168" s="274"/>
      <c r="U1168" s="274"/>
      <c r="V1168" s="274"/>
    </row>
    <row r="1169" spans="1:22" x14ac:dyDescent="0.25">
      <c r="A1169" s="247">
        <v>1167</v>
      </c>
      <c r="B1169" s="270"/>
      <c r="C1169" s="270"/>
      <c r="D1169" s="271"/>
      <c r="E1169" s="272"/>
      <c r="F1169" s="272"/>
      <c r="G1169" s="273"/>
      <c r="H1169" s="274"/>
      <c r="I1169" s="274"/>
      <c r="J1169" s="274"/>
      <c r="K1169" s="274"/>
      <c r="L1169" s="274"/>
      <c r="M1169" s="274"/>
      <c r="N1169" s="274"/>
      <c r="O1169" s="274"/>
      <c r="P1169" s="274"/>
      <c r="Q1169" s="274"/>
      <c r="R1169" s="274"/>
      <c r="S1169" s="274"/>
      <c r="T1169" s="274"/>
      <c r="U1169" s="274"/>
      <c r="V1169" s="274"/>
    </row>
    <row r="1170" spans="1:22" x14ac:dyDescent="0.25">
      <c r="A1170" s="247">
        <v>1168</v>
      </c>
      <c r="B1170" s="270"/>
      <c r="C1170" s="270"/>
      <c r="D1170" s="271"/>
      <c r="E1170" s="272"/>
      <c r="F1170" s="272"/>
      <c r="G1170" s="273"/>
      <c r="H1170" s="274"/>
      <c r="I1170" s="274"/>
      <c r="J1170" s="274"/>
      <c r="K1170" s="274"/>
      <c r="L1170" s="274"/>
      <c r="M1170" s="274"/>
      <c r="N1170" s="274"/>
      <c r="O1170" s="274"/>
      <c r="P1170" s="274"/>
      <c r="Q1170" s="274"/>
      <c r="R1170" s="274"/>
      <c r="S1170" s="274"/>
      <c r="T1170" s="274"/>
      <c r="U1170" s="274"/>
      <c r="V1170" s="274"/>
    </row>
    <row r="1171" spans="1:22" x14ac:dyDescent="0.25">
      <c r="A1171" s="247">
        <v>1169</v>
      </c>
      <c r="B1171" s="270"/>
      <c r="C1171" s="270"/>
      <c r="D1171" s="271"/>
      <c r="E1171" s="272"/>
      <c r="F1171" s="272"/>
      <c r="G1171" s="273"/>
      <c r="H1171" s="274"/>
      <c r="I1171" s="274"/>
      <c r="J1171" s="274"/>
      <c r="K1171" s="274"/>
      <c r="L1171" s="274"/>
      <c r="M1171" s="274"/>
      <c r="N1171" s="274"/>
      <c r="O1171" s="274"/>
      <c r="P1171" s="274"/>
      <c r="Q1171" s="274"/>
      <c r="R1171" s="274"/>
      <c r="S1171" s="274"/>
      <c r="T1171" s="274"/>
      <c r="U1171" s="274"/>
      <c r="V1171" s="274"/>
    </row>
    <row r="1172" spans="1:22" x14ac:dyDescent="0.25">
      <c r="A1172" s="247">
        <v>1170</v>
      </c>
      <c r="B1172" s="270"/>
      <c r="C1172" s="270"/>
      <c r="D1172" s="271"/>
      <c r="E1172" s="272"/>
      <c r="F1172" s="272"/>
      <c r="G1172" s="273"/>
      <c r="H1172" s="274"/>
      <c r="I1172" s="274"/>
      <c r="J1172" s="274"/>
      <c r="K1172" s="274"/>
      <c r="L1172" s="274"/>
      <c r="M1172" s="274"/>
      <c r="N1172" s="274"/>
      <c r="O1172" s="274"/>
      <c r="P1172" s="274"/>
      <c r="Q1172" s="274"/>
      <c r="R1172" s="274"/>
      <c r="S1172" s="274"/>
      <c r="T1172" s="274"/>
      <c r="U1172" s="274"/>
      <c r="V1172" s="274"/>
    </row>
    <row r="1173" spans="1:22" x14ac:dyDescent="0.25">
      <c r="A1173" s="247">
        <v>1171</v>
      </c>
      <c r="B1173" s="270"/>
      <c r="C1173" s="270"/>
      <c r="D1173" s="271"/>
      <c r="E1173" s="272"/>
      <c r="F1173" s="272"/>
      <c r="G1173" s="273"/>
      <c r="H1173" s="274"/>
      <c r="I1173" s="274"/>
      <c r="J1173" s="274"/>
      <c r="K1173" s="274"/>
      <c r="L1173" s="274"/>
      <c r="M1173" s="274"/>
      <c r="N1173" s="274"/>
      <c r="O1173" s="274"/>
      <c r="P1173" s="274"/>
      <c r="Q1173" s="274"/>
      <c r="R1173" s="274"/>
      <c r="S1173" s="274"/>
      <c r="T1173" s="274"/>
      <c r="U1173" s="274"/>
      <c r="V1173" s="274"/>
    </row>
    <row r="1174" spans="1:22" x14ac:dyDescent="0.25">
      <c r="A1174" s="247">
        <v>1172</v>
      </c>
      <c r="B1174" s="270"/>
      <c r="C1174" s="270"/>
      <c r="D1174" s="271"/>
      <c r="E1174" s="272"/>
      <c r="F1174" s="272"/>
      <c r="G1174" s="273"/>
      <c r="H1174" s="274"/>
      <c r="I1174" s="274"/>
      <c r="J1174" s="274"/>
      <c r="K1174" s="274"/>
      <c r="L1174" s="274"/>
      <c r="M1174" s="274"/>
      <c r="N1174" s="274"/>
      <c r="O1174" s="274"/>
      <c r="P1174" s="274"/>
      <c r="Q1174" s="274"/>
      <c r="R1174" s="274"/>
      <c r="S1174" s="274"/>
      <c r="T1174" s="274"/>
      <c r="U1174" s="274"/>
      <c r="V1174" s="274"/>
    </row>
    <row r="1175" spans="1:22" x14ac:dyDescent="0.25">
      <c r="A1175" s="247">
        <v>1173</v>
      </c>
      <c r="B1175" s="270"/>
      <c r="C1175" s="270"/>
      <c r="D1175" s="271"/>
      <c r="E1175" s="272"/>
      <c r="F1175" s="272"/>
      <c r="G1175" s="273"/>
      <c r="H1175" s="274"/>
      <c r="I1175" s="274"/>
      <c r="J1175" s="274"/>
      <c r="K1175" s="274"/>
      <c r="L1175" s="274"/>
      <c r="M1175" s="274"/>
      <c r="N1175" s="274"/>
      <c r="O1175" s="274"/>
      <c r="P1175" s="274"/>
      <c r="Q1175" s="274"/>
      <c r="R1175" s="274"/>
      <c r="S1175" s="274"/>
      <c r="T1175" s="274"/>
      <c r="U1175" s="274"/>
      <c r="V1175" s="274"/>
    </row>
    <row r="1176" spans="1:22" x14ac:dyDescent="0.25">
      <c r="A1176" s="247">
        <v>1174</v>
      </c>
      <c r="B1176" s="270"/>
      <c r="C1176" s="270"/>
      <c r="D1176" s="271"/>
      <c r="E1176" s="272"/>
      <c r="F1176" s="272"/>
      <c r="G1176" s="273"/>
      <c r="H1176" s="274"/>
      <c r="I1176" s="274"/>
      <c r="J1176" s="274"/>
      <c r="K1176" s="274"/>
      <c r="L1176" s="274"/>
      <c r="M1176" s="274"/>
      <c r="N1176" s="274"/>
      <c r="O1176" s="274"/>
      <c r="P1176" s="274"/>
      <c r="Q1176" s="274"/>
      <c r="R1176" s="274"/>
      <c r="S1176" s="274"/>
      <c r="T1176" s="274"/>
      <c r="U1176" s="274"/>
      <c r="V1176" s="274"/>
    </row>
    <row r="1177" spans="1:22" x14ac:dyDescent="0.25">
      <c r="A1177" s="247">
        <v>1175</v>
      </c>
      <c r="B1177" s="270"/>
      <c r="C1177" s="270"/>
      <c r="D1177" s="271"/>
      <c r="E1177" s="272"/>
      <c r="F1177" s="272"/>
      <c r="G1177" s="273"/>
      <c r="H1177" s="274"/>
      <c r="I1177" s="274"/>
      <c r="J1177" s="274"/>
      <c r="K1177" s="274"/>
      <c r="L1177" s="274"/>
      <c r="M1177" s="274"/>
      <c r="N1177" s="274"/>
      <c r="O1177" s="274"/>
      <c r="P1177" s="274"/>
      <c r="Q1177" s="274"/>
      <c r="R1177" s="274"/>
      <c r="S1177" s="274"/>
      <c r="T1177" s="274"/>
      <c r="U1177" s="274"/>
      <c r="V1177" s="274"/>
    </row>
    <row r="1178" spans="1:22" x14ac:dyDescent="0.25">
      <c r="A1178" s="247">
        <v>1176</v>
      </c>
      <c r="B1178" s="270"/>
      <c r="C1178" s="270"/>
      <c r="D1178" s="271"/>
      <c r="E1178" s="272"/>
      <c r="F1178" s="272"/>
      <c r="G1178" s="273"/>
      <c r="H1178" s="274"/>
      <c r="I1178" s="274"/>
      <c r="J1178" s="274"/>
      <c r="K1178" s="274"/>
      <c r="L1178" s="274"/>
      <c r="M1178" s="274"/>
      <c r="N1178" s="274"/>
      <c r="O1178" s="274"/>
      <c r="P1178" s="274"/>
      <c r="Q1178" s="274"/>
      <c r="R1178" s="274"/>
      <c r="S1178" s="274"/>
      <c r="T1178" s="274"/>
      <c r="U1178" s="274"/>
      <c r="V1178" s="274"/>
    </row>
    <row r="1179" spans="1:22" x14ac:dyDescent="0.25">
      <c r="A1179" s="247">
        <v>1177</v>
      </c>
      <c r="B1179" s="270"/>
      <c r="C1179" s="270"/>
      <c r="D1179" s="271"/>
      <c r="E1179" s="272"/>
      <c r="F1179" s="272"/>
      <c r="G1179" s="273"/>
      <c r="H1179" s="274"/>
      <c r="I1179" s="274"/>
      <c r="J1179" s="274"/>
      <c r="K1179" s="274"/>
      <c r="L1179" s="274"/>
      <c r="M1179" s="274"/>
      <c r="N1179" s="274"/>
      <c r="O1179" s="274"/>
      <c r="P1179" s="274"/>
      <c r="Q1179" s="274"/>
      <c r="R1179" s="274"/>
      <c r="S1179" s="274"/>
      <c r="T1179" s="274"/>
      <c r="U1179" s="274"/>
      <c r="V1179" s="274"/>
    </row>
    <row r="1180" spans="1:22" x14ac:dyDescent="0.25">
      <c r="A1180" s="247">
        <v>1178</v>
      </c>
      <c r="B1180" s="270"/>
      <c r="C1180" s="270"/>
      <c r="D1180" s="271"/>
      <c r="E1180" s="272"/>
      <c r="F1180" s="272"/>
      <c r="G1180" s="273"/>
      <c r="H1180" s="274"/>
      <c r="I1180" s="274"/>
      <c r="J1180" s="274"/>
      <c r="K1180" s="274"/>
      <c r="L1180" s="274"/>
      <c r="M1180" s="274"/>
      <c r="N1180" s="274"/>
      <c r="O1180" s="274"/>
      <c r="P1180" s="274"/>
      <c r="Q1180" s="274"/>
      <c r="R1180" s="274"/>
      <c r="S1180" s="274"/>
      <c r="T1180" s="274"/>
      <c r="U1180" s="274"/>
      <c r="V1180" s="274"/>
    </row>
    <row r="1181" spans="1:22" x14ac:dyDescent="0.25">
      <c r="A1181" s="247">
        <v>1179</v>
      </c>
      <c r="B1181" s="270"/>
      <c r="C1181" s="270"/>
      <c r="D1181" s="271"/>
      <c r="E1181" s="272"/>
      <c r="F1181" s="272"/>
      <c r="G1181" s="273"/>
      <c r="H1181" s="274"/>
      <c r="I1181" s="274"/>
      <c r="J1181" s="274"/>
      <c r="K1181" s="274"/>
      <c r="L1181" s="274"/>
      <c r="M1181" s="274"/>
      <c r="N1181" s="274"/>
      <c r="O1181" s="274"/>
      <c r="P1181" s="274"/>
      <c r="Q1181" s="274"/>
      <c r="R1181" s="274"/>
      <c r="S1181" s="274"/>
      <c r="T1181" s="274"/>
      <c r="U1181" s="274"/>
      <c r="V1181" s="274"/>
    </row>
    <row r="1182" spans="1:22" x14ac:dyDescent="0.25">
      <c r="A1182" s="247">
        <v>1180</v>
      </c>
      <c r="B1182" s="270"/>
      <c r="C1182" s="270"/>
      <c r="D1182" s="271"/>
      <c r="E1182" s="272"/>
      <c r="F1182" s="272"/>
      <c r="G1182" s="273"/>
      <c r="H1182" s="274"/>
      <c r="I1182" s="274"/>
      <c r="J1182" s="274"/>
      <c r="K1182" s="274"/>
      <c r="L1182" s="274"/>
      <c r="M1182" s="274"/>
      <c r="N1182" s="274"/>
      <c r="O1182" s="274"/>
      <c r="P1182" s="274"/>
      <c r="Q1182" s="274"/>
      <c r="R1182" s="274"/>
      <c r="S1182" s="274"/>
      <c r="T1182" s="274"/>
      <c r="U1182" s="274"/>
      <c r="V1182" s="274"/>
    </row>
    <row r="1183" spans="1:22" x14ac:dyDescent="0.25">
      <c r="A1183" s="247">
        <v>1181</v>
      </c>
      <c r="B1183" s="270"/>
      <c r="C1183" s="270"/>
      <c r="D1183" s="271"/>
      <c r="E1183" s="272"/>
      <c r="F1183" s="272"/>
      <c r="G1183" s="273"/>
      <c r="H1183" s="274"/>
      <c r="I1183" s="274"/>
      <c r="J1183" s="274"/>
      <c r="K1183" s="274"/>
      <c r="L1183" s="274"/>
      <c r="M1183" s="274"/>
      <c r="N1183" s="274"/>
      <c r="O1183" s="274"/>
      <c r="P1183" s="274"/>
      <c r="Q1183" s="274"/>
      <c r="R1183" s="274"/>
      <c r="S1183" s="274"/>
      <c r="T1183" s="274"/>
      <c r="U1183" s="274"/>
      <c r="V1183" s="274"/>
    </row>
    <row r="1184" spans="1:22" x14ac:dyDescent="0.25">
      <c r="A1184" s="247">
        <v>1182</v>
      </c>
      <c r="B1184" s="270"/>
      <c r="C1184" s="270"/>
      <c r="D1184" s="271"/>
      <c r="E1184" s="272"/>
      <c r="F1184" s="272"/>
      <c r="G1184" s="273"/>
      <c r="H1184" s="274"/>
      <c r="I1184" s="274"/>
      <c r="J1184" s="274"/>
      <c r="K1184" s="274"/>
      <c r="L1184" s="274"/>
      <c r="M1184" s="274"/>
      <c r="N1184" s="274"/>
      <c r="O1184" s="274"/>
      <c r="P1184" s="274"/>
      <c r="Q1184" s="274"/>
      <c r="R1184" s="274"/>
      <c r="S1184" s="274"/>
      <c r="T1184" s="274"/>
      <c r="U1184" s="274"/>
      <c r="V1184" s="274"/>
    </row>
    <row r="1185" spans="1:22" x14ac:dyDescent="0.25">
      <c r="A1185" s="247">
        <v>1183</v>
      </c>
      <c r="B1185" s="270"/>
      <c r="C1185" s="270"/>
      <c r="D1185" s="271"/>
      <c r="E1185" s="272"/>
      <c r="F1185" s="272"/>
      <c r="G1185" s="273"/>
      <c r="H1185" s="274"/>
      <c r="I1185" s="274"/>
      <c r="J1185" s="274"/>
      <c r="K1185" s="274"/>
      <c r="L1185" s="274"/>
      <c r="M1185" s="274"/>
      <c r="N1185" s="274"/>
      <c r="O1185" s="274"/>
      <c r="P1185" s="274"/>
      <c r="Q1185" s="274"/>
      <c r="R1185" s="274"/>
      <c r="S1185" s="274"/>
      <c r="T1185" s="274"/>
      <c r="U1185" s="274"/>
      <c r="V1185" s="274"/>
    </row>
    <row r="1186" spans="1:22" x14ac:dyDescent="0.25">
      <c r="A1186" s="247">
        <v>1184</v>
      </c>
      <c r="B1186" s="270"/>
      <c r="C1186" s="270"/>
      <c r="D1186" s="271"/>
      <c r="E1186" s="272"/>
      <c r="F1186" s="272"/>
      <c r="G1186" s="273"/>
      <c r="H1186" s="274"/>
      <c r="I1186" s="274"/>
      <c r="J1186" s="274"/>
      <c r="K1186" s="274"/>
      <c r="L1186" s="274"/>
      <c r="M1186" s="274"/>
      <c r="N1186" s="274"/>
      <c r="O1186" s="274"/>
      <c r="P1186" s="274"/>
      <c r="Q1186" s="274"/>
      <c r="R1186" s="274"/>
      <c r="S1186" s="274"/>
      <c r="T1186" s="274"/>
      <c r="U1186" s="274"/>
      <c r="V1186" s="274"/>
    </row>
    <row r="1187" spans="1:22" x14ac:dyDescent="0.25">
      <c r="A1187" s="247">
        <v>1185</v>
      </c>
      <c r="B1187" s="270"/>
      <c r="C1187" s="270"/>
      <c r="D1187" s="271"/>
      <c r="E1187" s="272"/>
      <c r="F1187" s="272"/>
      <c r="G1187" s="273"/>
      <c r="H1187" s="274"/>
      <c r="I1187" s="274"/>
      <c r="J1187" s="274"/>
      <c r="K1187" s="274"/>
      <c r="L1187" s="274"/>
      <c r="M1187" s="274"/>
      <c r="N1187" s="274"/>
      <c r="O1187" s="274"/>
      <c r="P1187" s="274"/>
      <c r="Q1187" s="274"/>
      <c r="R1187" s="274"/>
      <c r="S1187" s="274"/>
      <c r="T1187" s="274"/>
      <c r="U1187" s="274"/>
      <c r="V1187" s="274"/>
    </row>
    <row r="1188" spans="1:22" x14ac:dyDescent="0.25">
      <c r="A1188" s="247">
        <v>1186</v>
      </c>
      <c r="B1188" s="270"/>
      <c r="C1188" s="270"/>
      <c r="D1188" s="271"/>
      <c r="E1188" s="272"/>
      <c r="F1188" s="272"/>
      <c r="G1188" s="273"/>
      <c r="H1188" s="274"/>
      <c r="I1188" s="274"/>
      <c r="J1188" s="274"/>
      <c r="K1188" s="274"/>
      <c r="L1188" s="274"/>
      <c r="M1188" s="274"/>
      <c r="N1188" s="274"/>
      <c r="O1188" s="274"/>
      <c r="P1188" s="274"/>
      <c r="Q1188" s="274"/>
      <c r="R1188" s="274"/>
      <c r="S1188" s="274"/>
      <c r="T1188" s="274"/>
      <c r="U1188" s="274"/>
      <c r="V1188" s="274"/>
    </row>
    <row r="1189" spans="1:22" x14ac:dyDescent="0.25">
      <c r="A1189" s="247">
        <v>1187</v>
      </c>
      <c r="B1189" s="270"/>
      <c r="C1189" s="270"/>
      <c r="D1189" s="271"/>
      <c r="E1189" s="272"/>
      <c r="F1189" s="272"/>
      <c r="G1189" s="273"/>
      <c r="H1189" s="274"/>
      <c r="I1189" s="274"/>
      <c r="J1189" s="274"/>
      <c r="K1189" s="274"/>
      <c r="L1189" s="274"/>
      <c r="M1189" s="274"/>
      <c r="N1189" s="274"/>
      <c r="O1189" s="274"/>
      <c r="P1189" s="274"/>
      <c r="Q1189" s="274"/>
      <c r="R1189" s="274"/>
      <c r="S1189" s="274"/>
      <c r="T1189" s="274"/>
      <c r="U1189" s="274"/>
      <c r="V1189" s="274"/>
    </row>
    <row r="1190" spans="1:22" x14ac:dyDescent="0.25">
      <c r="A1190" s="247">
        <v>1188</v>
      </c>
      <c r="B1190" s="270"/>
      <c r="C1190" s="270"/>
      <c r="D1190" s="271"/>
      <c r="E1190" s="272"/>
      <c r="F1190" s="272"/>
      <c r="G1190" s="273"/>
      <c r="H1190" s="274"/>
      <c r="I1190" s="274"/>
      <c r="J1190" s="274"/>
      <c r="K1190" s="274"/>
      <c r="L1190" s="274"/>
      <c r="M1190" s="274"/>
      <c r="N1190" s="274"/>
      <c r="O1190" s="274"/>
      <c r="P1190" s="274"/>
      <c r="Q1190" s="274"/>
      <c r="R1190" s="274"/>
      <c r="S1190" s="274"/>
      <c r="T1190" s="274"/>
      <c r="U1190" s="274"/>
      <c r="V1190" s="274"/>
    </row>
    <row r="1191" spans="1:22" x14ac:dyDescent="0.25">
      <c r="A1191" s="247">
        <v>1189</v>
      </c>
      <c r="B1191" s="270"/>
      <c r="C1191" s="270"/>
      <c r="D1191" s="271"/>
      <c r="E1191" s="272"/>
      <c r="F1191" s="272"/>
      <c r="G1191" s="273"/>
      <c r="H1191" s="274"/>
      <c r="I1191" s="274"/>
      <c r="J1191" s="274"/>
      <c r="K1191" s="274"/>
      <c r="L1191" s="274"/>
      <c r="M1191" s="274"/>
      <c r="N1191" s="274"/>
      <c r="O1191" s="274"/>
      <c r="P1191" s="274"/>
      <c r="Q1191" s="274"/>
      <c r="R1191" s="274"/>
      <c r="S1191" s="274"/>
      <c r="T1191" s="274"/>
      <c r="U1191" s="274"/>
      <c r="V1191" s="274"/>
    </row>
    <row r="1192" spans="1:22" x14ac:dyDescent="0.25">
      <c r="A1192" s="247">
        <v>1190</v>
      </c>
      <c r="B1192" s="270"/>
      <c r="C1192" s="270"/>
      <c r="D1192" s="271"/>
      <c r="E1192" s="272"/>
      <c r="F1192" s="272"/>
      <c r="G1192" s="273"/>
      <c r="H1192" s="274"/>
      <c r="I1192" s="274"/>
      <c r="J1192" s="274"/>
      <c r="K1192" s="274"/>
      <c r="L1192" s="274"/>
      <c r="M1192" s="274"/>
      <c r="N1192" s="274"/>
      <c r="O1192" s="274"/>
      <c r="P1192" s="274"/>
      <c r="Q1192" s="274"/>
      <c r="R1192" s="274"/>
      <c r="S1192" s="274"/>
      <c r="T1192" s="274"/>
      <c r="U1192" s="274"/>
      <c r="V1192" s="274"/>
    </row>
    <row r="1193" spans="1:22" x14ac:dyDescent="0.25">
      <c r="A1193" s="247">
        <v>1191</v>
      </c>
      <c r="B1193" s="270"/>
      <c r="C1193" s="270"/>
      <c r="D1193" s="271"/>
      <c r="E1193" s="272"/>
      <c r="F1193" s="272"/>
      <c r="G1193" s="273"/>
      <c r="H1193" s="274"/>
      <c r="I1193" s="274"/>
      <c r="J1193" s="274"/>
      <c r="K1193" s="274"/>
      <c r="L1193" s="274"/>
      <c r="M1193" s="274"/>
      <c r="N1193" s="274"/>
      <c r="O1193" s="274"/>
      <c r="P1193" s="274"/>
      <c r="Q1193" s="274"/>
      <c r="R1193" s="274"/>
      <c r="S1193" s="274"/>
      <c r="T1193" s="274"/>
      <c r="U1193" s="274"/>
      <c r="V1193" s="274"/>
    </row>
    <row r="1194" spans="1:22" x14ac:dyDescent="0.25">
      <c r="A1194" s="247">
        <v>1192</v>
      </c>
      <c r="B1194" s="270"/>
      <c r="C1194" s="270"/>
      <c r="D1194" s="271"/>
      <c r="E1194" s="272"/>
      <c r="F1194" s="272"/>
      <c r="G1194" s="273"/>
      <c r="H1194" s="274"/>
      <c r="I1194" s="274"/>
      <c r="J1194" s="274"/>
      <c r="K1194" s="274"/>
      <c r="L1194" s="274"/>
      <c r="M1194" s="274"/>
      <c r="N1194" s="274"/>
      <c r="O1194" s="274"/>
      <c r="P1194" s="274"/>
      <c r="Q1194" s="274"/>
      <c r="R1194" s="274"/>
      <c r="S1194" s="274"/>
      <c r="T1194" s="274"/>
      <c r="U1194" s="274"/>
      <c r="V1194" s="274"/>
    </row>
    <row r="1195" spans="1:22" x14ac:dyDescent="0.25">
      <c r="A1195" s="247">
        <v>1193</v>
      </c>
      <c r="B1195" s="270"/>
      <c r="C1195" s="270"/>
      <c r="D1195" s="271"/>
      <c r="E1195" s="272"/>
      <c r="F1195" s="272"/>
      <c r="G1195" s="273"/>
      <c r="H1195" s="274"/>
      <c r="I1195" s="274"/>
      <c r="J1195" s="274"/>
      <c r="K1195" s="274"/>
      <c r="L1195" s="274"/>
      <c r="M1195" s="274"/>
      <c r="N1195" s="274"/>
      <c r="O1195" s="274"/>
      <c r="P1195" s="274"/>
      <c r="Q1195" s="274"/>
      <c r="R1195" s="274"/>
      <c r="S1195" s="274"/>
      <c r="T1195" s="274"/>
      <c r="U1195" s="274"/>
      <c r="V1195" s="274"/>
    </row>
    <row r="1196" spans="1:22" x14ac:dyDescent="0.25">
      <c r="A1196" s="247">
        <v>1194</v>
      </c>
      <c r="B1196" s="270"/>
      <c r="C1196" s="270"/>
      <c r="D1196" s="271"/>
      <c r="E1196" s="272"/>
      <c r="F1196" s="272"/>
      <c r="G1196" s="273"/>
      <c r="H1196" s="274"/>
      <c r="I1196" s="274"/>
      <c r="J1196" s="274"/>
      <c r="K1196" s="274"/>
      <c r="L1196" s="274"/>
      <c r="M1196" s="274"/>
      <c r="N1196" s="274"/>
      <c r="O1196" s="274"/>
      <c r="P1196" s="274"/>
      <c r="Q1196" s="274"/>
      <c r="R1196" s="274"/>
      <c r="S1196" s="274"/>
      <c r="T1196" s="274"/>
      <c r="U1196" s="274"/>
      <c r="V1196" s="274"/>
    </row>
    <row r="1197" spans="1:22" x14ac:dyDescent="0.25">
      <c r="A1197" s="247">
        <v>1195</v>
      </c>
      <c r="B1197" s="270"/>
      <c r="C1197" s="270"/>
      <c r="D1197" s="271"/>
      <c r="E1197" s="272"/>
      <c r="F1197" s="272"/>
      <c r="G1197" s="273"/>
      <c r="H1197" s="274"/>
      <c r="I1197" s="274"/>
      <c r="J1197" s="274"/>
      <c r="K1197" s="274"/>
      <c r="L1197" s="274"/>
      <c r="M1197" s="274"/>
      <c r="N1197" s="274"/>
      <c r="O1197" s="274"/>
      <c r="P1197" s="274"/>
      <c r="Q1197" s="274"/>
      <c r="R1197" s="274"/>
      <c r="S1197" s="274"/>
      <c r="T1197" s="274"/>
      <c r="U1197" s="274"/>
      <c r="V1197" s="274"/>
    </row>
    <row r="1198" spans="1:22" x14ac:dyDescent="0.25">
      <c r="A1198" s="247">
        <v>1196</v>
      </c>
      <c r="B1198" s="270"/>
      <c r="C1198" s="270"/>
      <c r="D1198" s="271"/>
      <c r="E1198" s="272"/>
      <c r="F1198" s="272"/>
      <c r="G1198" s="273"/>
      <c r="H1198" s="274"/>
      <c r="I1198" s="274"/>
      <c r="J1198" s="274"/>
      <c r="K1198" s="274"/>
      <c r="L1198" s="274"/>
      <c r="M1198" s="274"/>
      <c r="N1198" s="274"/>
      <c r="O1198" s="274"/>
      <c r="P1198" s="274"/>
      <c r="Q1198" s="274"/>
      <c r="R1198" s="274"/>
      <c r="S1198" s="274"/>
      <c r="T1198" s="274"/>
      <c r="U1198" s="274"/>
      <c r="V1198" s="274"/>
    </row>
    <row r="1199" spans="1:22" x14ac:dyDescent="0.25">
      <c r="A1199" s="247">
        <v>1197</v>
      </c>
      <c r="B1199" s="270"/>
      <c r="C1199" s="270"/>
      <c r="D1199" s="271"/>
      <c r="E1199" s="272"/>
      <c r="F1199" s="272"/>
      <c r="G1199" s="273"/>
      <c r="H1199" s="274"/>
      <c r="I1199" s="274"/>
      <c r="J1199" s="274"/>
      <c r="K1199" s="274"/>
      <c r="L1199" s="274"/>
      <c r="M1199" s="274"/>
      <c r="N1199" s="274"/>
      <c r="O1199" s="274"/>
      <c r="P1199" s="274"/>
      <c r="Q1199" s="274"/>
      <c r="R1199" s="274"/>
      <c r="S1199" s="274"/>
      <c r="T1199" s="274"/>
      <c r="U1199" s="274"/>
      <c r="V1199" s="274"/>
    </row>
    <row r="1200" spans="1:22" x14ac:dyDescent="0.25">
      <c r="A1200" s="247">
        <v>1198</v>
      </c>
      <c r="B1200" s="270"/>
      <c r="C1200" s="270"/>
      <c r="D1200" s="271"/>
      <c r="E1200" s="272"/>
      <c r="F1200" s="272"/>
      <c r="G1200" s="273"/>
      <c r="H1200" s="274"/>
      <c r="I1200" s="274"/>
      <c r="J1200" s="274"/>
      <c r="K1200" s="274"/>
      <c r="L1200" s="274"/>
      <c r="M1200" s="274"/>
      <c r="N1200" s="274"/>
      <c r="O1200" s="274"/>
      <c r="P1200" s="274"/>
      <c r="Q1200" s="274"/>
      <c r="R1200" s="274"/>
      <c r="S1200" s="274"/>
      <c r="T1200" s="274"/>
      <c r="U1200" s="274"/>
      <c r="V1200" s="274"/>
    </row>
    <row r="1201" spans="1:22" x14ac:dyDescent="0.25">
      <c r="A1201" s="247">
        <v>1199</v>
      </c>
      <c r="B1201" s="270"/>
      <c r="C1201" s="270"/>
      <c r="D1201" s="271"/>
      <c r="E1201" s="272"/>
      <c r="F1201" s="272"/>
      <c r="G1201" s="273"/>
      <c r="H1201" s="274"/>
      <c r="I1201" s="274"/>
      <c r="J1201" s="274"/>
      <c r="K1201" s="274"/>
      <c r="L1201" s="274"/>
      <c r="M1201" s="274"/>
      <c r="N1201" s="274"/>
      <c r="O1201" s="274"/>
      <c r="P1201" s="274"/>
      <c r="Q1201" s="274"/>
      <c r="R1201" s="274"/>
      <c r="S1201" s="274"/>
      <c r="T1201" s="274"/>
      <c r="U1201" s="274"/>
      <c r="V1201" s="274"/>
    </row>
    <row r="1202" spans="1:22" x14ac:dyDescent="0.25">
      <c r="A1202" s="247">
        <v>1200</v>
      </c>
      <c r="B1202" s="270"/>
      <c r="C1202" s="270"/>
      <c r="D1202" s="271"/>
      <c r="E1202" s="272"/>
      <c r="F1202" s="272"/>
      <c r="G1202" s="273"/>
      <c r="H1202" s="274"/>
      <c r="I1202" s="274"/>
      <c r="J1202" s="274"/>
      <c r="K1202" s="274"/>
      <c r="L1202" s="274"/>
      <c r="M1202" s="274"/>
      <c r="N1202" s="274"/>
      <c r="O1202" s="274"/>
      <c r="P1202" s="274"/>
      <c r="Q1202" s="274"/>
      <c r="R1202" s="274"/>
      <c r="S1202" s="274"/>
      <c r="T1202" s="274"/>
      <c r="U1202" s="274"/>
      <c r="V1202" s="274"/>
    </row>
    <row r="1203" spans="1:22" x14ac:dyDescent="0.25">
      <c r="A1203" s="247">
        <v>1201</v>
      </c>
      <c r="B1203" s="270"/>
      <c r="C1203" s="270"/>
      <c r="D1203" s="271"/>
      <c r="E1203" s="272"/>
      <c r="F1203" s="272"/>
      <c r="G1203" s="273"/>
      <c r="H1203" s="274"/>
      <c r="I1203" s="274"/>
      <c r="J1203" s="274"/>
      <c r="K1203" s="274"/>
      <c r="L1203" s="274"/>
      <c r="M1203" s="274"/>
      <c r="N1203" s="274"/>
      <c r="O1203" s="274"/>
      <c r="P1203" s="274"/>
      <c r="Q1203" s="274"/>
      <c r="R1203" s="274"/>
      <c r="S1203" s="274"/>
      <c r="T1203" s="274"/>
      <c r="U1203" s="274"/>
      <c r="V1203" s="274"/>
    </row>
    <row r="1204" spans="1:22" x14ac:dyDescent="0.25">
      <c r="A1204" s="247">
        <v>1202</v>
      </c>
      <c r="B1204" s="270"/>
      <c r="C1204" s="270"/>
      <c r="D1204" s="271"/>
      <c r="E1204" s="272"/>
      <c r="F1204" s="272"/>
      <c r="G1204" s="273"/>
      <c r="H1204" s="274"/>
      <c r="I1204" s="274"/>
      <c r="J1204" s="274"/>
      <c r="K1204" s="274"/>
      <c r="L1204" s="274"/>
      <c r="M1204" s="274"/>
      <c r="N1204" s="274"/>
      <c r="O1204" s="274"/>
      <c r="P1204" s="274"/>
      <c r="Q1204" s="274"/>
      <c r="R1204" s="274"/>
      <c r="S1204" s="274"/>
      <c r="T1204" s="274"/>
      <c r="U1204" s="274"/>
      <c r="V1204" s="274"/>
    </row>
    <row r="1205" spans="1:22" x14ac:dyDescent="0.25">
      <c r="A1205" s="247">
        <v>1203</v>
      </c>
      <c r="B1205" s="270"/>
      <c r="C1205" s="270"/>
      <c r="D1205" s="271"/>
      <c r="E1205" s="272"/>
      <c r="F1205" s="272"/>
      <c r="G1205" s="273"/>
      <c r="H1205" s="274"/>
      <c r="I1205" s="274"/>
      <c r="J1205" s="274"/>
      <c r="K1205" s="274"/>
      <c r="L1205" s="274"/>
      <c r="M1205" s="274"/>
      <c r="N1205" s="274"/>
      <c r="O1205" s="274"/>
      <c r="P1205" s="274"/>
      <c r="Q1205" s="274"/>
      <c r="R1205" s="274"/>
      <c r="S1205" s="274"/>
      <c r="T1205" s="274"/>
      <c r="U1205" s="274"/>
      <c r="V1205" s="274"/>
    </row>
    <row r="1206" spans="1:22" x14ac:dyDescent="0.25">
      <c r="A1206" s="247">
        <v>1204</v>
      </c>
      <c r="B1206" s="270"/>
      <c r="C1206" s="270"/>
      <c r="D1206" s="271"/>
      <c r="E1206" s="272"/>
      <c r="F1206" s="272"/>
      <c r="G1206" s="273"/>
      <c r="H1206" s="274"/>
      <c r="I1206" s="274"/>
      <c r="J1206" s="274"/>
      <c r="K1206" s="274"/>
      <c r="L1206" s="274"/>
      <c r="M1206" s="274"/>
      <c r="N1206" s="274"/>
      <c r="O1206" s="274"/>
      <c r="P1206" s="274"/>
      <c r="Q1206" s="274"/>
      <c r="R1206" s="274"/>
      <c r="S1206" s="274"/>
      <c r="T1206" s="274"/>
      <c r="U1206" s="274"/>
      <c r="V1206" s="274"/>
    </row>
    <row r="1207" spans="1:22" x14ac:dyDescent="0.25">
      <c r="A1207" s="247">
        <v>1205</v>
      </c>
      <c r="B1207" s="270"/>
      <c r="C1207" s="270"/>
      <c r="D1207" s="271"/>
      <c r="E1207" s="272"/>
      <c r="F1207" s="272"/>
      <c r="G1207" s="273"/>
      <c r="H1207" s="274"/>
      <c r="I1207" s="274"/>
      <c r="J1207" s="274"/>
      <c r="K1207" s="274"/>
      <c r="L1207" s="274"/>
      <c r="M1207" s="274"/>
      <c r="N1207" s="274"/>
      <c r="O1207" s="274"/>
      <c r="P1207" s="274"/>
      <c r="Q1207" s="274"/>
      <c r="R1207" s="274"/>
      <c r="S1207" s="274"/>
      <c r="T1207" s="274"/>
      <c r="U1207" s="274"/>
      <c r="V1207" s="274"/>
    </row>
    <row r="1208" spans="1:22" x14ac:dyDescent="0.25">
      <c r="A1208" s="247">
        <v>1206</v>
      </c>
      <c r="B1208" s="270"/>
      <c r="C1208" s="270"/>
      <c r="D1208" s="271"/>
      <c r="E1208" s="272"/>
      <c r="F1208" s="272"/>
      <c r="G1208" s="273"/>
      <c r="H1208" s="274"/>
      <c r="I1208" s="274"/>
      <c r="J1208" s="274"/>
      <c r="K1208" s="274"/>
      <c r="L1208" s="274"/>
      <c r="M1208" s="274"/>
      <c r="N1208" s="274"/>
      <c r="O1208" s="274"/>
      <c r="P1208" s="274"/>
      <c r="Q1208" s="274"/>
      <c r="R1208" s="274"/>
      <c r="S1208" s="274"/>
      <c r="T1208" s="274"/>
      <c r="U1208" s="274"/>
      <c r="V1208" s="274"/>
    </row>
    <row r="1209" spans="1:22" x14ac:dyDescent="0.25">
      <c r="A1209" s="247">
        <v>1207</v>
      </c>
      <c r="B1209" s="270"/>
      <c r="C1209" s="270"/>
      <c r="D1209" s="271"/>
      <c r="E1209" s="272"/>
      <c r="F1209" s="272"/>
      <c r="G1209" s="273"/>
      <c r="H1209" s="274"/>
      <c r="I1209" s="274"/>
      <c r="J1209" s="274"/>
      <c r="K1209" s="274"/>
      <c r="L1209" s="274"/>
      <c r="M1209" s="274"/>
      <c r="N1209" s="274"/>
      <c r="O1209" s="274"/>
      <c r="P1209" s="274"/>
      <c r="Q1209" s="274"/>
      <c r="R1209" s="274"/>
      <c r="S1209" s="274"/>
      <c r="T1209" s="274"/>
      <c r="U1209" s="274"/>
      <c r="V1209" s="274"/>
    </row>
    <row r="1210" spans="1:22" x14ac:dyDescent="0.25">
      <c r="A1210" s="247">
        <v>1208</v>
      </c>
      <c r="B1210" s="270"/>
      <c r="C1210" s="270"/>
      <c r="D1210" s="271"/>
      <c r="E1210" s="272"/>
      <c r="F1210" s="272"/>
      <c r="G1210" s="273"/>
      <c r="H1210" s="274"/>
      <c r="I1210" s="274"/>
      <c r="J1210" s="274"/>
      <c r="K1210" s="274"/>
      <c r="L1210" s="274"/>
      <c r="M1210" s="274"/>
      <c r="N1210" s="274"/>
      <c r="O1210" s="274"/>
      <c r="P1210" s="274"/>
      <c r="Q1210" s="274"/>
      <c r="R1210" s="274"/>
      <c r="S1210" s="274"/>
      <c r="T1210" s="274"/>
      <c r="U1210" s="274"/>
      <c r="V1210" s="274"/>
    </row>
    <row r="1211" spans="1:22" x14ac:dyDescent="0.25">
      <c r="A1211" s="247">
        <v>1209</v>
      </c>
      <c r="B1211" s="270"/>
      <c r="C1211" s="270"/>
      <c r="D1211" s="271"/>
      <c r="E1211" s="272"/>
      <c r="F1211" s="272"/>
      <c r="G1211" s="273"/>
      <c r="H1211" s="274"/>
      <c r="I1211" s="274"/>
      <c r="J1211" s="274"/>
      <c r="K1211" s="274"/>
      <c r="L1211" s="274"/>
      <c r="M1211" s="274"/>
      <c r="N1211" s="274"/>
      <c r="O1211" s="274"/>
      <c r="P1211" s="274"/>
      <c r="Q1211" s="274"/>
      <c r="R1211" s="274"/>
      <c r="S1211" s="274"/>
      <c r="T1211" s="274"/>
      <c r="U1211" s="274"/>
      <c r="V1211" s="274"/>
    </row>
    <row r="1212" spans="1:22" x14ac:dyDescent="0.25">
      <c r="A1212" s="247">
        <v>1210</v>
      </c>
      <c r="B1212" s="270"/>
      <c r="C1212" s="270"/>
      <c r="D1212" s="271"/>
      <c r="E1212" s="272"/>
      <c r="F1212" s="272"/>
      <c r="G1212" s="273"/>
      <c r="H1212" s="274"/>
      <c r="I1212" s="274"/>
      <c r="J1212" s="274"/>
      <c r="K1212" s="274"/>
      <c r="L1212" s="274"/>
      <c r="M1212" s="274"/>
      <c r="N1212" s="274"/>
      <c r="O1212" s="274"/>
      <c r="P1212" s="274"/>
      <c r="Q1212" s="274"/>
      <c r="R1212" s="274"/>
      <c r="S1212" s="274"/>
      <c r="T1212" s="274"/>
      <c r="U1212" s="274"/>
      <c r="V1212" s="274"/>
    </row>
    <row r="1213" spans="1:22" x14ac:dyDescent="0.25">
      <c r="A1213" s="247">
        <v>1211</v>
      </c>
      <c r="B1213" s="270"/>
      <c r="C1213" s="270"/>
      <c r="D1213" s="271"/>
      <c r="E1213" s="272"/>
      <c r="F1213" s="272"/>
      <c r="G1213" s="273"/>
      <c r="H1213" s="274"/>
      <c r="I1213" s="274"/>
      <c r="J1213" s="274"/>
      <c r="K1213" s="274"/>
      <c r="L1213" s="274"/>
      <c r="M1213" s="274"/>
      <c r="N1213" s="274"/>
      <c r="O1213" s="274"/>
      <c r="P1213" s="274"/>
      <c r="Q1213" s="274"/>
      <c r="R1213" s="274"/>
      <c r="S1213" s="274"/>
      <c r="T1213" s="274"/>
      <c r="U1213" s="274"/>
      <c r="V1213" s="274"/>
    </row>
    <row r="1214" spans="1:22" x14ac:dyDescent="0.25">
      <c r="A1214" s="247">
        <v>1212</v>
      </c>
      <c r="B1214" s="270"/>
      <c r="C1214" s="270"/>
      <c r="D1214" s="271"/>
      <c r="E1214" s="272"/>
      <c r="F1214" s="272"/>
      <c r="G1214" s="273"/>
      <c r="H1214" s="274"/>
      <c r="I1214" s="274"/>
      <c r="J1214" s="274"/>
      <c r="K1214" s="274"/>
      <c r="L1214" s="274"/>
      <c r="M1214" s="274"/>
      <c r="N1214" s="274"/>
      <c r="O1214" s="274"/>
      <c r="P1214" s="274"/>
      <c r="Q1214" s="274"/>
      <c r="R1214" s="274"/>
      <c r="S1214" s="274"/>
      <c r="T1214" s="274"/>
      <c r="U1214" s="274"/>
      <c r="V1214" s="274"/>
    </row>
    <row r="1215" spans="1:22" x14ac:dyDescent="0.25">
      <c r="A1215" s="247">
        <v>1213</v>
      </c>
      <c r="B1215" s="270"/>
      <c r="C1215" s="270"/>
      <c r="D1215" s="271"/>
      <c r="E1215" s="272"/>
      <c r="F1215" s="272"/>
      <c r="G1215" s="273"/>
      <c r="H1215" s="274"/>
      <c r="I1215" s="274"/>
      <c r="J1215" s="274"/>
      <c r="K1215" s="274"/>
      <c r="L1215" s="274"/>
      <c r="M1215" s="274"/>
      <c r="N1215" s="274"/>
      <c r="O1215" s="274"/>
      <c r="P1215" s="274"/>
      <c r="Q1215" s="274"/>
      <c r="R1215" s="274"/>
      <c r="S1215" s="274"/>
      <c r="T1215" s="274"/>
      <c r="U1215" s="274"/>
      <c r="V1215" s="274"/>
    </row>
    <row r="1216" spans="1:22" x14ac:dyDescent="0.25">
      <c r="A1216" s="247">
        <v>1214</v>
      </c>
      <c r="B1216" s="270"/>
      <c r="C1216" s="270"/>
      <c r="D1216" s="271"/>
      <c r="E1216" s="272"/>
      <c r="F1216" s="272"/>
      <c r="G1216" s="273"/>
      <c r="H1216" s="274"/>
      <c r="I1216" s="274"/>
      <c r="J1216" s="274"/>
      <c r="K1216" s="274"/>
      <c r="L1216" s="274"/>
      <c r="M1216" s="274"/>
      <c r="N1216" s="274"/>
      <c r="O1216" s="274"/>
      <c r="P1216" s="274"/>
      <c r="Q1216" s="274"/>
      <c r="R1216" s="274"/>
      <c r="S1216" s="274"/>
      <c r="T1216" s="274"/>
      <c r="U1216" s="274"/>
      <c r="V1216" s="274"/>
    </row>
    <row r="1217" spans="1:22" x14ac:dyDescent="0.25">
      <c r="A1217" s="247">
        <v>1215</v>
      </c>
      <c r="B1217" s="270"/>
      <c r="C1217" s="270"/>
      <c r="D1217" s="271"/>
      <c r="E1217" s="272"/>
      <c r="F1217" s="272"/>
      <c r="G1217" s="273"/>
      <c r="H1217" s="274"/>
      <c r="I1217" s="274"/>
      <c r="J1217" s="274"/>
      <c r="K1217" s="274"/>
      <c r="L1217" s="274"/>
      <c r="M1217" s="274"/>
      <c r="N1217" s="274"/>
      <c r="O1217" s="274"/>
      <c r="P1217" s="274"/>
      <c r="Q1217" s="274"/>
      <c r="R1217" s="274"/>
      <c r="S1217" s="274"/>
      <c r="T1217" s="274"/>
      <c r="U1217" s="274"/>
      <c r="V1217" s="274"/>
    </row>
    <row r="1218" spans="1:22" x14ac:dyDescent="0.25">
      <c r="A1218" s="247">
        <v>1216</v>
      </c>
      <c r="B1218" s="270"/>
      <c r="C1218" s="270"/>
      <c r="D1218" s="271"/>
      <c r="E1218" s="272"/>
      <c r="F1218" s="272"/>
      <c r="G1218" s="273"/>
      <c r="H1218" s="274"/>
      <c r="I1218" s="274"/>
      <c r="J1218" s="274"/>
      <c r="K1218" s="274"/>
      <c r="L1218" s="274"/>
      <c r="M1218" s="274"/>
      <c r="N1218" s="274"/>
      <c r="O1218" s="274"/>
      <c r="P1218" s="274"/>
      <c r="Q1218" s="274"/>
      <c r="R1218" s="274"/>
      <c r="S1218" s="274"/>
      <c r="T1218" s="274"/>
      <c r="U1218" s="274"/>
      <c r="V1218" s="274"/>
    </row>
    <row r="1219" spans="1:22" x14ac:dyDescent="0.25">
      <c r="A1219" s="247">
        <v>1217</v>
      </c>
      <c r="B1219" s="270"/>
      <c r="C1219" s="270"/>
      <c r="D1219" s="271"/>
      <c r="E1219" s="272"/>
      <c r="F1219" s="272"/>
      <c r="G1219" s="273"/>
      <c r="H1219" s="274"/>
      <c r="I1219" s="274"/>
      <c r="J1219" s="274"/>
      <c r="K1219" s="274"/>
      <c r="L1219" s="274"/>
      <c r="M1219" s="274"/>
      <c r="N1219" s="274"/>
      <c r="O1219" s="274"/>
      <c r="P1219" s="274"/>
      <c r="Q1219" s="274"/>
      <c r="R1219" s="274"/>
      <c r="S1219" s="274"/>
      <c r="T1219" s="274"/>
      <c r="U1219" s="274"/>
      <c r="V1219" s="274"/>
    </row>
    <row r="1220" spans="1:22" x14ac:dyDescent="0.25">
      <c r="A1220" s="247">
        <v>1218</v>
      </c>
      <c r="B1220" s="270"/>
      <c r="C1220" s="270"/>
      <c r="D1220" s="271"/>
      <c r="E1220" s="272"/>
      <c r="F1220" s="272"/>
      <c r="G1220" s="273"/>
      <c r="H1220" s="274"/>
      <c r="I1220" s="274"/>
      <c r="J1220" s="274"/>
      <c r="K1220" s="274"/>
      <c r="L1220" s="274"/>
      <c r="M1220" s="274"/>
      <c r="N1220" s="274"/>
      <c r="O1220" s="274"/>
      <c r="P1220" s="274"/>
      <c r="Q1220" s="274"/>
      <c r="R1220" s="274"/>
      <c r="S1220" s="274"/>
      <c r="T1220" s="274"/>
      <c r="U1220" s="274"/>
      <c r="V1220" s="274"/>
    </row>
    <row r="1221" spans="1:22" x14ac:dyDescent="0.25">
      <c r="A1221" s="247">
        <v>1219</v>
      </c>
      <c r="B1221" s="270"/>
      <c r="C1221" s="270"/>
      <c r="D1221" s="271"/>
      <c r="E1221" s="272"/>
      <c r="F1221" s="272"/>
      <c r="G1221" s="273"/>
      <c r="H1221" s="274"/>
      <c r="I1221" s="274"/>
      <c r="J1221" s="274"/>
      <c r="K1221" s="274"/>
      <c r="L1221" s="274"/>
      <c r="M1221" s="274"/>
      <c r="N1221" s="274"/>
      <c r="O1221" s="274"/>
      <c r="P1221" s="274"/>
      <c r="Q1221" s="274"/>
      <c r="R1221" s="274"/>
      <c r="S1221" s="274"/>
      <c r="T1221" s="274"/>
      <c r="U1221" s="274"/>
      <c r="V1221" s="274"/>
    </row>
    <row r="1222" spans="1:22" x14ac:dyDescent="0.25">
      <c r="A1222" s="247">
        <v>1220</v>
      </c>
      <c r="B1222" s="270"/>
      <c r="C1222" s="270"/>
      <c r="D1222" s="271"/>
      <c r="E1222" s="272"/>
      <c r="F1222" s="272"/>
      <c r="G1222" s="273"/>
      <c r="H1222" s="274"/>
      <c r="I1222" s="274"/>
      <c r="J1222" s="274"/>
      <c r="K1222" s="274"/>
      <c r="L1222" s="274"/>
      <c r="M1222" s="274"/>
      <c r="N1222" s="274"/>
      <c r="O1222" s="274"/>
      <c r="P1222" s="274"/>
      <c r="Q1222" s="274"/>
      <c r="R1222" s="274"/>
      <c r="S1222" s="274"/>
      <c r="T1222" s="274"/>
      <c r="U1222" s="274"/>
      <c r="V1222" s="274"/>
    </row>
    <row r="1223" spans="1:22" x14ac:dyDescent="0.25">
      <c r="A1223" s="247">
        <v>1221</v>
      </c>
      <c r="B1223" s="270"/>
      <c r="C1223" s="270"/>
      <c r="D1223" s="271"/>
      <c r="E1223" s="272"/>
      <c r="F1223" s="272"/>
      <c r="G1223" s="273"/>
      <c r="H1223" s="274"/>
      <c r="I1223" s="274"/>
      <c r="J1223" s="274"/>
      <c r="K1223" s="274"/>
      <c r="L1223" s="274"/>
      <c r="M1223" s="274"/>
      <c r="N1223" s="274"/>
      <c r="O1223" s="274"/>
      <c r="P1223" s="274"/>
      <c r="Q1223" s="274"/>
      <c r="R1223" s="274"/>
      <c r="S1223" s="274"/>
      <c r="T1223" s="274"/>
      <c r="U1223" s="274"/>
      <c r="V1223" s="274"/>
    </row>
    <row r="1224" spans="1:22" x14ac:dyDescent="0.25">
      <c r="A1224" s="247">
        <v>1222</v>
      </c>
      <c r="B1224" s="270"/>
      <c r="C1224" s="270"/>
      <c r="D1224" s="271"/>
      <c r="E1224" s="272"/>
      <c r="F1224" s="272"/>
      <c r="G1224" s="273"/>
      <c r="H1224" s="274"/>
      <c r="I1224" s="274"/>
      <c r="J1224" s="274"/>
      <c r="K1224" s="274"/>
      <c r="L1224" s="274"/>
      <c r="M1224" s="274"/>
      <c r="N1224" s="274"/>
      <c r="O1224" s="274"/>
      <c r="P1224" s="274"/>
      <c r="Q1224" s="274"/>
      <c r="R1224" s="274"/>
      <c r="S1224" s="274"/>
      <c r="T1224" s="274"/>
      <c r="U1224" s="274"/>
      <c r="V1224" s="274"/>
    </row>
    <row r="1225" spans="1:22" x14ac:dyDescent="0.25">
      <c r="A1225" s="247">
        <v>1223</v>
      </c>
      <c r="B1225" s="270"/>
      <c r="C1225" s="270"/>
      <c r="D1225" s="271"/>
      <c r="E1225" s="272"/>
      <c r="F1225" s="272"/>
      <c r="G1225" s="273"/>
      <c r="H1225" s="274"/>
      <c r="I1225" s="274"/>
      <c r="J1225" s="274"/>
      <c r="K1225" s="274"/>
      <c r="L1225" s="274"/>
      <c r="M1225" s="274"/>
      <c r="N1225" s="274"/>
      <c r="O1225" s="274"/>
      <c r="P1225" s="274"/>
      <c r="Q1225" s="274"/>
      <c r="R1225" s="274"/>
      <c r="S1225" s="274"/>
      <c r="T1225" s="274"/>
      <c r="U1225" s="274"/>
      <c r="V1225" s="274"/>
    </row>
    <row r="1226" spans="1:22" x14ac:dyDescent="0.25">
      <c r="A1226" s="247">
        <v>1224</v>
      </c>
      <c r="B1226" s="270"/>
      <c r="C1226" s="270"/>
      <c r="D1226" s="271"/>
      <c r="E1226" s="272"/>
      <c r="F1226" s="272"/>
      <c r="G1226" s="273"/>
      <c r="H1226" s="274"/>
      <c r="I1226" s="274"/>
      <c r="J1226" s="274"/>
      <c r="K1226" s="274"/>
      <c r="L1226" s="274"/>
      <c r="M1226" s="274"/>
      <c r="N1226" s="274"/>
      <c r="O1226" s="274"/>
      <c r="P1226" s="274"/>
      <c r="Q1226" s="274"/>
      <c r="R1226" s="274"/>
      <c r="S1226" s="274"/>
      <c r="T1226" s="274"/>
      <c r="U1226" s="274"/>
      <c r="V1226" s="274"/>
    </row>
    <row r="1227" spans="1:22" x14ac:dyDescent="0.25">
      <c r="A1227" s="247">
        <v>1225</v>
      </c>
      <c r="B1227" s="270"/>
      <c r="C1227" s="270"/>
      <c r="D1227" s="271"/>
      <c r="E1227" s="272"/>
      <c r="F1227" s="272"/>
      <c r="G1227" s="273"/>
      <c r="H1227" s="274"/>
      <c r="I1227" s="274"/>
      <c r="J1227" s="274"/>
      <c r="K1227" s="274"/>
      <c r="L1227" s="274"/>
      <c r="M1227" s="274"/>
      <c r="N1227" s="274"/>
      <c r="O1227" s="274"/>
      <c r="P1227" s="274"/>
      <c r="Q1227" s="274"/>
      <c r="R1227" s="274"/>
      <c r="S1227" s="274"/>
      <c r="T1227" s="274"/>
      <c r="U1227" s="274"/>
      <c r="V1227" s="274"/>
    </row>
    <row r="1228" spans="1:22" x14ac:dyDescent="0.25">
      <c r="A1228" s="247">
        <v>1226</v>
      </c>
      <c r="B1228" s="270"/>
      <c r="C1228" s="270"/>
      <c r="D1228" s="271"/>
      <c r="E1228" s="272"/>
      <c r="F1228" s="272"/>
      <c r="G1228" s="273"/>
      <c r="H1228" s="274"/>
      <c r="I1228" s="274"/>
      <c r="J1228" s="274"/>
      <c r="K1228" s="274"/>
      <c r="L1228" s="274"/>
      <c r="M1228" s="274"/>
      <c r="N1228" s="274"/>
      <c r="O1228" s="274"/>
      <c r="P1228" s="274"/>
      <c r="Q1228" s="274"/>
      <c r="R1228" s="274"/>
      <c r="S1228" s="274"/>
      <c r="T1228" s="274"/>
      <c r="U1228" s="274"/>
      <c r="V1228" s="274"/>
    </row>
    <row r="1229" spans="1:22" x14ac:dyDescent="0.25">
      <c r="A1229" s="247">
        <v>1227</v>
      </c>
      <c r="B1229" s="270"/>
      <c r="C1229" s="270"/>
      <c r="D1229" s="271"/>
      <c r="E1229" s="272"/>
      <c r="F1229" s="272"/>
      <c r="G1229" s="273"/>
      <c r="H1229" s="274"/>
      <c r="I1229" s="274"/>
      <c r="J1229" s="274"/>
      <c r="K1229" s="274"/>
      <c r="L1229" s="274"/>
      <c r="M1229" s="274"/>
      <c r="N1229" s="274"/>
      <c r="O1229" s="274"/>
      <c r="P1229" s="274"/>
      <c r="Q1229" s="274"/>
      <c r="R1229" s="274"/>
      <c r="S1229" s="274"/>
      <c r="T1229" s="274"/>
      <c r="U1229" s="274"/>
      <c r="V1229" s="274"/>
    </row>
    <row r="1230" spans="1:22" x14ac:dyDescent="0.25">
      <c r="A1230" s="247">
        <v>1228</v>
      </c>
      <c r="B1230" s="270"/>
      <c r="C1230" s="270"/>
      <c r="D1230" s="271"/>
      <c r="E1230" s="272"/>
      <c r="F1230" s="272"/>
      <c r="G1230" s="273"/>
      <c r="H1230" s="274"/>
      <c r="I1230" s="274"/>
      <c r="J1230" s="274"/>
      <c r="K1230" s="274"/>
      <c r="L1230" s="274"/>
      <c r="M1230" s="274"/>
      <c r="N1230" s="274"/>
      <c r="O1230" s="274"/>
      <c r="P1230" s="274"/>
      <c r="Q1230" s="274"/>
      <c r="R1230" s="274"/>
      <c r="S1230" s="274"/>
      <c r="T1230" s="274"/>
      <c r="U1230" s="274"/>
      <c r="V1230" s="274"/>
    </row>
    <row r="1231" spans="1:22" x14ac:dyDescent="0.25">
      <c r="A1231" s="247">
        <v>1229</v>
      </c>
      <c r="B1231" s="270"/>
      <c r="C1231" s="270"/>
      <c r="D1231" s="271"/>
      <c r="E1231" s="272"/>
      <c r="F1231" s="272"/>
      <c r="G1231" s="273"/>
      <c r="H1231" s="274"/>
      <c r="I1231" s="274"/>
      <c r="J1231" s="274"/>
      <c r="K1231" s="274"/>
      <c r="L1231" s="274"/>
      <c r="M1231" s="274"/>
      <c r="N1231" s="274"/>
      <c r="O1231" s="274"/>
      <c r="P1231" s="274"/>
      <c r="Q1231" s="274"/>
      <c r="R1231" s="274"/>
      <c r="S1231" s="274"/>
      <c r="T1231" s="274"/>
      <c r="U1231" s="274"/>
      <c r="V1231" s="274"/>
    </row>
    <row r="1232" spans="1:22" x14ac:dyDescent="0.25">
      <c r="A1232" s="247">
        <v>1230</v>
      </c>
      <c r="B1232" s="270"/>
      <c r="C1232" s="270"/>
      <c r="D1232" s="271"/>
      <c r="E1232" s="272"/>
      <c r="F1232" s="272"/>
      <c r="G1232" s="273"/>
      <c r="H1232" s="274"/>
      <c r="I1232" s="274"/>
      <c r="J1232" s="274"/>
      <c r="K1232" s="274"/>
      <c r="L1232" s="274"/>
      <c r="M1232" s="274"/>
      <c r="N1232" s="274"/>
      <c r="O1232" s="274"/>
      <c r="P1232" s="274"/>
      <c r="Q1232" s="274"/>
      <c r="R1232" s="274"/>
      <c r="S1232" s="274"/>
      <c r="T1232" s="274"/>
      <c r="U1232" s="274"/>
      <c r="V1232" s="274"/>
    </row>
    <row r="1233" spans="1:22" x14ac:dyDescent="0.25">
      <c r="A1233" s="247">
        <v>1231</v>
      </c>
      <c r="B1233" s="270"/>
      <c r="C1233" s="270"/>
      <c r="D1233" s="271"/>
      <c r="E1233" s="272"/>
      <c r="F1233" s="272"/>
      <c r="G1233" s="273"/>
      <c r="H1233" s="274"/>
      <c r="I1233" s="274"/>
      <c r="J1233" s="274"/>
      <c r="K1233" s="274"/>
      <c r="L1233" s="274"/>
      <c r="M1233" s="274"/>
      <c r="N1233" s="274"/>
      <c r="O1233" s="274"/>
      <c r="P1233" s="274"/>
      <c r="Q1233" s="274"/>
      <c r="R1233" s="274"/>
      <c r="S1233" s="274"/>
      <c r="T1233" s="274"/>
      <c r="U1233" s="274"/>
      <c r="V1233" s="274"/>
    </row>
    <row r="1234" spans="1:22" x14ac:dyDescent="0.25">
      <c r="A1234" s="247">
        <v>1232</v>
      </c>
      <c r="B1234" s="270"/>
      <c r="C1234" s="270"/>
      <c r="D1234" s="271"/>
      <c r="E1234" s="272"/>
      <c r="F1234" s="272"/>
      <c r="G1234" s="273"/>
      <c r="H1234" s="274"/>
      <c r="I1234" s="274"/>
      <c r="J1234" s="274"/>
      <c r="K1234" s="274"/>
      <c r="L1234" s="274"/>
      <c r="M1234" s="274"/>
      <c r="N1234" s="274"/>
      <c r="O1234" s="274"/>
      <c r="P1234" s="274"/>
      <c r="Q1234" s="274"/>
      <c r="R1234" s="274"/>
      <c r="S1234" s="274"/>
      <c r="T1234" s="274"/>
      <c r="U1234" s="274"/>
      <c r="V1234" s="274"/>
    </row>
    <row r="1235" spans="1:22" x14ac:dyDescent="0.25">
      <c r="A1235" s="247">
        <v>1233</v>
      </c>
      <c r="B1235" s="270"/>
      <c r="C1235" s="270"/>
      <c r="D1235" s="271"/>
      <c r="E1235" s="272"/>
      <c r="F1235" s="272"/>
      <c r="G1235" s="273"/>
      <c r="H1235" s="274"/>
      <c r="I1235" s="274"/>
      <c r="J1235" s="274"/>
      <c r="K1235" s="274"/>
      <c r="L1235" s="274"/>
      <c r="M1235" s="274"/>
      <c r="N1235" s="274"/>
      <c r="O1235" s="274"/>
      <c r="P1235" s="274"/>
      <c r="Q1235" s="274"/>
      <c r="R1235" s="274"/>
      <c r="S1235" s="274"/>
      <c r="T1235" s="274"/>
      <c r="U1235" s="274"/>
      <c r="V1235" s="274"/>
    </row>
    <row r="1236" spans="1:22" x14ac:dyDescent="0.25">
      <c r="A1236" s="247">
        <v>1234</v>
      </c>
      <c r="B1236" s="270"/>
      <c r="C1236" s="270"/>
      <c r="D1236" s="271"/>
      <c r="E1236" s="272"/>
      <c r="F1236" s="272"/>
      <c r="G1236" s="273"/>
      <c r="H1236" s="274"/>
      <c r="I1236" s="274"/>
      <c r="J1236" s="274"/>
      <c r="K1236" s="274"/>
      <c r="L1236" s="274"/>
      <c r="M1236" s="274"/>
      <c r="N1236" s="274"/>
      <c r="O1236" s="274"/>
      <c r="P1236" s="274"/>
      <c r="Q1236" s="274"/>
      <c r="R1236" s="274"/>
      <c r="S1236" s="274"/>
      <c r="T1236" s="274"/>
      <c r="U1236" s="274"/>
      <c r="V1236" s="274"/>
    </row>
    <row r="1237" spans="1:22" x14ac:dyDescent="0.25">
      <c r="A1237" s="247">
        <v>1235</v>
      </c>
      <c r="B1237" s="270"/>
      <c r="C1237" s="270"/>
      <c r="D1237" s="271"/>
      <c r="E1237" s="272"/>
      <c r="F1237" s="272"/>
      <c r="G1237" s="273"/>
      <c r="H1237" s="274"/>
      <c r="I1237" s="274"/>
      <c r="J1237" s="274"/>
      <c r="K1237" s="274"/>
      <c r="L1237" s="274"/>
      <c r="M1237" s="274"/>
      <c r="N1237" s="274"/>
      <c r="O1237" s="274"/>
      <c r="P1237" s="274"/>
      <c r="Q1237" s="274"/>
      <c r="R1237" s="274"/>
      <c r="S1237" s="274"/>
      <c r="T1237" s="274"/>
      <c r="U1237" s="274"/>
      <c r="V1237" s="274"/>
    </row>
    <row r="1238" spans="1:22" x14ac:dyDescent="0.25">
      <c r="A1238" s="247">
        <v>1236</v>
      </c>
      <c r="B1238" s="270"/>
      <c r="C1238" s="270"/>
      <c r="D1238" s="271"/>
      <c r="E1238" s="272"/>
      <c r="F1238" s="272"/>
      <c r="G1238" s="273"/>
      <c r="H1238" s="274"/>
      <c r="I1238" s="274"/>
      <c r="J1238" s="274"/>
      <c r="K1238" s="274"/>
      <c r="L1238" s="274"/>
      <c r="M1238" s="274"/>
      <c r="N1238" s="274"/>
      <c r="O1238" s="274"/>
      <c r="P1238" s="274"/>
      <c r="Q1238" s="274"/>
      <c r="R1238" s="274"/>
      <c r="S1238" s="274"/>
      <c r="T1238" s="274"/>
      <c r="U1238" s="274"/>
      <c r="V1238" s="274"/>
    </row>
    <row r="1239" spans="1:22" x14ac:dyDescent="0.25">
      <c r="A1239" s="247">
        <v>1237</v>
      </c>
      <c r="B1239" s="270"/>
      <c r="C1239" s="270"/>
      <c r="D1239" s="271"/>
      <c r="E1239" s="272"/>
      <c r="F1239" s="272"/>
      <c r="G1239" s="273"/>
      <c r="H1239" s="274"/>
      <c r="I1239" s="274"/>
      <c r="J1239" s="274"/>
      <c r="K1239" s="274"/>
      <c r="L1239" s="274"/>
      <c r="M1239" s="274"/>
      <c r="N1239" s="274"/>
      <c r="O1239" s="274"/>
      <c r="P1239" s="274"/>
      <c r="Q1239" s="274"/>
      <c r="R1239" s="274"/>
      <c r="S1239" s="274"/>
      <c r="T1239" s="274"/>
      <c r="U1239" s="274"/>
      <c r="V1239" s="274"/>
    </row>
    <row r="1240" spans="1:22" x14ac:dyDescent="0.25">
      <c r="A1240" s="247">
        <v>1238</v>
      </c>
      <c r="B1240" s="270"/>
      <c r="C1240" s="270"/>
      <c r="D1240" s="271"/>
      <c r="E1240" s="272"/>
      <c r="F1240" s="272"/>
      <c r="G1240" s="273"/>
      <c r="H1240" s="274"/>
      <c r="I1240" s="274"/>
      <c r="J1240" s="274"/>
      <c r="K1240" s="274"/>
      <c r="L1240" s="274"/>
      <c r="M1240" s="274"/>
      <c r="N1240" s="274"/>
      <c r="O1240" s="274"/>
      <c r="P1240" s="274"/>
      <c r="Q1240" s="274"/>
      <c r="R1240" s="274"/>
      <c r="S1240" s="274"/>
      <c r="T1240" s="274"/>
      <c r="U1240" s="274"/>
      <c r="V1240" s="274"/>
    </row>
    <row r="1241" spans="1:22" x14ac:dyDescent="0.25">
      <c r="A1241" s="247">
        <v>1239</v>
      </c>
      <c r="B1241" s="270"/>
      <c r="C1241" s="270"/>
      <c r="D1241" s="271"/>
      <c r="E1241" s="272"/>
      <c r="F1241" s="272"/>
      <c r="G1241" s="273"/>
      <c r="H1241" s="274"/>
      <c r="I1241" s="274"/>
      <c r="J1241" s="274"/>
      <c r="K1241" s="274"/>
      <c r="L1241" s="274"/>
      <c r="M1241" s="274"/>
      <c r="N1241" s="274"/>
      <c r="O1241" s="274"/>
      <c r="P1241" s="274"/>
      <c r="Q1241" s="274"/>
      <c r="R1241" s="274"/>
      <c r="S1241" s="274"/>
      <c r="T1241" s="274"/>
      <c r="U1241" s="274"/>
      <c r="V1241" s="274"/>
    </row>
    <row r="1242" spans="1:22" x14ac:dyDescent="0.25">
      <c r="A1242" s="247">
        <v>1240</v>
      </c>
      <c r="B1242" s="270"/>
      <c r="C1242" s="270"/>
      <c r="D1242" s="271"/>
      <c r="E1242" s="272"/>
      <c r="F1242" s="272"/>
      <c r="G1242" s="273"/>
      <c r="H1242" s="274"/>
      <c r="I1242" s="274"/>
      <c r="J1242" s="274"/>
      <c r="K1242" s="274"/>
      <c r="L1242" s="274"/>
      <c r="M1242" s="274"/>
      <c r="N1242" s="274"/>
      <c r="O1242" s="274"/>
      <c r="P1242" s="274"/>
      <c r="Q1242" s="274"/>
      <c r="R1242" s="274"/>
      <c r="S1242" s="274"/>
      <c r="T1242" s="274"/>
      <c r="U1242" s="274"/>
      <c r="V1242" s="274"/>
    </row>
    <row r="1243" spans="1:22" x14ac:dyDescent="0.25">
      <c r="A1243" s="247">
        <v>1241</v>
      </c>
      <c r="B1243" s="270"/>
      <c r="C1243" s="270"/>
      <c r="D1243" s="271"/>
      <c r="E1243" s="272"/>
      <c r="F1243" s="272"/>
      <c r="G1243" s="273"/>
      <c r="H1243" s="274"/>
      <c r="I1243" s="274"/>
      <c r="J1243" s="274"/>
      <c r="K1243" s="274"/>
      <c r="L1243" s="274"/>
      <c r="M1243" s="274"/>
      <c r="N1243" s="274"/>
      <c r="O1243" s="274"/>
      <c r="P1243" s="274"/>
      <c r="Q1243" s="274"/>
      <c r="R1243" s="274"/>
      <c r="S1243" s="274"/>
      <c r="T1243" s="274"/>
      <c r="U1243" s="274"/>
      <c r="V1243" s="274"/>
    </row>
    <row r="1244" spans="1:22" x14ac:dyDescent="0.25">
      <c r="A1244" s="247">
        <v>1242</v>
      </c>
      <c r="B1244" s="270"/>
      <c r="C1244" s="270"/>
      <c r="D1244" s="271"/>
      <c r="E1244" s="272"/>
      <c r="F1244" s="272"/>
      <c r="G1244" s="273"/>
      <c r="H1244" s="274"/>
      <c r="I1244" s="274"/>
      <c r="J1244" s="274"/>
      <c r="K1244" s="274"/>
      <c r="L1244" s="274"/>
      <c r="M1244" s="274"/>
      <c r="N1244" s="274"/>
      <c r="O1244" s="274"/>
      <c r="P1244" s="274"/>
      <c r="Q1244" s="274"/>
      <c r="R1244" s="274"/>
      <c r="S1244" s="274"/>
      <c r="T1244" s="274"/>
      <c r="U1244" s="274"/>
      <c r="V1244" s="274"/>
    </row>
    <row r="1245" spans="1:22" x14ac:dyDescent="0.25">
      <c r="A1245" s="247">
        <v>1243</v>
      </c>
      <c r="B1245" s="270"/>
      <c r="C1245" s="270"/>
      <c r="D1245" s="271"/>
      <c r="E1245" s="272"/>
      <c r="F1245" s="272"/>
      <c r="G1245" s="273"/>
      <c r="H1245" s="274"/>
      <c r="I1245" s="274"/>
      <c r="J1245" s="274"/>
      <c r="K1245" s="274"/>
      <c r="L1245" s="274"/>
      <c r="M1245" s="274"/>
      <c r="N1245" s="274"/>
      <c r="O1245" s="274"/>
      <c r="P1245" s="274"/>
      <c r="Q1245" s="274"/>
      <c r="R1245" s="274"/>
      <c r="S1245" s="274"/>
      <c r="T1245" s="274"/>
      <c r="U1245" s="274"/>
      <c r="V1245" s="274"/>
    </row>
    <row r="1246" spans="1:22" x14ac:dyDescent="0.25">
      <c r="A1246" s="247">
        <v>1244</v>
      </c>
      <c r="B1246" s="270"/>
      <c r="C1246" s="270"/>
      <c r="D1246" s="271"/>
      <c r="E1246" s="272"/>
      <c r="F1246" s="272"/>
      <c r="G1246" s="273"/>
      <c r="H1246" s="274"/>
      <c r="I1246" s="274"/>
      <c r="J1246" s="274"/>
      <c r="K1246" s="274"/>
      <c r="L1246" s="274"/>
      <c r="M1246" s="274"/>
      <c r="N1246" s="274"/>
      <c r="O1246" s="274"/>
      <c r="P1246" s="274"/>
      <c r="Q1246" s="274"/>
      <c r="R1246" s="274"/>
      <c r="S1246" s="274"/>
      <c r="T1246" s="274"/>
      <c r="U1246" s="274"/>
      <c r="V1246" s="274"/>
    </row>
    <row r="1247" spans="1:22" x14ac:dyDescent="0.25">
      <c r="A1247" s="247">
        <v>1245</v>
      </c>
      <c r="B1247" s="270"/>
      <c r="C1247" s="270"/>
      <c r="D1247" s="271"/>
      <c r="E1247" s="272"/>
      <c r="F1247" s="272"/>
      <c r="G1247" s="273"/>
      <c r="H1247" s="274"/>
      <c r="I1247" s="274"/>
      <c r="J1247" s="274"/>
      <c r="K1247" s="274"/>
      <c r="L1247" s="274"/>
      <c r="M1247" s="274"/>
      <c r="N1247" s="274"/>
      <c r="O1247" s="274"/>
      <c r="P1247" s="274"/>
      <c r="Q1247" s="274"/>
      <c r="R1247" s="274"/>
      <c r="S1247" s="274"/>
      <c r="T1247" s="274"/>
      <c r="U1247" s="274"/>
      <c r="V1247" s="274"/>
    </row>
    <row r="1248" spans="1:22" x14ac:dyDescent="0.25">
      <c r="A1248" s="247">
        <v>1246</v>
      </c>
      <c r="B1248" s="270"/>
      <c r="C1248" s="270"/>
      <c r="D1248" s="271"/>
      <c r="E1248" s="272"/>
      <c r="F1248" s="272"/>
      <c r="G1248" s="273"/>
      <c r="H1248" s="274"/>
      <c r="I1248" s="274"/>
      <c r="J1248" s="274"/>
      <c r="K1248" s="274"/>
      <c r="L1248" s="274"/>
      <c r="M1248" s="274"/>
      <c r="N1248" s="274"/>
      <c r="O1248" s="274"/>
      <c r="P1248" s="274"/>
      <c r="Q1248" s="274"/>
      <c r="R1248" s="274"/>
      <c r="S1248" s="274"/>
      <c r="T1248" s="274"/>
      <c r="U1248" s="274"/>
      <c r="V1248" s="274"/>
    </row>
    <row r="1249" spans="1:22" x14ac:dyDescent="0.25">
      <c r="A1249" s="247">
        <v>1247</v>
      </c>
      <c r="B1249" s="270"/>
      <c r="C1249" s="270"/>
      <c r="D1249" s="271"/>
      <c r="E1249" s="272"/>
      <c r="F1249" s="272"/>
      <c r="G1249" s="273"/>
      <c r="H1249" s="274"/>
      <c r="I1249" s="274"/>
      <c r="J1249" s="274"/>
      <c r="K1249" s="274"/>
      <c r="L1249" s="274"/>
      <c r="M1249" s="274"/>
      <c r="N1249" s="274"/>
      <c r="O1249" s="274"/>
      <c r="P1249" s="274"/>
      <c r="Q1249" s="274"/>
      <c r="R1249" s="274"/>
      <c r="S1249" s="274"/>
      <c r="T1249" s="274"/>
      <c r="U1249" s="274"/>
      <c r="V1249" s="274"/>
    </row>
    <row r="1250" spans="1:22" x14ac:dyDescent="0.25">
      <c r="A1250" s="247">
        <v>1248</v>
      </c>
      <c r="B1250" s="270"/>
      <c r="C1250" s="270"/>
      <c r="D1250" s="271"/>
      <c r="E1250" s="272"/>
      <c r="F1250" s="272"/>
      <c r="G1250" s="273"/>
      <c r="H1250" s="274"/>
      <c r="I1250" s="274"/>
      <c r="J1250" s="274"/>
      <c r="K1250" s="274"/>
      <c r="L1250" s="274"/>
      <c r="M1250" s="274"/>
      <c r="N1250" s="274"/>
      <c r="O1250" s="274"/>
      <c r="P1250" s="274"/>
      <c r="Q1250" s="274"/>
      <c r="R1250" s="274"/>
      <c r="S1250" s="274"/>
      <c r="T1250" s="274"/>
      <c r="U1250" s="274"/>
      <c r="V1250" s="274"/>
    </row>
    <row r="1251" spans="1:22" x14ac:dyDescent="0.25">
      <c r="A1251" s="247">
        <v>1249</v>
      </c>
      <c r="B1251" s="270"/>
      <c r="C1251" s="270"/>
      <c r="D1251" s="271"/>
      <c r="E1251" s="272"/>
      <c r="F1251" s="272"/>
      <c r="G1251" s="273"/>
      <c r="H1251" s="274"/>
      <c r="I1251" s="274"/>
      <c r="J1251" s="274"/>
      <c r="K1251" s="274"/>
      <c r="L1251" s="274"/>
      <c r="M1251" s="274"/>
      <c r="N1251" s="274"/>
      <c r="O1251" s="274"/>
      <c r="P1251" s="274"/>
      <c r="Q1251" s="274"/>
      <c r="R1251" s="274"/>
      <c r="S1251" s="274"/>
      <c r="T1251" s="274"/>
      <c r="U1251" s="274"/>
      <c r="V1251" s="274"/>
    </row>
    <row r="1252" spans="1:22" x14ac:dyDescent="0.25">
      <c r="A1252" s="247">
        <v>1250</v>
      </c>
      <c r="B1252" s="270"/>
      <c r="C1252" s="270"/>
      <c r="D1252" s="271"/>
      <c r="E1252" s="272"/>
      <c r="F1252" s="272"/>
      <c r="G1252" s="273"/>
      <c r="H1252" s="274"/>
      <c r="I1252" s="274"/>
      <c r="J1252" s="274"/>
      <c r="K1252" s="274"/>
      <c r="L1252" s="274"/>
      <c r="M1252" s="274"/>
      <c r="N1252" s="274"/>
      <c r="O1252" s="274"/>
      <c r="P1252" s="274"/>
      <c r="Q1252" s="274"/>
      <c r="R1252" s="274"/>
      <c r="S1252" s="274"/>
      <c r="T1252" s="274"/>
      <c r="U1252" s="274"/>
      <c r="V1252" s="274"/>
    </row>
    <row r="1253" spans="1:22" x14ac:dyDescent="0.25">
      <c r="A1253" s="247">
        <v>1251</v>
      </c>
      <c r="B1253" s="270"/>
      <c r="C1253" s="270"/>
      <c r="D1253" s="271"/>
      <c r="E1253" s="272"/>
      <c r="F1253" s="272"/>
      <c r="G1253" s="273"/>
      <c r="H1253" s="274"/>
      <c r="I1253" s="274"/>
      <c r="J1253" s="274"/>
      <c r="K1253" s="274"/>
      <c r="L1253" s="274"/>
      <c r="M1253" s="274"/>
      <c r="N1253" s="274"/>
      <c r="O1253" s="274"/>
      <c r="P1253" s="274"/>
      <c r="Q1253" s="274"/>
      <c r="R1253" s="274"/>
      <c r="S1253" s="274"/>
      <c r="T1253" s="274"/>
      <c r="U1253" s="274"/>
      <c r="V1253" s="274"/>
    </row>
    <row r="1254" spans="1:22" x14ac:dyDescent="0.25">
      <c r="A1254" s="247">
        <v>1252</v>
      </c>
      <c r="B1254" s="270"/>
      <c r="C1254" s="270"/>
      <c r="D1254" s="271"/>
      <c r="E1254" s="272"/>
      <c r="F1254" s="272"/>
      <c r="G1254" s="273"/>
      <c r="H1254" s="274"/>
      <c r="I1254" s="274"/>
      <c r="J1254" s="274"/>
      <c r="K1254" s="274"/>
      <c r="L1254" s="274"/>
      <c r="M1254" s="274"/>
      <c r="N1254" s="274"/>
      <c r="O1254" s="274"/>
      <c r="P1254" s="274"/>
      <c r="Q1254" s="274"/>
      <c r="R1254" s="274"/>
      <c r="S1254" s="274"/>
      <c r="T1254" s="274"/>
      <c r="U1254" s="274"/>
      <c r="V1254" s="274"/>
    </row>
    <row r="1255" spans="1:22" x14ac:dyDescent="0.25">
      <c r="A1255" s="247">
        <v>1253</v>
      </c>
      <c r="B1255" s="270"/>
      <c r="C1255" s="270"/>
      <c r="D1255" s="271"/>
      <c r="E1255" s="272"/>
      <c r="F1255" s="272"/>
      <c r="G1255" s="273"/>
      <c r="H1255" s="274"/>
      <c r="I1255" s="274"/>
      <c r="J1255" s="274"/>
      <c r="K1255" s="274"/>
      <c r="L1255" s="274"/>
      <c r="M1255" s="274"/>
      <c r="N1255" s="274"/>
      <c r="O1255" s="274"/>
      <c r="P1255" s="274"/>
      <c r="Q1255" s="274"/>
      <c r="R1255" s="274"/>
      <c r="S1255" s="274"/>
      <c r="T1255" s="274"/>
      <c r="U1255" s="274"/>
      <c r="V1255" s="274"/>
    </row>
    <row r="1256" spans="1:22" x14ac:dyDescent="0.25">
      <c r="A1256" s="247">
        <v>1254</v>
      </c>
      <c r="B1256" s="270"/>
      <c r="C1256" s="270"/>
      <c r="D1256" s="271"/>
      <c r="E1256" s="272"/>
      <c r="F1256" s="272"/>
      <c r="G1256" s="273"/>
      <c r="H1256" s="274"/>
      <c r="I1256" s="274"/>
      <c r="J1256" s="274"/>
      <c r="K1256" s="274"/>
      <c r="L1256" s="274"/>
      <c r="M1256" s="274"/>
      <c r="N1256" s="274"/>
      <c r="O1256" s="274"/>
      <c r="P1256" s="274"/>
      <c r="Q1256" s="274"/>
      <c r="R1256" s="274"/>
      <c r="S1256" s="274"/>
      <c r="T1256" s="274"/>
      <c r="U1256" s="274"/>
      <c r="V1256" s="274"/>
    </row>
    <row r="1257" spans="1:22" x14ac:dyDescent="0.25">
      <c r="A1257" s="247">
        <v>1255</v>
      </c>
      <c r="B1257" s="270"/>
      <c r="C1257" s="270"/>
      <c r="D1257" s="271"/>
      <c r="E1257" s="272"/>
      <c r="F1257" s="272"/>
      <c r="G1257" s="273"/>
      <c r="H1257" s="274"/>
      <c r="I1257" s="274"/>
      <c r="J1257" s="274"/>
      <c r="K1257" s="274"/>
      <c r="L1257" s="274"/>
      <c r="M1257" s="274"/>
      <c r="N1257" s="274"/>
      <c r="O1257" s="274"/>
      <c r="P1257" s="274"/>
      <c r="Q1257" s="274"/>
      <c r="R1257" s="274"/>
      <c r="S1257" s="274"/>
      <c r="T1257" s="274"/>
      <c r="U1257" s="274"/>
      <c r="V1257" s="274"/>
    </row>
    <row r="1258" spans="1:22" x14ac:dyDescent="0.25">
      <c r="A1258" s="247">
        <v>1256</v>
      </c>
      <c r="B1258" s="270"/>
      <c r="C1258" s="270"/>
      <c r="D1258" s="271"/>
      <c r="E1258" s="272"/>
      <c r="F1258" s="272"/>
      <c r="G1258" s="273"/>
      <c r="H1258" s="274"/>
      <c r="I1258" s="274"/>
      <c r="J1258" s="274"/>
      <c r="K1258" s="274"/>
      <c r="L1258" s="274"/>
      <c r="M1258" s="274"/>
      <c r="N1258" s="274"/>
      <c r="O1258" s="274"/>
      <c r="P1258" s="274"/>
      <c r="Q1258" s="274"/>
      <c r="R1258" s="274"/>
      <c r="S1258" s="274"/>
      <c r="T1258" s="274"/>
      <c r="U1258" s="274"/>
      <c r="V1258" s="274"/>
    </row>
    <row r="1259" spans="1:22" x14ac:dyDescent="0.25">
      <c r="A1259" s="247">
        <v>1257</v>
      </c>
      <c r="B1259" s="270"/>
      <c r="C1259" s="270"/>
      <c r="D1259" s="271"/>
      <c r="E1259" s="272"/>
      <c r="F1259" s="272"/>
      <c r="G1259" s="273"/>
      <c r="H1259" s="274"/>
      <c r="I1259" s="274"/>
      <c r="J1259" s="274"/>
      <c r="K1259" s="274"/>
      <c r="L1259" s="274"/>
      <c r="M1259" s="274"/>
      <c r="N1259" s="274"/>
      <c r="O1259" s="274"/>
      <c r="P1259" s="274"/>
      <c r="Q1259" s="274"/>
      <c r="R1259" s="274"/>
      <c r="S1259" s="274"/>
      <c r="T1259" s="274"/>
      <c r="U1259" s="274"/>
      <c r="V1259" s="274"/>
    </row>
    <row r="1260" spans="1:22" x14ac:dyDescent="0.25">
      <c r="A1260" s="247">
        <v>1258</v>
      </c>
      <c r="B1260" s="270"/>
      <c r="C1260" s="270"/>
      <c r="D1260" s="271"/>
      <c r="E1260" s="272"/>
      <c r="F1260" s="272"/>
      <c r="G1260" s="273"/>
      <c r="H1260" s="274"/>
      <c r="I1260" s="274"/>
      <c r="J1260" s="274"/>
      <c r="K1260" s="274"/>
      <c r="L1260" s="274"/>
      <c r="M1260" s="274"/>
      <c r="N1260" s="274"/>
      <c r="O1260" s="274"/>
      <c r="P1260" s="274"/>
      <c r="Q1260" s="274"/>
      <c r="R1260" s="274"/>
      <c r="S1260" s="274"/>
      <c r="T1260" s="274"/>
      <c r="U1260" s="274"/>
      <c r="V1260" s="274"/>
    </row>
    <row r="1261" spans="1:22" x14ac:dyDescent="0.25">
      <c r="A1261" s="247">
        <v>1259</v>
      </c>
      <c r="B1261" s="270"/>
      <c r="C1261" s="270"/>
      <c r="D1261" s="271"/>
      <c r="E1261" s="272"/>
      <c r="F1261" s="272"/>
      <c r="G1261" s="273"/>
      <c r="H1261" s="274"/>
      <c r="I1261" s="274"/>
      <c r="J1261" s="274"/>
      <c r="K1261" s="274"/>
      <c r="L1261" s="274"/>
      <c r="M1261" s="274"/>
      <c r="N1261" s="274"/>
      <c r="O1261" s="274"/>
      <c r="P1261" s="274"/>
      <c r="Q1261" s="274"/>
      <c r="R1261" s="274"/>
      <c r="S1261" s="274"/>
      <c r="T1261" s="274"/>
      <c r="U1261" s="274"/>
      <c r="V1261" s="274"/>
    </row>
    <row r="1262" spans="1:22" x14ac:dyDescent="0.25">
      <c r="A1262" s="247">
        <v>1260</v>
      </c>
      <c r="B1262" s="270"/>
      <c r="C1262" s="270"/>
      <c r="D1262" s="271"/>
      <c r="E1262" s="272"/>
      <c r="F1262" s="272"/>
      <c r="G1262" s="273"/>
      <c r="H1262" s="274"/>
      <c r="I1262" s="274"/>
      <c r="J1262" s="274"/>
      <c r="K1262" s="274"/>
      <c r="L1262" s="274"/>
      <c r="M1262" s="274"/>
      <c r="N1262" s="274"/>
      <c r="O1262" s="274"/>
      <c r="P1262" s="274"/>
      <c r="Q1262" s="274"/>
      <c r="R1262" s="274"/>
      <c r="S1262" s="274"/>
      <c r="T1262" s="274"/>
      <c r="U1262" s="274"/>
      <c r="V1262" s="274"/>
    </row>
    <row r="1263" spans="1:22" x14ac:dyDescent="0.25">
      <c r="A1263" s="247">
        <v>1261</v>
      </c>
      <c r="B1263" s="270"/>
      <c r="C1263" s="270"/>
      <c r="D1263" s="271"/>
      <c r="E1263" s="272"/>
      <c r="F1263" s="272"/>
      <c r="G1263" s="273"/>
      <c r="H1263" s="274"/>
      <c r="I1263" s="274"/>
      <c r="J1263" s="274"/>
      <c r="K1263" s="274"/>
      <c r="L1263" s="274"/>
      <c r="M1263" s="274"/>
      <c r="N1263" s="274"/>
      <c r="O1263" s="274"/>
      <c r="P1263" s="274"/>
      <c r="Q1263" s="274"/>
      <c r="R1263" s="274"/>
      <c r="S1263" s="274"/>
      <c r="T1263" s="274"/>
      <c r="U1263" s="274"/>
      <c r="V1263" s="274"/>
    </row>
    <row r="1264" spans="1:22" x14ac:dyDescent="0.25">
      <c r="A1264" s="247">
        <v>1262</v>
      </c>
      <c r="B1264" s="270"/>
      <c r="C1264" s="270"/>
      <c r="D1264" s="271"/>
      <c r="E1264" s="272"/>
      <c r="F1264" s="272"/>
      <c r="G1264" s="273"/>
      <c r="H1264" s="274"/>
      <c r="I1264" s="274"/>
      <c r="J1264" s="274"/>
      <c r="K1264" s="274"/>
      <c r="L1264" s="274"/>
      <c r="M1264" s="274"/>
      <c r="N1264" s="274"/>
      <c r="O1264" s="274"/>
      <c r="P1264" s="274"/>
      <c r="Q1264" s="274"/>
      <c r="R1264" s="274"/>
      <c r="S1264" s="274"/>
      <c r="T1264" s="274"/>
      <c r="U1264" s="274"/>
      <c r="V1264" s="274"/>
    </row>
    <row r="1265" spans="1:22" x14ac:dyDescent="0.25">
      <c r="A1265" s="247">
        <v>1263</v>
      </c>
      <c r="B1265" s="270"/>
      <c r="C1265" s="270"/>
      <c r="D1265" s="271"/>
      <c r="E1265" s="272"/>
      <c r="F1265" s="272"/>
      <c r="G1265" s="273"/>
      <c r="H1265" s="274"/>
      <c r="I1265" s="274"/>
      <c r="J1265" s="274"/>
      <c r="K1265" s="274"/>
      <c r="L1265" s="274"/>
      <c r="M1265" s="274"/>
      <c r="N1265" s="274"/>
      <c r="O1265" s="274"/>
      <c r="P1265" s="274"/>
      <c r="Q1265" s="274"/>
      <c r="R1265" s="274"/>
      <c r="S1265" s="274"/>
      <c r="T1265" s="274"/>
      <c r="U1265" s="274"/>
      <c r="V1265" s="274"/>
    </row>
    <row r="1266" spans="1:22" x14ac:dyDescent="0.25">
      <c r="A1266" s="247">
        <v>1264</v>
      </c>
      <c r="B1266" s="270"/>
      <c r="C1266" s="270"/>
      <c r="D1266" s="271"/>
      <c r="E1266" s="272"/>
      <c r="F1266" s="272"/>
      <c r="G1266" s="273"/>
      <c r="H1266" s="274"/>
      <c r="I1266" s="274"/>
      <c r="J1266" s="274"/>
      <c r="K1266" s="274"/>
      <c r="L1266" s="274"/>
      <c r="M1266" s="274"/>
      <c r="N1266" s="274"/>
      <c r="O1266" s="274"/>
      <c r="P1266" s="274"/>
      <c r="Q1266" s="274"/>
      <c r="R1266" s="274"/>
      <c r="S1266" s="274"/>
      <c r="T1266" s="274"/>
      <c r="U1266" s="274"/>
      <c r="V1266" s="274"/>
    </row>
    <row r="1267" spans="1:22" x14ac:dyDescent="0.25">
      <c r="A1267" s="247">
        <v>1265</v>
      </c>
      <c r="B1267" s="270"/>
      <c r="C1267" s="270"/>
      <c r="D1267" s="271"/>
      <c r="E1267" s="272"/>
      <c r="F1267" s="272"/>
      <c r="G1267" s="273"/>
      <c r="H1267" s="274"/>
      <c r="I1267" s="274"/>
      <c r="J1267" s="274"/>
      <c r="K1267" s="274"/>
      <c r="L1267" s="274"/>
      <c r="M1267" s="274"/>
      <c r="N1267" s="274"/>
      <c r="O1267" s="274"/>
      <c r="P1267" s="274"/>
      <c r="Q1267" s="274"/>
      <c r="R1267" s="274"/>
      <c r="S1267" s="274"/>
      <c r="T1267" s="274"/>
      <c r="U1267" s="274"/>
      <c r="V1267" s="274"/>
    </row>
    <row r="1268" spans="1:22" x14ac:dyDescent="0.25">
      <c r="A1268" s="247">
        <v>1266</v>
      </c>
      <c r="B1268" s="270"/>
      <c r="C1268" s="270"/>
      <c r="D1268" s="271"/>
      <c r="E1268" s="272"/>
      <c r="F1268" s="272"/>
      <c r="G1268" s="273"/>
      <c r="H1268" s="274"/>
      <c r="I1268" s="274"/>
      <c r="J1268" s="274"/>
      <c r="K1268" s="274"/>
      <c r="L1268" s="274"/>
      <c r="M1268" s="274"/>
      <c r="N1268" s="274"/>
      <c r="O1268" s="274"/>
      <c r="P1268" s="274"/>
      <c r="Q1268" s="274"/>
      <c r="R1268" s="274"/>
      <c r="S1268" s="274"/>
      <c r="T1268" s="274"/>
      <c r="U1268" s="274"/>
      <c r="V1268" s="274"/>
    </row>
    <row r="1269" spans="1:22" x14ac:dyDescent="0.25">
      <c r="A1269" s="247">
        <v>1267</v>
      </c>
      <c r="B1269" s="270"/>
      <c r="C1269" s="270"/>
      <c r="D1269" s="271"/>
      <c r="E1269" s="272"/>
      <c r="F1269" s="272"/>
      <c r="G1269" s="273"/>
      <c r="H1269" s="274"/>
      <c r="I1269" s="274"/>
      <c r="J1269" s="274"/>
      <c r="K1269" s="274"/>
      <c r="L1269" s="274"/>
      <c r="M1269" s="274"/>
      <c r="N1269" s="274"/>
      <c r="O1269" s="274"/>
      <c r="P1269" s="274"/>
      <c r="Q1269" s="274"/>
      <c r="R1269" s="274"/>
      <c r="S1269" s="274"/>
      <c r="T1269" s="274"/>
      <c r="U1269" s="274"/>
      <c r="V1269" s="274"/>
    </row>
    <row r="1270" spans="1:22" x14ac:dyDescent="0.25">
      <c r="A1270" s="247">
        <v>1268</v>
      </c>
      <c r="B1270" s="270"/>
      <c r="C1270" s="270"/>
      <c r="D1270" s="271"/>
      <c r="E1270" s="272"/>
      <c r="F1270" s="272"/>
      <c r="G1270" s="273"/>
      <c r="H1270" s="274"/>
      <c r="I1270" s="274"/>
      <c r="J1270" s="274"/>
      <c r="K1270" s="274"/>
      <c r="L1270" s="274"/>
      <c r="M1270" s="274"/>
      <c r="N1270" s="274"/>
      <c r="O1270" s="274"/>
      <c r="P1270" s="274"/>
      <c r="Q1270" s="274"/>
      <c r="R1270" s="274"/>
      <c r="S1270" s="274"/>
      <c r="T1270" s="274"/>
      <c r="U1270" s="274"/>
      <c r="V1270" s="274"/>
    </row>
    <row r="1271" spans="1:22" x14ac:dyDescent="0.25">
      <c r="A1271" s="247">
        <v>1269</v>
      </c>
      <c r="B1271" s="270"/>
      <c r="C1271" s="270"/>
      <c r="D1271" s="271"/>
      <c r="E1271" s="272"/>
      <c r="F1271" s="272"/>
      <c r="G1271" s="273"/>
      <c r="H1271" s="274"/>
      <c r="I1271" s="274"/>
      <c r="J1271" s="274"/>
      <c r="K1271" s="274"/>
      <c r="L1271" s="274"/>
      <c r="M1271" s="274"/>
      <c r="N1271" s="274"/>
      <c r="O1271" s="274"/>
      <c r="P1271" s="274"/>
      <c r="Q1271" s="274"/>
      <c r="R1271" s="274"/>
      <c r="S1271" s="274"/>
      <c r="T1271" s="274"/>
      <c r="U1271" s="274"/>
      <c r="V1271" s="274"/>
    </row>
    <row r="1272" spans="1:22" x14ac:dyDescent="0.25">
      <c r="A1272" s="247">
        <v>1270</v>
      </c>
      <c r="B1272" s="270"/>
      <c r="C1272" s="270"/>
      <c r="D1272" s="271"/>
      <c r="E1272" s="272"/>
      <c r="F1272" s="272"/>
      <c r="G1272" s="273"/>
      <c r="H1272" s="274"/>
      <c r="I1272" s="274"/>
      <c r="J1272" s="274"/>
      <c r="K1272" s="274"/>
      <c r="L1272" s="274"/>
      <c r="M1272" s="274"/>
      <c r="N1272" s="274"/>
      <c r="O1272" s="274"/>
      <c r="P1272" s="274"/>
      <c r="Q1272" s="274"/>
      <c r="R1272" s="274"/>
      <c r="S1272" s="274"/>
      <c r="T1272" s="274"/>
      <c r="U1272" s="274"/>
      <c r="V1272" s="274"/>
    </row>
    <row r="1273" spans="1:22" x14ac:dyDescent="0.25">
      <c r="A1273" s="247">
        <v>1271</v>
      </c>
      <c r="B1273" s="270"/>
      <c r="C1273" s="270"/>
      <c r="D1273" s="271"/>
      <c r="E1273" s="272"/>
      <c r="F1273" s="272"/>
      <c r="G1273" s="273"/>
      <c r="H1273" s="274"/>
      <c r="I1273" s="274"/>
      <c r="J1273" s="274"/>
      <c r="K1273" s="274"/>
      <c r="L1273" s="274"/>
      <c r="M1273" s="274"/>
      <c r="N1273" s="274"/>
      <c r="O1273" s="274"/>
      <c r="P1273" s="274"/>
      <c r="Q1273" s="274"/>
      <c r="R1273" s="274"/>
      <c r="S1273" s="274"/>
      <c r="T1273" s="274"/>
      <c r="U1273" s="274"/>
      <c r="V1273" s="274"/>
    </row>
    <row r="1274" spans="1:22" x14ac:dyDescent="0.25">
      <c r="A1274" s="247">
        <v>1272</v>
      </c>
      <c r="B1274" s="270"/>
      <c r="C1274" s="270"/>
      <c r="D1274" s="271"/>
      <c r="E1274" s="272"/>
      <c r="F1274" s="272"/>
      <c r="G1274" s="273"/>
      <c r="H1274" s="274"/>
      <c r="I1274" s="274"/>
      <c r="J1274" s="274"/>
      <c r="K1274" s="274"/>
      <c r="L1274" s="274"/>
      <c r="M1274" s="274"/>
      <c r="N1274" s="274"/>
      <c r="O1274" s="274"/>
      <c r="P1274" s="274"/>
      <c r="Q1274" s="274"/>
      <c r="R1274" s="274"/>
      <c r="S1274" s="274"/>
      <c r="T1274" s="274"/>
      <c r="U1274" s="274"/>
      <c r="V1274" s="274"/>
    </row>
    <row r="1275" spans="1:22" x14ac:dyDescent="0.25">
      <c r="A1275" s="247">
        <v>1273</v>
      </c>
      <c r="B1275" s="270"/>
      <c r="C1275" s="270"/>
      <c r="D1275" s="271"/>
      <c r="E1275" s="272"/>
      <c r="F1275" s="272"/>
      <c r="G1275" s="273"/>
      <c r="H1275" s="274"/>
      <c r="I1275" s="274"/>
      <c r="J1275" s="274"/>
      <c r="K1275" s="274"/>
      <c r="L1275" s="274"/>
      <c r="M1275" s="274"/>
      <c r="N1275" s="274"/>
      <c r="O1275" s="274"/>
      <c r="P1275" s="274"/>
      <c r="Q1275" s="274"/>
      <c r="R1275" s="274"/>
      <c r="S1275" s="274"/>
      <c r="T1275" s="274"/>
      <c r="U1275" s="274"/>
      <c r="V1275" s="274"/>
    </row>
    <row r="1276" spans="1:22" x14ac:dyDescent="0.25">
      <c r="A1276" s="247">
        <v>1274</v>
      </c>
      <c r="B1276" s="270"/>
      <c r="C1276" s="270"/>
      <c r="D1276" s="271"/>
      <c r="E1276" s="272"/>
      <c r="F1276" s="272"/>
      <c r="G1276" s="273"/>
      <c r="H1276" s="274"/>
      <c r="I1276" s="274"/>
      <c r="J1276" s="274"/>
      <c r="K1276" s="274"/>
      <c r="L1276" s="274"/>
      <c r="M1276" s="274"/>
      <c r="N1276" s="274"/>
      <c r="O1276" s="274"/>
      <c r="P1276" s="274"/>
      <c r="Q1276" s="274"/>
      <c r="R1276" s="274"/>
      <c r="S1276" s="274"/>
      <c r="T1276" s="274"/>
      <c r="U1276" s="274"/>
      <c r="V1276" s="274"/>
    </row>
    <row r="1277" spans="1:22" x14ac:dyDescent="0.25">
      <c r="A1277" s="247">
        <v>1275</v>
      </c>
      <c r="B1277" s="270"/>
      <c r="C1277" s="270"/>
      <c r="D1277" s="271"/>
      <c r="E1277" s="272"/>
      <c r="F1277" s="272"/>
      <c r="G1277" s="273"/>
      <c r="H1277" s="274"/>
      <c r="I1277" s="274"/>
      <c r="J1277" s="274"/>
      <c r="K1277" s="274"/>
      <c r="L1277" s="274"/>
      <c r="M1277" s="274"/>
      <c r="N1277" s="274"/>
      <c r="O1277" s="274"/>
      <c r="P1277" s="274"/>
      <c r="Q1277" s="274"/>
      <c r="R1277" s="274"/>
      <c r="S1277" s="274"/>
      <c r="T1277" s="274"/>
      <c r="U1277" s="274"/>
      <c r="V1277" s="274"/>
    </row>
    <row r="1278" spans="1:22" x14ac:dyDescent="0.25">
      <c r="A1278" s="247">
        <v>1276</v>
      </c>
      <c r="B1278" s="270"/>
      <c r="C1278" s="270"/>
      <c r="D1278" s="271"/>
      <c r="E1278" s="272"/>
      <c r="F1278" s="272"/>
      <c r="G1278" s="273"/>
      <c r="H1278" s="274"/>
      <c r="I1278" s="274"/>
      <c r="J1278" s="274"/>
      <c r="K1278" s="274"/>
      <c r="L1278" s="274"/>
      <c r="M1278" s="274"/>
      <c r="N1278" s="274"/>
      <c r="O1278" s="274"/>
      <c r="P1278" s="274"/>
      <c r="Q1278" s="274"/>
      <c r="R1278" s="274"/>
      <c r="S1278" s="274"/>
      <c r="T1278" s="274"/>
      <c r="U1278" s="274"/>
      <c r="V1278" s="274"/>
    </row>
    <row r="1279" spans="1:22" x14ac:dyDescent="0.25">
      <c r="A1279" s="247">
        <v>1277</v>
      </c>
      <c r="B1279" s="270"/>
      <c r="C1279" s="270"/>
      <c r="D1279" s="271"/>
      <c r="E1279" s="272"/>
      <c r="F1279" s="272"/>
      <c r="G1279" s="273"/>
      <c r="H1279" s="274"/>
      <c r="I1279" s="274"/>
      <c r="J1279" s="274"/>
      <c r="K1279" s="274"/>
      <c r="L1279" s="274"/>
      <c r="M1279" s="274"/>
      <c r="N1279" s="274"/>
      <c r="O1279" s="274"/>
      <c r="P1279" s="274"/>
      <c r="Q1279" s="274"/>
      <c r="R1279" s="274"/>
      <c r="S1279" s="274"/>
      <c r="T1279" s="274"/>
      <c r="U1279" s="274"/>
      <c r="V1279" s="274"/>
    </row>
    <row r="1280" spans="1:22" x14ac:dyDescent="0.25">
      <c r="A1280" s="247">
        <v>1278</v>
      </c>
      <c r="B1280" s="270"/>
      <c r="C1280" s="270"/>
      <c r="D1280" s="271"/>
      <c r="E1280" s="272"/>
      <c r="F1280" s="272"/>
      <c r="G1280" s="273"/>
      <c r="H1280" s="274"/>
      <c r="I1280" s="274"/>
      <c r="J1280" s="274"/>
      <c r="K1280" s="274"/>
      <c r="L1280" s="274"/>
      <c r="M1280" s="274"/>
      <c r="N1280" s="274"/>
      <c r="O1280" s="274"/>
      <c r="P1280" s="274"/>
      <c r="Q1280" s="274"/>
      <c r="R1280" s="274"/>
      <c r="S1280" s="274"/>
      <c r="T1280" s="274"/>
      <c r="U1280" s="274"/>
      <c r="V1280" s="274"/>
    </row>
    <row r="1281" spans="1:22" x14ac:dyDescent="0.25">
      <c r="A1281" s="247">
        <v>1279</v>
      </c>
      <c r="B1281" s="270"/>
      <c r="C1281" s="270"/>
      <c r="D1281" s="271"/>
      <c r="E1281" s="272"/>
      <c r="F1281" s="272"/>
      <c r="G1281" s="273"/>
      <c r="H1281" s="274"/>
      <c r="I1281" s="274"/>
      <c r="J1281" s="274"/>
      <c r="K1281" s="274"/>
      <c r="L1281" s="274"/>
      <c r="M1281" s="274"/>
      <c r="N1281" s="274"/>
      <c r="O1281" s="274"/>
      <c r="P1281" s="274"/>
      <c r="Q1281" s="274"/>
      <c r="R1281" s="274"/>
      <c r="S1281" s="274"/>
      <c r="T1281" s="274"/>
      <c r="U1281" s="274"/>
      <c r="V1281" s="274"/>
    </row>
    <row r="1282" spans="1:22" x14ac:dyDescent="0.25">
      <c r="A1282" s="247">
        <v>1280</v>
      </c>
      <c r="B1282" s="270"/>
      <c r="C1282" s="270"/>
      <c r="D1282" s="271"/>
      <c r="E1282" s="272"/>
      <c r="F1282" s="272"/>
      <c r="G1282" s="273"/>
      <c r="H1282" s="274"/>
      <c r="I1282" s="274"/>
      <c r="J1282" s="274"/>
      <c r="K1282" s="274"/>
      <c r="L1282" s="274"/>
      <c r="M1282" s="274"/>
      <c r="N1282" s="274"/>
      <c r="O1282" s="274"/>
      <c r="P1282" s="274"/>
      <c r="Q1282" s="274"/>
      <c r="R1282" s="274"/>
      <c r="S1282" s="274"/>
      <c r="T1282" s="274"/>
      <c r="U1282" s="274"/>
      <c r="V1282" s="274"/>
    </row>
    <row r="1283" spans="1:22" x14ac:dyDescent="0.25">
      <c r="A1283" s="247">
        <v>1281</v>
      </c>
      <c r="B1283" s="270"/>
      <c r="C1283" s="270"/>
      <c r="D1283" s="271"/>
      <c r="E1283" s="272"/>
      <c r="F1283" s="272"/>
      <c r="G1283" s="273"/>
      <c r="H1283" s="274"/>
      <c r="I1283" s="274"/>
      <c r="J1283" s="274"/>
      <c r="K1283" s="274"/>
      <c r="L1283" s="274"/>
      <c r="M1283" s="274"/>
      <c r="N1283" s="274"/>
      <c r="O1283" s="274"/>
      <c r="P1283" s="274"/>
      <c r="Q1283" s="274"/>
      <c r="R1283" s="274"/>
      <c r="S1283" s="274"/>
      <c r="T1283" s="274"/>
      <c r="U1283" s="274"/>
      <c r="V1283" s="274"/>
    </row>
    <row r="1284" spans="1:22" x14ac:dyDescent="0.25">
      <c r="A1284" s="247">
        <v>1282</v>
      </c>
      <c r="B1284" s="270"/>
      <c r="C1284" s="270"/>
      <c r="D1284" s="271"/>
      <c r="E1284" s="272"/>
      <c r="F1284" s="272"/>
      <c r="G1284" s="273"/>
      <c r="H1284" s="274"/>
      <c r="I1284" s="274"/>
      <c r="J1284" s="274"/>
      <c r="K1284" s="274"/>
      <c r="L1284" s="274"/>
      <c r="M1284" s="274"/>
      <c r="N1284" s="274"/>
      <c r="O1284" s="274"/>
      <c r="P1284" s="274"/>
      <c r="Q1284" s="274"/>
      <c r="R1284" s="274"/>
      <c r="S1284" s="274"/>
      <c r="T1284" s="274"/>
      <c r="U1284" s="274"/>
      <c r="V1284" s="274"/>
    </row>
    <row r="1285" spans="1:22" x14ac:dyDescent="0.25">
      <c r="A1285" s="247">
        <v>1283</v>
      </c>
      <c r="B1285" s="270"/>
      <c r="C1285" s="270"/>
      <c r="D1285" s="271"/>
      <c r="E1285" s="272"/>
      <c r="F1285" s="272"/>
      <c r="G1285" s="273"/>
      <c r="H1285" s="274"/>
      <c r="I1285" s="274"/>
      <c r="J1285" s="274"/>
      <c r="K1285" s="274"/>
      <c r="L1285" s="274"/>
      <c r="M1285" s="274"/>
      <c r="N1285" s="274"/>
      <c r="O1285" s="274"/>
      <c r="P1285" s="274"/>
      <c r="Q1285" s="274"/>
      <c r="R1285" s="274"/>
      <c r="S1285" s="274"/>
      <c r="T1285" s="274"/>
      <c r="U1285" s="274"/>
      <c r="V1285" s="274"/>
    </row>
    <row r="1286" spans="1:22" x14ac:dyDescent="0.25">
      <c r="A1286" s="247">
        <v>1284</v>
      </c>
      <c r="B1286" s="270"/>
      <c r="C1286" s="270"/>
      <c r="D1286" s="271"/>
      <c r="E1286" s="272"/>
      <c r="F1286" s="272"/>
      <c r="G1286" s="273"/>
      <c r="H1286" s="274"/>
      <c r="I1286" s="274"/>
      <c r="J1286" s="274"/>
      <c r="K1286" s="274"/>
      <c r="L1286" s="274"/>
      <c r="M1286" s="274"/>
      <c r="N1286" s="274"/>
      <c r="O1286" s="274"/>
      <c r="P1286" s="274"/>
      <c r="Q1286" s="274"/>
      <c r="R1286" s="274"/>
      <c r="S1286" s="274"/>
      <c r="T1286" s="274"/>
      <c r="U1286" s="274"/>
      <c r="V1286" s="274"/>
    </row>
    <row r="1287" spans="1:22" x14ac:dyDescent="0.25">
      <c r="A1287" s="247">
        <v>1285</v>
      </c>
      <c r="B1287" s="270"/>
      <c r="C1287" s="270"/>
      <c r="D1287" s="271"/>
      <c r="E1287" s="272"/>
      <c r="F1287" s="272"/>
      <c r="G1287" s="273"/>
      <c r="H1287" s="274"/>
      <c r="I1287" s="274"/>
      <c r="J1287" s="274"/>
      <c r="K1287" s="274"/>
      <c r="L1287" s="274"/>
      <c r="M1287" s="274"/>
      <c r="N1287" s="274"/>
      <c r="O1287" s="274"/>
      <c r="P1287" s="274"/>
      <c r="Q1287" s="274"/>
      <c r="R1287" s="274"/>
      <c r="S1287" s="274"/>
      <c r="T1287" s="274"/>
      <c r="U1287" s="274"/>
      <c r="V1287" s="274"/>
    </row>
    <row r="1288" spans="1:22" x14ac:dyDescent="0.25">
      <c r="A1288" s="247">
        <v>1286</v>
      </c>
      <c r="B1288" s="270"/>
      <c r="C1288" s="270"/>
      <c r="D1288" s="271"/>
      <c r="E1288" s="272"/>
      <c r="F1288" s="272"/>
      <c r="G1288" s="273"/>
      <c r="H1288" s="274"/>
      <c r="I1288" s="274"/>
      <c r="J1288" s="274"/>
      <c r="K1288" s="274"/>
      <c r="L1288" s="274"/>
      <c r="M1288" s="274"/>
      <c r="N1288" s="274"/>
      <c r="O1288" s="274"/>
      <c r="P1288" s="274"/>
      <c r="Q1288" s="274"/>
      <c r="R1288" s="274"/>
      <c r="S1288" s="274"/>
      <c r="T1288" s="274"/>
      <c r="U1288" s="274"/>
      <c r="V1288" s="274"/>
    </row>
    <row r="1289" spans="1:22" x14ac:dyDescent="0.25">
      <c r="A1289" s="247">
        <v>1287</v>
      </c>
      <c r="B1289" s="270"/>
      <c r="C1289" s="270"/>
      <c r="D1289" s="271"/>
      <c r="E1289" s="272"/>
      <c r="F1289" s="272"/>
      <c r="G1289" s="273"/>
      <c r="H1289" s="274"/>
      <c r="I1289" s="274"/>
      <c r="J1289" s="274"/>
      <c r="K1289" s="274"/>
      <c r="L1289" s="274"/>
      <c r="M1289" s="274"/>
      <c r="N1289" s="274"/>
      <c r="O1289" s="274"/>
      <c r="P1289" s="274"/>
      <c r="Q1289" s="274"/>
      <c r="R1289" s="274"/>
      <c r="S1289" s="274"/>
      <c r="T1289" s="274"/>
      <c r="U1289" s="274"/>
      <c r="V1289" s="274"/>
    </row>
    <row r="1290" spans="1:22" x14ac:dyDescent="0.25">
      <c r="A1290" s="247">
        <v>1288</v>
      </c>
      <c r="B1290" s="270"/>
      <c r="C1290" s="270"/>
      <c r="D1290" s="271"/>
      <c r="E1290" s="272"/>
      <c r="F1290" s="272"/>
      <c r="G1290" s="273"/>
      <c r="H1290" s="274"/>
      <c r="I1290" s="274"/>
      <c r="J1290" s="274"/>
      <c r="K1290" s="274"/>
      <c r="L1290" s="274"/>
      <c r="M1290" s="274"/>
      <c r="N1290" s="274"/>
      <c r="O1290" s="274"/>
      <c r="P1290" s="274"/>
      <c r="Q1290" s="274"/>
      <c r="R1290" s="274"/>
      <c r="S1290" s="274"/>
      <c r="T1290" s="274"/>
      <c r="U1290" s="274"/>
      <c r="V1290" s="274"/>
    </row>
    <row r="1291" spans="1:22" x14ac:dyDescent="0.25">
      <c r="A1291" s="247">
        <v>1289</v>
      </c>
      <c r="B1291" s="270"/>
      <c r="C1291" s="270"/>
      <c r="D1291" s="271"/>
      <c r="E1291" s="272"/>
      <c r="F1291" s="272"/>
      <c r="G1291" s="273"/>
      <c r="H1291" s="274"/>
      <c r="I1291" s="274"/>
      <c r="J1291" s="274"/>
      <c r="K1291" s="274"/>
      <c r="L1291" s="274"/>
      <c r="M1291" s="274"/>
      <c r="N1291" s="274"/>
      <c r="O1291" s="274"/>
      <c r="P1291" s="274"/>
      <c r="Q1291" s="274"/>
      <c r="R1291" s="274"/>
      <c r="S1291" s="274"/>
      <c r="T1291" s="274"/>
      <c r="U1291" s="274"/>
      <c r="V1291" s="274"/>
    </row>
    <row r="1292" spans="1:22" x14ac:dyDescent="0.25">
      <c r="A1292" s="247">
        <v>1290</v>
      </c>
      <c r="B1292" s="270"/>
      <c r="C1292" s="270"/>
      <c r="D1292" s="271"/>
      <c r="E1292" s="272"/>
      <c r="F1292" s="272"/>
      <c r="G1292" s="273"/>
      <c r="H1292" s="274"/>
      <c r="I1292" s="274"/>
      <c r="J1292" s="274"/>
      <c r="K1292" s="274"/>
      <c r="L1292" s="274"/>
      <c r="M1292" s="274"/>
      <c r="N1292" s="274"/>
      <c r="O1292" s="274"/>
      <c r="P1292" s="274"/>
      <c r="Q1292" s="274"/>
      <c r="R1292" s="274"/>
      <c r="S1292" s="274"/>
      <c r="T1292" s="274"/>
      <c r="U1292" s="274"/>
      <c r="V1292" s="274"/>
    </row>
    <row r="1293" spans="1:22" x14ac:dyDescent="0.25">
      <c r="A1293" s="247">
        <v>1291</v>
      </c>
      <c r="B1293" s="270"/>
      <c r="C1293" s="270"/>
      <c r="D1293" s="271"/>
      <c r="E1293" s="272"/>
      <c r="F1293" s="272"/>
      <c r="G1293" s="273"/>
      <c r="H1293" s="274"/>
      <c r="I1293" s="274"/>
      <c r="J1293" s="274"/>
      <c r="K1293" s="274"/>
      <c r="L1293" s="274"/>
      <c r="M1293" s="274"/>
      <c r="N1293" s="274"/>
      <c r="O1293" s="274"/>
      <c r="P1293" s="274"/>
      <c r="Q1293" s="274"/>
      <c r="R1293" s="274"/>
      <c r="S1293" s="274"/>
      <c r="T1293" s="274"/>
      <c r="U1293" s="274"/>
      <c r="V1293" s="274"/>
    </row>
    <row r="1294" spans="1:22" x14ac:dyDescent="0.25">
      <c r="A1294" s="247">
        <v>1292</v>
      </c>
      <c r="B1294" s="270"/>
      <c r="C1294" s="270"/>
      <c r="D1294" s="271"/>
      <c r="E1294" s="272"/>
      <c r="F1294" s="272"/>
      <c r="G1294" s="273"/>
      <c r="H1294" s="274"/>
      <c r="I1294" s="274"/>
      <c r="J1294" s="274"/>
      <c r="K1294" s="274"/>
      <c r="L1294" s="274"/>
      <c r="M1294" s="274"/>
      <c r="N1294" s="274"/>
      <c r="O1294" s="274"/>
      <c r="P1294" s="274"/>
      <c r="Q1294" s="274"/>
      <c r="R1294" s="274"/>
      <c r="S1294" s="274"/>
      <c r="T1294" s="274"/>
      <c r="U1294" s="274"/>
      <c r="V1294" s="274"/>
    </row>
    <row r="1295" spans="1:22" x14ac:dyDescent="0.25">
      <c r="A1295" s="247">
        <v>1293</v>
      </c>
      <c r="B1295" s="270"/>
      <c r="C1295" s="270"/>
      <c r="D1295" s="271"/>
      <c r="E1295" s="272"/>
      <c r="F1295" s="272"/>
      <c r="G1295" s="273"/>
      <c r="H1295" s="274"/>
      <c r="I1295" s="274"/>
      <c r="J1295" s="274"/>
      <c r="K1295" s="274"/>
      <c r="L1295" s="274"/>
      <c r="M1295" s="274"/>
      <c r="N1295" s="274"/>
      <c r="O1295" s="274"/>
      <c r="P1295" s="274"/>
      <c r="Q1295" s="274"/>
      <c r="R1295" s="274"/>
      <c r="S1295" s="274"/>
      <c r="T1295" s="274"/>
      <c r="U1295" s="274"/>
      <c r="V1295" s="274"/>
    </row>
    <row r="1296" spans="1:22" x14ac:dyDescent="0.25">
      <c r="A1296" s="247">
        <v>1294</v>
      </c>
      <c r="B1296" s="270"/>
      <c r="C1296" s="270"/>
      <c r="D1296" s="271"/>
      <c r="E1296" s="272"/>
      <c r="F1296" s="272"/>
      <c r="G1296" s="273"/>
      <c r="H1296" s="274"/>
      <c r="I1296" s="274"/>
      <c r="J1296" s="274"/>
      <c r="K1296" s="274"/>
      <c r="L1296" s="274"/>
      <c r="M1296" s="274"/>
      <c r="N1296" s="274"/>
      <c r="O1296" s="274"/>
      <c r="P1296" s="274"/>
      <c r="Q1296" s="274"/>
      <c r="R1296" s="274"/>
      <c r="S1296" s="274"/>
      <c r="T1296" s="274"/>
      <c r="U1296" s="274"/>
      <c r="V1296" s="274"/>
    </row>
    <row r="1297" spans="1:22" x14ac:dyDescent="0.25">
      <c r="A1297" s="247">
        <v>1295</v>
      </c>
      <c r="B1297" s="270"/>
      <c r="C1297" s="270"/>
      <c r="D1297" s="271"/>
      <c r="E1297" s="272"/>
      <c r="F1297" s="272"/>
      <c r="G1297" s="273"/>
      <c r="H1297" s="274"/>
      <c r="I1297" s="274"/>
      <c r="J1297" s="274"/>
      <c r="K1297" s="274"/>
      <c r="L1297" s="274"/>
      <c r="M1297" s="274"/>
      <c r="N1297" s="274"/>
      <c r="O1297" s="274"/>
      <c r="P1297" s="274"/>
      <c r="Q1297" s="274"/>
      <c r="R1297" s="274"/>
      <c r="S1297" s="274"/>
      <c r="T1297" s="274"/>
      <c r="U1297" s="274"/>
      <c r="V1297" s="274"/>
    </row>
    <row r="1298" spans="1:22" x14ac:dyDescent="0.25">
      <c r="A1298" s="247">
        <v>1296</v>
      </c>
      <c r="B1298" s="270"/>
      <c r="C1298" s="270"/>
      <c r="D1298" s="271"/>
      <c r="E1298" s="272"/>
      <c r="F1298" s="272"/>
      <c r="G1298" s="273"/>
      <c r="H1298" s="274"/>
      <c r="I1298" s="274"/>
      <c r="J1298" s="274"/>
      <c r="K1298" s="274"/>
      <c r="L1298" s="274"/>
      <c r="M1298" s="274"/>
      <c r="N1298" s="274"/>
      <c r="O1298" s="274"/>
      <c r="P1298" s="274"/>
      <c r="Q1298" s="274"/>
      <c r="R1298" s="274"/>
      <c r="S1298" s="274"/>
      <c r="T1298" s="274"/>
      <c r="U1298" s="274"/>
      <c r="V1298" s="274"/>
    </row>
    <row r="1299" spans="1:22" x14ac:dyDescent="0.25">
      <c r="A1299" s="247">
        <v>1297</v>
      </c>
      <c r="B1299" s="270"/>
      <c r="C1299" s="270"/>
      <c r="D1299" s="271"/>
      <c r="E1299" s="272"/>
      <c r="F1299" s="272"/>
      <c r="G1299" s="273"/>
      <c r="H1299" s="274"/>
      <c r="I1299" s="274"/>
      <c r="J1299" s="274"/>
      <c r="K1299" s="274"/>
      <c r="L1299" s="274"/>
      <c r="M1299" s="274"/>
      <c r="N1299" s="274"/>
      <c r="O1299" s="274"/>
      <c r="P1299" s="274"/>
      <c r="Q1299" s="274"/>
      <c r="R1299" s="274"/>
      <c r="S1299" s="274"/>
      <c r="T1299" s="274"/>
      <c r="U1299" s="274"/>
      <c r="V1299" s="274"/>
    </row>
    <row r="1300" spans="1:22" x14ac:dyDescent="0.25">
      <c r="A1300" s="247">
        <v>1298</v>
      </c>
      <c r="B1300" s="270"/>
      <c r="C1300" s="270"/>
      <c r="D1300" s="271"/>
      <c r="E1300" s="272"/>
      <c r="F1300" s="272"/>
      <c r="G1300" s="273"/>
      <c r="H1300" s="274"/>
      <c r="I1300" s="274"/>
      <c r="J1300" s="274"/>
      <c r="K1300" s="274"/>
      <c r="L1300" s="274"/>
      <c r="M1300" s="274"/>
      <c r="N1300" s="274"/>
      <c r="O1300" s="274"/>
      <c r="P1300" s="274"/>
      <c r="Q1300" s="274"/>
      <c r="R1300" s="274"/>
      <c r="S1300" s="274"/>
      <c r="T1300" s="274"/>
      <c r="U1300" s="274"/>
      <c r="V1300" s="274"/>
    </row>
    <row r="1301" spans="1:22" x14ac:dyDescent="0.25">
      <c r="A1301" s="247">
        <v>1299</v>
      </c>
      <c r="B1301" s="270"/>
      <c r="C1301" s="270"/>
      <c r="D1301" s="271"/>
      <c r="E1301" s="272"/>
      <c r="F1301" s="272"/>
      <c r="G1301" s="273"/>
      <c r="H1301" s="274"/>
      <c r="I1301" s="274"/>
      <c r="J1301" s="274"/>
      <c r="K1301" s="274"/>
      <c r="L1301" s="274"/>
      <c r="M1301" s="274"/>
      <c r="N1301" s="274"/>
      <c r="O1301" s="274"/>
      <c r="P1301" s="274"/>
      <c r="Q1301" s="274"/>
      <c r="R1301" s="274"/>
      <c r="S1301" s="274"/>
      <c r="T1301" s="274"/>
      <c r="U1301" s="274"/>
      <c r="V1301" s="274"/>
    </row>
    <row r="1302" spans="1:22" x14ac:dyDescent="0.25">
      <c r="A1302" s="247">
        <v>1300</v>
      </c>
      <c r="B1302" s="270"/>
      <c r="C1302" s="270"/>
      <c r="D1302" s="271"/>
      <c r="E1302" s="272"/>
      <c r="F1302" s="272"/>
      <c r="G1302" s="273"/>
      <c r="H1302" s="274"/>
      <c r="I1302" s="274"/>
      <c r="J1302" s="274"/>
      <c r="K1302" s="274"/>
      <c r="L1302" s="274"/>
      <c r="M1302" s="274"/>
      <c r="N1302" s="274"/>
      <c r="O1302" s="274"/>
      <c r="P1302" s="274"/>
      <c r="Q1302" s="274"/>
      <c r="R1302" s="274"/>
      <c r="S1302" s="274"/>
      <c r="T1302" s="274"/>
      <c r="U1302" s="274"/>
      <c r="V1302" s="274"/>
    </row>
    <row r="1303" spans="1:22" x14ac:dyDescent="0.25">
      <c r="A1303" s="247">
        <v>1301</v>
      </c>
      <c r="B1303" s="270"/>
      <c r="C1303" s="270"/>
      <c r="D1303" s="271"/>
      <c r="E1303" s="272"/>
      <c r="F1303" s="272"/>
      <c r="G1303" s="273"/>
      <c r="H1303" s="274"/>
      <c r="I1303" s="274"/>
      <c r="J1303" s="274"/>
      <c r="K1303" s="274"/>
      <c r="L1303" s="274"/>
      <c r="M1303" s="274"/>
      <c r="N1303" s="274"/>
      <c r="O1303" s="274"/>
      <c r="P1303" s="274"/>
      <c r="Q1303" s="274"/>
      <c r="R1303" s="274"/>
      <c r="S1303" s="274"/>
      <c r="T1303" s="274"/>
      <c r="U1303" s="274"/>
      <c r="V1303" s="274"/>
    </row>
    <row r="1304" spans="1:22" x14ac:dyDescent="0.25">
      <c r="A1304" s="247">
        <v>1302</v>
      </c>
      <c r="B1304" s="270"/>
      <c r="C1304" s="270"/>
      <c r="D1304" s="271"/>
      <c r="E1304" s="272"/>
      <c r="F1304" s="272"/>
      <c r="G1304" s="273"/>
      <c r="H1304" s="274"/>
      <c r="I1304" s="274"/>
      <c r="J1304" s="274"/>
      <c r="K1304" s="274"/>
      <c r="L1304" s="274"/>
      <c r="M1304" s="274"/>
      <c r="N1304" s="274"/>
      <c r="O1304" s="274"/>
      <c r="P1304" s="274"/>
      <c r="Q1304" s="274"/>
      <c r="R1304" s="274"/>
      <c r="S1304" s="274"/>
      <c r="T1304" s="274"/>
      <c r="U1304" s="274"/>
      <c r="V1304" s="274"/>
    </row>
    <row r="1305" spans="1:22" x14ac:dyDescent="0.25">
      <c r="A1305" s="247">
        <v>1303</v>
      </c>
      <c r="B1305" s="270"/>
      <c r="C1305" s="270"/>
      <c r="D1305" s="271"/>
      <c r="E1305" s="272"/>
      <c r="F1305" s="272"/>
      <c r="G1305" s="273"/>
      <c r="H1305" s="274"/>
      <c r="I1305" s="274"/>
      <c r="J1305" s="274"/>
      <c r="K1305" s="274"/>
      <c r="L1305" s="274"/>
      <c r="M1305" s="274"/>
      <c r="N1305" s="274"/>
      <c r="O1305" s="274"/>
      <c r="P1305" s="274"/>
      <c r="Q1305" s="274"/>
      <c r="R1305" s="274"/>
      <c r="S1305" s="274"/>
      <c r="T1305" s="274"/>
      <c r="U1305" s="274"/>
      <c r="V1305" s="274"/>
    </row>
    <row r="1306" spans="1:22" x14ac:dyDescent="0.25">
      <c r="A1306" s="247">
        <v>1304</v>
      </c>
      <c r="B1306" s="270"/>
      <c r="C1306" s="270"/>
      <c r="D1306" s="271"/>
      <c r="E1306" s="272"/>
      <c r="F1306" s="272"/>
      <c r="G1306" s="273"/>
      <c r="H1306" s="274"/>
      <c r="I1306" s="274"/>
      <c r="J1306" s="274"/>
      <c r="K1306" s="274"/>
      <c r="L1306" s="274"/>
      <c r="M1306" s="274"/>
      <c r="N1306" s="274"/>
      <c r="O1306" s="274"/>
      <c r="P1306" s="274"/>
      <c r="Q1306" s="274"/>
      <c r="R1306" s="274"/>
      <c r="S1306" s="274"/>
      <c r="T1306" s="274"/>
      <c r="U1306" s="274"/>
      <c r="V1306" s="274"/>
    </row>
    <row r="1307" spans="1:22" x14ac:dyDescent="0.25">
      <c r="A1307" s="247">
        <v>1305</v>
      </c>
      <c r="B1307" s="270"/>
      <c r="C1307" s="270"/>
      <c r="D1307" s="271"/>
      <c r="E1307" s="272"/>
      <c r="F1307" s="272"/>
      <c r="G1307" s="273"/>
      <c r="H1307" s="274"/>
      <c r="I1307" s="274"/>
      <c r="J1307" s="274"/>
      <c r="K1307" s="274"/>
      <c r="L1307" s="274"/>
      <c r="M1307" s="274"/>
      <c r="N1307" s="274"/>
      <c r="O1307" s="274"/>
      <c r="P1307" s="274"/>
      <c r="Q1307" s="274"/>
      <c r="R1307" s="274"/>
      <c r="S1307" s="274"/>
      <c r="T1307" s="274"/>
      <c r="U1307" s="274"/>
      <c r="V1307" s="274"/>
    </row>
    <row r="1308" spans="1:22" x14ac:dyDescent="0.25">
      <c r="A1308" s="247">
        <v>1306</v>
      </c>
      <c r="B1308" s="270"/>
      <c r="C1308" s="270"/>
      <c r="D1308" s="271"/>
      <c r="E1308" s="272"/>
      <c r="F1308" s="272"/>
      <c r="G1308" s="273"/>
      <c r="H1308" s="274"/>
      <c r="I1308" s="274"/>
      <c r="J1308" s="274"/>
      <c r="K1308" s="274"/>
      <c r="L1308" s="274"/>
      <c r="M1308" s="274"/>
      <c r="N1308" s="274"/>
      <c r="O1308" s="274"/>
      <c r="P1308" s="274"/>
      <c r="Q1308" s="274"/>
      <c r="R1308" s="274"/>
      <c r="S1308" s="274"/>
      <c r="T1308" s="274"/>
      <c r="U1308" s="274"/>
      <c r="V1308" s="274"/>
    </row>
    <row r="1309" spans="1:22" x14ac:dyDescent="0.25">
      <c r="A1309" s="247">
        <v>1307</v>
      </c>
      <c r="B1309" s="270"/>
      <c r="C1309" s="270"/>
      <c r="D1309" s="271"/>
      <c r="E1309" s="272"/>
      <c r="F1309" s="272"/>
      <c r="G1309" s="273"/>
      <c r="H1309" s="274"/>
      <c r="I1309" s="274"/>
      <c r="J1309" s="274"/>
      <c r="K1309" s="274"/>
      <c r="L1309" s="274"/>
      <c r="M1309" s="274"/>
      <c r="N1309" s="274"/>
      <c r="O1309" s="274"/>
      <c r="P1309" s="274"/>
      <c r="Q1309" s="274"/>
      <c r="R1309" s="274"/>
      <c r="S1309" s="274"/>
      <c r="T1309" s="274"/>
      <c r="U1309" s="274"/>
      <c r="V1309" s="274"/>
    </row>
    <row r="1310" spans="1:22" x14ac:dyDescent="0.25">
      <c r="A1310" s="247">
        <v>1308</v>
      </c>
      <c r="B1310" s="270"/>
      <c r="C1310" s="270"/>
      <c r="D1310" s="271"/>
      <c r="E1310" s="272"/>
      <c r="F1310" s="272"/>
      <c r="G1310" s="273"/>
      <c r="H1310" s="274"/>
      <c r="I1310" s="274"/>
      <c r="J1310" s="274"/>
      <c r="K1310" s="274"/>
      <c r="L1310" s="274"/>
      <c r="M1310" s="274"/>
      <c r="N1310" s="274"/>
      <c r="O1310" s="274"/>
      <c r="P1310" s="274"/>
      <c r="Q1310" s="274"/>
      <c r="R1310" s="274"/>
      <c r="S1310" s="274"/>
      <c r="T1310" s="274"/>
      <c r="U1310" s="274"/>
      <c r="V1310" s="274"/>
    </row>
    <row r="1311" spans="1:22" x14ac:dyDescent="0.25">
      <c r="A1311" s="247">
        <v>1309</v>
      </c>
      <c r="B1311" s="270"/>
      <c r="C1311" s="270"/>
      <c r="D1311" s="271"/>
      <c r="E1311" s="272"/>
      <c r="F1311" s="272"/>
      <c r="G1311" s="273"/>
      <c r="H1311" s="274"/>
      <c r="I1311" s="274"/>
      <c r="J1311" s="274"/>
      <c r="K1311" s="274"/>
      <c r="L1311" s="274"/>
      <c r="M1311" s="274"/>
      <c r="N1311" s="274"/>
      <c r="O1311" s="274"/>
      <c r="P1311" s="274"/>
      <c r="Q1311" s="274"/>
      <c r="R1311" s="274"/>
      <c r="S1311" s="274"/>
      <c r="T1311" s="274"/>
      <c r="U1311" s="274"/>
      <c r="V1311" s="274"/>
    </row>
    <row r="1312" spans="1:22" x14ac:dyDescent="0.25">
      <c r="A1312" s="247">
        <v>1310</v>
      </c>
      <c r="B1312" s="270"/>
      <c r="C1312" s="270"/>
      <c r="D1312" s="271"/>
      <c r="E1312" s="272"/>
      <c r="F1312" s="272"/>
      <c r="G1312" s="273"/>
      <c r="H1312" s="274"/>
      <c r="I1312" s="274"/>
      <c r="J1312" s="274"/>
      <c r="K1312" s="274"/>
      <c r="L1312" s="274"/>
      <c r="M1312" s="274"/>
      <c r="N1312" s="274"/>
      <c r="O1312" s="274"/>
      <c r="P1312" s="274"/>
      <c r="Q1312" s="274"/>
      <c r="R1312" s="274"/>
      <c r="S1312" s="274"/>
      <c r="T1312" s="274"/>
      <c r="U1312" s="274"/>
      <c r="V1312" s="274"/>
    </row>
    <row r="1313" spans="1:22" x14ac:dyDescent="0.25">
      <c r="A1313" s="247">
        <v>1311</v>
      </c>
      <c r="B1313" s="270"/>
      <c r="C1313" s="270"/>
      <c r="D1313" s="271"/>
      <c r="E1313" s="272"/>
      <c r="F1313" s="272"/>
      <c r="G1313" s="273"/>
      <c r="H1313" s="274"/>
      <c r="I1313" s="274"/>
      <c r="J1313" s="274"/>
      <c r="K1313" s="274"/>
      <c r="L1313" s="274"/>
      <c r="M1313" s="274"/>
      <c r="N1313" s="274"/>
      <c r="O1313" s="274"/>
      <c r="P1313" s="274"/>
      <c r="Q1313" s="274"/>
      <c r="R1313" s="274"/>
      <c r="S1313" s="274"/>
      <c r="T1313" s="274"/>
      <c r="U1313" s="274"/>
      <c r="V1313" s="274"/>
    </row>
    <row r="1314" spans="1:22" x14ac:dyDescent="0.25">
      <c r="A1314" s="247">
        <v>1312</v>
      </c>
      <c r="B1314" s="270"/>
      <c r="C1314" s="270"/>
      <c r="D1314" s="271"/>
      <c r="E1314" s="272"/>
      <c r="F1314" s="272"/>
      <c r="G1314" s="273"/>
      <c r="H1314" s="274"/>
      <c r="I1314" s="274"/>
      <c r="J1314" s="274"/>
      <c r="K1314" s="274"/>
      <c r="L1314" s="274"/>
      <c r="M1314" s="274"/>
      <c r="N1314" s="274"/>
      <c r="O1314" s="274"/>
      <c r="P1314" s="274"/>
      <c r="Q1314" s="274"/>
      <c r="R1314" s="274"/>
      <c r="S1314" s="274"/>
      <c r="T1314" s="274"/>
      <c r="U1314" s="274"/>
      <c r="V1314" s="274"/>
    </row>
    <row r="1315" spans="1:22" x14ac:dyDescent="0.25">
      <c r="A1315" s="247">
        <v>1313</v>
      </c>
      <c r="B1315" s="270"/>
      <c r="C1315" s="270"/>
      <c r="D1315" s="271"/>
      <c r="E1315" s="272"/>
      <c r="F1315" s="272"/>
      <c r="G1315" s="273"/>
      <c r="H1315" s="274"/>
      <c r="I1315" s="274"/>
      <c r="J1315" s="274"/>
      <c r="K1315" s="274"/>
      <c r="L1315" s="274"/>
      <c r="M1315" s="274"/>
      <c r="N1315" s="274"/>
      <c r="O1315" s="274"/>
      <c r="P1315" s="274"/>
      <c r="Q1315" s="274"/>
      <c r="R1315" s="274"/>
      <c r="S1315" s="274"/>
      <c r="T1315" s="274"/>
      <c r="U1315" s="274"/>
      <c r="V1315" s="274"/>
    </row>
    <row r="1316" spans="1:22" x14ac:dyDescent="0.25">
      <c r="A1316" s="247">
        <v>1314</v>
      </c>
      <c r="B1316" s="270"/>
      <c r="C1316" s="270"/>
      <c r="D1316" s="271"/>
      <c r="E1316" s="272"/>
      <c r="F1316" s="272"/>
      <c r="G1316" s="273"/>
      <c r="H1316" s="274"/>
      <c r="I1316" s="274"/>
      <c r="J1316" s="274"/>
      <c r="K1316" s="274"/>
      <c r="L1316" s="274"/>
      <c r="M1316" s="274"/>
      <c r="N1316" s="274"/>
      <c r="O1316" s="274"/>
      <c r="P1316" s="274"/>
      <c r="Q1316" s="274"/>
      <c r="R1316" s="274"/>
      <c r="S1316" s="274"/>
      <c r="T1316" s="274"/>
      <c r="U1316" s="274"/>
      <c r="V1316" s="274"/>
    </row>
    <row r="1317" spans="1:22" x14ac:dyDescent="0.25">
      <c r="A1317" s="247">
        <v>1315</v>
      </c>
      <c r="B1317" s="270"/>
      <c r="C1317" s="270"/>
      <c r="D1317" s="271"/>
      <c r="E1317" s="272"/>
      <c r="F1317" s="272"/>
      <c r="G1317" s="273"/>
      <c r="H1317" s="274"/>
      <c r="I1317" s="274"/>
      <c r="J1317" s="274"/>
      <c r="K1317" s="274"/>
      <c r="L1317" s="274"/>
      <c r="M1317" s="274"/>
      <c r="N1317" s="274"/>
      <c r="O1317" s="274"/>
      <c r="P1317" s="274"/>
      <c r="Q1317" s="274"/>
      <c r="R1317" s="274"/>
      <c r="S1317" s="274"/>
      <c r="T1317" s="274"/>
      <c r="U1317" s="274"/>
      <c r="V1317" s="274"/>
    </row>
    <row r="1318" spans="1:22" x14ac:dyDescent="0.25">
      <c r="A1318" s="247">
        <v>1316</v>
      </c>
      <c r="B1318" s="270"/>
      <c r="C1318" s="270"/>
      <c r="D1318" s="271"/>
      <c r="E1318" s="272"/>
      <c r="F1318" s="272"/>
      <c r="G1318" s="273"/>
      <c r="H1318" s="274"/>
      <c r="I1318" s="274"/>
      <c r="J1318" s="274"/>
      <c r="K1318" s="274"/>
      <c r="L1318" s="274"/>
      <c r="M1318" s="274"/>
      <c r="N1318" s="274"/>
      <c r="O1318" s="274"/>
      <c r="P1318" s="274"/>
      <c r="Q1318" s="274"/>
      <c r="R1318" s="274"/>
      <c r="S1318" s="274"/>
      <c r="T1318" s="274"/>
      <c r="U1318" s="274"/>
      <c r="V1318" s="274"/>
    </row>
    <row r="1319" spans="1:22" x14ac:dyDescent="0.25">
      <c r="A1319" s="247">
        <v>1317</v>
      </c>
      <c r="B1319" s="270"/>
      <c r="C1319" s="270"/>
      <c r="D1319" s="271"/>
      <c r="E1319" s="272"/>
      <c r="F1319" s="272"/>
      <c r="G1319" s="273"/>
      <c r="H1319" s="274"/>
      <c r="I1319" s="274"/>
      <c r="J1319" s="274"/>
      <c r="K1319" s="274"/>
      <c r="L1319" s="274"/>
      <c r="M1319" s="274"/>
      <c r="N1319" s="274"/>
      <c r="O1319" s="274"/>
      <c r="P1319" s="274"/>
      <c r="Q1319" s="274"/>
      <c r="R1319" s="274"/>
      <c r="S1319" s="274"/>
      <c r="T1319" s="274"/>
      <c r="U1319" s="274"/>
      <c r="V1319" s="274"/>
    </row>
    <row r="1320" spans="1:22" x14ac:dyDescent="0.25">
      <c r="A1320" s="247">
        <v>1318</v>
      </c>
      <c r="B1320" s="270"/>
      <c r="C1320" s="270"/>
      <c r="D1320" s="271"/>
      <c r="E1320" s="272"/>
      <c r="F1320" s="272"/>
      <c r="G1320" s="273"/>
      <c r="H1320" s="274"/>
      <c r="I1320" s="274"/>
      <c r="J1320" s="274"/>
      <c r="K1320" s="274"/>
      <c r="L1320" s="274"/>
      <c r="M1320" s="274"/>
      <c r="N1320" s="274"/>
      <c r="O1320" s="274"/>
      <c r="P1320" s="274"/>
      <c r="Q1320" s="274"/>
      <c r="R1320" s="274"/>
      <c r="S1320" s="274"/>
      <c r="T1320" s="274"/>
      <c r="U1320" s="274"/>
      <c r="V1320" s="274"/>
    </row>
    <row r="1321" spans="1:22" x14ac:dyDescent="0.25">
      <c r="A1321" s="247">
        <v>1319</v>
      </c>
      <c r="B1321" s="270"/>
      <c r="C1321" s="270"/>
      <c r="D1321" s="271"/>
      <c r="E1321" s="272"/>
      <c r="F1321" s="272"/>
      <c r="G1321" s="273"/>
      <c r="H1321" s="274"/>
      <c r="I1321" s="274"/>
      <c r="J1321" s="274"/>
      <c r="K1321" s="274"/>
      <c r="L1321" s="274"/>
      <c r="M1321" s="274"/>
      <c r="N1321" s="274"/>
      <c r="O1321" s="274"/>
      <c r="P1321" s="274"/>
      <c r="Q1321" s="274"/>
      <c r="R1321" s="274"/>
      <c r="S1321" s="274"/>
      <c r="T1321" s="274"/>
      <c r="U1321" s="274"/>
      <c r="V1321" s="274"/>
    </row>
    <row r="1322" spans="1:22" x14ac:dyDescent="0.25">
      <c r="A1322" s="247">
        <v>1320</v>
      </c>
      <c r="B1322" s="270"/>
      <c r="C1322" s="270"/>
      <c r="D1322" s="271"/>
      <c r="E1322" s="272"/>
      <c r="F1322" s="272"/>
      <c r="G1322" s="273"/>
      <c r="H1322" s="274"/>
      <c r="I1322" s="274"/>
      <c r="J1322" s="274"/>
      <c r="K1322" s="274"/>
      <c r="L1322" s="274"/>
      <c r="M1322" s="274"/>
      <c r="N1322" s="274"/>
      <c r="O1322" s="274"/>
      <c r="P1322" s="274"/>
      <c r="Q1322" s="274"/>
      <c r="R1322" s="274"/>
      <c r="S1322" s="274"/>
      <c r="T1322" s="274"/>
      <c r="U1322" s="274"/>
      <c r="V1322" s="274"/>
    </row>
    <row r="1323" spans="1:22" x14ac:dyDescent="0.25">
      <c r="A1323" s="247">
        <v>1321</v>
      </c>
      <c r="B1323" s="270"/>
      <c r="C1323" s="270"/>
      <c r="D1323" s="271"/>
      <c r="E1323" s="272"/>
      <c r="F1323" s="272"/>
      <c r="G1323" s="273"/>
      <c r="H1323" s="274"/>
      <c r="I1323" s="274"/>
      <c r="J1323" s="274"/>
      <c r="K1323" s="274"/>
      <c r="L1323" s="274"/>
      <c r="M1323" s="274"/>
      <c r="N1323" s="274"/>
      <c r="O1323" s="274"/>
      <c r="P1323" s="274"/>
      <c r="Q1323" s="274"/>
      <c r="R1323" s="274"/>
      <c r="S1323" s="274"/>
      <c r="T1323" s="274"/>
      <c r="U1323" s="274"/>
      <c r="V1323" s="274"/>
    </row>
    <row r="1324" spans="1:22" x14ac:dyDescent="0.25">
      <c r="A1324" s="247">
        <v>1322</v>
      </c>
      <c r="B1324" s="270"/>
      <c r="C1324" s="270"/>
      <c r="D1324" s="271"/>
      <c r="E1324" s="272"/>
      <c r="F1324" s="272"/>
      <c r="G1324" s="273"/>
      <c r="H1324" s="274"/>
      <c r="I1324" s="274"/>
      <c r="J1324" s="274"/>
      <c r="K1324" s="274"/>
      <c r="L1324" s="274"/>
      <c r="M1324" s="274"/>
      <c r="N1324" s="274"/>
      <c r="O1324" s="274"/>
      <c r="P1324" s="274"/>
      <c r="Q1324" s="274"/>
      <c r="R1324" s="274"/>
      <c r="S1324" s="274"/>
      <c r="T1324" s="274"/>
      <c r="U1324" s="274"/>
      <c r="V1324" s="274"/>
    </row>
    <row r="1325" spans="1:22" x14ac:dyDescent="0.25">
      <c r="A1325" s="247">
        <v>1323</v>
      </c>
      <c r="B1325" s="270"/>
      <c r="C1325" s="270"/>
      <c r="D1325" s="271"/>
      <c r="E1325" s="272"/>
      <c r="F1325" s="272"/>
      <c r="G1325" s="273"/>
      <c r="H1325" s="274"/>
      <c r="I1325" s="274"/>
      <c r="J1325" s="274"/>
      <c r="K1325" s="274"/>
      <c r="L1325" s="274"/>
      <c r="M1325" s="274"/>
      <c r="N1325" s="274"/>
      <c r="O1325" s="274"/>
      <c r="P1325" s="274"/>
      <c r="Q1325" s="274"/>
      <c r="R1325" s="274"/>
      <c r="S1325" s="274"/>
      <c r="T1325" s="274"/>
      <c r="U1325" s="274"/>
      <c r="V1325" s="274"/>
    </row>
    <row r="1326" spans="1:22" x14ac:dyDescent="0.25">
      <c r="A1326" s="247">
        <v>1324</v>
      </c>
      <c r="B1326" s="270"/>
      <c r="C1326" s="270"/>
      <c r="D1326" s="271"/>
      <c r="E1326" s="272"/>
      <c r="F1326" s="272"/>
      <c r="G1326" s="273"/>
      <c r="H1326" s="274"/>
      <c r="I1326" s="274"/>
      <c r="J1326" s="274"/>
      <c r="K1326" s="274"/>
      <c r="L1326" s="274"/>
      <c r="M1326" s="274"/>
      <c r="N1326" s="274"/>
      <c r="O1326" s="274"/>
      <c r="P1326" s="274"/>
      <c r="Q1326" s="274"/>
      <c r="R1326" s="274"/>
      <c r="S1326" s="274"/>
      <c r="T1326" s="274"/>
      <c r="U1326" s="274"/>
      <c r="V1326" s="274"/>
    </row>
    <row r="1327" spans="1:22" x14ac:dyDescent="0.25">
      <c r="A1327" s="247">
        <v>1325</v>
      </c>
      <c r="B1327" s="270"/>
      <c r="C1327" s="270"/>
      <c r="D1327" s="271"/>
      <c r="E1327" s="272"/>
      <c r="F1327" s="272"/>
      <c r="G1327" s="273"/>
      <c r="H1327" s="274"/>
      <c r="I1327" s="274"/>
      <c r="J1327" s="274"/>
      <c r="K1327" s="274"/>
      <c r="L1327" s="274"/>
      <c r="M1327" s="274"/>
      <c r="N1327" s="274"/>
      <c r="O1327" s="274"/>
      <c r="P1327" s="274"/>
      <c r="Q1327" s="274"/>
      <c r="R1327" s="274"/>
      <c r="S1327" s="274"/>
      <c r="T1327" s="274"/>
      <c r="U1327" s="274"/>
      <c r="V1327" s="274"/>
    </row>
    <row r="1328" spans="1:22" x14ac:dyDescent="0.25">
      <c r="A1328" s="247">
        <v>1326</v>
      </c>
      <c r="B1328" s="270"/>
      <c r="C1328" s="270"/>
      <c r="D1328" s="271"/>
      <c r="E1328" s="272"/>
      <c r="F1328" s="272"/>
      <c r="G1328" s="273"/>
      <c r="H1328" s="274"/>
      <c r="I1328" s="274"/>
      <c r="J1328" s="274"/>
      <c r="K1328" s="274"/>
      <c r="L1328" s="274"/>
      <c r="M1328" s="274"/>
      <c r="N1328" s="274"/>
      <c r="O1328" s="274"/>
      <c r="P1328" s="274"/>
      <c r="Q1328" s="274"/>
      <c r="R1328" s="274"/>
      <c r="S1328" s="274"/>
      <c r="T1328" s="274"/>
      <c r="U1328" s="274"/>
      <c r="V1328" s="274"/>
    </row>
    <row r="1329" spans="1:22" x14ac:dyDescent="0.25">
      <c r="A1329" s="247">
        <v>1327</v>
      </c>
      <c r="B1329" s="270"/>
      <c r="C1329" s="270"/>
      <c r="D1329" s="271"/>
      <c r="E1329" s="272"/>
      <c r="F1329" s="272"/>
      <c r="G1329" s="273"/>
      <c r="H1329" s="274"/>
      <c r="I1329" s="274"/>
      <c r="J1329" s="274"/>
      <c r="K1329" s="274"/>
      <c r="L1329" s="274"/>
      <c r="M1329" s="274"/>
      <c r="N1329" s="274"/>
      <c r="O1329" s="274"/>
      <c r="P1329" s="274"/>
      <c r="Q1329" s="274"/>
      <c r="R1329" s="274"/>
      <c r="S1329" s="274"/>
      <c r="T1329" s="274"/>
      <c r="U1329" s="274"/>
      <c r="V1329" s="274"/>
    </row>
    <row r="1330" spans="1:22" x14ac:dyDescent="0.25">
      <c r="A1330" s="247">
        <v>1328</v>
      </c>
      <c r="B1330" s="270"/>
      <c r="C1330" s="270"/>
      <c r="D1330" s="271"/>
      <c r="E1330" s="272"/>
      <c r="F1330" s="272"/>
      <c r="G1330" s="273"/>
      <c r="H1330" s="274"/>
      <c r="I1330" s="274"/>
      <c r="J1330" s="274"/>
      <c r="K1330" s="274"/>
      <c r="L1330" s="274"/>
      <c r="M1330" s="274"/>
      <c r="N1330" s="274"/>
      <c r="O1330" s="274"/>
      <c r="P1330" s="274"/>
      <c r="Q1330" s="274"/>
      <c r="R1330" s="274"/>
      <c r="S1330" s="274"/>
      <c r="T1330" s="274"/>
      <c r="U1330" s="274"/>
      <c r="V1330" s="274"/>
    </row>
    <row r="1331" spans="1:22" x14ac:dyDescent="0.25">
      <c r="A1331" s="247">
        <v>1329</v>
      </c>
      <c r="B1331" s="270"/>
      <c r="C1331" s="270"/>
      <c r="D1331" s="271"/>
      <c r="E1331" s="272"/>
      <c r="F1331" s="272"/>
      <c r="G1331" s="273"/>
      <c r="H1331" s="274"/>
      <c r="I1331" s="274"/>
      <c r="J1331" s="274"/>
      <c r="K1331" s="274"/>
      <c r="L1331" s="274"/>
      <c r="M1331" s="274"/>
      <c r="N1331" s="274"/>
      <c r="O1331" s="274"/>
      <c r="P1331" s="274"/>
      <c r="Q1331" s="274"/>
      <c r="R1331" s="274"/>
      <c r="S1331" s="274"/>
      <c r="T1331" s="274"/>
      <c r="U1331" s="274"/>
      <c r="V1331" s="274"/>
    </row>
    <row r="1332" spans="1:22" x14ac:dyDescent="0.25">
      <c r="A1332" s="247">
        <v>1330</v>
      </c>
      <c r="B1332" s="270"/>
      <c r="C1332" s="270"/>
      <c r="D1332" s="271"/>
      <c r="E1332" s="272"/>
      <c r="F1332" s="272"/>
      <c r="G1332" s="273"/>
      <c r="H1332" s="274"/>
      <c r="I1332" s="274"/>
      <c r="J1332" s="274"/>
      <c r="K1332" s="274"/>
      <c r="L1332" s="274"/>
      <c r="M1332" s="274"/>
      <c r="N1332" s="274"/>
      <c r="O1332" s="274"/>
      <c r="P1332" s="274"/>
      <c r="Q1332" s="274"/>
      <c r="R1332" s="274"/>
      <c r="S1332" s="274"/>
      <c r="T1332" s="274"/>
      <c r="U1332" s="274"/>
      <c r="V1332" s="274"/>
    </row>
    <row r="1333" spans="1:22" x14ac:dyDescent="0.25">
      <c r="A1333" s="247">
        <v>1331</v>
      </c>
      <c r="B1333" s="270"/>
      <c r="C1333" s="270"/>
      <c r="D1333" s="271"/>
      <c r="E1333" s="272"/>
      <c r="F1333" s="272"/>
      <c r="G1333" s="273"/>
      <c r="H1333" s="274"/>
      <c r="I1333" s="274"/>
      <c r="J1333" s="274"/>
      <c r="K1333" s="274"/>
      <c r="L1333" s="274"/>
      <c r="M1333" s="274"/>
      <c r="N1333" s="274"/>
      <c r="O1333" s="274"/>
      <c r="P1333" s="274"/>
      <c r="Q1333" s="274"/>
      <c r="R1333" s="274"/>
      <c r="S1333" s="274"/>
      <c r="T1333" s="274"/>
      <c r="U1333" s="274"/>
      <c r="V1333" s="274"/>
    </row>
    <row r="1334" spans="1:22" x14ac:dyDescent="0.25">
      <c r="A1334" s="247">
        <v>1332</v>
      </c>
      <c r="B1334" s="270"/>
      <c r="C1334" s="270"/>
      <c r="D1334" s="271"/>
      <c r="E1334" s="272"/>
      <c r="F1334" s="272"/>
      <c r="G1334" s="273"/>
      <c r="H1334" s="274"/>
      <c r="I1334" s="274"/>
      <c r="J1334" s="274"/>
      <c r="K1334" s="274"/>
      <c r="L1334" s="274"/>
      <c r="M1334" s="274"/>
      <c r="N1334" s="274"/>
      <c r="O1334" s="274"/>
      <c r="P1334" s="274"/>
      <c r="Q1334" s="274"/>
      <c r="R1334" s="274"/>
      <c r="S1334" s="274"/>
      <c r="T1334" s="274"/>
      <c r="U1334" s="274"/>
      <c r="V1334" s="274"/>
    </row>
    <row r="1335" spans="1:22" x14ac:dyDescent="0.25">
      <c r="A1335" s="247">
        <v>1333</v>
      </c>
      <c r="B1335" s="270"/>
      <c r="C1335" s="270"/>
      <c r="D1335" s="271"/>
      <c r="E1335" s="272"/>
      <c r="F1335" s="272"/>
      <c r="G1335" s="273"/>
      <c r="H1335" s="274"/>
      <c r="I1335" s="274"/>
      <c r="J1335" s="274"/>
      <c r="K1335" s="274"/>
      <c r="L1335" s="274"/>
      <c r="M1335" s="274"/>
      <c r="N1335" s="274"/>
      <c r="O1335" s="274"/>
      <c r="P1335" s="274"/>
      <c r="Q1335" s="274"/>
      <c r="R1335" s="274"/>
      <c r="S1335" s="274"/>
      <c r="T1335" s="274"/>
      <c r="U1335" s="274"/>
      <c r="V1335" s="274"/>
    </row>
    <row r="1336" spans="1:22" x14ac:dyDescent="0.25">
      <c r="A1336" s="247">
        <v>1334</v>
      </c>
      <c r="B1336" s="270"/>
      <c r="C1336" s="270"/>
      <c r="D1336" s="271"/>
      <c r="E1336" s="272"/>
      <c r="F1336" s="272"/>
      <c r="G1336" s="273"/>
      <c r="H1336" s="274"/>
      <c r="I1336" s="274"/>
      <c r="J1336" s="274"/>
      <c r="K1336" s="274"/>
      <c r="L1336" s="274"/>
      <c r="M1336" s="274"/>
      <c r="N1336" s="274"/>
      <c r="O1336" s="274"/>
      <c r="P1336" s="274"/>
      <c r="Q1336" s="274"/>
      <c r="R1336" s="274"/>
      <c r="S1336" s="274"/>
      <c r="T1336" s="274"/>
      <c r="U1336" s="274"/>
      <c r="V1336" s="274"/>
    </row>
    <row r="1337" spans="1:22" x14ac:dyDescent="0.25">
      <c r="A1337" s="247">
        <v>1335</v>
      </c>
      <c r="B1337" s="270"/>
      <c r="C1337" s="270"/>
      <c r="D1337" s="271"/>
      <c r="E1337" s="272"/>
      <c r="F1337" s="272"/>
      <c r="G1337" s="273"/>
      <c r="H1337" s="274"/>
      <c r="I1337" s="274"/>
      <c r="J1337" s="274"/>
      <c r="K1337" s="274"/>
      <c r="L1337" s="274"/>
      <c r="M1337" s="274"/>
      <c r="N1337" s="274"/>
      <c r="O1337" s="274"/>
      <c r="P1337" s="274"/>
      <c r="Q1337" s="274"/>
      <c r="R1337" s="274"/>
      <c r="S1337" s="274"/>
      <c r="T1337" s="274"/>
      <c r="U1337" s="274"/>
      <c r="V1337" s="274"/>
    </row>
    <row r="1338" spans="1:22" x14ac:dyDescent="0.25">
      <c r="A1338" s="247">
        <v>1336</v>
      </c>
      <c r="B1338" s="270"/>
      <c r="C1338" s="270"/>
      <c r="D1338" s="271"/>
      <c r="E1338" s="272"/>
      <c r="F1338" s="272"/>
      <c r="G1338" s="273"/>
      <c r="H1338" s="274"/>
      <c r="I1338" s="274"/>
      <c r="J1338" s="274"/>
      <c r="K1338" s="274"/>
      <c r="L1338" s="274"/>
      <c r="M1338" s="274"/>
      <c r="N1338" s="274"/>
      <c r="O1338" s="274"/>
      <c r="P1338" s="274"/>
      <c r="Q1338" s="274"/>
      <c r="R1338" s="274"/>
      <c r="S1338" s="274"/>
      <c r="T1338" s="274"/>
      <c r="U1338" s="274"/>
      <c r="V1338" s="274"/>
    </row>
    <row r="1339" spans="1:22" x14ac:dyDescent="0.25">
      <c r="A1339" s="247">
        <v>1337</v>
      </c>
      <c r="B1339" s="270"/>
      <c r="C1339" s="270"/>
      <c r="D1339" s="271"/>
      <c r="E1339" s="272"/>
      <c r="F1339" s="272"/>
      <c r="G1339" s="273"/>
      <c r="H1339" s="274"/>
      <c r="I1339" s="274"/>
      <c r="J1339" s="274"/>
      <c r="K1339" s="274"/>
      <c r="L1339" s="274"/>
      <c r="M1339" s="274"/>
      <c r="N1339" s="274"/>
      <c r="O1339" s="274"/>
      <c r="P1339" s="274"/>
      <c r="Q1339" s="274"/>
      <c r="R1339" s="274"/>
      <c r="S1339" s="274"/>
      <c r="T1339" s="274"/>
      <c r="U1339" s="274"/>
      <c r="V1339" s="274"/>
    </row>
    <row r="1340" spans="1:22" x14ac:dyDescent="0.25">
      <c r="A1340" s="247">
        <v>1338</v>
      </c>
      <c r="B1340" s="270"/>
      <c r="C1340" s="270"/>
      <c r="D1340" s="271"/>
      <c r="E1340" s="272"/>
      <c r="F1340" s="272"/>
      <c r="G1340" s="273"/>
      <c r="H1340" s="274"/>
      <c r="I1340" s="274"/>
      <c r="J1340" s="274"/>
      <c r="K1340" s="274"/>
      <c r="L1340" s="274"/>
      <c r="M1340" s="274"/>
      <c r="N1340" s="274"/>
      <c r="O1340" s="274"/>
      <c r="P1340" s="274"/>
      <c r="Q1340" s="274"/>
      <c r="R1340" s="274"/>
      <c r="S1340" s="274"/>
      <c r="T1340" s="274"/>
      <c r="U1340" s="274"/>
      <c r="V1340" s="274"/>
    </row>
    <row r="1341" spans="1:22" x14ac:dyDescent="0.25">
      <c r="A1341" s="247">
        <v>1339</v>
      </c>
      <c r="B1341" s="270"/>
      <c r="C1341" s="270"/>
      <c r="D1341" s="271"/>
      <c r="E1341" s="272"/>
      <c r="F1341" s="272"/>
      <c r="G1341" s="273"/>
      <c r="H1341" s="274"/>
      <c r="I1341" s="274"/>
      <c r="J1341" s="274"/>
      <c r="K1341" s="274"/>
      <c r="L1341" s="274"/>
      <c r="M1341" s="274"/>
      <c r="N1341" s="274"/>
      <c r="O1341" s="274"/>
      <c r="P1341" s="274"/>
      <c r="Q1341" s="274"/>
      <c r="R1341" s="274"/>
      <c r="S1341" s="274"/>
      <c r="T1341" s="274"/>
      <c r="U1341" s="274"/>
      <c r="V1341" s="274"/>
    </row>
    <row r="1342" spans="1:22" x14ac:dyDescent="0.25">
      <c r="A1342" s="247">
        <v>1340</v>
      </c>
      <c r="B1342" s="270"/>
      <c r="C1342" s="270"/>
      <c r="D1342" s="271"/>
      <c r="E1342" s="272"/>
      <c r="F1342" s="272"/>
      <c r="G1342" s="273"/>
      <c r="H1342" s="274"/>
      <c r="I1342" s="274"/>
      <c r="J1342" s="274"/>
      <c r="K1342" s="274"/>
      <c r="L1342" s="274"/>
      <c r="M1342" s="274"/>
      <c r="N1342" s="274"/>
      <c r="O1342" s="274"/>
      <c r="P1342" s="274"/>
      <c r="Q1342" s="274"/>
      <c r="R1342" s="274"/>
      <c r="S1342" s="274"/>
      <c r="T1342" s="274"/>
      <c r="U1342" s="274"/>
      <c r="V1342" s="274"/>
    </row>
    <row r="1343" spans="1:22" x14ac:dyDescent="0.25">
      <c r="A1343" s="247">
        <v>1341</v>
      </c>
      <c r="B1343" s="270"/>
      <c r="C1343" s="270"/>
      <c r="D1343" s="271"/>
      <c r="E1343" s="272"/>
      <c r="F1343" s="272"/>
      <c r="G1343" s="273"/>
      <c r="H1343" s="274"/>
      <c r="I1343" s="274"/>
      <c r="J1343" s="274"/>
      <c r="K1343" s="274"/>
      <c r="L1343" s="274"/>
      <c r="M1343" s="274"/>
      <c r="N1343" s="274"/>
      <c r="O1343" s="274"/>
      <c r="P1343" s="274"/>
      <c r="Q1343" s="274"/>
      <c r="R1343" s="274"/>
      <c r="S1343" s="274"/>
      <c r="T1343" s="274"/>
      <c r="U1343" s="274"/>
      <c r="V1343" s="274"/>
    </row>
    <row r="1344" spans="1:22" x14ac:dyDescent="0.25">
      <c r="A1344" s="247">
        <v>1342</v>
      </c>
      <c r="B1344" s="270"/>
      <c r="C1344" s="270"/>
      <c r="D1344" s="271"/>
      <c r="E1344" s="272"/>
      <c r="F1344" s="272"/>
      <c r="G1344" s="273"/>
      <c r="H1344" s="274"/>
      <c r="I1344" s="274"/>
      <c r="J1344" s="274"/>
      <c r="K1344" s="274"/>
      <c r="L1344" s="274"/>
      <c r="M1344" s="274"/>
      <c r="N1344" s="274"/>
      <c r="O1344" s="274"/>
      <c r="P1344" s="274"/>
      <c r="Q1344" s="274"/>
      <c r="R1344" s="274"/>
      <c r="S1344" s="274"/>
      <c r="T1344" s="274"/>
      <c r="U1344" s="274"/>
      <c r="V1344" s="274"/>
    </row>
    <row r="1345" spans="1:22" x14ac:dyDescent="0.25">
      <c r="A1345" s="247">
        <v>1343</v>
      </c>
      <c r="B1345" s="270"/>
      <c r="C1345" s="270"/>
      <c r="D1345" s="271"/>
      <c r="E1345" s="272"/>
      <c r="F1345" s="272"/>
      <c r="G1345" s="273"/>
      <c r="H1345" s="274"/>
      <c r="I1345" s="274"/>
      <c r="J1345" s="274"/>
      <c r="K1345" s="274"/>
      <c r="L1345" s="274"/>
      <c r="M1345" s="274"/>
      <c r="N1345" s="274"/>
      <c r="O1345" s="274"/>
      <c r="P1345" s="274"/>
      <c r="Q1345" s="274"/>
      <c r="R1345" s="274"/>
      <c r="S1345" s="274"/>
      <c r="T1345" s="274"/>
      <c r="U1345" s="274"/>
      <c r="V1345" s="274"/>
    </row>
    <row r="1346" spans="1:22" x14ac:dyDescent="0.25">
      <c r="A1346" s="247">
        <v>1344</v>
      </c>
      <c r="B1346" s="270"/>
      <c r="C1346" s="270"/>
      <c r="D1346" s="271"/>
      <c r="E1346" s="272"/>
      <c r="F1346" s="272"/>
      <c r="G1346" s="273"/>
      <c r="H1346" s="274"/>
      <c r="I1346" s="274"/>
      <c r="J1346" s="274"/>
      <c r="K1346" s="274"/>
      <c r="L1346" s="274"/>
      <c r="M1346" s="274"/>
      <c r="N1346" s="274"/>
      <c r="O1346" s="274"/>
      <c r="P1346" s="274"/>
      <c r="Q1346" s="274"/>
      <c r="R1346" s="274"/>
      <c r="S1346" s="274"/>
      <c r="T1346" s="274"/>
      <c r="U1346" s="274"/>
      <c r="V1346" s="274"/>
    </row>
    <row r="1347" spans="1:22" x14ac:dyDescent="0.25">
      <c r="A1347" s="247">
        <v>1345</v>
      </c>
      <c r="B1347" s="270"/>
      <c r="C1347" s="270"/>
      <c r="D1347" s="271"/>
      <c r="E1347" s="272"/>
      <c r="F1347" s="272"/>
      <c r="G1347" s="273"/>
      <c r="H1347" s="274"/>
      <c r="I1347" s="274"/>
      <c r="J1347" s="274"/>
      <c r="K1347" s="274"/>
      <c r="L1347" s="274"/>
      <c r="M1347" s="274"/>
      <c r="N1347" s="274"/>
      <c r="O1347" s="274"/>
      <c r="P1347" s="274"/>
      <c r="Q1347" s="274"/>
      <c r="R1347" s="274"/>
      <c r="S1347" s="274"/>
      <c r="T1347" s="274"/>
      <c r="U1347" s="274"/>
      <c r="V1347" s="274"/>
    </row>
    <row r="1348" spans="1:22" x14ac:dyDescent="0.25">
      <c r="A1348" s="247">
        <v>1346</v>
      </c>
      <c r="B1348" s="270"/>
      <c r="C1348" s="270"/>
      <c r="D1348" s="271"/>
      <c r="E1348" s="272"/>
      <c r="F1348" s="272"/>
      <c r="G1348" s="273"/>
      <c r="H1348" s="274"/>
      <c r="I1348" s="274"/>
      <c r="J1348" s="274"/>
      <c r="K1348" s="274"/>
      <c r="L1348" s="274"/>
      <c r="M1348" s="274"/>
      <c r="N1348" s="274"/>
      <c r="O1348" s="274"/>
      <c r="P1348" s="274"/>
      <c r="Q1348" s="274"/>
      <c r="R1348" s="274"/>
      <c r="S1348" s="274"/>
      <c r="T1348" s="274"/>
      <c r="U1348" s="274"/>
      <c r="V1348" s="274"/>
    </row>
    <row r="1349" spans="1:22" x14ac:dyDescent="0.25">
      <c r="A1349" s="247">
        <v>1347</v>
      </c>
      <c r="B1349" s="270"/>
      <c r="C1349" s="270"/>
      <c r="D1349" s="271"/>
      <c r="E1349" s="272"/>
      <c r="F1349" s="272"/>
      <c r="G1349" s="273"/>
      <c r="H1349" s="274"/>
      <c r="I1349" s="274"/>
      <c r="J1349" s="274"/>
      <c r="K1349" s="274"/>
      <c r="L1349" s="274"/>
      <c r="M1349" s="274"/>
      <c r="N1349" s="274"/>
      <c r="O1349" s="274"/>
      <c r="P1349" s="274"/>
      <c r="Q1349" s="274"/>
      <c r="R1349" s="274"/>
      <c r="S1349" s="274"/>
      <c r="T1349" s="274"/>
      <c r="U1349" s="274"/>
      <c r="V1349" s="274"/>
    </row>
    <row r="1350" spans="1:22" x14ac:dyDescent="0.25">
      <c r="A1350" s="247">
        <v>1348</v>
      </c>
      <c r="B1350" s="270"/>
      <c r="C1350" s="270"/>
      <c r="D1350" s="271"/>
      <c r="E1350" s="272"/>
      <c r="F1350" s="272"/>
      <c r="G1350" s="273"/>
      <c r="H1350" s="274"/>
      <c r="I1350" s="274"/>
      <c r="J1350" s="274"/>
      <c r="K1350" s="274"/>
      <c r="L1350" s="274"/>
      <c r="M1350" s="274"/>
      <c r="N1350" s="274"/>
      <c r="O1350" s="274"/>
      <c r="P1350" s="274"/>
      <c r="Q1350" s="274"/>
      <c r="R1350" s="274"/>
      <c r="S1350" s="274"/>
      <c r="T1350" s="274"/>
      <c r="U1350" s="274"/>
      <c r="V1350" s="274"/>
    </row>
    <row r="1351" spans="1:22" x14ac:dyDescent="0.25">
      <c r="A1351" s="247">
        <v>1349</v>
      </c>
      <c r="B1351" s="270"/>
      <c r="C1351" s="270"/>
      <c r="D1351" s="271"/>
      <c r="E1351" s="272"/>
      <c r="F1351" s="272"/>
      <c r="G1351" s="273"/>
      <c r="H1351" s="274"/>
      <c r="I1351" s="274"/>
      <c r="J1351" s="274"/>
      <c r="K1351" s="274"/>
      <c r="L1351" s="274"/>
      <c r="M1351" s="274"/>
      <c r="N1351" s="274"/>
      <c r="O1351" s="274"/>
      <c r="P1351" s="274"/>
      <c r="Q1351" s="274"/>
      <c r="R1351" s="274"/>
      <c r="S1351" s="274"/>
      <c r="T1351" s="274"/>
      <c r="U1351" s="274"/>
      <c r="V1351" s="274"/>
    </row>
    <row r="1352" spans="1:22" x14ac:dyDescent="0.25">
      <c r="A1352" s="247">
        <v>1350</v>
      </c>
      <c r="B1352" s="270"/>
      <c r="C1352" s="270"/>
      <c r="D1352" s="271"/>
      <c r="E1352" s="272"/>
      <c r="F1352" s="272"/>
      <c r="G1352" s="273"/>
      <c r="H1352" s="274"/>
      <c r="I1352" s="274"/>
      <c r="J1352" s="274"/>
      <c r="K1352" s="274"/>
      <c r="L1352" s="274"/>
      <c r="M1352" s="274"/>
      <c r="N1352" s="274"/>
      <c r="O1352" s="274"/>
      <c r="P1352" s="274"/>
      <c r="Q1352" s="274"/>
      <c r="R1352" s="274"/>
      <c r="S1352" s="274"/>
      <c r="T1352" s="274"/>
      <c r="U1352" s="274"/>
      <c r="V1352" s="274"/>
    </row>
    <row r="1353" spans="1:22" x14ac:dyDescent="0.25">
      <c r="A1353" s="247">
        <v>1351</v>
      </c>
      <c r="B1353" s="270"/>
      <c r="C1353" s="270"/>
      <c r="D1353" s="271"/>
      <c r="E1353" s="272"/>
      <c r="F1353" s="272"/>
      <c r="G1353" s="273"/>
      <c r="H1353" s="274"/>
      <c r="I1353" s="274"/>
      <c r="J1353" s="274"/>
      <c r="K1353" s="274"/>
      <c r="L1353" s="274"/>
      <c r="M1353" s="274"/>
      <c r="N1353" s="274"/>
      <c r="O1353" s="274"/>
      <c r="P1353" s="274"/>
      <c r="Q1353" s="274"/>
      <c r="R1353" s="274"/>
      <c r="S1353" s="274"/>
      <c r="T1353" s="274"/>
      <c r="U1353" s="274"/>
      <c r="V1353" s="274"/>
    </row>
    <row r="1354" spans="1:22" x14ac:dyDescent="0.25">
      <c r="A1354" s="247">
        <v>1352</v>
      </c>
      <c r="B1354" s="270"/>
      <c r="C1354" s="270"/>
      <c r="D1354" s="271"/>
      <c r="E1354" s="272"/>
      <c r="F1354" s="272"/>
      <c r="G1354" s="273"/>
      <c r="H1354" s="274"/>
      <c r="I1354" s="274"/>
      <c r="J1354" s="274"/>
      <c r="K1354" s="274"/>
      <c r="L1354" s="274"/>
      <c r="M1354" s="274"/>
      <c r="N1354" s="274"/>
      <c r="O1354" s="274"/>
      <c r="P1354" s="274"/>
      <c r="Q1354" s="274"/>
      <c r="R1354" s="274"/>
      <c r="S1354" s="274"/>
      <c r="T1354" s="274"/>
      <c r="U1354" s="274"/>
      <c r="V1354" s="274"/>
    </row>
    <row r="1355" spans="1:22" x14ac:dyDescent="0.25">
      <c r="A1355" s="247">
        <v>1353</v>
      </c>
      <c r="B1355" s="270"/>
      <c r="C1355" s="270"/>
      <c r="D1355" s="271"/>
      <c r="E1355" s="272"/>
      <c r="F1355" s="272"/>
      <c r="G1355" s="273"/>
      <c r="H1355" s="274"/>
      <c r="I1355" s="274"/>
      <c r="J1355" s="274"/>
      <c r="K1355" s="274"/>
      <c r="L1355" s="274"/>
      <c r="M1355" s="274"/>
      <c r="N1355" s="274"/>
      <c r="O1355" s="274"/>
      <c r="P1355" s="274"/>
      <c r="Q1355" s="274"/>
      <c r="R1355" s="274"/>
      <c r="S1355" s="274"/>
      <c r="T1355" s="274"/>
      <c r="U1355" s="274"/>
      <c r="V1355" s="274"/>
    </row>
    <row r="1356" spans="1:22" x14ac:dyDescent="0.25">
      <c r="A1356" s="247">
        <v>1354</v>
      </c>
      <c r="B1356" s="270"/>
      <c r="C1356" s="270"/>
      <c r="D1356" s="271"/>
      <c r="E1356" s="272"/>
      <c r="F1356" s="272"/>
      <c r="G1356" s="273"/>
      <c r="H1356" s="274"/>
      <c r="I1356" s="274"/>
      <c r="J1356" s="274"/>
      <c r="K1356" s="274"/>
      <c r="L1356" s="274"/>
      <c r="M1356" s="274"/>
      <c r="N1356" s="274"/>
      <c r="O1356" s="274"/>
      <c r="P1356" s="274"/>
      <c r="Q1356" s="274"/>
      <c r="R1356" s="274"/>
      <c r="S1356" s="274"/>
      <c r="T1356" s="274"/>
      <c r="U1356" s="274"/>
      <c r="V1356" s="274"/>
    </row>
    <row r="1357" spans="1:22" x14ac:dyDescent="0.25">
      <c r="A1357" s="247">
        <v>1355</v>
      </c>
      <c r="B1357" s="270"/>
      <c r="C1357" s="270"/>
      <c r="D1357" s="271"/>
      <c r="E1357" s="272"/>
      <c r="F1357" s="272"/>
      <c r="G1357" s="273"/>
      <c r="H1357" s="274"/>
      <c r="I1357" s="274"/>
      <c r="J1357" s="274"/>
      <c r="K1357" s="274"/>
      <c r="L1357" s="274"/>
      <c r="M1357" s="274"/>
      <c r="N1357" s="274"/>
      <c r="O1357" s="274"/>
      <c r="P1357" s="274"/>
      <c r="Q1357" s="274"/>
      <c r="R1357" s="274"/>
      <c r="S1357" s="274"/>
      <c r="T1357" s="274"/>
      <c r="U1357" s="274"/>
      <c r="V1357" s="274"/>
    </row>
    <row r="1358" spans="1:22" x14ac:dyDescent="0.25">
      <c r="A1358" s="247">
        <v>1356</v>
      </c>
      <c r="B1358" s="270"/>
      <c r="C1358" s="270"/>
      <c r="D1358" s="271"/>
      <c r="E1358" s="272"/>
      <c r="F1358" s="272"/>
      <c r="G1358" s="273"/>
      <c r="H1358" s="274"/>
      <c r="I1358" s="274"/>
      <c r="J1358" s="274"/>
      <c r="K1358" s="274"/>
      <c r="L1358" s="274"/>
      <c r="M1358" s="274"/>
      <c r="N1358" s="274"/>
      <c r="O1358" s="274"/>
      <c r="P1358" s="274"/>
      <c r="Q1358" s="274"/>
      <c r="R1358" s="274"/>
      <c r="S1358" s="274"/>
      <c r="T1358" s="274"/>
      <c r="U1358" s="274"/>
      <c r="V1358" s="274"/>
    </row>
    <row r="1359" spans="1:22" x14ac:dyDescent="0.25">
      <c r="A1359" s="247">
        <v>1357</v>
      </c>
      <c r="B1359" s="270"/>
      <c r="C1359" s="270"/>
      <c r="D1359" s="271"/>
      <c r="E1359" s="272"/>
      <c r="F1359" s="272"/>
      <c r="G1359" s="273"/>
      <c r="H1359" s="274"/>
      <c r="I1359" s="274"/>
      <c r="J1359" s="274"/>
      <c r="K1359" s="274"/>
      <c r="L1359" s="274"/>
      <c r="M1359" s="274"/>
      <c r="N1359" s="274"/>
      <c r="O1359" s="274"/>
      <c r="P1359" s="274"/>
      <c r="Q1359" s="274"/>
      <c r="R1359" s="274"/>
      <c r="S1359" s="274"/>
      <c r="T1359" s="274"/>
      <c r="U1359" s="274"/>
      <c r="V1359" s="274"/>
    </row>
    <row r="1360" spans="1:22" x14ac:dyDescent="0.25">
      <c r="A1360" s="247">
        <v>1358</v>
      </c>
      <c r="B1360" s="270"/>
      <c r="C1360" s="270"/>
      <c r="D1360" s="271"/>
      <c r="E1360" s="272"/>
      <c r="F1360" s="272"/>
      <c r="G1360" s="273"/>
      <c r="H1360" s="274"/>
      <c r="I1360" s="274"/>
      <c r="J1360" s="274"/>
      <c r="K1360" s="274"/>
      <c r="L1360" s="274"/>
      <c r="M1360" s="274"/>
      <c r="N1360" s="274"/>
      <c r="O1360" s="274"/>
      <c r="P1360" s="274"/>
      <c r="Q1360" s="274"/>
      <c r="R1360" s="274"/>
      <c r="S1360" s="274"/>
      <c r="T1360" s="274"/>
      <c r="U1360" s="274"/>
      <c r="V1360" s="274"/>
    </row>
    <row r="1361" spans="1:22" x14ac:dyDescent="0.25">
      <c r="A1361" s="247">
        <v>1359</v>
      </c>
      <c r="B1361" s="270"/>
      <c r="C1361" s="270"/>
      <c r="D1361" s="271"/>
      <c r="E1361" s="272"/>
      <c r="F1361" s="272"/>
      <c r="G1361" s="273"/>
      <c r="H1361" s="274"/>
      <c r="I1361" s="274"/>
      <c r="J1361" s="274"/>
      <c r="K1361" s="274"/>
      <c r="L1361" s="274"/>
      <c r="M1361" s="274"/>
      <c r="N1361" s="274"/>
      <c r="O1361" s="274"/>
      <c r="P1361" s="274"/>
      <c r="Q1361" s="274"/>
      <c r="R1361" s="274"/>
      <c r="S1361" s="274"/>
      <c r="T1361" s="274"/>
      <c r="U1361" s="274"/>
      <c r="V1361" s="274"/>
    </row>
    <row r="1362" spans="1:22" x14ac:dyDescent="0.25">
      <c r="A1362" s="247">
        <v>1360</v>
      </c>
      <c r="B1362" s="270"/>
      <c r="C1362" s="270"/>
      <c r="D1362" s="271"/>
      <c r="E1362" s="272"/>
      <c r="F1362" s="272"/>
      <c r="G1362" s="273"/>
      <c r="H1362" s="274"/>
      <c r="I1362" s="274"/>
      <c r="J1362" s="274"/>
      <c r="K1362" s="274"/>
      <c r="L1362" s="274"/>
      <c r="M1362" s="274"/>
      <c r="N1362" s="274"/>
      <c r="O1362" s="274"/>
      <c r="P1362" s="274"/>
      <c r="Q1362" s="274"/>
      <c r="R1362" s="274"/>
      <c r="S1362" s="274"/>
      <c r="T1362" s="274"/>
      <c r="U1362" s="274"/>
      <c r="V1362" s="274"/>
    </row>
    <row r="1363" spans="1:22" x14ac:dyDescent="0.25">
      <c r="A1363" s="247">
        <v>1361</v>
      </c>
      <c r="B1363" s="270"/>
      <c r="C1363" s="270"/>
      <c r="D1363" s="271"/>
      <c r="E1363" s="272"/>
      <c r="F1363" s="272"/>
      <c r="G1363" s="273"/>
      <c r="H1363" s="274"/>
      <c r="I1363" s="274"/>
      <c r="J1363" s="274"/>
      <c r="K1363" s="274"/>
      <c r="L1363" s="274"/>
      <c r="M1363" s="274"/>
      <c r="N1363" s="274"/>
      <c r="O1363" s="274"/>
      <c r="P1363" s="274"/>
      <c r="Q1363" s="274"/>
      <c r="R1363" s="274"/>
      <c r="S1363" s="274"/>
      <c r="T1363" s="274"/>
      <c r="U1363" s="274"/>
      <c r="V1363" s="274"/>
    </row>
    <row r="1364" spans="1:22" x14ac:dyDescent="0.25">
      <c r="A1364" s="247">
        <v>1362</v>
      </c>
      <c r="B1364" s="270"/>
      <c r="C1364" s="270"/>
      <c r="D1364" s="271"/>
      <c r="E1364" s="272"/>
      <c r="F1364" s="272"/>
      <c r="G1364" s="273"/>
      <c r="H1364" s="274"/>
      <c r="I1364" s="274"/>
      <c r="J1364" s="274"/>
      <c r="K1364" s="274"/>
      <c r="L1364" s="274"/>
      <c r="M1364" s="274"/>
      <c r="N1364" s="274"/>
      <c r="O1364" s="274"/>
      <c r="P1364" s="274"/>
      <c r="Q1364" s="274"/>
      <c r="R1364" s="274"/>
      <c r="S1364" s="274"/>
      <c r="T1364" s="274"/>
      <c r="U1364" s="274"/>
      <c r="V1364" s="274"/>
    </row>
    <row r="1365" spans="1:22" x14ac:dyDescent="0.25">
      <c r="A1365" s="247">
        <v>1363</v>
      </c>
      <c r="B1365" s="270"/>
      <c r="C1365" s="270"/>
      <c r="D1365" s="271"/>
      <c r="E1365" s="272"/>
      <c r="F1365" s="272"/>
      <c r="G1365" s="273"/>
      <c r="H1365" s="274"/>
      <c r="I1365" s="274"/>
      <c r="J1365" s="274"/>
      <c r="K1365" s="274"/>
      <c r="L1365" s="274"/>
      <c r="M1365" s="274"/>
      <c r="N1365" s="274"/>
      <c r="O1365" s="274"/>
      <c r="P1365" s="274"/>
      <c r="Q1365" s="274"/>
      <c r="R1365" s="274"/>
      <c r="S1365" s="274"/>
      <c r="T1365" s="274"/>
      <c r="U1365" s="274"/>
      <c r="V1365" s="274"/>
    </row>
    <row r="1366" spans="1:22" x14ac:dyDescent="0.25">
      <c r="A1366" s="247">
        <v>1364</v>
      </c>
      <c r="B1366" s="270"/>
      <c r="C1366" s="270"/>
      <c r="D1366" s="271"/>
      <c r="E1366" s="272"/>
      <c r="F1366" s="272"/>
      <c r="G1366" s="273"/>
      <c r="H1366" s="274"/>
      <c r="I1366" s="274"/>
      <c r="J1366" s="274"/>
      <c r="K1366" s="274"/>
      <c r="L1366" s="274"/>
      <c r="M1366" s="274"/>
      <c r="N1366" s="274"/>
      <c r="O1366" s="274"/>
      <c r="P1366" s="274"/>
      <c r="Q1366" s="274"/>
      <c r="R1366" s="274"/>
      <c r="S1366" s="274"/>
      <c r="T1366" s="274"/>
      <c r="U1366" s="274"/>
      <c r="V1366" s="274"/>
    </row>
    <row r="1367" spans="1:22" x14ac:dyDescent="0.25">
      <c r="A1367" s="247">
        <v>1365</v>
      </c>
      <c r="B1367" s="270"/>
      <c r="C1367" s="270"/>
      <c r="D1367" s="271"/>
      <c r="E1367" s="272"/>
      <c r="F1367" s="272"/>
      <c r="G1367" s="273"/>
      <c r="H1367" s="274"/>
      <c r="I1367" s="274"/>
      <c r="J1367" s="274"/>
      <c r="K1367" s="274"/>
      <c r="L1367" s="274"/>
      <c r="M1367" s="274"/>
      <c r="N1367" s="274"/>
      <c r="O1367" s="274"/>
      <c r="P1367" s="274"/>
      <c r="Q1367" s="274"/>
      <c r="R1367" s="274"/>
      <c r="S1367" s="274"/>
      <c r="T1367" s="274"/>
      <c r="U1367" s="274"/>
      <c r="V1367" s="274"/>
    </row>
    <row r="1368" spans="1:22" x14ac:dyDescent="0.25">
      <c r="A1368" s="247">
        <v>1366</v>
      </c>
      <c r="B1368" s="270"/>
      <c r="C1368" s="270"/>
      <c r="D1368" s="271"/>
      <c r="E1368" s="272"/>
      <c r="F1368" s="272"/>
      <c r="G1368" s="273"/>
      <c r="H1368" s="274"/>
      <c r="I1368" s="274"/>
      <c r="J1368" s="274"/>
      <c r="K1368" s="274"/>
      <c r="L1368" s="274"/>
      <c r="M1368" s="274"/>
      <c r="N1368" s="274"/>
      <c r="O1368" s="274"/>
      <c r="P1368" s="274"/>
      <c r="Q1368" s="274"/>
      <c r="R1368" s="274"/>
      <c r="S1368" s="274"/>
      <c r="T1368" s="274"/>
      <c r="U1368" s="274"/>
      <c r="V1368" s="274"/>
    </row>
    <row r="1369" spans="1:22" x14ac:dyDescent="0.25">
      <c r="A1369" s="247">
        <v>1367</v>
      </c>
      <c r="B1369" s="270"/>
      <c r="C1369" s="270"/>
      <c r="D1369" s="271"/>
      <c r="E1369" s="272"/>
      <c r="F1369" s="272"/>
      <c r="G1369" s="273"/>
      <c r="H1369" s="274"/>
      <c r="I1369" s="274"/>
      <c r="J1369" s="274"/>
      <c r="K1369" s="274"/>
      <c r="L1369" s="274"/>
      <c r="M1369" s="274"/>
      <c r="N1369" s="274"/>
      <c r="O1369" s="274"/>
      <c r="P1369" s="274"/>
      <c r="Q1369" s="274"/>
      <c r="R1369" s="274"/>
      <c r="S1369" s="274"/>
      <c r="T1369" s="274"/>
      <c r="U1369" s="274"/>
      <c r="V1369" s="274"/>
    </row>
    <row r="1370" spans="1:22" x14ac:dyDescent="0.25">
      <c r="A1370" s="247">
        <v>1368</v>
      </c>
      <c r="B1370" s="270"/>
      <c r="C1370" s="270"/>
      <c r="D1370" s="271"/>
      <c r="E1370" s="272"/>
      <c r="F1370" s="272"/>
      <c r="G1370" s="273"/>
      <c r="H1370" s="274"/>
      <c r="I1370" s="274"/>
      <c r="J1370" s="274"/>
      <c r="K1370" s="274"/>
      <c r="L1370" s="274"/>
      <c r="M1370" s="274"/>
      <c r="N1370" s="274"/>
      <c r="O1370" s="274"/>
      <c r="P1370" s="274"/>
      <c r="Q1370" s="274"/>
      <c r="R1370" s="274"/>
      <c r="S1370" s="274"/>
      <c r="T1370" s="274"/>
      <c r="U1370" s="274"/>
      <c r="V1370" s="274"/>
    </row>
    <row r="1371" spans="1:22" x14ac:dyDescent="0.25">
      <c r="A1371" s="247">
        <v>1369</v>
      </c>
      <c r="B1371" s="270"/>
      <c r="C1371" s="270"/>
      <c r="D1371" s="271"/>
      <c r="E1371" s="272"/>
      <c r="F1371" s="272"/>
      <c r="G1371" s="273"/>
      <c r="H1371" s="274"/>
      <c r="I1371" s="274"/>
      <c r="J1371" s="274"/>
      <c r="K1371" s="274"/>
      <c r="L1371" s="274"/>
      <c r="M1371" s="274"/>
      <c r="N1371" s="274"/>
      <c r="O1371" s="274"/>
      <c r="P1371" s="274"/>
      <c r="Q1371" s="274"/>
      <c r="R1371" s="274"/>
      <c r="S1371" s="274"/>
      <c r="T1371" s="274"/>
      <c r="U1371" s="274"/>
      <c r="V1371" s="274"/>
    </row>
    <row r="1372" spans="1:22" x14ac:dyDescent="0.25">
      <c r="A1372" s="247">
        <v>1370</v>
      </c>
      <c r="B1372" s="270"/>
      <c r="C1372" s="270"/>
      <c r="D1372" s="271"/>
      <c r="E1372" s="272"/>
      <c r="F1372" s="272"/>
      <c r="G1372" s="273"/>
      <c r="H1372" s="274"/>
      <c r="I1372" s="274"/>
      <c r="J1372" s="274"/>
      <c r="K1372" s="274"/>
      <c r="L1372" s="274"/>
      <c r="M1372" s="274"/>
      <c r="N1372" s="274"/>
      <c r="O1372" s="274"/>
      <c r="P1372" s="274"/>
      <c r="Q1372" s="274"/>
      <c r="R1372" s="274"/>
      <c r="S1372" s="274"/>
      <c r="T1372" s="274"/>
      <c r="U1372" s="274"/>
      <c r="V1372" s="274"/>
    </row>
    <row r="1373" spans="1:22" x14ac:dyDescent="0.25">
      <c r="A1373" s="247">
        <v>1371</v>
      </c>
      <c r="B1373" s="270"/>
      <c r="C1373" s="270"/>
      <c r="D1373" s="271"/>
      <c r="E1373" s="272"/>
      <c r="F1373" s="272"/>
      <c r="G1373" s="273"/>
      <c r="H1373" s="274"/>
      <c r="I1373" s="274"/>
      <c r="J1373" s="274"/>
      <c r="K1373" s="274"/>
      <c r="L1373" s="274"/>
      <c r="M1373" s="274"/>
      <c r="N1373" s="274"/>
      <c r="O1373" s="274"/>
      <c r="P1373" s="274"/>
      <c r="Q1373" s="274"/>
      <c r="R1373" s="274"/>
      <c r="S1373" s="274"/>
      <c r="T1373" s="274"/>
      <c r="U1373" s="274"/>
      <c r="V1373" s="274"/>
    </row>
    <row r="1374" spans="1:22" x14ac:dyDescent="0.25">
      <c r="A1374" s="247">
        <v>1372</v>
      </c>
      <c r="B1374" s="270"/>
      <c r="C1374" s="270"/>
      <c r="D1374" s="271"/>
      <c r="E1374" s="272"/>
      <c r="F1374" s="272"/>
      <c r="G1374" s="273"/>
      <c r="H1374" s="274"/>
      <c r="I1374" s="274"/>
      <c r="J1374" s="274"/>
      <c r="K1374" s="274"/>
      <c r="L1374" s="274"/>
      <c r="M1374" s="274"/>
      <c r="N1374" s="274"/>
      <c r="O1374" s="274"/>
      <c r="P1374" s="274"/>
      <c r="Q1374" s="274"/>
      <c r="R1374" s="274"/>
      <c r="S1374" s="274"/>
      <c r="T1374" s="274"/>
      <c r="U1374" s="274"/>
      <c r="V1374" s="274"/>
    </row>
    <row r="1375" spans="1:22" x14ac:dyDescent="0.25">
      <c r="A1375" s="247">
        <v>1373</v>
      </c>
      <c r="B1375" s="270"/>
      <c r="C1375" s="270"/>
      <c r="D1375" s="271"/>
      <c r="E1375" s="272"/>
      <c r="F1375" s="272"/>
      <c r="G1375" s="273"/>
      <c r="H1375" s="274"/>
      <c r="I1375" s="274"/>
      <c r="J1375" s="274"/>
      <c r="K1375" s="274"/>
      <c r="L1375" s="274"/>
      <c r="M1375" s="274"/>
      <c r="N1375" s="274"/>
      <c r="O1375" s="274"/>
      <c r="P1375" s="274"/>
      <c r="Q1375" s="274"/>
      <c r="R1375" s="274"/>
      <c r="S1375" s="274"/>
      <c r="T1375" s="274"/>
      <c r="U1375" s="274"/>
      <c r="V1375" s="274"/>
    </row>
    <row r="1376" spans="1:22" x14ac:dyDescent="0.25">
      <c r="A1376" s="247">
        <v>1374</v>
      </c>
      <c r="B1376" s="270"/>
      <c r="C1376" s="270"/>
      <c r="D1376" s="271"/>
      <c r="E1376" s="272"/>
      <c r="F1376" s="272"/>
      <c r="G1376" s="273"/>
      <c r="H1376" s="274"/>
      <c r="I1376" s="274"/>
      <c r="J1376" s="274"/>
      <c r="K1376" s="274"/>
      <c r="L1376" s="274"/>
      <c r="M1376" s="274"/>
      <c r="N1376" s="274"/>
      <c r="O1376" s="274"/>
      <c r="P1376" s="274"/>
      <c r="Q1376" s="274"/>
      <c r="R1376" s="274"/>
      <c r="S1376" s="274"/>
      <c r="T1376" s="274"/>
      <c r="U1376" s="274"/>
      <c r="V1376" s="274"/>
    </row>
    <row r="1377" spans="1:22" x14ac:dyDescent="0.25">
      <c r="A1377" s="247">
        <v>1375</v>
      </c>
      <c r="B1377" s="270"/>
      <c r="C1377" s="270"/>
      <c r="D1377" s="271"/>
      <c r="E1377" s="272"/>
      <c r="F1377" s="272"/>
      <c r="G1377" s="273"/>
      <c r="H1377" s="274"/>
      <c r="I1377" s="274"/>
      <c r="J1377" s="274"/>
      <c r="K1377" s="274"/>
      <c r="L1377" s="274"/>
      <c r="M1377" s="274"/>
      <c r="N1377" s="274"/>
      <c r="O1377" s="274"/>
      <c r="P1377" s="274"/>
      <c r="Q1377" s="274"/>
      <c r="R1377" s="274"/>
      <c r="S1377" s="274"/>
      <c r="T1377" s="274"/>
      <c r="U1377" s="274"/>
      <c r="V1377" s="274"/>
    </row>
    <row r="1378" spans="1:22" x14ac:dyDescent="0.25">
      <c r="A1378" s="247">
        <v>1376</v>
      </c>
      <c r="B1378" s="270"/>
      <c r="C1378" s="270"/>
      <c r="D1378" s="271"/>
      <c r="E1378" s="272"/>
      <c r="F1378" s="272"/>
      <c r="G1378" s="273"/>
      <c r="H1378" s="274"/>
      <c r="I1378" s="274"/>
      <c r="J1378" s="274"/>
      <c r="K1378" s="274"/>
      <c r="L1378" s="274"/>
      <c r="M1378" s="274"/>
      <c r="N1378" s="274"/>
      <c r="O1378" s="274"/>
      <c r="P1378" s="274"/>
      <c r="Q1378" s="274"/>
      <c r="R1378" s="274"/>
      <c r="S1378" s="274"/>
      <c r="T1378" s="274"/>
      <c r="U1378" s="274"/>
      <c r="V1378" s="274"/>
    </row>
    <row r="1379" spans="1:22" x14ac:dyDescent="0.25">
      <c r="A1379" s="247">
        <v>1377</v>
      </c>
      <c r="B1379" s="270"/>
      <c r="C1379" s="270"/>
      <c r="D1379" s="271"/>
      <c r="E1379" s="272"/>
      <c r="F1379" s="272"/>
      <c r="G1379" s="273"/>
      <c r="H1379" s="274"/>
      <c r="I1379" s="274"/>
      <c r="J1379" s="274"/>
      <c r="K1379" s="274"/>
      <c r="L1379" s="274"/>
      <c r="M1379" s="274"/>
      <c r="N1379" s="274"/>
      <c r="O1379" s="274"/>
      <c r="P1379" s="274"/>
      <c r="Q1379" s="274"/>
      <c r="R1379" s="274"/>
      <c r="S1379" s="274"/>
      <c r="T1379" s="274"/>
      <c r="U1379" s="274"/>
      <c r="V1379" s="274"/>
    </row>
    <row r="1380" spans="1:22" x14ac:dyDescent="0.25">
      <c r="A1380" s="247">
        <v>1378</v>
      </c>
      <c r="B1380" s="270"/>
      <c r="C1380" s="270"/>
      <c r="D1380" s="271"/>
      <c r="E1380" s="272"/>
      <c r="F1380" s="272"/>
      <c r="G1380" s="273"/>
      <c r="H1380" s="274"/>
      <c r="I1380" s="274"/>
      <c r="J1380" s="274"/>
      <c r="K1380" s="274"/>
      <c r="L1380" s="274"/>
      <c r="M1380" s="274"/>
      <c r="N1380" s="274"/>
      <c r="O1380" s="274"/>
      <c r="P1380" s="274"/>
      <c r="Q1380" s="274"/>
      <c r="R1380" s="274"/>
      <c r="S1380" s="274"/>
      <c r="T1380" s="274"/>
      <c r="U1380" s="274"/>
      <c r="V1380" s="274"/>
    </row>
    <row r="1381" spans="1:22" x14ac:dyDescent="0.25">
      <c r="A1381" s="247">
        <v>1379</v>
      </c>
      <c r="B1381" s="270"/>
      <c r="C1381" s="270"/>
      <c r="D1381" s="271"/>
      <c r="E1381" s="272"/>
      <c r="F1381" s="272"/>
      <c r="G1381" s="273"/>
      <c r="H1381" s="274"/>
      <c r="I1381" s="274"/>
      <c r="J1381" s="274"/>
      <c r="K1381" s="274"/>
      <c r="L1381" s="274"/>
      <c r="M1381" s="274"/>
      <c r="N1381" s="274"/>
      <c r="O1381" s="274"/>
      <c r="P1381" s="274"/>
      <c r="Q1381" s="274"/>
      <c r="R1381" s="274"/>
      <c r="S1381" s="274"/>
      <c r="T1381" s="274"/>
      <c r="U1381" s="274"/>
      <c r="V1381" s="274"/>
    </row>
    <row r="1382" spans="1:22" x14ac:dyDescent="0.25">
      <c r="A1382" s="247">
        <v>1380</v>
      </c>
      <c r="B1382" s="270"/>
      <c r="C1382" s="270"/>
      <c r="D1382" s="271"/>
      <c r="E1382" s="272"/>
      <c r="F1382" s="272"/>
      <c r="G1382" s="273"/>
      <c r="H1382" s="274"/>
      <c r="I1382" s="274"/>
      <c r="J1382" s="274"/>
      <c r="K1382" s="274"/>
      <c r="L1382" s="274"/>
      <c r="M1382" s="274"/>
      <c r="N1382" s="274"/>
      <c r="O1382" s="274"/>
      <c r="P1382" s="274"/>
      <c r="Q1382" s="274"/>
      <c r="R1382" s="274"/>
      <c r="S1382" s="274"/>
      <c r="T1382" s="274"/>
      <c r="U1382" s="274"/>
      <c r="V1382" s="274"/>
    </row>
    <row r="1383" spans="1:22" x14ac:dyDescent="0.25">
      <c r="A1383" s="247">
        <v>1381</v>
      </c>
      <c r="B1383" s="270"/>
      <c r="C1383" s="270"/>
      <c r="D1383" s="271"/>
      <c r="E1383" s="272"/>
      <c r="F1383" s="272"/>
      <c r="G1383" s="273"/>
      <c r="H1383" s="274"/>
      <c r="I1383" s="274"/>
      <c r="J1383" s="274"/>
      <c r="K1383" s="274"/>
      <c r="L1383" s="274"/>
      <c r="M1383" s="274"/>
      <c r="N1383" s="274"/>
      <c r="O1383" s="274"/>
      <c r="P1383" s="274"/>
      <c r="Q1383" s="274"/>
      <c r="R1383" s="274"/>
      <c r="S1383" s="274"/>
      <c r="T1383" s="274"/>
      <c r="U1383" s="274"/>
      <c r="V1383" s="274"/>
    </row>
    <row r="1384" spans="1:22" x14ac:dyDescent="0.25">
      <c r="A1384" s="247">
        <v>1382</v>
      </c>
      <c r="B1384" s="270"/>
      <c r="C1384" s="270"/>
      <c r="D1384" s="271"/>
      <c r="E1384" s="272"/>
      <c r="F1384" s="272"/>
      <c r="G1384" s="273"/>
      <c r="H1384" s="274"/>
      <c r="I1384" s="274"/>
      <c r="J1384" s="274"/>
      <c r="K1384" s="274"/>
      <c r="L1384" s="274"/>
      <c r="M1384" s="274"/>
      <c r="N1384" s="274"/>
      <c r="O1384" s="274"/>
      <c r="P1384" s="274"/>
      <c r="Q1384" s="274"/>
      <c r="R1384" s="274"/>
      <c r="S1384" s="274"/>
      <c r="T1384" s="274"/>
      <c r="U1384" s="274"/>
      <c r="V1384" s="274"/>
    </row>
    <row r="1385" spans="1:22" x14ac:dyDescent="0.25">
      <c r="A1385" s="247">
        <v>1383</v>
      </c>
      <c r="B1385" s="270"/>
      <c r="C1385" s="270"/>
      <c r="D1385" s="271"/>
      <c r="E1385" s="272"/>
      <c r="F1385" s="272"/>
      <c r="G1385" s="273"/>
      <c r="H1385" s="274"/>
      <c r="I1385" s="274"/>
      <c r="J1385" s="274"/>
      <c r="K1385" s="274"/>
      <c r="L1385" s="274"/>
      <c r="M1385" s="274"/>
      <c r="N1385" s="274"/>
      <c r="O1385" s="274"/>
      <c r="P1385" s="274"/>
      <c r="Q1385" s="274"/>
      <c r="R1385" s="274"/>
      <c r="S1385" s="274"/>
      <c r="T1385" s="274"/>
      <c r="U1385" s="274"/>
      <c r="V1385" s="274"/>
    </row>
    <row r="1386" spans="1:22" x14ac:dyDescent="0.25">
      <c r="A1386" s="247">
        <v>1384</v>
      </c>
      <c r="B1386" s="270"/>
      <c r="C1386" s="270"/>
      <c r="D1386" s="271"/>
      <c r="E1386" s="272"/>
      <c r="F1386" s="272"/>
      <c r="G1386" s="273"/>
      <c r="H1386" s="274"/>
      <c r="I1386" s="274"/>
      <c r="J1386" s="274"/>
      <c r="K1386" s="274"/>
      <c r="L1386" s="274"/>
      <c r="M1386" s="274"/>
      <c r="N1386" s="274"/>
      <c r="O1386" s="274"/>
      <c r="P1386" s="274"/>
      <c r="Q1386" s="274"/>
      <c r="R1386" s="274"/>
      <c r="S1386" s="274"/>
      <c r="T1386" s="274"/>
      <c r="U1386" s="274"/>
      <c r="V1386" s="274"/>
    </row>
    <row r="1387" spans="1:22" x14ac:dyDescent="0.25">
      <c r="A1387" s="247">
        <v>1385</v>
      </c>
      <c r="B1387" s="270"/>
      <c r="C1387" s="270"/>
      <c r="D1387" s="271"/>
      <c r="E1387" s="272"/>
      <c r="F1387" s="272"/>
      <c r="G1387" s="273"/>
      <c r="H1387" s="274"/>
      <c r="I1387" s="274"/>
      <c r="J1387" s="274"/>
      <c r="K1387" s="274"/>
      <c r="L1387" s="274"/>
      <c r="M1387" s="274"/>
      <c r="N1387" s="274"/>
      <c r="O1387" s="274"/>
      <c r="P1387" s="274"/>
      <c r="Q1387" s="274"/>
      <c r="R1387" s="274"/>
      <c r="S1387" s="274"/>
      <c r="T1387" s="274"/>
      <c r="U1387" s="274"/>
      <c r="V1387" s="274"/>
    </row>
    <row r="1388" spans="1:22" x14ac:dyDescent="0.25">
      <c r="A1388" s="247">
        <v>1386</v>
      </c>
      <c r="B1388" s="270"/>
      <c r="C1388" s="270"/>
      <c r="D1388" s="271"/>
      <c r="E1388" s="272"/>
      <c r="F1388" s="272"/>
      <c r="G1388" s="273"/>
      <c r="H1388" s="274"/>
      <c r="I1388" s="274"/>
      <c r="J1388" s="274"/>
      <c r="K1388" s="274"/>
      <c r="L1388" s="274"/>
      <c r="M1388" s="274"/>
      <c r="N1388" s="274"/>
      <c r="O1388" s="274"/>
      <c r="P1388" s="274"/>
      <c r="Q1388" s="274"/>
      <c r="R1388" s="274"/>
      <c r="S1388" s="274"/>
      <c r="T1388" s="274"/>
      <c r="U1388" s="274"/>
      <c r="V1388" s="274"/>
    </row>
    <row r="1389" spans="1:22" x14ac:dyDescent="0.25">
      <c r="A1389" s="247">
        <v>1387</v>
      </c>
      <c r="B1389" s="270"/>
      <c r="C1389" s="270"/>
      <c r="D1389" s="271"/>
      <c r="E1389" s="272"/>
      <c r="F1389" s="272"/>
      <c r="G1389" s="273"/>
      <c r="H1389" s="274"/>
      <c r="I1389" s="274"/>
      <c r="J1389" s="274"/>
      <c r="K1389" s="274"/>
      <c r="L1389" s="274"/>
      <c r="M1389" s="274"/>
      <c r="N1389" s="274"/>
      <c r="O1389" s="274"/>
      <c r="P1389" s="274"/>
      <c r="Q1389" s="274"/>
      <c r="R1389" s="274"/>
      <c r="S1389" s="274"/>
      <c r="T1389" s="274"/>
      <c r="U1389" s="274"/>
      <c r="V1389" s="274"/>
    </row>
    <row r="1390" spans="1:22" x14ac:dyDescent="0.25">
      <c r="A1390" s="247">
        <v>1388</v>
      </c>
      <c r="B1390" s="270"/>
      <c r="C1390" s="270"/>
      <c r="D1390" s="271"/>
      <c r="E1390" s="272"/>
      <c r="F1390" s="272"/>
      <c r="G1390" s="273"/>
      <c r="H1390" s="274"/>
      <c r="I1390" s="274"/>
      <c r="J1390" s="274"/>
      <c r="K1390" s="274"/>
      <c r="L1390" s="274"/>
      <c r="M1390" s="274"/>
      <c r="N1390" s="274"/>
      <c r="O1390" s="274"/>
      <c r="P1390" s="274"/>
      <c r="Q1390" s="274"/>
      <c r="R1390" s="274"/>
      <c r="S1390" s="274"/>
      <c r="T1390" s="274"/>
      <c r="U1390" s="274"/>
      <c r="V1390" s="274"/>
    </row>
    <row r="1391" spans="1:22" x14ac:dyDescent="0.25">
      <c r="A1391" s="247">
        <v>1389</v>
      </c>
      <c r="B1391" s="270"/>
      <c r="C1391" s="270"/>
      <c r="D1391" s="271"/>
      <c r="E1391" s="272"/>
      <c r="F1391" s="272"/>
      <c r="G1391" s="273"/>
      <c r="H1391" s="274"/>
      <c r="I1391" s="274"/>
      <c r="J1391" s="274"/>
      <c r="K1391" s="274"/>
      <c r="L1391" s="274"/>
      <c r="M1391" s="274"/>
      <c r="N1391" s="274"/>
      <c r="O1391" s="274"/>
      <c r="P1391" s="274"/>
      <c r="Q1391" s="274"/>
      <c r="R1391" s="274"/>
      <c r="S1391" s="274"/>
      <c r="T1391" s="274"/>
      <c r="U1391" s="274"/>
      <c r="V1391" s="274"/>
    </row>
    <row r="1392" spans="1:22" x14ac:dyDescent="0.25">
      <c r="A1392" s="247">
        <v>1390</v>
      </c>
      <c r="B1392" s="270"/>
      <c r="C1392" s="270"/>
      <c r="D1392" s="271"/>
      <c r="E1392" s="272"/>
      <c r="F1392" s="272"/>
      <c r="G1392" s="273"/>
      <c r="H1392" s="274"/>
      <c r="I1392" s="274"/>
      <c r="J1392" s="274"/>
      <c r="K1392" s="274"/>
      <c r="L1392" s="274"/>
      <c r="M1392" s="274"/>
      <c r="N1392" s="274"/>
      <c r="O1392" s="274"/>
      <c r="P1392" s="274"/>
      <c r="Q1392" s="274"/>
      <c r="R1392" s="274"/>
      <c r="S1392" s="274"/>
      <c r="T1392" s="274"/>
      <c r="U1392" s="274"/>
      <c r="V1392" s="274"/>
    </row>
    <row r="1393" spans="1:22" x14ac:dyDescent="0.25">
      <c r="A1393" s="247">
        <v>1391</v>
      </c>
      <c r="B1393" s="270"/>
      <c r="C1393" s="270"/>
      <c r="D1393" s="271"/>
      <c r="E1393" s="272"/>
      <c r="F1393" s="272"/>
      <c r="G1393" s="273"/>
      <c r="H1393" s="274"/>
      <c r="I1393" s="274"/>
      <c r="J1393" s="274"/>
      <c r="K1393" s="274"/>
      <c r="L1393" s="274"/>
      <c r="M1393" s="274"/>
      <c r="N1393" s="274"/>
      <c r="O1393" s="274"/>
      <c r="P1393" s="274"/>
      <c r="Q1393" s="274"/>
      <c r="R1393" s="274"/>
      <c r="S1393" s="274"/>
      <c r="T1393" s="274"/>
      <c r="U1393" s="274"/>
      <c r="V1393" s="274"/>
    </row>
    <row r="1394" spans="1:22" x14ac:dyDescent="0.25">
      <c r="A1394" s="247">
        <v>1392</v>
      </c>
      <c r="B1394" s="270"/>
      <c r="C1394" s="270"/>
      <c r="D1394" s="271"/>
      <c r="E1394" s="272"/>
      <c r="F1394" s="272"/>
      <c r="G1394" s="273"/>
      <c r="H1394" s="274"/>
      <c r="I1394" s="274"/>
      <c r="J1394" s="274"/>
      <c r="K1394" s="274"/>
      <c r="L1394" s="274"/>
      <c r="M1394" s="274"/>
      <c r="N1394" s="274"/>
      <c r="O1394" s="274"/>
      <c r="P1394" s="274"/>
      <c r="Q1394" s="274"/>
      <c r="R1394" s="274"/>
      <c r="S1394" s="274"/>
      <c r="T1394" s="274"/>
      <c r="U1394" s="274"/>
      <c r="V1394" s="274"/>
    </row>
    <row r="1395" spans="1:22" x14ac:dyDescent="0.25">
      <c r="A1395" s="247">
        <v>1393</v>
      </c>
      <c r="B1395" s="270"/>
      <c r="C1395" s="270"/>
      <c r="D1395" s="271"/>
      <c r="E1395" s="272"/>
      <c r="F1395" s="272"/>
      <c r="G1395" s="273"/>
      <c r="H1395" s="274"/>
      <c r="I1395" s="274"/>
      <c r="J1395" s="274"/>
      <c r="K1395" s="274"/>
      <c r="L1395" s="274"/>
      <c r="M1395" s="274"/>
      <c r="N1395" s="274"/>
      <c r="O1395" s="274"/>
      <c r="P1395" s="274"/>
      <c r="Q1395" s="274"/>
      <c r="R1395" s="274"/>
      <c r="S1395" s="274"/>
      <c r="T1395" s="274"/>
      <c r="U1395" s="274"/>
      <c r="V1395" s="274"/>
    </row>
    <row r="1396" spans="1:22" x14ac:dyDescent="0.25">
      <c r="A1396" s="247">
        <v>1394</v>
      </c>
      <c r="B1396" s="270"/>
      <c r="C1396" s="270"/>
      <c r="D1396" s="271"/>
      <c r="E1396" s="272"/>
      <c r="F1396" s="272"/>
      <c r="G1396" s="273"/>
      <c r="H1396" s="274"/>
      <c r="I1396" s="274"/>
      <c r="J1396" s="274"/>
      <c r="K1396" s="274"/>
      <c r="L1396" s="274"/>
      <c r="M1396" s="274"/>
      <c r="N1396" s="274"/>
      <c r="O1396" s="274"/>
      <c r="P1396" s="274"/>
      <c r="Q1396" s="274"/>
      <c r="R1396" s="274"/>
      <c r="S1396" s="274"/>
      <c r="T1396" s="274"/>
      <c r="U1396" s="274"/>
      <c r="V1396" s="274"/>
    </row>
    <row r="1397" spans="1:22" x14ac:dyDescent="0.25">
      <c r="A1397" s="247">
        <v>1395</v>
      </c>
      <c r="B1397" s="270"/>
      <c r="C1397" s="270"/>
      <c r="D1397" s="271"/>
      <c r="E1397" s="272"/>
      <c r="F1397" s="272"/>
      <c r="G1397" s="273"/>
      <c r="H1397" s="274"/>
      <c r="I1397" s="274"/>
      <c r="J1397" s="274"/>
      <c r="K1397" s="274"/>
      <c r="L1397" s="274"/>
      <c r="M1397" s="274"/>
      <c r="N1397" s="274"/>
      <c r="O1397" s="274"/>
      <c r="P1397" s="274"/>
      <c r="Q1397" s="274"/>
      <c r="R1397" s="274"/>
      <c r="S1397" s="274"/>
      <c r="T1397" s="274"/>
      <c r="U1397" s="274"/>
      <c r="V1397" s="274"/>
    </row>
    <row r="1398" spans="1:22" x14ac:dyDescent="0.25">
      <c r="A1398" s="247">
        <v>1396</v>
      </c>
      <c r="B1398" s="270"/>
      <c r="C1398" s="270"/>
      <c r="D1398" s="271"/>
      <c r="E1398" s="272"/>
      <c r="F1398" s="272"/>
      <c r="G1398" s="273"/>
      <c r="H1398" s="274"/>
      <c r="I1398" s="274"/>
      <c r="J1398" s="274"/>
      <c r="K1398" s="274"/>
      <c r="L1398" s="274"/>
      <c r="M1398" s="274"/>
      <c r="N1398" s="274"/>
      <c r="O1398" s="274"/>
      <c r="P1398" s="274"/>
      <c r="Q1398" s="274"/>
      <c r="R1398" s="274"/>
      <c r="S1398" s="274"/>
      <c r="T1398" s="274"/>
      <c r="U1398" s="274"/>
      <c r="V1398" s="274"/>
    </row>
    <row r="1399" spans="1:22" x14ac:dyDescent="0.25">
      <c r="A1399" s="247">
        <v>1397</v>
      </c>
      <c r="B1399" s="270"/>
      <c r="C1399" s="270"/>
      <c r="D1399" s="271"/>
      <c r="E1399" s="272"/>
      <c r="F1399" s="272"/>
      <c r="G1399" s="273"/>
      <c r="H1399" s="274"/>
      <c r="I1399" s="274"/>
      <c r="J1399" s="274"/>
      <c r="K1399" s="274"/>
      <c r="L1399" s="274"/>
      <c r="M1399" s="274"/>
      <c r="N1399" s="274"/>
      <c r="O1399" s="274"/>
      <c r="P1399" s="274"/>
      <c r="Q1399" s="274"/>
      <c r="R1399" s="274"/>
      <c r="S1399" s="274"/>
      <c r="T1399" s="274"/>
      <c r="U1399" s="274"/>
      <c r="V1399" s="274"/>
    </row>
    <row r="1400" spans="1:22" x14ac:dyDescent="0.25">
      <c r="A1400" s="247">
        <v>1398</v>
      </c>
      <c r="B1400" s="270"/>
      <c r="C1400" s="270"/>
      <c r="D1400" s="271"/>
      <c r="E1400" s="272"/>
      <c r="F1400" s="272"/>
      <c r="G1400" s="273"/>
      <c r="H1400" s="274"/>
      <c r="I1400" s="274"/>
      <c r="J1400" s="274"/>
      <c r="K1400" s="274"/>
      <c r="L1400" s="274"/>
      <c r="M1400" s="274"/>
      <c r="N1400" s="274"/>
      <c r="O1400" s="274"/>
      <c r="P1400" s="274"/>
      <c r="Q1400" s="274"/>
      <c r="R1400" s="274"/>
      <c r="S1400" s="274"/>
      <c r="T1400" s="274"/>
      <c r="U1400" s="274"/>
      <c r="V1400" s="274"/>
    </row>
    <row r="1401" spans="1:22" x14ac:dyDescent="0.25">
      <c r="A1401" s="247">
        <v>1399</v>
      </c>
      <c r="B1401" s="270"/>
      <c r="C1401" s="270"/>
      <c r="D1401" s="271"/>
      <c r="E1401" s="272"/>
      <c r="F1401" s="272"/>
      <c r="G1401" s="273"/>
      <c r="H1401" s="274"/>
      <c r="I1401" s="274"/>
      <c r="J1401" s="274"/>
      <c r="K1401" s="274"/>
      <c r="L1401" s="274"/>
      <c r="M1401" s="274"/>
      <c r="N1401" s="274"/>
      <c r="O1401" s="274"/>
      <c r="P1401" s="274"/>
      <c r="Q1401" s="274"/>
      <c r="R1401" s="274"/>
      <c r="S1401" s="274"/>
      <c r="T1401" s="274"/>
      <c r="U1401" s="274"/>
      <c r="V1401" s="274"/>
    </row>
    <row r="1402" spans="1:22" x14ac:dyDescent="0.25">
      <c r="A1402" s="247">
        <v>1400</v>
      </c>
      <c r="B1402" s="270"/>
      <c r="C1402" s="270"/>
      <c r="D1402" s="271"/>
      <c r="E1402" s="272"/>
      <c r="F1402" s="272"/>
      <c r="G1402" s="273"/>
      <c r="H1402" s="274"/>
      <c r="I1402" s="274"/>
      <c r="J1402" s="274"/>
      <c r="K1402" s="274"/>
      <c r="L1402" s="274"/>
      <c r="M1402" s="274"/>
      <c r="N1402" s="274"/>
      <c r="O1402" s="274"/>
      <c r="P1402" s="274"/>
      <c r="Q1402" s="274"/>
      <c r="R1402" s="274"/>
      <c r="S1402" s="274"/>
      <c r="T1402" s="274"/>
      <c r="U1402" s="274"/>
      <c r="V1402" s="274"/>
    </row>
    <row r="1403" spans="1:22" x14ac:dyDescent="0.25">
      <c r="A1403" s="247">
        <v>1401</v>
      </c>
      <c r="B1403" s="270"/>
      <c r="C1403" s="270"/>
      <c r="D1403" s="271"/>
      <c r="E1403" s="272"/>
      <c r="F1403" s="272"/>
      <c r="G1403" s="273"/>
      <c r="H1403" s="274"/>
      <c r="I1403" s="274"/>
      <c r="J1403" s="274"/>
      <c r="K1403" s="274"/>
      <c r="L1403" s="274"/>
      <c r="M1403" s="274"/>
      <c r="N1403" s="274"/>
      <c r="O1403" s="274"/>
      <c r="P1403" s="274"/>
      <c r="Q1403" s="274"/>
      <c r="R1403" s="274"/>
      <c r="S1403" s="274"/>
      <c r="T1403" s="274"/>
      <c r="U1403" s="274"/>
      <c r="V1403" s="274"/>
    </row>
    <row r="1404" spans="1:22" x14ac:dyDescent="0.25">
      <c r="A1404" s="247">
        <v>1402</v>
      </c>
      <c r="B1404" s="270"/>
      <c r="C1404" s="270"/>
      <c r="D1404" s="271"/>
      <c r="E1404" s="272"/>
      <c r="F1404" s="272"/>
      <c r="G1404" s="273"/>
      <c r="H1404" s="274"/>
      <c r="I1404" s="274"/>
      <c r="J1404" s="274"/>
      <c r="K1404" s="274"/>
      <c r="L1404" s="274"/>
      <c r="M1404" s="274"/>
      <c r="N1404" s="274"/>
      <c r="O1404" s="274"/>
      <c r="P1404" s="274"/>
      <c r="Q1404" s="274"/>
      <c r="R1404" s="274"/>
      <c r="S1404" s="274"/>
      <c r="T1404" s="274"/>
      <c r="U1404" s="274"/>
      <c r="V1404" s="274"/>
    </row>
    <row r="1405" spans="1:22" x14ac:dyDescent="0.25">
      <c r="A1405" s="247">
        <v>1403</v>
      </c>
      <c r="B1405" s="270"/>
      <c r="C1405" s="270"/>
      <c r="D1405" s="271"/>
      <c r="E1405" s="272"/>
      <c r="F1405" s="272"/>
      <c r="G1405" s="273"/>
      <c r="H1405" s="274"/>
      <c r="I1405" s="274"/>
      <c r="J1405" s="274"/>
      <c r="K1405" s="274"/>
      <c r="L1405" s="274"/>
      <c r="M1405" s="274"/>
      <c r="N1405" s="274"/>
      <c r="O1405" s="274"/>
      <c r="P1405" s="274"/>
      <c r="Q1405" s="274"/>
      <c r="R1405" s="274"/>
      <c r="S1405" s="274"/>
      <c r="T1405" s="274"/>
      <c r="U1405" s="274"/>
      <c r="V1405" s="274"/>
    </row>
    <row r="1406" spans="1:22" x14ac:dyDescent="0.25">
      <c r="A1406" s="247">
        <v>1404</v>
      </c>
      <c r="B1406" s="270"/>
      <c r="C1406" s="270"/>
      <c r="D1406" s="271"/>
      <c r="E1406" s="272"/>
      <c r="F1406" s="272"/>
      <c r="G1406" s="273"/>
      <c r="H1406" s="274"/>
      <c r="I1406" s="274"/>
      <c r="J1406" s="274"/>
      <c r="K1406" s="274"/>
      <c r="L1406" s="274"/>
      <c r="M1406" s="274"/>
      <c r="N1406" s="274"/>
      <c r="O1406" s="274"/>
      <c r="P1406" s="274"/>
      <c r="Q1406" s="274"/>
      <c r="R1406" s="274"/>
      <c r="S1406" s="274"/>
      <c r="T1406" s="274"/>
      <c r="U1406" s="274"/>
      <c r="V1406" s="274"/>
    </row>
    <row r="1407" spans="1:22" x14ac:dyDescent="0.25">
      <c r="A1407" s="247">
        <v>1405</v>
      </c>
      <c r="B1407" s="270"/>
      <c r="C1407" s="270"/>
      <c r="D1407" s="271"/>
      <c r="E1407" s="272"/>
      <c r="F1407" s="272"/>
      <c r="G1407" s="273"/>
      <c r="H1407" s="274"/>
      <c r="I1407" s="274"/>
      <c r="J1407" s="274"/>
      <c r="K1407" s="274"/>
      <c r="L1407" s="274"/>
      <c r="M1407" s="274"/>
      <c r="N1407" s="274"/>
      <c r="O1407" s="274"/>
      <c r="P1407" s="274"/>
      <c r="Q1407" s="274"/>
      <c r="R1407" s="274"/>
      <c r="S1407" s="274"/>
      <c r="T1407" s="274"/>
      <c r="U1407" s="274"/>
      <c r="V1407" s="274"/>
    </row>
    <row r="1408" spans="1:22" x14ac:dyDescent="0.25">
      <c r="A1408" s="247">
        <v>1406</v>
      </c>
      <c r="B1408" s="270"/>
      <c r="C1408" s="270"/>
      <c r="D1408" s="271"/>
      <c r="E1408" s="272"/>
      <c r="F1408" s="272"/>
      <c r="G1408" s="273"/>
      <c r="H1408" s="274"/>
      <c r="I1408" s="274"/>
      <c r="J1408" s="274"/>
      <c r="K1408" s="274"/>
      <c r="L1408" s="274"/>
      <c r="M1408" s="274"/>
      <c r="N1408" s="274"/>
      <c r="O1408" s="274"/>
      <c r="P1408" s="274"/>
      <c r="Q1408" s="274"/>
      <c r="R1408" s="274"/>
      <c r="S1408" s="274"/>
      <c r="T1408" s="274"/>
      <c r="U1408" s="274"/>
      <c r="V1408" s="274"/>
    </row>
    <row r="1409" spans="1:22" x14ac:dyDescent="0.25">
      <c r="A1409" s="247">
        <v>1407</v>
      </c>
      <c r="B1409" s="270"/>
      <c r="C1409" s="270"/>
      <c r="D1409" s="271"/>
      <c r="E1409" s="272"/>
      <c r="F1409" s="272"/>
      <c r="G1409" s="273"/>
      <c r="H1409" s="274"/>
      <c r="I1409" s="274"/>
      <c r="J1409" s="274"/>
      <c r="K1409" s="274"/>
      <c r="L1409" s="274"/>
      <c r="M1409" s="274"/>
      <c r="N1409" s="274"/>
      <c r="O1409" s="274"/>
      <c r="P1409" s="274"/>
      <c r="Q1409" s="274"/>
      <c r="R1409" s="274"/>
      <c r="S1409" s="274"/>
      <c r="T1409" s="274"/>
      <c r="U1409" s="274"/>
      <c r="V1409" s="274"/>
    </row>
    <row r="1410" spans="1:22" x14ac:dyDescent="0.25">
      <c r="A1410" s="247">
        <v>1408</v>
      </c>
      <c r="B1410" s="270"/>
      <c r="C1410" s="270"/>
      <c r="D1410" s="271"/>
      <c r="E1410" s="272"/>
      <c r="F1410" s="272"/>
      <c r="G1410" s="273"/>
      <c r="H1410" s="274"/>
      <c r="I1410" s="274"/>
      <c r="J1410" s="274"/>
      <c r="K1410" s="274"/>
      <c r="L1410" s="274"/>
      <c r="M1410" s="274"/>
      <c r="N1410" s="274"/>
      <c r="O1410" s="274"/>
      <c r="P1410" s="274"/>
      <c r="Q1410" s="274"/>
      <c r="R1410" s="274"/>
      <c r="S1410" s="274"/>
      <c r="T1410" s="274"/>
      <c r="U1410" s="274"/>
      <c r="V1410" s="274"/>
    </row>
    <row r="1411" spans="1:22" x14ac:dyDescent="0.25">
      <c r="A1411" s="247">
        <v>1409</v>
      </c>
      <c r="B1411" s="270"/>
      <c r="C1411" s="270"/>
      <c r="D1411" s="271"/>
      <c r="E1411" s="272"/>
      <c r="F1411" s="272"/>
      <c r="G1411" s="273"/>
      <c r="H1411" s="274"/>
      <c r="I1411" s="274"/>
      <c r="J1411" s="274"/>
      <c r="K1411" s="274"/>
      <c r="L1411" s="274"/>
      <c r="M1411" s="274"/>
      <c r="N1411" s="274"/>
      <c r="O1411" s="274"/>
      <c r="P1411" s="274"/>
      <c r="Q1411" s="274"/>
      <c r="R1411" s="274"/>
      <c r="S1411" s="274"/>
      <c r="T1411" s="274"/>
      <c r="U1411" s="274"/>
      <c r="V1411" s="274"/>
    </row>
    <row r="1412" spans="1:22" x14ac:dyDescent="0.25">
      <c r="A1412" s="247">
        <v>1410</v>
      </c>
      <c r="B1412" s="270"/>
      <c r="C1412" s="270"/>
      <c r="D1412" s="271"/>
      <c r="E1412" s="272"/>
      <c r="F1412" s="272"/>
      <c r="G1412" s="273"/>
      <c r="H1412" s="274"/>
      <c r="I1412" s="274"/>
      <c r="J1412" s="274"/>
      <c r="K1412" s="274"/>
      <c r="L1412" s="274"/>
      <c r="M1412" s="274"/>
      <c r="N1412" s="274"/>
      <c r="O1412" s="274"/>
      <c r="P1412" s="274"/>
      <c r="Q1412" s="274"/>
      <c r="R1412" s="274"/>
      <c r="S1412" s="274"/>
      <c r="T1412" s="274"/>
      <c r="U1412" s="274"/>
      <c r="V1412" s="274"/>
    </row>
    <row r="1413" spans="1:22" x14ac:dyDescent="0.25">
      <c r="A1413" s="247">
        <v>1411</v>
      </c>
      <c r="B1413" s="270"/>
      <c r="C1413" s="270"/>
      <c r="D1413" s="271"/>
      <c r="E1413" s="272"/>
      <c r="F1413" s="272"/>
      <c r="G1413" s="273"/>
      <c r="H1413" s="274"/>
      <c r="I1413" s="274"/>
      <c r="J1413" s="274"/>
      <c r="K1413" s="274"/>
      <c r="L1413" s="274"/>
      <c r="M1413" s="274"/>
      <c r="N1413" s="274"/>
      <c r="O1413" s="274"/>
      <c r="P1413" s="274"/>
      <c r="Q1413" s="274"/>
      <c r="R1413" s="274"/>
      <c r="S1413" s="274"/>
      <c r="T1413" s="274"/>
      <c r="U1413" s="274"/>
      <c r="V1413" s="274"/>
    </row>
    <row r="1414" spans="1:22" x14ac:dyDescent="0.25">
      <c r="A1414" s="247">
        <v>1412</v>
      </c>
      <c r="B1414" s="270"/>
      <c r="C1414" s="270"/>
      <c r="D1414" s="271"/>
      <c r="E1414" s="272"/>
      <c r="F1414" s="272"/>
      <c r="G1414" s="273"/>
      <c r="H1414" s="274"/>
      <c r="I1414" s="274"/>
      <c r="J1414" s="274"/>
      <c r="K1414" s="274"/>
      <c r="L1414" s="274"/>
      <c r="M1414" s="274"/>
      <c r="N1414" s="274"/>
      <c r="O1414" s="274"/>
      <c r="P1414" s="274"/>
      <c r="Q1414" s="274"/>
      <c r="R1414" s="274"/>
      <c r="S1414" s="274"/>
      <c r="T1414" s="274"/>
      <c r="U1414" s="274"/>
      <c r="V1414" s="274"/>
    </row>
    <row r="1415" spans="1:22" x14ac:dyDescent="0.25">
      <c r="A1415" s="247">
        <v>1413</v>
      </c>
      <c r="B1415" s="270"/>
      <c r="C1415" s="270"/>
      <c r="D1415" s="271"/>
      <c r="E1415" s="272"/>
      <c r="F1415" s="272"/>
      <c r="G1415" s="273"/>
      <c r="H1415" s="274"/>
      <c r="I1415" s="274"/>
      <c r="J1415" s="274"/>
      <c r="K1415" s="274"/>
      <c r="L1415" s="274"/>
      <c r="M1415" s="274"/>
      <c r="N1415" s="274"/>
      <c r="O1415" s="274"/>
      <c r="P1415" s="274"/>
      <c r="Q1415" s="274"/>
      <c r="R1415" s="274"/>
      <c r="S1415" s="274"/>
      <c r="T1415" s="274"/>
      <c r="U1415" s="274"/>
      <c r="V1415" s="274"/>
    </row>
    <row r="1416" spans="1:22" x14ac:dyDescent="0.25">
      <c r="A1416" s="247">
        <v>1414</v>
      </c>
      <c r="B1416" s="270"/>
      <c r="C1416" s="270"/>
      <c r="D1416" s="271"/>
      <c r="E1416" s="272"/>
      <c r="F1416" s="272"/>
      <c r="G1416" s="273"/>
      <c r="H1416" s="274"/>
      <c r="I1416" s="274"/>
      <c r="J1416" s="274"/>
      <c r="K1416" s="274"/>
      <c r="L1416" s="274"/>
      <c r="M1416" s="274"/>
      <c r="N1416" s="274"/>
      <c r="O1416" s="274"/>
      <c r="P1416" s="274"/>
      <c r="Q1416" s="274"/>
      <c r="R1416" s="274"/>
      <c r="S1416" s="274"/>
      <c r="T1416" s="274"/>
      <c r="U1416" s="274"/>
      <c r="V1416" s="274"/>
    </row>
    <row r="1417" spans="1:22" x14ac:dyDescent="0.25">
      <c r="A1417" s="247">
        <v>1415</v>
      </c>
      <c r="B1417" s="270"/>
      <c r="C1417" s="270"/>
      <c r="D1417" s="271"/>
      <c r="E1417" s="272"/>
      <c r="F1417" s="272"/>
      <c r="G1417" s="273"/>
      <c r="H1417" s="274"/>
      <c r="I1417" s="274"/>
      <c r="J1417" s="274"/>
      <c r="K1417" s="274"/>
      <c r="L1417" s="274"/>
      <c r="M1417" s="274"/>
      <c r="N1417" s="274"/>
      <c r="O1417" s="274"/>
      <c r="P1417" s="274"/>
      <c r="Q1417" s="274"/>
      <c r="R1417" s="274"/>
      <c r="S1417" s="274"/>
      <c r="T1417" s="274"/>
      <c r="U1417" s="274"/>
      <c r="V1417" s="274"/>
    </row>
    <row r="1418" spans="1:22" x14ac:dyDescent="0.25">
      <c r="A1418" s="247">
        <v>1416</v>
      </c>
      <c r="B1418" s="270"/>
      <c r="C1418" s="270"/>
      <c r="D1418" s="271"/>
      <c r="E1418" s="272"/>
      <c r="F1418" s="272"/>
      <c r="G1418" s="273"/>
      <c r="H1418" s="274"/>
      <c r="I1418" s="274"/>
      <c r="J1418" s="274"/>
      <c r="K1418" s="274"/>
      <c r="L1418" s="274"/>
      <c r="M1418" s="274"/>
      <c r="N1418" s="274"/>
      <c r="O1418" s="274"/>
      <c r="P1418" s="274"/>
      <c r="Q1418" s="274"/>
      <c r="R1418" s="274"/>
      <c r="S1418" s="274"/>
      <c r="T1418" s="274"/>
      <c r="U1418" s="274"/>
      <c r="V1418" s="274"/>
    </row>
    <row r="1419" spans="1:22" x14ac:dyDescent="0.25">
      <c r="A1419" s="247">
        <v>1417</v>
      </c>
      <c r="B1419" s="270"/>
      <c r="C1419" s="270"/>
      <c r="D1419" s="271"/>
      <c r="E1419" s="272"/>
      <c r="F1419" s="272"/>
      <c r="G1419" s="273"/>
      <c r="H1419" s="274"/>
      <c r="I1419" s="274"/>
      <c r="J1419" s="274"/>
      <c r="K1419" s="274"/>
      <c r="L1419" s="274"/>
      <c r="M1419" s="274"/>
      <c r="N1419" s="274"/>
      <c r="O1419" s="274"/>
      <c r="P1419" s="274"/>
      <c r="Q1419" s="274"/>
      <c r="R1419" s="274"/>
      <c r="S1419" s="274"/>
      <c r="T1419" s="274"/>
      <c r="U1419" s="274"/>
      <c r="V1419" s="274"/>
    </row>
    <row r="1420" spans="1:22" x14ac:dyDescent="0.25">
      <c r="A1420" s="247">
        <v>1418</v>
      </c>
      <c r="B1420" s="270"/>
      <c r="C1420" s="270"/>
      <c r="D1420" s="271"/>
      <c r="E1420" s="272"/>
      <c r="F1420" s="272"/>
      <c r="G1420" s="273"/>
      <c r="H1420" s="274"/>
      <c r="I1420" s="274"/>
      <c r="J1420" s="274"/>
      <c r="K1420" s="274"/>
      <c r="L1420" s="274"/>
      <c r="M1420" s="274"/>
      <c r="N1420" s="274"/>
      <c r="O1420" s="274"/>
      <c r="P1420" s="274"/>
      <c r="Q1420" s="274"/>
      <c r="R1420" s="274"/>
      <c r="S1420" s="274"/>
      <c r="T1420" s="274"/>
      <c r="U1420" s="274"/>
      <c r="V1420" s="274"/>
    </row>
    <row r="1421" spans="1:22" x14ac:dyDescent="0.25">
      <c r="A1421" s="247">
        <v>1419</v>
      </c>
      <c r="B1421" s="270"/>
      <c r="C1421" s="270"/>
      <c r="D1421" s="271"/>
      <c r="E1421" s="272"/>
      <c r="F1421" s="272"/>
      <c r="G1421" s="273"/>
      <c r="H1421" s="274"/>
      <c r="I1421" s="274"/>
      <c r="J1421" s="274"/>
      <c r="K1421" s="274"/>
      <c r="L1421" s="274"/>
      <c r="M1421" s="274"/>
      <c r="N1421" s="274"/>
      <c r="O1421" s="274"/>
      <c r="P1421" s="274"/>
      <c r="Q1421" s="274"/>
      <c r="R1421" s="274"/>
      <c r="S1421" s="274"/>
      <c r="T1421" s="274"/>
      <c r="U1421" s="274"/>
      <c r="V1421" s="274"/>
    </row>
    <row r="1422" spans="1:22" x14ac:dyDescent="0.25">
      <c r="A1422" s="247">
        <v>1420</v>
      </c>
      <c r="B1422" s="270"/>
      <c r="C1422" s="270"/>
      <c r="D1422" s="271"/>
      <c r="E1422" s="272"/>
      <c r="F1422" s="272"/>
      <c r="G1422" s="273"/>
      <c r="H1422" s="274"/>
      <c r="I1422" s="274"/>
      <c r="J1422" s="274"/>
      <c r="K1422" s="274"/>
      <c r="L1422" s="274"/>
      <c r="M1422" s="274"/>
      <c r="N1422" s="274"/>
      <c r="O1422" s="274"/>
      <c r="P1422" s="274"/>
      <c r="Q1422" s="274"/>
      <c r="R1422" s="274"/>
      <c r="S1422" s="274"/>
      <c r="T1422" s="274"/>
      <c r="U1422" s="274"/>
      <c r="V1422" s="274"/>
    </row>
    <row r="1423" spans="1:22" x14ac:dyDescent="0.25">
      <c r="A1423" s="247">
        <v>1421</v>
      </c>
      <c r="B1423" s="270"/>
      <c r="C1423" s="270"/>
      <c r="D1423" s="271"/>
      <c r="E1423" s="272"/>
      <c r="F1423" s="272"/>
      <c r="G1423" s="273"/>
      <c r="H1423" s="274"/>
      <c r="I1423" s="274"/>
      <c r="J1423" s="274"/>
      <c r="K1423" s="274"/>
      <c r="L1423" s="274"/>
      <c r="M1423" s="274"/>
      <c r="N1423" s="274"/>
      <c r="O1423" s="274"/>
      <c r="P1423" s="274"/>
      <c r="Q1423" s="274"/>
      <c r="R1423" s="274"/>
      <c r="S1423" s="274"/>
      <c r="T1423" s="274"/>
      <c r="U1423" s="274"/>
      <c r="V1423" s="274"/>
    </row>
    <row r="1424" spans="1:22" x14ac:dyDescent="0.25">
      <c r="A1424" s="247">
        <v>1422</v>
      </c>
      <c r="B1424" s="270"/>
      <c r="C1424" s="270"/>
      <c r="D1424" s="271"/>
      <c r="E1424" s="272"/>
      <c r="F1424" s="272"/>
      <c r="G1424" s="273"/>
      <c r="H1424" s="274"/>
      <c r="I1424" s="274"/>
      <c r="J1424" s="274"/>
      <c r="K1424" s="274"/>
      <c r="L1424" s="274"/>
      <c r="M1424" s="274"/>
      <c r="N1424" s="274"/>
      <c r="O1424" s="274"/>
      <c r="P1424" s="274"/>
      <c r="Q1424" s="274"/>
      <c r="R1424" s="274"/>
      <c r="S1424" s="274"/>
      <c r="T1424" s="274"/>
      <c r="U1424" s="274"/>
      <c r="V1424" s="274"/>
    </row>
    <row r="1425" spans="1:22" x14ac:dyDescent="0.25">
      <c r="A1425" s="247">
        <v>1423</v>
      </c>
      <c r="B1425" s="270"/>
      <c r="C1425" s="270"/>
      <c r="D1425" s="271"/>
      <c r="E1425" s="272"/>
      <c r="F1425" s="272"/>
      <c r="G1425" s="273"/>
      <c r="H1425" s="274"/>
      <c r="I1425" s="274"/>
      <c r="J1425" s="274"/>
      <c r="K1425" s="274"/>
      <c r="L1425" s="274"/>
      <c r="M1425" s="274"/>
      <c r="N1425" s="274"/>
      <c r="O1425" s="274"/>
      <c r="P1425" s="274"/>
      <c r="Q1425" s="274"/>
      <c r="R1425" s="274"/>
      <c r="S1425" s="274"/>
      <c r="T1425" s="274"/>
      <c r="U1425" s="274"/>
      <c r="V1425" s="274"/>
    </row>
    <row r="1426" spans="1:22" x14ac:dyDescent="0.25">
      <c r="A1426" s="247">
        <v>1424</v>
      </c>
      <c r="B1426" s="270"/>
      <c r="C1426" s="270"/>
      <c r="D1426" s="271"/>
      <c r="E1426" s="272"/>
      <c r="F1426" s="272"/>
      <c r="G1426" s="273"/>
      <c r="H1426" s="274"/>
      <c r="I1426" s="274"/>
      <c r="J1426" s="274"/>
      <c r="K1426" s="274"/>
      <c r="L1426" s="274"/>
      <c r="M1426" s="274"/>
      <c r="N1426" s="274"/>
      <c r="O1426" s="274"/>
      <c r="P1426" s="274"/>
      <c r="Q1426" s="274"/>
      <c r="R1426" s="274"/>
      <c r="S1426" s="274"/>
      <c r="T1426" s="274"/>
      <c r="U1426" s="274"/>
      <c r="V1426" s="274"/>
    </row>
    <row r="1427" spans="1:22" x14ac:dyDescent="0.25">
      <c r="A1427" s="247">
        <v>1425</v>
      </c>
      <c r="B1427" s="270"/>
      <c r="C1427" s="270"/>
      <c r="D1427" s="271"/>
      <c r="E1427" s="272"/>
      <c r="F1427" s="272"/>
      <c r="G1427" s="273"/>
      <c r="H1427" s="274"/>
      <c r="I1427" s="274"/>
      <c r="J1427" s="274"/>
      <c r="K1427" s="274"/>
      <c r="L1427" s="274"/>
      <c r="M1427" s="274"/>
      <c r="N1427" s="274"/>
      <c r="O1427" s="274"/>
      <c r="P1427" s="274"/>
      <c r="Q1427" s="274"/>
      <c r="R1427" s="274"/>
      <c r="S1427" s="274"/>
      <c r="T1427" s="274"/>
      <c r="U1427" s="274"/>
      <c r="V1427" s="274"/>
    </row>
    <row r="1428" spans="1:22" x14ac:dyDescent="0.25">
      <c r="A1428" s="247">
        <v>1426</v>
      </c>
      <c r="B1428" s="270"/>
      <c r="C1428" s="270"/>
      <c r="D1428" s="271"/>
      <c r="E1428" s="272"/>
      <c r="F1428" s="272"/>
      <c r="G1428" s="273"/>
      <c r="H1428" s="274"/>
      <c r="I1428" s="274"/>
      <c r="J1428" s="274"/>
      <c r="K1428" s="274"/>
      <c r="L1428" s="274"/>
      <c r="M1428" s="274"/>
      <c r="N1428" s="274"/>
      <c r="O1428" s="274"/>
      <c r="P1428" s="274"/>
      <c r="Q1428" s="274"/>
      <c r="R1428" s="274"/>
      <c r="S1428" s="274"/>
      <c r="T1428" s="274"/>
      <c r="U1428" s="274"/>
      <c r="V1428" s="274"/>
    </row>
    <row r="1429" spans="1:22" x14ac:dyDescent="0.25">
      <c r="A1429" s="247">
        <v>1427</v>
      </c>
      <c r="B1429" s="270"/>
      <c r="C1429" s="270"/>
      <c r="D1429" s="271"/>
      <c r="E1429" s="272"/>
      <c r="F1429" s="272"/>
      <c r="G1429" s="273"/>
      <c r="H1429" s="274"/>
      <c r="I1429" s="274"/>
      <c r="J1429" s="274"/>
      <c r="K1429" s="274"/>
      <c r="L1429" s="274"/>
      <c r="M1429" s="274"/>
      <c r="N1429" s="274"/>
      <c r="O1429" s="274"/>
      <c r="P1429" s="274"/>
      <c r="Q1429" s="274"/>
      <c r="R1429" s="274"/>
      <c r="S1429" s="274"/>
      <c r="T1429" s="274"/>
      <c r="U1429" s="274"/>
      <c r="V1429" s="274"/>
    </row>
    <row r="1430" spans="1:22" x14ac:dyDescent="0.25">
      <c r="A1430" s="247">
        <v>1428</v>
      </c>
      <c r="B1430" s="270"/>
      <c r="C1430" s="270"/>
      <c r="D1430" s="271"/>
      <c r="E1430" s="272"/>
      <c r="F1430" s="272"/>
      <c r="G1430" s="273"/>
      <c r="H1430" s="274"/>
      <c r="I1430" s="274"/>
      <c r="J1430" s="274"/>
      <c r="K1430" s="274"/>
      <c r="L1430" s="274"/>
      <c r="M1430" s="274"/>
      <c r="N1430" s="274"/>
      <c r="O1430" s="274"/>
      <c r="P1430" s="274"/>
      <c r="Q1430" s="274"/>
      <c r="R1430" s="274"/>
      <c r="S1430" s="274"/>
      <c r="T1430" s="274"/>
      <c r="U1430" s="274"/>
      <c r="V1430" s="274"/>
    </row>
    <row r="1431" spans="1:22" x14ac:dyDescent="0.25">
      <c r="A1431" s="247">
        <v>1429</v>
      </c>
      <c r="B1431" s="270"/>
      <c r="C1431" s="270"/>
      <c r="D1431" s="271"/>
      <c r="E1431" s="272"/>
      <c r="F1431" s="272"/>
      <c r="G1431" s="273"/>
      <c r="H1431" s="274"/>
      <c r="I1431" s="274"/>
      <c r="J1431" s="274"/>
      <c r="K1431" s="274"/>
      <c r="L1431" s="274"/>
      <c r="M1431" s="274"/>
      <c r="N1431" s="274"/>
      <c r="O1431" s="274"/>
      <c r="P1431" s="274"/>
      <c r="Q1431" s="274"/>
      <c r="R1431" s="274"/>
      <c r="S1431" s="274"/>
      <c r="T1431" s="274"/>
      <c r="U1431" s="274"/>
      <c r="V1431" s="274"/>
    </row>
    <row r="1432" spans="1:22" x14ac:dyDescent="0.25">
      <c r="A1432" s="247">
        <v>1430</v>
      </c>
      <c r="B1432" s="270"/>
      <c r="C1432" s="270"/>
      <c r="D1432" s="271"/>
      <c r="E1432" s="272"/>
      <c r="F1432" s="272"/>
      <c r="G1432" s="273"/>
      <c r="H1432" s="274"/>
      <c r="I1432" s="274"/>
      <c r="J1432" s="274"/>
      <c r="K1432" s="274"/>
      <c r="L1432" s="274"/>
      <c r="M1432" s="274"/>
      <c r="N1432" s="274"/>
      <c r="O1432" s="274"/>
      <c r="P1432" s="274"/>
      <c r="Q1432" s="274"/>
      <c r="R1432" s="274"/>
      <c r="S1432" s="274"/>
      <c r="T1432" s="274"/>
      <c r="U1432" s="274"/>
      <c r="V1432" s="274"/>
    </row>
    <row r="1433" spans="1:22" x14ac:dyDescent="0.25">
      <c r="A1433" s="247">
        <v>1431</v>
      </c>
      <c r="B1433" s="270"/>
      <c r="C1433" s="270"/>
      <c r="D1433" s="271"/>
      <c r="E1433" s="272"/>
      <c r="F1433" s="272"/>
      <c r="G1433" s="273"/>
      <c r="H1433" s="274"/>
      <c r="I1433" s="274"/>
      <c r="J1433" s="274"/>
      <c r="K1433" s="274"/>
      <c r="L1433" s="274"/>
      <c r="M1433" s="274"/>
      <c r="N1433" s="274"/>
      <c r="O1433" s="274"/>
      <c r="P1433" s="274"/>
      <c r="Q1433" s="274"/>
      <c r="R1433" s="274"/>
      <c r="S1433" s="274"/>
      <c r="T1433" s="274"/>
      <c r="U1433" s="274"/>
      <c r="V1433" s="274"/>
    </row>
    <row r="1434" spans="1:22" x14ac:dyDescent="0.25">
      <c r="A1434" s="247">
        <v>1432</v>
      </c>
      <c r="B1434" s="270"/>
      <c r="C1434" s="270"/>
      <c r="D1434" s="271"/>
      <c r="E1434" s="272"/>
      <c r="F1434" s="272"/>
      <c r="G1434" s="273"/>
      <c r="H1434" s="274"/>
      <c r="I1434" s="274"/>
      <c r="J1434" s="274"/>
      <c r="K1434" s="274"/>
      <c r="L1434" s="274"/>
      <c r="M1434" s="274"/>
      <c r="N1434" s="274"/>
      <c r="O1434" s="274"/>
      <c r="P1434" s="274"/>
      <c r="Q1434" s="274"/>
      <c r="R1434" s="274"/>
      <c r="S1434" s="274"/>
      <c r="T1434" s="274"/>
      <c r="U1434" s="274"/>
      <c r="V1434" s="274"/>
    </row>
    <row r="1435" spans="1:22" x14ac:dyDescent="0.25">
      <c r="A1435" s="247">
        <v>1433</v>
      </c>
      <c r="B1435" s="270"/>
      <c r="C1435" s="270"/>
      <c r="D1435" s="271"/>
      <c r="E1435" s="272"/>
      <c r="F1435" s="272"/>
      <c r="G1435" s="273"/>
      <c r="H1435" s="274"/>
      <c r="I1435" s="274"/>
      <c r="J1435" s="274"/>
      <c r="K1435" s="274"/>
      <c r="L1435" s="274"/>
      <c r="M1435" s="274"/>
      <c r="N1435" s="274"/>
      <c r="O1435" s="274"/>
      <c r="P1435" s="274"/>
      <c r="Q1435" s="274"/>
      <c r="R1435" s="274"/>
      <c r="S1435" s="274"/>
      <c r="T1435" s="274"/>
      <c r="U1435" s="274"/>
      <c r="V1435" s="274"/>
    </row>
    <row r="1436" spans="1:22" x14ac:dyDescent="0.25">
      <c r="A1436" s="247">
        <v>1434</v>
      </c>
      <c r="B1436" s="270"/>
      <c r="C1436" s="270"/>
      <c r="D1436" s="271"/>
      <c r="E1436" s="272"/>
      <c r="F1436" s="272"/>
      <c r="G1436" s="273"/>
      <c r="H1436" s="274"/>
      <c r="I1436" s="274"/>
      <c r="J1436" s="274"/>
      <c r="K1436" s="274"/>
      <c r="L1436" s="274"/>
      <c r="M1436" s="274"/>
      <c r="N1436" s="274"/>
      <c r="O1436" s="274"/>
      <c r="P1436" s="274"/>
      <c r="Q1436" s="274"/>
      <c r="R1436" s="274"/>
      <c r="S1436" s="274"/>
      <c r="T1436" s="274"/>
      <c r="U1436" s="274"/>
      <c r="V1436" s="274"/>
    </row>
    <row r="1437" spans="1:22" x14ac:dyDescent="0.25">
      <c r="A1437" s="247">
        <v>1435</v>
      </c>
      <c r="B1437" s="270"/>
      <c r="C1437" s="270"/>
      <c r="D1437" s="271"/>
      <c r="E1437" s="272"/>
      <c r="F1437" s="272"/>
      <c r="G1437" s="273"/>
      <c r="H1437" s="274"/>
      <c r="I1437" s="274"/>
      <c r="J1437" s="274"/>
      <c r="K1437" s="274"/>
      <c r="L1437" s="274"/>
      <c r="M1437" s="274"/>
      <c r="N1437" s="274"/>
      <c r="O1437" s="274"/>
      <c r="P1437" s="274"/>
      <c r="Q1437" s="274"/>
      <c r="R1437" s="274"/>
      <c r="S1437" s="274"/>
      <c r="T1437" s="274"/>
      <c r="U1437" s="274"/>
      <c r="V1437" s="274"/>
    </row>
    <row r="1438" spans="1:22" x14ac:dyDescent="0.25">
      <c r="A1438" s="247">
        <v>1436</v>
      </c>
      <c r="B1438" s="270"/>
      <c r="C1438" s="270"/>
      <c r="D1438" s="271"/>
      <c r="E1438" s="272"/>
      <c r="F1438" s="272"/>
      <c r="G1438" s="273"/>
      <c r="H1438" s="274"/>
      <c r="I1438" s="274"/>
      <c r="J1438" s="274"/>
      <c r="K1438" s="274"/>
      <c r="L1438" s="274"/>
      <c r="M1438" s="274"/>
      <c r="N1438" s="274"/>
      <c r="O1438" s="274"/>
      <c r="P1438" s="274"/>
      <c r="Q1438" s="274"/>
      <c r="R1438" s="274"/>
      <c r="S1438" s="274"/>
      <c r="T1438" s="274"/>
      <c r="U1438" s="274"/>
      <c r="V1438" s="274"/>
    </row>
    <row r="1439" spans="1:22" x14ac:dyDescent="0.25">
      <c r="A1439" s="247">
        <v>1437</v>
      </c>
      <c r="B1439" s="270"/>
      <c r="C1439" s="270"/>
      <c r="D1439" s="271"/>
      <c r="E1439" s="272"/>
      <c r="F1439" s="272"/>
      <c r="G1439" s="273"/>
      <c r="H1439" s="274"/>
      <c r="I1439" s="274"/>
      <c r="J1439" s="274"/>
      <c r="K1439" s="274"/>
      <c r="L1439" s="274"/>
      <c r="M1439" s="274"/>
      <c r="N1439" s="274"/>
      <c r="O1439" s="274"/>
      <c r="P1439" s="274"/>
      <c r="Q1439" s="274"/>
      <c r="R1439" s="274"/>
      <c r="S1439" s="274"/>
      <c r="T1439" s="274"/>
      <c r="U1439" s="274"/>
      <c r="V1439" s="274"/>
    </row>
    <row r="1440" spans="1:22" x14ac:dyDescent="0.25">
      <c r="A1440" s="247">
        <v>1438</v>
      </c>
      <c r="B1440" s="270"/>
      <c r="C1440" s="270"/>
      <c r="D1440" s="271"/>
      <c r="E1440" s="272"/>
      <c r="F1440" s="272"/>
      <c r="G1440" s="273"/>
      <c r="H1440" s="274"/>
      <c r="I1440" s="274"/>
      <c r="J1440" s="274"/>
      <c r="K1440" s="274"/>
      <c r="L1440" s="274"/>
      <c r="M1440" s="274"/>
      <c r="N1440" s="274"/>
      <c r="O1440" s="274"/>
      <c r="P1440" s="274"/>
      <c r="Q1440" s="274"/>
      <c r="R1440" s="274"/>
      <c r="S1440" s="274"/>
      <c r="T1440" s="274"/>
      <c r="U1440" s="274"/>
      <c r="V1440" s="274"/>
    </row>
    <row r="1441" spans="1:22" x14ac:dyDescent="0.25">
      <c r="A1441" s="247">
        <v>1439</v>
      </c>
      <c r="B1441" s="270"/>
      <c r="C1441" s="270"/>
      <c r="D1441" s="271"/>
      <c r="E1441" s="272"/>
      <c r="F1441" s="272"/>
      <c r="G1441" s="273"/>
      <c r="H1441" s="274"/>
      <c r="I1441" s="274"/>
      <c r="J1441" s="274"/>
      <c r="K1441" s="274"/>
      <c r="L1441" s="274"/>
      <c r="M1441" s="274"/>
      <c r="N1441" s="274"/>
      <c r="O1441" s="274"/>
      <c r="P1441" s="274"/>
      <c r="Q1441" s="274"/>
      <c r="R1441" s="274"/>
      <c r="S1441" s="274"/>
      <c r="T1441" s="274"/>
      <c r="U1441" s="274"/>
      <c r="V1441" s="274"/>
    </row>
    <row r="1442" spans="1:22" x14ac:dyDescent="0.25">
      <c r="A1442" s="247">
        <v>1440</v>
      </c>
      <c r="B1442" s="270"/>
      <c r="C1442" s="270"/>
      <c r="D1442" s="271"/>
      <c r="E1442" s="272"/>
      <c r="F1442" s="272"/>
      <c r="G1442" s="273"/>
      <c r="H1442" s="274"/>
      <c r="I1442" s="274"/>
      <c r="J1442" s="274"/>
      <c r="K1442" s="274"/>
      <c r="L1442" s="274"/>
      <c r="M1442" s="274"/>
      <c r="N1442" s="274"/>
      <c r="O1442" s="274"/>
      <c r="P1442" s="274"/>
      <c r="Q1442" s="274"/>
      <c r="R1442" s="274"/>
      <c r="S1442" s="274"/>
      <c r="T1442" s="274"/>
      <c r="U1442" s="274"/>
      <c r="V1442" s="274"/>
    </row>
    <row r="1443" spans="1:22" x14ac:dyDescent="0.25">
      <c r="A1443" s="247">
        <v>1441</v>
      </c>
      <c r="B1443" s="270"/>
      <c r="C1443" s="270"/>
      <c r="D1443" s="271"/>
      <c r="E1443" s="272"/>
      <c r="F1443" s="272"/>
      <c r="G1443" s="273"/>
      <c r="H1443" s="274"/>
      <c r="I1443" s="274"/>
      <c r="J1443" s="274"/>
      <c r="K1443" s="274"/>
      <c r="L1443" s="274"/>
      <c r="M1443" s="274"/>
      <c r="N1443" s="274"/>
      <c r="O1443" s="274"/>
      <c r="P1443" s="274"/>
      <c r="Q1443" s="274"/>
      <c r="R1443" s="274"/>
      <c r="S1443" s="274"/>
      <c r="T1443" s="274"/>
      <c r="U1443" s="274"/>
      <c r="V1443" s="274"/>
    </row>
    <row r="1444" spans="1:22" x14ac:dyDescent="0.25">
      <c r="A1444" s="247">
        <v>1442</v>
      </c>
      <c r="B1444" s="270"/>
      <c r="C1444" s="270"/>
      <c r="D1444" s="271"/>
      <c r="E1444" s="272"/>
      <c r="F1444" s="272"/>
      <c r="G1444" s="273"/>
      <c r="H1444" s="274"/>
      <c r="I1444" s="274"/>
      <c r="J1444" s="274"/>
      <c r="K1444" s="274"/>
      <c r="L1444" s="274"/>
      <c r="M1444" s="274"/>
      <c r="N1444" s="274"/>
      <c r="O1444" s="274"/>
      <c r="P1444" s="274"/>
      <c r="Q1444" s="274"/>
      <c r="R1444" s="274"/>
      <c r="S1444" s="274"/>
      <c r="T1444" s="274"/>
      <c r="U1444" s="274"/>
      <c r="V1444" s="274"/>
    </row>
    <row r="1445" spans="1:22" x14ac:dyDescent="0.25">
      <c r="A1445" s="247">
        <v>1443</v>
      </c>
      <c r="B1445" s="270"/>
      <c r="C1445" s="270"/>
      <c r="D1445" s="271"/>
      <c r="E1445" s="272"/>
      <c r="F1445" s="272"/>
      <c r="G1445" s="273"/>
      <c r="H1445" s="274"/>
      <c r="I1445" s="274"/>
      <c r="J1445" s="274"/>
      <c r="K1445" s="274"/>
      <c r="L1445" s="274"/>
      <c r="M1445" s="274"/>
      <c r="N1445" s="274"/>
      <c r="O1445" s="274"/>
      <c r="P1445" s="274"/>
      <c r="Q1445" s="274"/>
      <c r="R1445" s="274"/>
      <c r="S1445" s="274"/>
      <c r="T1445" s="274"/>
      <c r="U1445" s="274"/>
      <c r="V1445" s="274"/>
    </row>
    <row r="1446" spans="1:22" x14ac:dyDescent="0.25">
      <c r="A1446" s="247">
        <v>1444</v>
      </c>
      <c r="B1446" s="270"/>
      <c r="C1446" s="270"/>
      <c r="D1446" s="271"/>
      <c r="E1446" s="272"/>
      <c r="F1446" s="272"/>
      <c r="G1446" s="273"/>
      <c r="H1446" s="274"/>
      <c r="I1446" s="274"/>
      <c r="J1446" s="274"/>
      <c r="K1446" s="274"/>
      <c r="L1446" s="274"/>
      <c r="M1446" s="274"/>
      <c r="N1446" s="274"/>
      <c r="O1446" s="274"/>
      <c r="P1446" s="274"/>
      <c r="Q1446" s="274"/>
      <c r="R1446" s="274"/>
      <c r="S1446" s="274"/>
      <c r="T1446" s="274"/>
      <c r="U1446" s="274"/>
      <c r="V1446" s="274"/>
    </row>
    <row r="1447" spans="1:22" x14ac:dyDescent="0.25">
      <c r="A1447" s="247">
        <v>1445</v>
      </c>
      <c r="B1447" s="270"/>
      <c r="C1447" s="270"/>
      <c r="D1447" s="271"/>
      <c r="E1447" s="272"/>
      <c r="F1447" s="272"/>
      <c r="G1447" s="273"/>
      <c r="H1447" s="274"/>
      <c r="I1447" s="274"/>
      <c r="J1447" s="274"/>
      <c r="K1447" s="274"/>
      <c r="L1447" s="274"/>
      <c r="M1447" s="274"/>
      <c r="N1447" s="274"/>
      <c r="O1447" s="274"/>
      <c r="P1447" s="274"/>
      <c r="Q1447" s="274"/>
      <c r="R1447" s="274"/>
      <c r="S1447" s="274"/>
      <c r="T1447" s="274"/>
      <c r="U1447" s="274"/>
      <c r="V1447" s="274"/>
    </row>
    <row r="1448" spans="1:22" x14ac:dyDescent="0.25">
      <c r="A1448" s="247">
        <v>1446</v>
      </c>
      <c r="B1448" s="270"/>
      <c r="C1448" s="270"/>
      <c r="D1448" s="271"/>
      <c r="E1448" s="272"/>
      <c r="F1448" s="272"/>
      <c r="G1448" s="273"/>
      <c r="H1448" s="274"/>
      <c r="I1448" s="274"/>
      <c r="J1448" s="274"/>
      <c r="K1448" s="274"/>
      <c r="L1448" s="274"/>
      <c r="M1448" s="274"/>
      <c r="N1448" s="274"/>
      <c r="O1448" s="274"/>
      <c r="P1448" s="274"/>
      <c r="Q1448" s="274"/>
      <c r="R1448" s="274"/>
      <c r="S1448" s="274"/>
      <c r="T1448" s="274"/>
      <c r="U1448" s="274"/>
      <c r="V1448" s="274"/>
    </row>
    <row r="1449" spans="1:22" x14ac:dyDescent="0.25">
      <c r="A1449" s="247">
        <v>1447</v>
      </c>
      <c r="B1449" s="270"/>
      <c r="C1449" s="270"/>
      <c r="D1449" s="271"/>
      <c r="E1449" s="272"/>
      <c r="F1449" s="272"/>
      <c r="G1449" s="273"/>
      <c r="H1449" s="274"/>
      <c r="I1449" s="274"/>
      <c r="J1449" s="274"/>
      <c r="K1449" s="274"/>
      <c r="L1449" s="274"/>
      <c r="M1449" s="274"/>
      <c r="N1449" s="274"/>
      <c r="O1449" s="274"/>
      <c r="P1449" s="274"/>
      <c r="Q1449" s="274"/>
      <c r="R1449" s="274"/>
      <c r="S1449" s="274"/>
      <c r="T1449" s="274"/>
      <c r="U1449" s="274"/>
      <c r="V1449" s="274"/>
    </row>
    <row r="1450" spans="1:22" x14ac:dyDescent="0.25">
      <c r="A1450" s="247">
        <v>1448</v>
      </c>
      <c r="B1450" s="270"/>
      <c r="C1450" s="270"/>
      <c r="D1450" s="271"/>
      <c r="E1450" s="272"/>
      <c r="F1450" s="272"/>
      <c r="G1450" s="273"/>
      <c r="H1450" s="274"/>
      <c r="I1450" s="274"/>
      <c r="J1450" s="274"/>
      <c r="K1450" s="274"/>
      <c r="L1450" s="274"/>
      <c r="M1450" s="274"/>
      <c r="N1450" s="274"/>
      <c r="O1450" s="274"/>
      <c r="P1450" s="274"/>
      <c r="Q1450" s="274"/>
      <c r="R1450" s="274"/>
      <c r="S1450" s="274"/>
      <c r="T1450" s="274"/>
      <c r="U1450" s="274"/>
      <c r="V1450" s="274"/>
    </row>
    <row r="1451" spans="1:22" x14ac:dyDescent="0.25">
      <c r="A1451" s="247">
        <v>1449</v>
      </c>
      <c r="B1451" s="270"/>
      <c r="C1451" s="270"/>
      <c r="D1451" s="271"/>
      <c r="E1451" s="272"/>
      <c r="F1451" s="272"/>
      <c r="G1451" s="273"/>
      <c r="H1451" s="274"/>
      <c r="I1451" s="274"/>
      <c r="J1451" s="274"/>
      <c r="K1451" s="274"/>
      <c r="L1451" s="274"/>
      <c r="M1451" s="274"/>
      <c r="N1451" s="274"/>
      <c r="O1451" s="274"/>
      <c r="P1451" s="274"/>
      <c r="Q1451" s="274"/>
      <c r="R1451" s="274"/>
      <c r="S1451" s="274"/>
      <c r="T1451" s="274"/>
      <c r="U1451" s="274"/>
      <c r="V1451" s="274"/>
    </row>
    <row r="1452" spans="1:22" x14ac:dyDescent="0.25">
      <c r="A1452" s="247">
        <v>1450</v>
      </c>
      <c r="B1452" s="270"/>
      <c r="C1452" s="270"/>
      <c r="D1452" s="271"/>
      <c r="E1452" s="272"/>
      <c r="F1452" s="272"/>
      <c r="G1452" s="273"/>
      <c r="H1452" s="274"/>
      <c r="I1452" s="274"/>
      <c r="J1452" s="274"/>
      <c r="K1452" s="274"/>
      <c r="L1452" s="274"/>
      <c r="M1452" s="274"/>
      <c r="N1452" s="274"/>
      <c r="O1452" s="274"/>
      <c r="P1452" s="274"/>
      <c r="Q1452" s="274"/>
      <c r="R1452" s="274"/>
      <c r="S1452" s="274"/>
      <c r="T1452" s="274"/>
      <c r="U1452" s="274"/>
      <c r="V1452" s="274"/>
    </row>
    <row r="1453" spans="1:22" x14ac:dyDescent="0.25">
      <c r="A1453" s="247">
        <v>1451</v>
      </c>
      <c r="B1453" s="270"/>
      <c r="C1453" s="270"/>
      <c r="D1453" s="271"/>
      <c r="E1453" s="272"/>
      <c r="F1453" s="272"/>
      <c r="G1453" s="273"/>
      <c r="H1453" s="274"/>
      <c r="I1453" s="274"/>
      <c r="J1453" s="274"/>
      <c r="K1453" s="274"/>
      <c r="L1453" s="274"/>
      <c r="M1453" s="274"/>
      <c r="N1453" s="274"/>
      <c r="O1453" s="274"/>
      <c r="P1453" s="274"/>
      <c r="Q1453" s="274"/>
      <c r="R1453" s="274"/>
      <c r="S1453" s="274"/>
      <c r="T1453" s="274"/>
      <c r="U1453" s="274"/>
      <c r="V1453" s="274"/>
    </row>
    <row r="1454" spans="1:22" x14ac:dyDescent="0.25">
      <c r="A1454" s="247">
        <v>1452</v>
      </c>
      <c r="B1454" s="270"/>
      <c r="C1454" s="270"/>
      <c r="D1454" s="271"/>
      <c r="E1454" s="272"/>
      <c r="F1454" s="272"/>
      <c r="G1454" s="273"/>
      <c r="H1454" s="274"/>
      <c r="I1454" s="274"/>
      <c r="J1454" s="274"/>
      <c r="K1454" s="274"/>
      <c r="L1454" s="274"/>
      <c r="M1454" s="274"/>
      <c r="N1454" s="274"/>
      <c r="O1454" s="274"/>
      <c r="P1454" s="274"/>
      <c r="Q1454" s="274"/>
      <c r="R1454" s="274"/>
      <c r="S1454" s="274"/>
      <c r="T1454" s="274"/>
      <c r="U1454" s="274"/>
      <c r="V1454" s="274"/>
    </row>
    <row r="1455" spans="1:22" x14ac:dyDescent="0.25">
      <c r="A1455" s="247">
        <v>1453</v>
      </c>
      <c r="B1455" s="270"/>
      <c r="C1455" s="270"/>
      <c r="D1455" s="271"/>
      <c r="E1455" s="272"/>
      <c r="F1455" s="272"/>
      <c r="G1455" s="273"/>
      <c r="H1455" s="274"/>
      <c r="I1455" s="274"/>
      <c r="J1455" s="274"/>
      <c r="K1455" s="274"/>
      <c r="L1455" s="274"/>
      <c r="M1455" s="274"/>
      <c r="N1455" s="274"/>
      <c r="O1455" s="274"/>
      <c r="P1455" s="274"/>
      <c r="Q1455" s="274"/>
      <c r="R1455" s="274"/>
      <c r="S1455" s="274"/>
      <c r="T1455" s="274"/>
      <c r="U1455" s="274"/>
      <c r="V1455" s="274"/>
    </row>
    <row r="1456" spans="1:22" x14ac:dyDescent="0.25">
      <c r="A1456" s="247">
        <v>1454</v>
      </c>
      <c r="B1456" s="270"/>
      <c r="C1456" s="270"/>
      <c r="D1456" s="271"/>
      <c r="E1456" s="272"/>
      <c r="F1456" s="272"/>
      <c r="G1456" s="273"/>
      <c r="H1456" s="274"/>
      <c r="I1456" s="274"/>
      <c r="J1456" s="274"/>
      <c r="K1456" s="274"/>
      <c r="L1456" s="274"/>
      <c r="M1456" s="274"/>
      <c r="N1456" s="274"/>
      <c r="O1456" s="274"/>
      <c r="P1456" s="274"/>
      <c r="Q1456" s="274"/>
      <c r="R1456" s="274"/>
      <c r="S1456" s="274"/>
      <c r="T1456" s="274"/>
      <c r="U1456" s="274"/>
      <c r="V1456" s="274"/>
    </row>
    <row r="1457" spans="1:22" x14ac:dyDescent="0.25">
      <c r="A1457" s="247">
        <v>1455</v>
      </c>
      <c r="B1457" s="270"/>
      <c r="C1457" s="270"/>
      <c r="D1457" s="271"/>
      <c r="E1457" s="272"/>
      <c r="F1457" s="272"/>
      <c r="G1457" s="273"/>
      <c r="H1457" s="274"/>
      <c r="I1457" s="274"/>
      <c r="J1457" s="274"/>
      <c r="K1457" s="274"/>
      <c r="L1457" s="274"/>
      <c r="M1457" s="274"/>
      <c r="N1457" s="274"/>
      <c r="O1457" s="274"/>
      <c r="P1457" s="274"/>
      <c r="Q1457" s="274"/>
      <c r="R1457" s="274"/>
      <c r="S1457" s="274"/>
      <c r="T1457" s="274"/>
      <c r="U1457" s="274"/>
      <c r="V1457" s="274"/>
    </row>
    <row r="1458" spans="1:22" x14ac:dyDescent="0.25">
      <c r="A1458" s="247">
        <v>1456</v>
      </c>
      <c r="B1458" s="270"/>
      <c r="C1458" s="270"/>
      <c r="D1458" s="271"/>
      <c r="E1458" s="272"/>
      <c r="F1458" s="272"/>
      <c r="G1458" s="273"/>
      <c r="H1458" s="274"/>
      <c r="I1458" s="274"/>
      <c r="J1458" s="274"/>
      <c r="K1458" s="274"/>
      <c r="L1458" s="274"/>
      <c r="M1458" s="274"/>
      <c r="N1458" s="274"/>
      <c r="O1458" s="274"/>
      <c r="P1458" s="274"/>
      <c r="Q1458" s="274"/>
      <c r="R1458" s="274"/>
      <c r="S1458" s="274"/>
      <c r="T1458" s="274"/>
      <c r="U1458" s="274"/>
      <c r="V1458" s="274"/>
    </row>
    <row r="1459" spans="1:22" x14ac:dyDescent="0.25">
      <c r="A1459" s="247">
        <v>1457</v>
      </c>
      <c r="B1459" s="270"/>
      <c r="C1459" s="270"/>
      <c r="D1459" s="271"/>
      <c r="E1459" s="272"/>
      <c r="F1459" s="272"/>
      <c r="G1459" s="273"/>
      <c r="H1459" s="274"/>
      <c r="I1459" s="274"/>
      <c r="J1459" s="274"/>
      <c r="K1459" s="274"/>
      <c r="L1459" s="274"/>
      <c r="M1459" s="274"/>
      <c r="N1459" s="274"/>
      <c r="O1459" s="274"/>
      <c r="P1459" s="274"/>
      <c r="Q1459" s="274"/>
      <c r="R1459" s="274"/>
      <c r="S1459" s="274"/>
      <c r="T1459" s="274"/>
      <c r="U1459" s="274"/>
      <c r="V1459" s="274"/>
    </row>
    <row r="1460" spans="1:22" x14ac:dyDescent="0.25">
      <c r="A1460" s="247">
        <v>1458</v>
      </c>
      <c r="B1460" s="270"/>
      <c r="C1460" s="270"/>
      <c r="D1460" s="271"/>
      <c r="E1460" s="272"/>
      <c r="F1460" s="272"/>
      <c r="G1460" s="273"/>
      <c r="H1460" s="274"/>
      <c r="I1460" s="274"/>
      <c r="J1460" s="274"/>
      <c r="K1460" s="274"/>
      <c r="L1460" s="274"/>
      <c r="M1460" s="274"/>
      <c r="N1460" s="274"/>
      <c r="O1460" s="274"/>
      <c r="P1460" s="274"/>
      <c r="Q1460" s="274"/>
      <c r="R1460" s="274"/>
      <c r="S1460" s="274"/>
      <c r="T1460" s="274"/>
      <c r="U1460" s="274"/>
      <c r="V1460" s="274"/>
    </row>
    <row r="1461" spans="1:22" x14ac:dyDescent="0.25">
      <c r="A1461" s="247">
        <v>1459</v>
      </c>
      <c r="B1461" s="270"/>
      <c r="C1461" s="270"/>
      <c r="D1461" s="271"/>
      <c r="E1461" s="272"/>
      <c r="F1461" s="272"/>
      <c r="G1461" s="273"/>
      <c r="H1461" s="274"/>
      <c r="I1461" s="274"/>
      <c r="J1461" s="274"/>
      <c r="K1461" s="274"/>
      <c r="L1461" s="274"/>
      <c r="M1461" s="274"/>
      <c r="N1461" s="274"/>
      <c r="O1461" s="274"/>
      <c r="P1461" s="274"/>
      <c r="Q1461" s="274"/>
      <c r="R1461" s="274"/>
      <c r="S1461" s="274"/>
      <c r="T1461" s="274"/>
      <c r="U1461" s="274"/>
      <c r="V1461" s="274"/>
    </row>
    <row r="1462" spans="1:22" x14ac:dyDescent="0.25">
      <c r="A1462" s="247">
        <v>1460</v>
      </c>
      <c r="B1462" s="270"/>
      <c r="C1462" s="270"/>
      <c r="D1462" s="271"/>
      <c r="E1462" s="272"/>
      <c r="F1462" s="272"/>
      <c r="G1462" s="273"/>
      <c r="H1462" s="274"/>
      <c r="I1462" s="274"/>
      <c r="J1462" s="274"/>
      <c r="K1462" s="274"/>
      <c r="L1462" s="274"/>
      <c r="M1462" s="274"/>
      <c r="N1462" s="274"/>
      <c r="O1462" s="274"/>
      <c r="P1462" s="274"/>
      <c r="Q1462" s="274"/>
      <c r="R1462" s="274"/>
      <c r="S1462" s="274"/>
      <c r="T1462" s="274"/>
      <c r="U1462" s="274"/>
      <c r="V1462" s="274"/>
    </row>
    <row r="1463" spans="1:22" x14ac:dyDescent="0.25">
      <c r="A1463" s="247">
        <v>1461</v>
      </c>
      <c r="B1463" s="270"/>
      <c r="C1463" s="270"/>
      <c r="D1463" s="271"/>
      <c r="E1463" s="272"/>
      <c r="F1463" s="272"/>
      <c r="G1463" s="273"/>
      <c r="H1463" s="274"/>
      <c r="I1463" s="274"/>
      <c r="J1463" s="274"/>
      <c r="K1463" s="274"/>
      <c r="L1463" s="274"/>
      <c r="M1463" s="274"/>
      <c r="N1463" s="274"/>
      <c r="O1463" s="274"/>
      <c r="P1463" s="274"/>
      <c r="Q1463" s="274"/>
      <c r="R1463" s="274"/>
      <c r="S1463" s="274"/>
      <c r="T1463" s="274"/>
      <c r="U1463" s="274"/>
      <c r="V1463" s="274"/>
    </row>
    <row r="1464" spans="1:22" x14ac:dyDescent="0.25">
      <c r="A1464" s="247">
        <v>1462</v>
      </c>
      <c r="B1464" s="270"/>
      <c r="C1464" s="270"/>
      <c r="D1464" s="271"/>
      <c r="E1464" s="272"/>
      <c r="F1464" s="272"/>
      <c r="G1464" s="273"/>
      <c r="H1464" s="274"/>
      <c r="I1464" s="274"/>
      <c r="J1464" s="274"/>
      <c r="K1464" s="274"/>
      <c r="L1464" s="274"/>
      <c r="M1464" s="274"/>
      <c r="N1464" s="274"/>
      <c r="O1464" s="274"/>
      <c r="P1464" s="274"/>
      <c r="Q1464" s="274"/>
      <c r="R1464" s="274"/>
      <c r="S1464" s="274"/>
      <c r="T1464" s="274"/>
      <c r="U1464" s="274"/>
      <c r="V1464" s="274"/>
    </row>
    <row r="1465" spans="1:22" x14ac:dyDescent="0.25">
      <c r="A1465" s="247">
        <v>1463</v>
      </c>
      <c r="B1465" s="270"/>
      <c r="C1465" s="270"/>
      <c r="D1465" s="271"/>
      <c r="E1465" s="272"/>
      <c r="F1465" s="272"/>
      <c r="G1465" s="273"/>
      <c r="H1465" s="274"/>
      <c r="I1465" s="274"/>
      <c r="J1465" s="274"/>
      <c r="K1465" s="274"/>
      <c r="L1465" s="274"/>
      <c r="M1465" s="274"/>
      <c r="N1465" s="274"/>
      <c r="O1465" s="274"/>
      <c r="P1465" s="274"/>
      <c r="Q1465" s="274"/>
      <c r="R1465" s="274"/>
      <c r="S1465" s="274"/>
      <c r="T1465" s="274"/>
      <c r="U1465" s="274"/>
      <c r="V1465" s="274"/>
    </row>
    <row r="1466" spans="1:22" x14ac:dyDescent="0.25">
      <c r="A1466" s="247">
        <v>1464</v>
      </c>
      <c r="B1466" s="270"/>
      <c r="C1466" s="270"/>
      <c r="D1466" s="271"/>
      <c r="E1466" s="272"/>
      <c r="F1466" s="272"/>
      <c r="G1466" s="273"/>
      <c r="H1466" s="274"/>
      <c r="I1466" s="274"/>
      <c r="J1466" s="274"/>
      <c r="K1466" s="274"/>
      <c r="L1466" s="274"/>
      <c r="M1466" s="274"/>
      <c r="N1466" s="274"/>
      <c r="O1466" s="274"/>
      <c r="P1466" s="274"/>
      <c r="Q1466" s="274"/>
      <c r="R1466" s="274"/>
      <c r="S1466" s="274"/>
      <c r="T1466" s="274"/>
      <c r="U1466" s="274"/>
      <c r="V1466" s="274"/>
    </row>
    <row r="1467" spans="1:22" x14ac:dyDescent="0.25">
      <c r="A1467" s="247">
        <v>1465</v>
      </c>
      <c r="B1467" s="270"/>
      <c r="C1467" s="270"/>
      <c r="D1467" s="271"/>
      <c r="E1467" s="272"/>
      <c r="F1467" s="272"/>
      <c r="G1467" s="273"/>
      <c r="H1467" s="274"/>
      <c r="I1467" s="274"/>
      <c r="J1467" s="274"/>
      <c r="K1467" s="274"/>
      <c r="L1467" s="274"/>
      <c r="M1467" s="274"/>
      <c r="N1467" s="274"/>
      <c r="O1467" s="274"/>
      <c r="P1467" s="274"/>
      <c r="Q1467" s="274"/>
      <c r="R1467" s="274"/>
      <c r="S1467" s="274"/>
      <c r="T1467" s="274"/>
      <c r="U1467" s="274"/>
      <c r="V1467" s="274"/>
    </row>
    <row r="1468" spans="1:22" x14ac:dyDescent="0.25">
      <c r="A1468" s="247">
        <v>1466</v>
      </c>
      <c r="B1468" s="270"/>
      <c r="C1468" s="270"/>
      <c r="D1468" s="271"/>
      <c r="E1468" s="272"/>
      <c r="F1468" s="272"/>
      <c r="G1468" s="273"/>
      <c r="H1468" s="274"/>
      <c r="I1468" s="274"/>
      <c r="J1468" s="274"/>
      <c r="K1468" s="274"/>
      <c r="L1468" s="274"/>
      <c r="M1468" s="274"/>
      <c r="N1468" s="274"/>
      <c r="O1468" s="274"/>
      <c r="P1468" s="274"/>
      <c r="Q1468" s="274"/>
      <c r="R1468" s="274"/>
      <c r="S1468" s="274"/>
      <c r="T1468" s="274"/>
      <c r="U1468" s="274"/>
      <c r="V1468" s="274"/>
    </row>
    <row r="1469" spans="1:22" x14ac:dyDescent="0.25">
      <c r="A1469" s="247">
        <v>1467</v>
      </c>
      <c r="B1469" s="270"/>
      <c r="C1469" s="270"/>
      <c r="D1469" s="271"/>
      <c r="E1469" s="272"/>
      <c r="F1469" s="272"/>
      <c r="G1469" s="273"/>
      <c r="H1469" s="274"/>
      <c r="I1469" s="274"/>
      <c r="J1469" s="274"/>
      <c r="K1469" s="274"/>
      <c r="L1469" s="274"/>
      <c r="M1469" s="274"/>
      <c r="N1469" s="274"/>
      <c r="O1469" s="274"/>
      <c r="P1469" s="274"/>
      <c r="Q1469" s="274"/>
      <c r="R1469" s="274"/>
      <c r="S1469" s="274"/>
      <c r="T1469" s="274"/>
      <c r="U1469" s="274"/>
      <c r="V1469" s="274"/>
    </row>
    <row r="1470" spans="1:22" x14ac:dyDescent="0.25">
      <c r="A1470" s="247">
        <v>1468</v>
      </c>
      <c r="B1470" s="270"/>
      <c r="C1470" s="270"/>
      <c r="D1470" s="271"/>
      <c r="E1470" s="272"/>
      <c r="F1470" s="272"/>
      <c r="G1470" s="273"/>
      <c r="H1470" s="274"/>
      <c r="I1470" s="274"/>
      <c r="J1470" s="274"/>
      <c r="K1470" s="274"/>
      <c r="L1470" s="274"/>
      <c r="M1470" s="274"/>
      <c r="N1470" s="274"/>
      <c r="O1470" s="274"/>
      <c r="P1470" s="274"/>
      <c r="Q1470" s="274"/>
      <c r="R1470" s="274"/>
      <c r="S1470" s="274"/>
      <c r="T1470" s="274"/>
      <c r="U1470" s="274"/>
      <c r="V1470" s="274"/>
    </row>
    <row r="1471" spans="1:22" x14ac:dyDescent="0.25">
      <c r="A1471" s="247">
        <v>1469</v>
      </c>
      <c r="B1471" s="270"/>
      <c r="C1471" s="270"/>
      <c r="D1471" s="271"/>
      <c r="E1471" s="272"/>
      <c r="F1471" s="272"/>
      <c r="G1471" s="273"/>
      <c r="H1471" s="274"/>
      <c r="I1471" s="274"/>
      <c r="J1471" s="274"/>
      <c r="K1471" s="274"/>
      <c r="L1471" s="274"/>
      <c r="M1471" s="274"/>
      <c r="N1471" s="274"/>
      <c r="O1471" s="274"/>
      <c r="P1471" s="274"/>
      <c r="Q1471" s="274"/>
      <c r="R1471" s="274"/>
      <c r="S1471" s="274"/>
      <c r="T1471" s="274"/>
      <c r="U1471" s="274"/>
      <c r="V1471" s="274"/>
    </row>
    <row r="1472" spans="1:22" x14ac:dyDescent="0.25">
      <c r="A1472" s="247">
        <v>1470</v>
      </c>
      <c r="B1472" s="270"/>
      <c r="C1472" s="270"/>
      <c r="D1472" s="271"/>
      <c r="E1472" s="272"/>
      <c r="F1472" s="272"/>
      <c r="G1472" s="273"/>
      <c r="H1472" s="274"/>
      <c r="I1472" s="274"/>
      <c r="J1472" s="274"/>
      <c r="K1472" s="274"/>
      <c r="L1472" s="274"/>
      <c r="M1472" s="274"/>
      <c r="N1472" s="274"/>
      <c r="O1472" s="274"/>
      <c r="P1472" s="274"/>
      <c r="Q1472" s="274"/>
      <c r="R1472" s="274"/>
      <c r="S1472" s="274"/>
      <c r="T1472" s="274"/>
      <c r="U1472" s="274"/>
      <c r="V1472" s="274"/>
    </row>
    <row r="1473" spans="1:22" x14ac:dyDescent="0.25">
      <c r="A1473" s="247">
        <v>1471</v>
      </c>
      <c r="B1473" s="270"/>
      <c r="C1473" s="270"/>
      <c r="D1473" s="271"/>
      <c r="E1473" s="272"/>
      <c r="F1473" s="272"/>
      <c r="G1473" s="273"/>
      <c r="H1473" s="274"/>
      <c r="I1473" s="274"/>
      <c r="J1473" s="274"/>
      <c r="K1473" s="274"/>
      <c r="L1473" s="274"/>
      <c r="M1473" s="274"/>
      <c r="N1473" s="274"/>
      <c r="O1473" s="274"/>
      <c r="P1473" s="274"/>
      <c r="Q1473" s="274"/>
      <c r="R1473" s="274"/>
      <c r="S1473" s="274"/>
      <c r="T1473" s="274"/>
      <c r="U1473" s="274"/>
      <c r="V1473" s="274"/>
    </row>
    <row r="1474" spans="1:22" x14ac:dyDescent="0.25">
      <c r="A1474" s="247">
        <v>1472</v>
      </c>
      <c r="B1474" s="270"/>
      <c r="C1474" s="270"/>
      <c r="D1474" s="271"/>
      <c r="E1474" s="272"/>
      <c r="F1474" s="272"/>
      <c r="G1474" s="273"/>
      <c r="H1474" s="274"/>
      <c r="I1474" s="274"/>
      <c r="J1474" s="274"/>
      <c r="K1474" s="274"/>
      <c r="L1474" s="274"/>
      <c r="M1474" s="274"/>
      <c r="N1474" s="274"/>
      <c r="O1474" s="274"/>
      <c r="P1474" s="274"/>
      <c r="Q1474" s="274"/>
      <c r="R1474" s="274"/>
      <c r="S1474" s="274"/>
      <c r="T1474" s="274"/>
      <c r="U1474" s="274"/>
      <c r="V1474" s="274"/>
    </row>
    <row r="1475" spans="1:22" x14ac:dyDescent="0.25">
      <c r="A1475" s="247">
        <v>1473</v>
      </c>
      <c r="B1475" s="270"/>
      <c r="C1475" s="270"/>
      <c r="D1475" s="271"/>
      <c r="E1475" s="272"/>
      <c r="F1475" s="272"/>
      <c r="G1475" s="273"/>
      <c r="H1475" s="274"/>
      <c r="I1475" s="274"/>
      <c r="J1475" s="274"/>
      <c r="K1475" s="274"/>
      <c r="L1475" s="274"/>
      <c r="M1475" s="274"/>
      <c r="N1475" s="274"/>
      <c r="O1475" s="274"/>
      <c r="P1475" s="274"/>
      <c r="Q1475" s="274"/>
      <c r="R1475" s="274"/>
      <c r="S1475" s="274"/>
      <c r="T1475" s="274"/>
      <c r="U1475" s="274"/>
      <c r="V1475" s="274"/>
    </row>
    <row r="1476" spans="1:22" x14ac:dyDescent="0.25">
      <c r="A1476" s="247">
        <v>1474</v>
      </c>
      <c r="B1476" s="270"/>
      <c r="C1476" s="270"/>
      <c r="D1476" s="271"/>
      <c r="E1476" s="272"/>
      <c r="F1476" s="272"/>
      <c r="G1476" s="273"/>
      <c r="H1476" s="274"/>
      <c r="I1476" s="274"/>
      <c r="J1476" s="274"/>
      <c r="K1476" s="274"/>
      <c r="L1476" s="274"/>
      <c r="M1476" s="274"/>
      <c r="N1476" s="274"/>
      <c r="O1476" s="274"/>
      <c r="P1476" s="274"/>
      <c r="Q1476" s="274"/>
      <c r="R1476" s="274"/>
      <c r="S1476" s="274"/>
      <c r="T1476" s="274"/>
      <c r="U1476" s="274"/>
      <c r="V1476" s="274"/>
    </row>
    <row r="1477" spans="1:22" x14ac:dyDescent="0.25">
      <c r="A1477" s="247">
        <v>1475</v>
      </c>
      <c r="B1477" s="270"/>
      <c r="C1477" s="270"/>
      <c r="D1477" s="271"/>
      <c r="E1477" s="272"/>
      <c r="F1477" s="272"/>
      <c r="G1477" s="273"/>
      <c r="H1477" s="274"/>
      <c r="I1477" s="274"/>
      <c r="J1477" s="274"/>
      <c r="K1477" s="274"/>
      <c r="L1477" s="274"/>
      <c r="M1477" s="274"/>
      <c r="N1477" s="274"/>
      <c r="O1477" s="274"/>
      <c r="P1477" s="274"/>
      <c r="Q1477" s="274"/>
      <c r="R1477" s="274"/>
      <c r="S1477" s="274"/>
      <c r="T1477" s="274"/>
      <c r="U1477" s="274"/>
      <c r="V1477" s="274"/>
    </row>
    <row r="1478" spans="1:22" x14ac:dyDescent="0.25">
      <c r="A1478" s="247">
        <v>1476</v>
      </c>
      <c r="B1478" s="270"/>
      <c r="C1478" s="270"/>
      <c r="D1478" s="271"/>
      <c r="E1478" s="272"/>
      <c r="F1478" s="272"/>
      <c r="G1478" s="273"/>
      <c r="H1478" s="274"/>
      <c r="I1478" s="274"/>
      <c r="J1478" s="274"/>
      <c r="K1478" s="274"/>
      <c r="L1478" s="274"/>
      <c r="M1478" s="274"/>
      <c r="N1478" s="274"/>
      <c r="O1478" s="274"/>
      <c r="P1478" s="274"/>
      <c r="Q1478" s="274"/>
      <c r="R1478" s="274"/>
      <c r="S1478" s="274"/>
      <c r="T1478" s="274"/>
      <c r="U1478" s="274"/>
      <c r="V1478" s="274"/>
    </row>
    <row r="1479" spans="1:22" x14ac:dyDescent="0.25">
      <c r="A1479" s="247">
        <v>1477</v>
      </c>
      <c r="B1479" s="270"/>
      <c r="C1479" s="270"/>
      <c r="D1479" s="271"/>
      <c r="E1479" s="272"/>
      <c r="F1479" s="272"/>
      <c r="G1479" s="273"/>
      <c r="H1479" s="274"/>
      <c r="I1479" s="274"/>
      <c r="J1479" s="274"/>
      <c r="K1479" s="274"/>
      <c r="L1479" s="274"/>
      <c r="M1479" s="274"/>
      <c r="N1479" s="274"/>
      <c r="O1479" s="274"/>
      <c r="P1479" s="274"/>
      <c r="Q1479" s="274"/>
      <c r="R1479" s="274"/>
      <c r="S1479" s="274"/>
      <c r="T1479" s="274"/>
      <c r="U1479" s="274"/>
      <c r="V1479" s="274"/>
    </row>
    <row r="1480" spans="1:22" x14ac:dyDescent="0.25">
      <c r="A1480" s="247">
        <v>1478</v>
      </c>
      <c r="B1480" s="270"/>
      <c r="C1480" s="270"/>
      <c r="D1480" s="271"/>
      <c r="E1480" s="272"/>
      <c r="F1480" s="272"/>
      <c r="G1480" s="273"/>
      <c r="H1480" s="274"/>
      <c r="I1480" s="274"/>
      <c r="J1480" s="274"/>
      <c r="K1480" s="274"/>
      <c r="L1480" s="274"/>
      <c r="M1480" s="274"/>
      <c r="N1480" s="274"/>
      <c r="O1480" s="274"/>
      <c r="P1480" s="274"/>
      <c r="Q1480" s="274"/>
      <c r="R1480" s="274"/>
      <c r="S1480" s="274"/>
      <c r="T1480" s="274"/>
      <c r="U1480" s="274"/>
      <c r="V1480" s="274"/>
    </row>
    <row r="1481" spans="1:22" x14ac:dyDescent="0.25">
      <c r="A1481" s="247">
        <v>1479</v>
      </c>
      <c r="B1481" s="270"/>
      <c r="C1481" s="270"/>
      <c r="D1481" s="271"/>
      <c r="E1481" s="272"/>
      <c r="F1481" s="272"/>
      <c r="G1481" s="273"/>
      <c r="H1481" s="274"/>
      <c r="I1481" s="274"/>
      <c r="J1481" s="274"/>
      <c r="K1481" s="274"/>
      <c r="L1481" s="274"/>
      <c r="M1481" s="274"/>
      <c r="N1481" s="274"/>
      <c r="O1481" s="274"/>
      <c r="P1481" s="274"/>
      <c r="Q1481" s="274"/>
      <c r="R1481" s="274"/>
      <c r="S1481" s="274"/>
      <c r="T1481" s="274"/>
      <c r="U1481" s="274"/>
      <c r="V1481" s="274"/>
    </row>
    <row r="1482" spans="1:22" x14ac:dyDescent="0.25">
      <c r="A1482" s="247">
        <v>1480</v>
      </c>
      <c r="B1482" s="270"/>
      <c r="C1482" s="270"/>
      <c r="D1482" s="271"/>
      <c r="E1482" s="272"/>
      <c r="F1482" s="272"/>
      <c r="G1482" s="273"/>
      <c r="H1482" s="274"/>
      <c r="I1482" s="274"/>
      <c r="J1482" s="274"/>
      <c r="K1482" s="274"/>
      <c r="L1482" s="274"/>
      <c r="M1482" s="274"/>
      <c r="N1482" s="274"/>
      <c r="O1482" s="274"/>
      <c r="P1482" s="274"/>
      <c r="Q1482" s="274"/>
      <c r="R1482" s="274"/>
      <c r="S1482" s="274"/>
      <c r="T1482" s="274"/>
      <c r="U1482" s="274"/>
      <c r="V1482" s="274"/>
    </row>
    <row r="1483" spans="1:22" x14ac:dyDescent="0.25">
      <c r="A1483" s="247">
        <v>1481</v>
      </c>
      <c r="B1483" s="270"/>
      <c r="C1483" s="270"/>
      <c r="D1483" s="271"/>
      <c r="E1483" s="272"/>
      <c r="F1483" s="272"/>
      <c r="G1483" s="273"/>
      <c r="H1483" s="274"/>
      <c r="I1483" s="274"/>
      <c r="J1483" s="274"/>
      <c r="K1483" s="274"/>
      <c r="L1483" s="274"/>
      <c r="M1483" s="274"/>
      <c r="N1483" s="274"/>
      <c r="O1483" s="274"/>
      <c r="P1483" s="274"/>
      <c r="Q1483" s="274"/>
      <c r="R1483" s="274"/>
      <c r="S1483" s="274"/>
      <c r="T1483" s="274"/>
      <c r="U1483" s="274"/>
      <c r="V1483" s="274"/>
    </row>
    <row r="1484" spans="1:22" x14ac:dyDescent="0.25">
      <c r="A1484" s="247">
        <v>1482</v>
      </c>
      <c r="B1484" s="270"/>
      <c r="C1484" s="270"/>
      <c r="D1484" s="271"/>
      <c r="E1484" s="272"/>
      <c r="F1484" s="272"/>
      <c r="G1484" s="273"/>
      <c r="H1484" s="274"/>
      <c r="I1484" s="274"/>
      <c r="J1484" s="274"/>
      <c r="K1484" s="274"/>
      <c r="L1484" s="274"/>
      <c r="M1484" s="274"/>
      <c r="N1484" s="274"/>
      <c r="O1484" s="274"/>
      <c r="P1484" s="274"/>
      <c r="Q1484" s="274"/>
      <c r="R1484" s="274"/>
      <c r="S1484" s="274"/>
      <c r="T1484" s="274"/>
      <c r="U1484" s="274"/>
      <c r="V1484" s="274"/>
    </row>
    <row r="1485" spans="1:22" x14ac:dyDescent="0.25">
      <c r="A1485" s="247">
        <v>1483</v>
      </c>
      <c r="B1485" s="270"/>
      <c r="C1485" s="270"/>
      <c r="D1485" s="271"/>
      <c r="E1485" s="272"/>
      <c r="F1485" s="272"/>
      <c r="G1485" s="273"/>
      <c r="H1485" s="274"/>
      <c r="I1485" s="274"/>
      <c r="J1485" s="274"/>
      <c r="K1485" s="274"/>
      <c r="L1485" s="274"/>
      <c r="M1485" s="274"/>
      <c r="N1485" s="274"/>
      <c r="O1485" s="274"/>
      <c r="P1485" s="274"/>
      <c r="Q1485" s="274"/>
      <c r="R1485" s="274"/>
      <c r="S1485" s="274"/>
      <c r="T1485" s="274"/>
      <c r="U1485" s="274"/>
      <c r="V1485" s="274"/>
    </row>
    <row r="1486" spans="1:22" x14ac:dyDescent="0.25">
      <c r="A1486" s="247">
        <v>1484</v>
      </c>
      <c r="B1486" s="270"/>
      <c r="C1486" s="270"/>
      <c r="D1486" s="271"/>
      <c r="E1486" s="272"/>
      <c r="F1486" s="272"/>
      <c r="G1486" s="273"/>
      <c r="H1486" s="274"/>
      <c r="I1486" s="274"/>
      <c r="J1486" s="274"/>
      <c r="K1486" s="274"/>
      <c r="L1486" s="274"/>
      <c r="M1486" s="274"/>
      <c r="N1486" s="274"/>
      <c r="O1486" s="274"/>
      <c r="P1486" s="274"/>
      <c r="Q1486" s="274"/>
      <c r="R1486" s="274"/>
      <c r="S1486" s="274"/>
      <c r="T1486" s="274"/>
      <c r="U1486" s="274"/>
      <c r="V1486" s="274"/>
    </row>
    <row r="1487" spans="1:22" x14ac:dyDescent="0.25">
      <c r="A1487" s="247">
        <v>1485</v>
      </c>
      <c r="B1487" s="270"/>
      <c r="C1487" s="270"/>
      <c r="D1487" s="271"/>
      <c r="E1487" s="272"/>
      <c r="F1487" s="272"/>
      <c r="G1487" s="273"/>
      <c r="H1487" s="274"/>
      <c r="I1487" s="274"/>
      <c r="J1487" s="274"/>
      <c r="K1487" s="274"/>
      <c r="L1487" s="274"/>
      <c r="M1487" s="274"/>
      <c r="N1487" s="274"/>
      <c r="O1487" s="274"/>
      <c r="P1487" s="274"/>
      <c r="Q1487" s="274"/>
      <c r="R1487" s="274"/>
      <c r="S1487" s="274"/>
      <c r="T1487" s="274"/>
      <c r="U1487" s="274"/>
      <c r="V1487" s="274"/>
    </row>
    <row r="1488" spans="1:22" x14ac:dyDescent="0.25">
      <c r="A1488" s="247">
        <v>1486</v>
      </c>
      <c r="B1488" s="270"/>
      <c r="C1488" s="270"/>
      <c r="D1488" s="271"/>
      <c r="E1488" s="272"/>
      <c r="F1488" s="272"/>
      <c r="G1488" s="273"/>
      <c r="H1488" s="274"/>
      <c r="I1488" s="274"/>
      <c r="J1488" s="274"/>
      <c r="K1488" s="274"/>
      <c r="L1488" s="274"/>
      <c r="M1488" s="274"/>
      <c r="N1488" s="274"/>
      <c r="O1488" s="274"/>
      <c r="P1488" s="274"/>
      <c r="Q1488" s="274"/>
      <c r="R1488" s="274"/>
      <c r="S1488" s="274"/>
      <c r="T1488" s="274"/>
      <c r="U1488" s="274"/>
      <c r="V1488" s="274"/>
    </row>
    <row r="1489" spans="1:22" x14ac:dyDescent="0.25">
      <c r="A1489" s="247">
        <v>1487</v>
      </c>
      <c r="B1489" s="270"/>
      <c r="C1489" s="270"/>
      <c r="D1489" s="271"/>
      <c r="E1489" s="272"/>
      <c r="F1489" s="272"/>
      <c r="G1489" s="273"/>
      <c r="H1489" s="274"/>
      <c r="I1489" s="274"/>
      <c r="J1489" s="274"/>
      <c r="K1489" s="274"/>
      <c r="L1489" s="274"/>
      <c r="M1489" s="274"/>
      <c r="N1489" s="274"/>
      <c r="O1489" s="274"/>
      <c r="P1489" s="274"/>
      <c r="Q1489" s="274"/>
      <c r="R1489" s="274"/>
      <c r="S1489" s="274"/>
      <c r="T1489" s="274"/>
      <c r="U1489" s="274"/>
      <c r="V1489" s="274"/>
    </row>
    <row r="1490" spans="1:22" x14ac:dyDescent="0.25">
      <c r="A1490" s="247">
        <v>1488</v>
      </c>
      <c r="B1490" s="270"/>
      <c r="C1490" s="270"/>
      <c r="D1490" s="271"/>
      <c r="E1490" s="272"/>
      <c r="F1490" s="272"/>
      <c r="G1490" s="273"/>
      <c r="H1490" s="274"/>
      <c r="I1490" s="274"/>
      <c r="J1490" s="274"/>
      <c r="K1490" s="274"/>
      <c r="L1490" s="274"/>
      <c r="M1490" s="274"/>
      <c r="N1490" s="274"/>
      <c r="O1490" s="274"/>
      <c r="P1490" s="274"/>
      <c r="Q1490" s="274"/>
      <c r="R1490" s="274"/>
      <c r="S1490" s="274"/>
      <c r="T1490" s="274"/>
      <c r="U1490" s="274"/>
      <c r="V1490" s="274"/>
    </row>
    <row r="1491" spans="1:22" x14ac:dyDescent="0.25">
      <c r="A1491" s="247">
        <v>1489</v>
      </c>
      <c r="B1491" s="270"/>
      <c r="C1491" s="270"/>
      <c r="D1491" s="271"/>
      <c r="E1491" s="272"/>
      <c r="F1491" s="272"/>
      <c r="G1491" s="273"/>
      <c r="H1491" s="274"/>
      <c r="I1491" s="274"/>
      <c r="J1491" s="274"/>
      <c r="K1491" s="274"/>
      <c r="L1491" s="274"/>
      <c r="M1491" s="274"/>
      <c r="N1491" s="274"/>
      <c r="O1491" s="274"/>
      <c r="P1491" s="274"/>
      <c r="Q1491" s="274"/>
      <c r="R1491" s="274"/>
      <c r="S1491" s="274"/>
      <c r="T1491" s="274"/>
      <c r="U1491" s="274"/>
      <c r="V1491" s="274"/>
    </row>
    <row r="1492" spans="1:22" x14ac:dyDescent="0.25">
      <c r="A1492" s="247">
        <v>1490</v>
      </c>
      <c r="B1492" s="270"/>
      <c r="C1492" s="270"/>
      <c r="D1492" s="271"/>
      <c r="E1492" s="272"/>
      <c r="F1492" s="272"/>
      <c r="G1492" s="273"/>
      <c r="H1492" s="274"/>
      <c r="I1492" s="274"/>
      <c r="J1492" s="274"/>
      <c r="K1492" s="274"/>
      <c r="L1492" s="274"/>
      <c r="M1492" s="274"/>
      <c r="N1492" s="274"/>
      <c r="O1492" s="274"/>
      <c r="P1492" s="274"/>
      <c r="Q1492" s="274"/>
      <c r="R1492" s="274"/>
      <c r="S1492" s="274"/>
      <c r="T1492" s="274"/>
      <c r="U1492" s="274"/>
      <c r="V1492" s="274"/>
    </row>
    <row r="1493" spans="1:22" x14ac:dyDescent="0.25">
      <c r="A1493" s="247">
        <v>1491</v>
      </c>
      <c r="B1493" s="270"/>
      <c r="C1493" s="270"/>
      <c r="D1493" s="271"/>
      <c r="E1493" s="272"/>
      <c r="F1493" s="272"/>
      <c r="G1493" s="273"/>
      <c r="H1493" s="274"/>
      <c r="I1493" s="274"/>
      <c r="J1493" s="274"/>
      <c r="K1493" s="274"/>
      <c r="L1493" s="274"/>
      <c r="M1493" s="274"/>
      <c r="N1493" s="274"/>
      <c r="O1493" s="274"/>
      <c r="P1493" s="274"/>
      <c r="Q1493" s="274"/>
      <c r="R1493" s="274"/>
      <c r="S1493" s="274"/>
      <c r="T1493" s="274"/>
      <c r="U1493" s="274"/>
      <c r="V1493" s="274"/>
    </row>
    <row r="1494" spans="1:22" x14ac:dyDescent="0.25">
      <c r="A1494" s="247">
        <v>1492</v>
      </c>
      <c r="B1494" s="270"/>
      <c r="C1494" s="270"/>
      <c r="D1494" s="271"/>
      <c r="E1494" s="272"/>
      <c r="F1494" s="272"/>
      <c r="G1494" s="273"/>
      <c r="H1494" s="274"/>
      <c r="I1494" s="274"/>
      <c r="J1494" s="274"/>
      <c r="K1494" s="274"/>
      <c r="L1494" s="274"/>
      <c r="M1494" s="274"/>
      <c r="N1494" s="274"/>
      <c r="O1494" s="274"/>
      <c r="P1494" s="274"/>
      <c r="Q1494" s="274"/>
      <c r="R1494" s="274"/>
      <c r="S1494" s="274"/>
      <c r="T1494" s="274"/>
      <c r="U1494" s="274"/>
      <c r="V1494" s="274"/>
    </row>
    <row r="1495" spans="1:22" x14ac:dyDescent="0.25">
      <c r="A1495" s="247">
        <v>1493</v>
      </c>
      <c r="B1495" s="270"/>
      <c r="C1495" s="270"/>
      <c r="D1495" s="271"/>
      <c r="E1495" s="272"/>
      <c r="F1495" s="272"/>
      <c r="G1495" s="273"/>
      <c r="H1495" s="274"/>
      <c r="I1495" s="274"/>
      <c r="J1495" s="274"/>
      <c r="K1495" s="274"/>
      <c r="L1495" s="274"/>
      <c r="M1495" s="274"/>
      <c r="N1495" s="274"/>
      <c r="O1495" s="274"/>
      <c r="P1495" s="274"/>
      <c r="Q1495" s="274"/>
      <c r="R1495" s="274"/>
      <c r="S1495" s="274"/>
      <c r="T1495" s="274"/>
      <c r="U1495" s="274"/>
      <c r="V1495" s="274"/>
    </row>
    <row r="1496" spans="1:22" x14ac:dyDescent="0.25">
      <c r="A1496" s="247">
        <v>1494</v>
      </c>
      <c r="B1496" s="270"/>
      <c r="C1496" s="270"/>
      <c r="D1496" s="271"/>
      <c r="E1496" s="272"/>
      <c r="F1496" s="272"/>
      <c r="G1496" s="273"/>
      <c r="H1496" s="274"/>
      <c r="I1496" s="274"/>
      <c r="J1496" s="274"/>
      <c r="K1496" s="274"/>
      <c r="L1496" s="274"/>
      <c r="M1496" s="274"/>
      <c r="N1496" s="274"/>
      <c r="O1496" s="274"/>
      <c r="P1496" s="274"/>
      <c r="Q1496" s="274"/>
      <c r="R1496" s="274"/>
      <c r="S1496" s="274"/>
      <c r="T1496" s="274"/>
      <c r="U1496" s="274"/>
      <c r="V1496" s="274"/>
    </row>
    <row r="1497" spans="1:22" x14ac:dyDescent="0.25">
      <c r="A1497" s="247">
        <v>1495</v>
      </c>
      <c r="B1497" s="270"/>
      <c r="C1497" s="270"/>
      <c r="D1497" s="271"/>
      <c r="E1497" s="272"/>
      <c r="F1497" s="272"/>
      <c r="G1497" s="273"/>
      <c r="H1497" s="274"/>
      <c r="I1497" s="274"/>
      <c r="J1497" s="274"/>
      <c r="K1497" s="274"/>
      <c r="L1497" s="274"/>
      <c r="M1497" s="274"/>
      <c r="N1497" s="274"/>
      <c r="O1497" s="274"/>
      <c r="P1497" s="274"/>
      <c r="Q1497" s="274"/>
      <c r="R1497" s="274"/>
      <c r="S1497" s="274"/>
      <c r="T1497" s="274"/>
      <c r="U1497" s="274"/>
      <c r="V1497" s="274"/>
    </row>
    <row r="1498" spans="1:22" x14ac:dyDescent="0.25">
      <c r="A1498" s="247">
        <v>1496</v>
      </c>
      <c r="B1498" s="270"/>
      <c r="C1498" s="270"/>
      <c r="D1498" s="271"/>
      <c r="E1498" s="272"/>
      <c r="F1498" s="272"/>
      <c r="G1498" s="273"/>
      <c r="H1498" s="274"/>
      <c r="I1498" s="274"/>
      <c r="J1498" s="274"/>
      <c r="K1498" s="274"/>
      <c r="L1498" s="274"/>
      <c r="M1498" s="274"/>
      <c r="N1498" s="274"/>
      <c r="O1498" s="274"/>
      <c r="P1498" s="274"/>
      <c r="Q1498" s="274"/>
      <c r="R1498" s="274"/>
      <c r="S1498" s="274"/>
      <c r="T1498" s="274"/>
      <c r="U1498" s="274"/>
      <c r="V1498" s="274"/>
    </row>
    <row r="1499" spans="1:22" x14ac:dyDescent="0.25">
      <c r="A1499" s="247">
        <v>1497</v>
      </c>
      <c r="B1499" s="270"/>
      <c r="C1499" s="270"/>
      <c r="D1499" s="271"/>
      <c r="E1499" s="272"/>
      <c r="F1499" s="272"/>
      <c r="G1499" s="273"/>
      <c r="H1499" s="274"/>
      <c r="I1499" s="274"/>
      <c r="J1499" s="274"/>
      <c r="K1499" s="274"/>
      <c r="L1499" s="274"/>
      <c r="M1499" s="274"/>
      <c r="N1499" s="274"/>
      <c r="O1499" s="274"/>
      <c r="P1499" s="274"/>
      <c r="Q1499" s="274"/>
      <c r="R1499" s="274"/>
      <c r="S1499" s="274"/>
      <c r="T1499" s="274"/>
      <c r="U1499" s="274"/>
      <c r="V1499" s="274"/>
    </row>
    <row r="1500" spans="1:22" x14ac:dyDescent="0.25">
      <c r="A1500" s="247">
        <v>1498</v>
      </c>
      <c r="B1500" s="270"/>
      <c r="C1500" s="270"/>
      <c r="D1500" s="271"/>
      <c r="E1500" s="272"/>
      <c r="F1500" s="272"/>
      <c r="G1500" s="273"/>
      <c r="H1500" s="274"/>
      <c r="I1500" s="274"/>
      <c r="J1500" s="274"/>
      <c r="K1500" s="274"/>
      <c r="L1500" s="274"/>
      <c r="M1500" s="274"/>
      <c r="N1500" s="274"/>
      <c r="O1500" s="274"/>
      <c r="P1500" s="274"/>
      <c r="Q1500" s="274"/>
      <c r="R1500" s="274"/>
      <c r="S1500" s="274"/>
      <c r="T1500" s="274"/>
      <c r="U1500" s="274"/>
      <c r="V1500" s="274"/>
    </row>
    <row r="1501" spans="1:22" x14ac:dyDescent="0.25">
      <c r="A1501" s="247">
        <v>1499</v>
      </c>
      <c r="B1501" s="270"/>
      <c r="C1501" s="270"/>
      <c r="D1501" s="271"/>
      <c r="E1501" s="272"/>
      <c r="F1501" s="272"/>
      <c r="G1501" s="273"/>
      <c r="H1501" s="274"/>
      <c r="I1501" s="274"/>
      <c r="J1501" s="274"/>
      <c r="K1501" s="274"/>
      <c r="L1501" s="274"/>
      <c r="M1501" s="274"/>
      <c r="N1501" s="274"/>
      <c r="O1501" s="274"/>
      <c r="P1501" s="274"/>
      <c r="Q1501" s="274"/>
      <c r="R1501" s="274"/>
      <c r="S1501" s="274"/>
      <c r="T1501" s="274"/>
      <c r="U1501" s="274"/>
      <c r="V1501" s="274"/>
    </row>
    <row r="1502" spans="1:22" x14ac:dyDescent="0.25">
      <c r="A1502" s="247">
        <v>1500</v>
      </c>
      <c r="B1502" s="270"/>
      <c r="C1502" s="270"/>
      <c r="D1502" s="271"/>
      <c r="E1502" s="272"/>
      <c r="F1502" s="272"/>
      <c r="G1502" s="273"/>
      <c r="H1502" s="274"/>
      <c r="I1502" s="274"/>
      <c r="J1502" s="274"/>
      <c r="K1502" s="274"/>
      <c r="L1502" s="274"/>
      <c r="M1502" s="274"/>
      <c r="N1502" s="274"/>
      <c r="O1502" s="274"/>
      <c r="P1502" s="274"/>
      <c r="Q1502" s="274"/>
      <c r="R1502" s="274"/>
      <c r="S1502" s="274"/>
      <c r="T1502" s="274"/>
      <c r="U1502" s="274"/>
      <c r="V1502" s="274"/>
    </row>
    <row r="1503" spans="1:22" x14ac:dyDescent="0.25">
      <c r="A1503" s="247">
        <v>1501</v>
      </c>
      <c r="B1503" s="270"/>
      <c r="C1503" s="270"/>
      <c r="D1503" s="271"/>
      <c r="E1503" s="272"/>
      <c r="F1503" s="272"/>
      <c r="G1503" s="273"/>
      <c r="H1503" s="274"/>
      <c r="I1503" s="274"/>
      <c r="J1503" s="274"/>
      <c r="K1503" s="274"/>
      <c r="L1503" s="274"/>
      <c r="M1503" s="274"/>
      <c r="N1503" s="274"/>
      <c r="O1503" s="274"/>
      <c r="P1503" s="274"/>
      <c r="Q1503" s="274"/>
      <c r="R1503" s="274"/>
      <c r="S1503" s="274"/>
      <c r="T1503" s="274"/>
      <c r="U1503" s="274"/>
      <c r="V1503" s="274"/>
    </row>
    <row r="1504" spans="1:22" x14ac:dyDescent="0.25">
      <c r="A1504" s="247">
        <v>1502</v>
      </c>
      <c r="B1504" s="270"/>
      <c r="C1504" s="270"/>
      <c r="D1504" s="271"/>
      <c r="E1504" s="272"/>
      <c r="F1504" s="272"/>
      <c r="G1504" s="273"/>
      <c r="H1504" s="274"/>
      <c r="I1504" s="274"/>
      <c r="J1504" s="274"/>
      <c r="K1504" s="274"/>
      <c r="L1504" s="274"/>
      <c r="M1504" s="274"/>
      <c r="N1504" s="274"/>
      <c r="O1504" s="274"/>
      <c r="P1504" s="274"/>
      <c r="Q1504" s="274"/>
      <c r="R1504" s="274"/>
      <c r="S1504" s="274"/>
      <c r="T1504" s="274"/>
      <c r="U1504" s="274"/>
      <c r="V1504" s="274"/>
    </row>
    <row r="1505" spans="1:22" x14ac:dyDescent="0.25">
      <c r="A1505" s="247">
        <v>1503</v>
      </c>
      <c r="B1505" s="270"/>
      <c r="C1505" s="270"/>
      <c r="D1505" s="271"/>
      <c r="E1505" s="272"/>
      <c r="F1505" s="272"/>
      <c r="G1505" s="273"/>
      <c r="H1505" s="274"/>
      <c r="I1505" s="274"/>
      <c r="J1505" s="274"/>
      <c r="K1505" s="274"/>
      <c r="L1505" s="274"/>
      <c r="M1505" s="274"/>
      <c r="N1505" s="274"/>
      <c r="O1505" s="274"/>
      <c r="P1505" s="274"/>
      <c r="Q1505" s="274"/>
      <c r="R1505" s="274"/>
      <c r="S1505" s="274"/>
      <c r="T1505" s="274"/>
      <c r="U1505" s="274"/>
      <c r="V1505" s="274"/>
    </row>
    <row r="1506" spans="1:22" x14ac:dyDescent="0.25">
      <c r="A1506" s="247">
        <v>1504</v>
      </c>
      <c r="B1506" s="270"/>
      <c r="C1506" s="270"/>
      <c r="D1506" s="271"/>
      <c r="E1506" s="272"/>
      <c r="F1506" s="272"/>
      <c r="G1506" s="273"/>
      <c r="H1506" s="274"/>
      <c r="I1506" s="274"/>
      <c r="J1506" s="274"/>
      <c r="K1506" s="274"/>
      <c r="L1506" s="274"/>
      <c r="M1506" s="274"/>
      <c r="N1506" s="274"/>
      <c r="O1506" s="274"/>
      <c r="P1506" s="274"/>
      <c r="Q1506" s="274"/>
      <c r="R1506" s="274"/>
      <c r="S1506" s="274"/>
      <c r="T1506" s="274"/>
      <c r="U1506" s="274"/>
      <c r="V1506" s="274"/>
    </row>
    <row r="1507" spans="1:22" x14ac:dyDescent="0.25">
      <c r="A1507" s="247">
        <v>1505</v>
      </c>
      <c r="B1507" s="270"/>
      <c r="C1507" s="270"/>
      <c r="D1507" s="271"/>
      <c r="E1507" s="272"/>
      <c r="F1507" s="272"/>
      <c r="G1507" s="273"/>
      <c r="H1507" s="274"/>
      <c r="I1507" s="274"/>
      <c r="J1507" s="274"/>
      <c r="K1507" s="274"/>
      <c r="L1507" s="274"/>
      <c r="M1507" s="274"/>
      <c r="N1507" s="274"/>
      <c r="O1507" s="274"/>
      <c r="P1507" s="274"/>
      <c r="Q1507" s="274"/>
      <c r="R1507" s="274"/>
      <c r="S1507" s="274"/>
      <c r="T1507" s="274"/>
      <c r="U1507" s="274"/>
      <c r="V1507" s="274"/>
    </row>
    <row r="1508" spans="1:22" x14ac:dyDescent="0.25">
      <c r="A1508" s="247">
        <v>1506</v>
      </c>
      <c r="B1508" s="270"/>
      <c r="C1508" s="270"/>
      <c r="D1508" s="271"/>
      <c r="E1508" s="272"/>
      <c r="F1508" s="272"/>
      <c r="G1508" s="273"/>
      <c r="H1508" s="274"/>
      <c r="I1508" s="274"/>
      <c r="J1508" s="274"/>
      <c r="K1508" s="274"/>
      <c r="L1508" s="274"/>
      <c r="M1508" s="274"/>
      <c r="N1508" s="274"/>
      <c r="O1508" s="274"/>
      <c r="P1508" s="274"/>
      <c r="Q1508" s="274"/>
      <c r="R1508" s="274"/>
      <c r="S1508" s="274"/>
      <c r="T1508" s="274"/>
      <c r="U1508" s="274"/>
      <c r="V1508" s="274"/>
    </row>
    <row r="1509" spans="1:22" x14ac:dyDescent="0.25">
      <c r="A1509" s="247">
        <v>1507</v>
      </c>
      <c r="B1509" s="270"/>
      <c r="C1509" s="270"/>
      <c r="D1509" s="271"/>
      <c r="E1509" s="272"/>
      <c r="F1509" s="272"/>
      <c r="G1509" s="273"/>
      <c r="H1509" s="274"/>
      <c r="I1509" s="274"/>
      <c r="J1509" s="274"/>
      <c r="K1509" s="274"/>
      <c r="L1509" s="274"/>
      <c r="M1509" s="274"/>
      <c r="N1509" s="274"/>
      <c r="O1509" s="274"/>
      <c r="P1509" s="274"/>
      <c r="Q1509" s="274"/>
      <c r="R1509" s="274"/>
      <c r="S1509" s="274"/>
      <c r="T1509" s="274"/>
      <c r="U1509" s="274"/>
      <c r="V1509" s="274"/>
    </row>
    <row r="1510" spans="1:22" x14ac:dyDescent="0.25">
      <c r="A1510" s="247">
        <v>1508</v>
      </c>
      <c r="B1510" s="270"/>
      <c r="C1510" s="270"/>
      <c r="D1510" s="271"/>
      <c r="E1510" s="272"/>
      <c r="F1510" s="272"/>
      <c r="G1510" s="273"/>
      <c r="H1510" s="274"/>
      <c r="I1510" s="274"/>
      <c r="J1510" s="274"/>
      <c r="K1510" s="274"/>
      <c r="L1510" s="274"/>
      <c r="M1510" s="274"/>
      <c r="N1510" s="274"/>
      <c r="O1510" s="274"/>
      <c r="P1510" s="274"/>
      <c r="Q1510" s="274"/>
      <c r="R1510" s="274"/>
      <c r="S1510" s="274"/>
      <c r="T1510" s="274"/>
      <c r="U1510" s="274"/>
      <c r="V1510" s="274"/>
    </row>
    <row r="1511" spans="1:22" x14ac:dyDescent="0.25">
      <c r="A1511" s="247">
        <v>1509</v>
      </c>
      <c r="B1511" s="270"/>
      <c r="C1511" s="270"/>
      <c r="D1511" s="271"/>
      <c r="E1511" s="272"/>
      <c r="F1511" s="272"/>
      <c r="G1511" s="273"/>
      <c r="H1511" s="274"/>
      <c r="I1511" s="274"/>
      <c r="J1511" s="274"/>
      <c r="K1511" s="274"/>
      <c r="L1511" s="274"/>
      <c r="M1511" s="274"/>
      <c r="N1511" s="274"/>
      <c r="O1511" s="274"/>
      <c r="P1511" s="274"/>
      <c r="Q1511" s="274"/>
      <c r="R1511" s="274"/>
      <c r="S1511" s="274"/>
      <c r="T1511" s="274"/>
      <c r="U1511" s="274"/>
      <c r="V1511" s="274"/>
    </row>
    <row r="1512" spans="1:22" x14ac:dyDescent="0.25">
      <c r="A1512" s="247">
        <v>1510</v>
      </c>
      <c r="B1512" s="270"/>
      <c r="C1512" s="270"/>
      <c r="D1512" s="271"/>
      <c r="E1512" s="272"/>
      <c r="F1512" s="272"/>
      <c r="G1512" s="273"/>
      <c r="H1512" s="274"/>
      <c r="I1512" s="274"/>
      <c r="J1512" s="274"/>
      <c r="K1512" s="274"/>
      <c r="L1512" s="274"/>
      <c r="M1512" s="274"/>
      <c r="N1512" s="274"/>
      <c r="O1512" s="274"/>
      <c r="P1512" s="274"/>
      <c r="Q1512" s="274"/>
      <c r="R1512" s="274"/>
      <c r="S1512" s="274"/>
      <c r="T1512" s="274"/>
      <c r="U1512" s="274"/>
      <c r="V1512" s="274"/>
    </row>
    <row r="1513" spans="1:22" x14ac:dyDescent="0.25">
      <c r="A1513" s="247">
        <v>1511</v>
      </c>
      <c r="B1513" s="270"/>
      <c r="C1513" s="270"/>
      <c r="D1513" s="271"/>
      <c r="E1513" s="272"/>
      <c r="F1513" s="272"/>
      <c r="G1513" s="273"/>
      <c r="H1513" s="274"/>
      <c r="I1513" s="274"/>
      <c r="J1513" s="274"/>
      <c r="K1513" s="274"/>
      <c r="L1513" s="274"/>
      <c r="M1513" s="274"/>
      <c r="N1513" s="274"/>
      <c r="O1513" s="274"/>
      <c r="P1513" s="274"/>
      <c r="Q1513" s="274"/>
      <c r="R1513" s="274"/>
      <c r="S1513" s="274"/>
      <c r="T1513" s="274"/>
      <c r="U1513" s="274"/>
      <c r="V1513" s="274"/>
    </row>
    <row r="1514" spans="1:22" x14ac:dyDescent="0.25">
      <c r="A1514" s="247">
        <v>1512</v>
      </c>
      <c r="B1514" s="270"/>
      <c r="C1514" s="270"/>
      <c r="D1514" s="271"/>
      <c r="E1514" s="272"/>
      <c r="F1514" s="272"/>
      <c r="G1514" s="273"/>
      <c r="H1514" s="274"/>
      <c r="I1514" s="274"/>
      <c r="J1514" s="274"/>
      <c r="K1514" s="274"/>
      <c r="L1514" s="274"/>
      <c r="M1514" s="274"/>
      <c r="N1514" s="274"/>
      <c r="O1514" s="274"/>
      <c r="P1514" s="274"/>
      <c r="Q1514" s="274"/>
      <c r="R1514" s="274"/>
      <c r="S1514" s="274"/>
      <c r="T1514" s="274"/>
      <c r="U1514" s="274"/>
      <c r="V1514" s="274"/>
    </row>
    <row r="1515" spans="1:22" x14ac:dyDescent="0.25">
      <c r="A1515" s="247">
        <v>1513</v>
      </c>
      <c r="B1515" s="270"/>
      <c r="C1515" s="270"/>
      <c r="D1515" s="271"/>
      <c r="E1515" s="272"/>
      <c r="F1515" s="272"/>
      <c r="G1515" s="273"/>
      <c r="H1515" s="274"/>
      <c r="I1515" s="274"/>
      <c r="J1515" s="274"/>
      <c r="K1515" s="274"/>
      <c r="L1515" s="274"/>
      <c r="M1515" s="274"/>
      <c r="N1515" s="274"/>
      <c r="O1515" s="274"/>
      <c r="P1515" s="274"/>
      <c r="Q1515" s="274"/>
      <c r="R1515" s="274"/>
      <c r="S1515" s="274"/>
      <c r="T1515" s="274"/>
      <c r="U1515" s="274"/>
      <c r="V1515" s="274"/>
    </row>
    <row r="1516" spans="1:22" x14ac:dyDescent="0.25">
      <c r="A1516" s="247">
        <v>1514</v>
      </c>
      <c r="B1516" s="270"/>
      <c r="C1516" s="270"/>
      <c r="D1516" s="271"/>
      <c r="E1516" s="272"/>
      <c r="F1516" s="272"/>
      <c r="G1516" s="273"/>
      <c r="H1516" s="274"/>
      <c r="I1516" s="274"/>
      <c r="J1516" s="274"/>
      <c r="K1516" s="274"/>
      <c r="L1516" s="274"/>
      <c r="M1516" s="274"/>
      <c r="N1516" s="274"/>
      <c r="O1516" s="274"/>
      <c r="P1516" s="274"/>
      <c r="Q1516" s="274"/>
      <c r="R1516" s="274"/>
      <c r="S1516" s="274"/>
      <c r="T1516" s="274"/>
      <c r="U1516" s="274"/>
      <c r="V1516" s="274"/>
    </row>
    <row r="1517" spans="1:22" x14ac:dyDescent="0.25">
      <c r="A1517" s="247">
        <v>1515</v>
      </c>
      <c r="B1517" s="270"/>
      <c r="C1517" s="270"/>
      <c r="D1517" s="271"/>
      <c r="E1517" s="272"/>
      <c r="F1517" s="272"/>
      <c r="G1517" s="273"/>
      <c r="H1517" s="274"/>
      <c r="I1517" s="274"/>
      <c r="J1517" s="274"/>
      <c r="K1517" s="274"/>
      <c r="L1517" s="274"/>
      <c r="M1517" s="274"/>
      <c r="N1517" s="274"/>
      <c r="O1517" s="274"/>
      <c r="P1517" s="274"/>
      <c r="Q1517" s="274"/>
      <c r="R1517" s="274"/>
      <c r="S1517" s="274"/>
      <c r="T1517" s="274"/>
      <c r="U1517" s="274"/>
      <c r="V1517" s="274"/>
    </row>
    <row r="1518" spans="1:22" x14ac:dyDescent="0.25">
      <c r="A1518" s="247">
        <v>1516</v>
      </c>
      <c r="B1518" s="270"/>
      <c r="C1518" s="270"/>
      <c r="D1518" s="271"/>
      <c r="E1518" s="272"/>
      <c r="F1518" s="272"/>
      <c r="G1518" s="273"/>
      <c r="H1518" s="274"/>
      <c r="I1518" s="274"/>
      <c r="J1518" s="274"/>
      <c r="K1518" s="274"/>
      <c r="L1518" s="274"/>
      <c r="M1518" s="274"/>
      <c r="N1518" s="274"/>
      <c r="O1518" s="274"/>
      <c r="P1518" s="274"/>
      <c r="Q1518" s="274"/>
      <c r="R1518" s="274"/>
      <c r="S1518" s="274"/>
      <c r="T1518" s="274"/>
      <c r="U1518" s="274"/>
      <c r="V1518" s="274"/>
    </row>
    <row r="1519" spans="1:22" x14ac:dyDescent="0.25">
      <c r="A1519" s="247">
        <v>1517</v>
      </c>
      <c r="B1519" s="270"/>
      <c r="C1519" s="270"/>
      <c r="D1519" s="271"/>
      <c r="E1519" s="272"/>
      <c r="F1519" s="272"/>
      <c r="G1519" s="273"/>
      <c r="H1519" s="274"/>
      <c r="I1519" s="274"/>
      <c r="J1519" s="274"/>
      <c r="K1519" s="274"/>
      <c r="L1519" s="274"/>
      <c r="M1519" s="274"/>
      <c r="N1519" s="274"/>
      <c r="O1519" s="274"/>
      <c r="P1519" s="274"/>
      <c r="Q1519" s="274"/>
      <c r="R1519" s="274"/>
      <c r="S1519" s="274"/>
      <c r="T1519" s="274"/>
      <c r="U1519" s="274"/>
      <c r="V1519" s="274"/>
    </row>
    <row r="1520" spans="1:22" x14ac:dyDescent="0.25">
      <c r="A1520" s="247">
        <v>1518</v>
      </c>
      <c r="B1520" s="270"/>
      <c r="C1520" s="270"/>
      <c r="D1520" s="271"/>
      <c r="E1520" s="272"/>
      <c r="F1520" s="272"/>
      <c r="G1520" s="273"/>
      <c r="H1520" s="274"/>
      <c r="I1520" s="274"/>
      <c r="J1520" s="274"/>
      <c r="K1520" s="274"/>
      <c r="L1520" s="274"/>
      <c r="M1520" s="274"/>
      <c r="N1520" s="274"/>
      <c r="O1520" s="274"/>
      <c r="P1520" s="274"/>
      <c r="Q1520" s="274"/>
      <c r="R1520" s="274"/>
      <c r="S1520" s="274"/>
      <c r="T1520" s="274"/>
      <c r="U1520" s="274"/>
      <c r="V1520" s="274"/>
    </row>
    <row r="1521" spans="1:22" x14ac:dyDescent="0.25">
      <c r="A1521" s="247">
        <v>1519</v>
      </c>
      <c r="B1521" s="270"/>
      <c r="C1521" s="270"/>
      <c r="D1521" s="271"/>
      <c r="E1521" s="272"/>
      <c r="F1521" s="272"/>
      <c r="G1521" s="273"/>
      <c r="H1521" s="274"/>
      <c r="I1521" s="274"/>
      <c r="J1521" s="274"/>
      <c r="K1521" s="274"/>
      <c r="L1521" s="274"/>
      <c r="M1521" s="274"/>
      <c r="N1521" s="274"/>
      <c r="O1521" s="274"/>
      <c r="P1521" s="274"/>
      <c r="Q1521" s="274"/>
      <c r="R1521" s="274"/>
      <c r="S1521" s="274"/>
      <c r="T1521" s="274"/>
      <c r="U1521" s="274"/>
      <c r="V1521" s="274"/>
    </row>
    <row r="1522" spans="1:22" x14ac:dyDescent="0.25">
      <c r="A1522" s="247">
        <v>1520</v>
      </c>
      <c r="B1522" s="270"/>
      <c r="C1522" s="270"/>
      <c r="D1522" s="271"/>
      <c r="E1522" s="272"/>
      <c r="F1522" s="272"/>
      <c r="G1522" s="273"/>
      <c r="H1522" s="274"/>
      <c r="I1522" s="274"/>
      <c r="J1522" s="274"/>
      <c r="K1522" s="274"/>
      <c r="L1522" s="274"/>
      <c r="M1522" s="274"/>
      <c r="N1522" s="274"/>
      <c r="O1522" s="274"/>
      <c r="P1522" s="274"/>
      <c r="Q1522" s="274"/>
      <c r="R1522" s="274"/>
      <c r="S1522" s="274"/>
      <c r="T1522" s="274"/>
      <c r="U1522" s="274"/>
      <c r="V1522" s="274"/>
    </row>
    <row r="1523" spans="1:22" x14ac:dyDescent="0.25">
      <c r="A1523" s="247">
        <v>1521</v>
      </c>
      <c r="B1523" s="270"/>
      <c r="C1523" s="270"/>
      <c r="D1523" s="271"/>
      <c r="E1523" s="272"/>
      <c r="F1523" s="272"/>
      <c r="G1523" s="273"/>
      <c r="H1523" s="274"/>
      <c r="I1523" s="274"/>
      <c r="J1523" s="274"/>
      <c r="K1523" s="274"/>
      <c r="L1523" s="274"/>
      <c r="M1523" s="274"/>
      <c r="N1523" s="274"/>
      <c r="O1523" s="274"/>
      <c r="P1523" s="274"/>
      <c r="Q1523" s="274"/>
      <c r="R1523" s="274"/>
      <c r="S1523" s="274"/>
      <c r="T1523" s="274"/>
      <c r="U1523" s="274"/>
      <c r="V1523" s="274"/>
    </row>
    <row r="1524" spans="1:22" x14ac:dyDescent="0.25">
      <c r="A1524" s="247">
        <v>1522</v>
      </c>
      <c r="B1524" s="270"/>
      <c r="C1524" s="270"/>
      <c r="D1524" s="271"/>
      <c r="E1524" s="272"/>
      <c r="F1524" s="272"/>
      <c r="G1524" s="273"/>
      <c r="H1524" s="274"/>
      <c r="I1524" s="274"/>
      <c r="J1524" s="274"/>
      <c r="K1524" s="274"/>
      <c r="L1524" s="274"/>
      <c r="M1524" s="274"/>
      <c r="N1524" s="274"/>
      <c r="O1524" s="274"/>
      <c r="P1524" s="274"/>
      <c r="Q1524" s="274"/>
      <c r="R1524" s="274"/>
      <c r="S1524" s="274"/>
      <c r="T1524" s="274"/>
      <c r="U1524" s="274"/>
      <c r="V1524" s="274"/>
    </row>
    <row r="1525" spans="1:22" x14ac:dyDescent="0.25">
      <c r="A1525" s="247">
        <v>1523</v>
      </c>
      <c r="B1525" s="270"/>
      <c r="C1525" s="270"/>
      <c r="D1525" s="271"/>
      <c r="E1525" s="272"/>
      <c r="F1525" s="272"/>
      <c r="G1525" s="273"/>
      <c r="H1525" s="274"/>
      <c r="I1525" s="274"/>
      <c r="J1525" s="274"/>
      <c r="K1525" s="274"/>
      <c r="L1525" s="274"/>
      <c r="M1525" s="274"/>
      <c r="N1525" s="274"/>
      <c r="O1525" s="274"/>
      <c r="P1525" s="274"/>
      <c r="Q1525" s="274"/>
      <c r="R1525" s="274"/>
      <c r="S1525" s="274"/>
      <c r="T1525" s="274"/>
      <c r="U1525" s="274"/>
      <c r="V1525" s="274"/>
    </row>
    <row r="1526" spans="1:22" x14ac:dyDescent="0.25">
      <c r="A1526" s="247">
        <v>1524</v>
      </c>
      <c r="B1526" s="270"/>
      <c r="C1526" s="270"/>
      <c r="D1526" s="271"/>
      <c r="E1526" s="272"/>
      <c r="F1526" s="272"/>
      <c r="G1526" s="273"/>
      <c r="H1526" s="274"/>
      <c r="I1526" s="274"/>
      <c r="J1526" s="274"/>
      <c r="K1526" s="274"/>
      <c r="L1526" s="274"/>
      <c r="M1526" s="274"/>
      <c r="N1526" s="274"/>
      <c r="O1526" s="274"/>
      <c r="P1526" s="274"/>
      <c r="Q1526" s="274"/>
      <c r="R1526" s="274"/>
      <c r="S1526" s="274"/>
      <c r="T1526" s="274"/>
      <c r="U1526" s="274"/>
      <c r="V1526" s="274"/>
    </row>
    <row r="1527" spans="1:22" x14ac:dyDescent="0.25">
      <c r="A1527" s="247">
        <v>1525</v>
      </c>
      <c r="B1527" s="270"/>
      <c r="C1527" s="270"/>
      <c r="D1527" s="271"/>
      <c r="E1527" s="272"/>
      <c r="F1527" s="272"/>
      <c r="G1527" s="273"/>
      <c r="H1527" s="274"/>
      <c r="I1527" s="274"/>
      <c r="J1527" s="274"/>
      <c r="K1527" s="274"/>
      <c r="L1527" s="274"/>
      <c r="M1527" s="274"/>
      <c r="N1527" s="274"/>
      <c r="O1527" s="274"/>
      <c r="P1527" s="274"/>
      <c r="Q1527" s="274"/>
      <c r="R1527" s="274"/>
      <c r="S1527" s="274"/>
      <c r="T1527" s="274"/>
      <c r="U1527" s="274"/>
      <c r="V1527" s="274"/>
    </row>
    <row r="1528" spans="1:22" x14ac:dyDescent="0.25">
      <c r="A1528" s="247">
        <v>1526</v>
      </c>
      <c r="B1528" s="270"/>
      <c r="C1528" s="270"/>
      <c r="D1528" s="271"/>
      <c r="E1528" s="272"/>
      <c r="F1528" s="272"/>
      <c r="G1528" s="273"/>
      <c r="H1528" s="274"/>
      <c r="I1528" s="274"/>
      <c r="J1528" s="274"/>
      <c r="K1528" s="274"/>
      <c r="L1528" s="274"/>
      <c r="M1528" s="274"/>
      <c r="N1528" s="274"/>
      <c r="O1528" s="274"/>
      <c r="P1528" s="274"/>
      <c r="Q1528" s="274"/>
      <c r="R1528" s="274"/>
      <c r="S1528" s="274"/>
      <c r="T1528" s="274"/>
      <c r="U1528" s="274"/>
      <c r="V1528" s="274"/>
    </row>
    <row r="1529" spans="1:22" x14ac:dyDescent="0.25">
      <c r="A1529" s="247">
        <v>1527</v>
      </c>
      <c r="B1529" s="270"/>
      <c r="C1529" s="270"/>
      <c r="D1529" s="271"/>
      <c r="E1529" s="272"/>
      <c r="F1529" s="272"/>
      <c r="G1529" s="273"/>
      <c r="H1529" s="274"/>
      <c r="I1529" s="274"/>
      <c r="J1529" s="274"/>
      <c r="K1529" s="274"/>
      <c r="L1529" s="274"/>
      <c r="M1529" s="274"/>
      <c r="N1529" s="274"/>
      <c r="O1529" s="274"/>
      <c r="P1529" s="274"/>
      <c r="Q1529" s="274"/>
      <c r="R1529" s="274"/>
      <c r="S1529" s="274"/>
      <c r="T1529" s="274"/>
      <c r="U1529" s="274"/>
      <c r="V1529" s="274"/>
    </row>
    <row r="1530" spans="1:22" x14ac:dyDescent="0.25">
      <c r="A1530" s="247">
        <v>1528</v>
      </c>
      <c r="B1530" s="270"/>
      <c r="C1530" s="270"/>
      <c r="D1530" s="271"/>
      <c r="E1530" s="272"/>
      <c r="F1530" s="272"/>
      <c r="G1530" s="273"/>
      <c r="H1530" s="274"/>
      <c r="I1530" s="274"/>
      <c r="J1530" s="274"/>
      <c r="K1530" s="274"/>
      <c r="L1530" s="274"/>
      <c r="M1530" s="274"/>
      <c r="N1530" s="274"/>
      <c r="O1530" s="274"/>
      <c r="P1530" s="274"/>
      <c r="Q1530" s="274"/>
      <c r="R1530" s="274"/>
      <c r="S1530" s="274"/>
      <c r="T1530" s="274"/>
      <c r="U1530" s="274"/>
      <c r="V1530" s="274"/>
    </row>
    <row r="1531" spans="1:22" x14ac:dyDescent="0.25">
      <c r="A1531" s="247">
        <v>1529</v>
      </c>
      <c r="B1531" s="270"/>
      <c r="C1531" s="270"/>
      <c r="D1531" s="271"/>
      <c r="E1531" s="272"/>
      <c r="F1531" s="272"/>
      <c r="G1531" s="273"/>
      <c r="H1531" s="274"/>
      <c r="I1531" s="274"/>
      <c r="J1531" s="274"/>
      <c r="K1531" s="274"/>
      <c r="L1531" s="274"/>
      <c r="M1531" s="274"/>
      <c r="N1531" s="274"/>
      <c r="O1531" s="274"/>
      <c r="P1531" s="274"/>
      <c r="Q1531" s="274"/>
      <c r="R1531" s="274"/>
      <c r="S1531" s="274"/>
      <c r="T1531" s="274"/>
      <c r="U1531" s="274"/>
      <c r="V1531" s="274"/>
    </row>
    <row r="1532" spans="1:22" x14ac:dyDescent="0.25">
      <c r="A1532" s="247">
        <v>1530</v>
      </c>
      <c r="B1532" s="270"/>
      <c r="C1532" s="270"/>
      <c r="D1532" s="271"/>
      <c r="E1532" s="272"/>
      <c r="F1532" s="272"/>
      <c r="G1532" s="273"/>
      <c r="H1532" s="274"/>
      <c r="I1532" s="274"/>
      <c r="J1532" s="274"/>
      <c r="K1532" s="274"/>
      <c r="L1532" s="274"/>
      <c r="M1532" s="274"/>
      <c r="N1532" s="274"/>
      <c r="O1532" s="274"/>
      <c r="P1532" s="274"/>
      <c r="Q1532" s="274"/>
      <c r="R1532" s="274"/>
      <c r="S1532" s="274"/>
      <c r="T1532" s="274"/>
      <c r="U1532" s="274"/>
      <c r="V1532" s="274"/>
    </row>
    <row r="1533" spans="1:22" x14ac:dyDescent="0.25">
      <c r="A1533" s="247">
        <v>1531</v>
      </c>
      <c r="B1533" s="270"/>
      <c r="C1533" s="270"/>
      <c r="D1533" s="271"/>
      <c r="E1533" s="272"/>
      <c r="F1533" s="272"/>
      <c r="G1533" s="273"/>
      <c r="H1533" s="274"/>
      <c r="I1533" s="274"/>
      <c r="J1533" s="274"/>
      <c r="K1533" s="274"/>
      <c r="L1533" s="274"/>
      <c r="M1533" s="274"/>
      <c r="N1533" s="274"/>
      <c r="O1533" s="274"/>
      <c r="P1533" s="274"/>
      <c r="Q1533" s="274"/>
      <c r="R1533" s="274"/>
      <c r="S1533" s="274"/>
      <c r="T1533" s="274"/>
      <c r="U1533" s="274"/>
      <c r="V1533" s="274"/>
    </row>
    <row r="1534" spans="1:22" x14ac:dyDescent="0.25">
      <c r="A1534" s="247">
        <v>1532</v>
      </c>
      <c r="B1534" s="270"/>
      <c r="C1534" s="270"/>
      <c r="D1534" s="271"/>
      <c r="E1534" s="272"/>
      <c r="F1534" s="272"/>
      <c r="G1534" s="273"/>
      <c r="H1534" s="274"/>
      <c r="I1534" s="274"/>
      <c r="J1534" s="274"/>
      <c r="K1534" s="274"/>
      <c r="L1534" s="274"/>
      <c r="M1534" s="274"/>
      <c r="N1534" s="274"/>
      <c r="O1534" s="274"/>
      <c r="P1534" s="274"/>
      <c r="Q1534" s="274"/>
      <c r="R1534" s="274"/>
      <c r="S1534" s="274"/>
      <c r="T1534" s="274"/>
      <c r="U1534" s="274"/>
      <c r="V1534" s="274"/>
    </row>
    <row r="1535" spans="1:22" x14ac:dyDescent="0.25">
      <c r="A1535" s="247">
        <v>1533</v>
      </c>
      <c r="B1535" s="270"/>
      <c r="C1535" s="270"/>
      <c r="D1535" s="271"/>
      <c r="E1535" s="272"/>
      <c r="F1535" s="272"/>
      <c r="G1535" s="273"/>
      <c r="H1535" s="274"/>
      <c r="I1535" s="274"/>
      <c r="J1535" s="274"/>
      <c r="K1535" s="274"/>
      <c r="L1535" s="274"/>
      <c r="M1535" s="274"/>
      <c r="N1535" s="274"/>
      <c r="O1535" s="274"/>
      <c r="P1535" s="274"/>
      <c r="Q1535" s="274"/>
      <c r="R1535" s="274"/>
      <c r="S1535" s="274"/>
      <c r="T1535" s="274"/>
      <c r="U1535" s="274"/>
      <c r="V1535" s="274"/>
    </row>
    <row r="1536" spans="1:22" x14ac:dyDescent="0.25">
      <c r="A1536" s="247">
        <v>1534</v>
      </c>
      <c r="B1536" s="270"/>
      <c r="C1536" s="270"/>
      <c r="D1536" s="271"/>
      <c r="E1536" s="272"/>
      <c r="F1536" s="272"/>
      <c r="G1536" s="273"/>
      <c r="H1536" s="274"/>
      <c r="I1536" s="274"/>
      <c r="J1536" s="274"/>
      <c r="K1536" s="274"/>
      <c r="L1536" s="274"/>
      <c r="M1536" s="274"/>
      <c r="N1536" s="274"/>
      <c r="O1536" s="274"/>
      <c r="P1536" s="274"/>
      <c r="Q1536" s="274"/>
      <c r="R1536" s="274"/>
      <c r="S1536" s="274"/>
      <c r="T1536" s="274"/>
      <c r="U1536" s="274"/>
      <c r="V1536" s="274"/>
    </row>
    <row r="1537" spans="1:22" x14ac:dyDescent="0.25">
      <c r="A1537" s="247">
        <v>1535</v>
      </c>
      <c r="B1537" s="270"/>
      <c r="C1537" s="270"/>
      <c r="D1537" s="271"/>
      <c r="E1537" s="272"/>
      <c r="F1537" s="272"/>
      <c r="G1537" s="273"/>
      <c r="H1537" s="274"/>
      <c r="I1537" s="274"/>
      <c r="J1537" s="274"/>
      <c r="K1537" s="274"/>
      <c r="L1537" s="274"/>
      <c r="M1537" s="274"/>
      <c r="N1537" s="274"/>
      <c r="O1537" s="274"/>
      <c r="P1537" s="274"/>
      <c r="Q1537" s="274"/>
      <c r="R1537" s="274"/>
      <c r="S1537" s="274"/>
      <c r="T1537" s="274"/>
      <c r="U1537" s="274"/>
      <c r="V1537" s="274"/>
    </row>
    <row r="1538" spans="1:22" x14ac:dyDescent="0.25">
      <c r="A1538" s="247">
        <v>1536</v>
      </c>
      <c r="B1538" s="270"/>
      <c r="C1538" s="270"/>
      <c r="D1538" s="271"/>
      <c r="E1538" s="272"/>
      <c r="F1538" s="272"/>
      <c r="G1538" s="273"/>
      <c r="H1538" s="274"/>
      <c r="I1538" s="274"/>
      <c r="J1538" s="274"/>
      <c r="K1538" s="274"/>
      <c r="L1538" s="274"/>
      <c r="M1538" s="274"/>
      <c r="N1538" s="274"/>
      <c r="O1538" s="274"/>
      <c r="P1538" s="274"/>
      <c r="Q1538" s="274"/>
      <c r="R1538" s="274"/>
      <c r="S1538" s="274"/>
      <c r="T1538" s="274"/>
      <c r="U1538" s="274"/>
      <c r="V1538" s="274"/>
    </row>
    <row r="1539" spans="1:22" x14ac:dyDescent="0.25">
      <c r="A1539" s="247">
        <v>1537</v>
      </c>
      <c r="B1539" s="270"/>
      <c r="C1539" s="270"/>
      <c r="D1539" s="271"/>
      <c r="E1539" s="272"/>
      <c r="F1539" s="272"/>
      <c r="G1539" s="273"/>
      <c r="H1539" s="274"/>
      <c r="I1539" s="274"/>
      <c r="J1539" s="274"/>
      <c r="K1539" s="274"/>
      <c r="L1539" s="274"/>
      <c r="M1539" s="274"/>
      <c r="N1539" s="274"/>
      <c r="O1539" s="274"/>
      <c r="P1539" s="274"/>
      <c r="Q1539" s="274"/>
      <c r="R1539" s="274"/>
      <c r="S1539" s="274"/>
      <c r="T1539" s="274"/>
      <c r="U1539" s="274"/>
      <c r="V1539" s="274"/>
    </row>
    <row r="1540" spans="1:22" x14ac:dyDescent="0.25">
      <c r="A1540" s="247">
        <v>1538</v>
      </c>
      <c r="B1540" s="270"/>
      <c r="C1540" s="270"/>
      <c r="D1540" s="271"/>
      <c r="E1540" s="272"/>
      <c r="F1540" s="272"/>
      <c r="G1540" s="273"/>
      <c r="H1540" s="274"/>
      <c r="I1540" s="274"/>
      <c r="J1540" s="274"/>
      <c r="K1540" s="274"/>
      <c r="L1540" s="274"/>
      <c r="M1540" s="274"/>
      <c r="N1540" s="274"/>
      <c r="O1540" s="274"/>
      <c r="P1540" s="274"/>
      <c r="Q1540" s="274"/>
      <c r="R1540" s="274"/>
      <c r="S1540" s="274"/>
      <c r="T1540" s="274"/>
      <c r="U1540" s="274"/>
      <c r="V1540" s="274"/>
    </row>
    <row r="1541" spans="1:22" x14ac:dyDescent="0.25">
      <c r="A1541" s="247">
        <v>1539</v>
      </c>
      <c r="B1541" s="270"/>
      <c r="C1541" s="270"/>
      <c r="D1541" s="271"/>
      <c r="E1541" s="272"/>
      <c r="F1541" s="272"/>
      <c r="G1541" s="273"/>
      <c r="H1541" s="274"/>
      <c r="I1541" s="274"/>
      <c r="J1541" s="274"/>
      <c r="K1541" s="274"/>
      <c r="L1541" s="274"/>
      <c r="M1541" s="274"/>
      <c r="N1541" s="274"/>
      <c r="O1541" s="274"/>
      <c r="P1541" s="274"/>
      <c r="Q1541" s="274"/>
      <c r="R1541" s="274"/>
      <c r="S1541" s="274"/>
      <c r="T1541" s="274"/>
      <c r="U1541" s="274"/>
      <c r="V1541" s="274"/>
    </row>
    <row r="1542" spans="1:22" x14ac:dyDescent="0.25">
      <c r="A1542" s="247">
        <v>1540</v>
      </c>
      <c r="B1542" s="270"/>
      <c r="C1542" s="270"/>
      <c r="D1542" s="271"/>
      <c r="E1542" s="272"/>
      <c r="F1542" s="272"/>
      <c r="G1542" s="273"/>
      <c r="H1542" s="274"/>
      <c r="I1542" s="274"/>
      <c r="J1542" s="274"/>
      <c r="K1542" s="274"/>
      <c r="L1542" s="274"/>
      <c r="M1542" s="274"/>
      <c r="N1542" s="274"/>
      <c r="O1542" s="274"/>
      <c r="P1542" s="274"/>
      <c r="Q1542" s="274"/>
      <c r="R1542" s="274"/>
      <c r="S1542" s="274"/>
      <c r="T1542" s="274"/>
      <c r="U1542" s="274"/>
      <c r="V1542" s="274"/>
    </row>
    <row r="1543" spans="1:22" x14ac:dyDescent="0.25">
      <c r="A1543" s="247">
        <v>1541</v>
      </c>
      <c r="B1543" s="270"/>
      <c r="C1543" s="270"/>
      <c r="D1543" s="271"/>
      <c r="E1543" s="272"/>
      <c r="F1543" s="272"/>
      <c r="G1543" s="273"/>
      <c r="H1543" s="274"/>
      <c r="I1543" s="274"/>
      <c r="J1543" s="274"/>
      <c r="K1543" s="274"/>
      <c r="L1543" s="274"/>
      <c r="M1543" s="274"/>
      <c r="N1543" s="274"/>
      <c r="O1543" s="274"/>
      <c r="P1543" s="274"/>
      <c r="Q1543" s="274"/>
      <c r="R1543" s="274"/>
      <c r="S1543" s="274"/>
      <c r="T1543" s="274"/>
      <c r="U1543" s="274"/>
      <c r="V1543" s="274"/>
    </row>
    <row r="1544" spans="1:22" x14ac:dyDescent="0.25">
      <c r="A1544" s="247">
        <v>1542</v>
      </c>
      <c r="B1544" s="270"/>
      <c r="C1544" s="270"/>
      <c r="D1544" s="271"/>
      <c r="E1544" s="272"/>
      <c r="F1544" s="272"/>
      <c r="G1544" s="273"/>
      <c r="H1544" s="274"/>
      <c r="I1544" s="274"/>
      <c r="J1544" s="274"/>
      <c r="K1544" s="274"/>
      <c r="L1544" s="274"/>
      <c r="M1544" s="274"/>
      <c r="N1544" s="274"/>
      <c r="O1544" s="274"/>
      <c r="P1544" s="274"/>
      <c r="Q1544" s="274"/>
      <c r="R1544" s="274"/>
      <c r="S1544" s="274"/>
      <c r="T1544" s="274"/>
      <c r="U1544" s="274"/>
      <c r="V1544" s="274"/>
    </row>
    <row r="1545" spans="1:22" x14ac:dyDescent="0.25">
      <c r="A1545" s="247">
        <v>1543</v>
      </c>
      <c r="B1545" s="270"/>
      <c r="C1545" s="270"/>
      <c r="D1545" s="271"/>
      <c r="E1545" s="272"/>
      <c r="F1545" s="272"/>
      <c r="G1545" s="273"/>
      <c r="H1545" s="274"/>
      <c r="I1545" s="274"/>
      <c r="J1545" s="274"/>
      <c r="K1545" s="274"/>
      <c r="L1545" s="274"/>
      <c r="M1545" s="274"/>
      <c r="N1545" s="274"/>
      <c r="O1545" s="274"/>
      <c r="P1545" s="274"/>
      <c r="Q1545" s="274"/>
      <c r="R1545" s="274"/>
      <c r="S1545" s="274"/>
      <c r="T1545" s="274"/>
      <c r="U1545" s="274"/>
      <c r="V1545" s="274"/>
    </row>
    <row r="1546" spans="1:22" x14ac:dyDescent="0.25">
      <c r="A1546" s="247">
        <v>1544</v>
      </c>
      <c r="B1546" s="270"/>
      <c r="C1546" s="270"/>
      <c r="D1546" s="271"/>
      <c r="E1546" s="272"/>
      <c r="F1546" s="272"/>
      <c r="G1546" s="273"/>
      <c r="H1546" s="274"/>
      <c r="I1546" s="274"/>
      <c r="J1546" s="274"/>
      <c r="K1546" s="274"/>
      <c r="L1546" s="274"/>
      <c r="M1546" s="274"/>
      <c r="N1546" s="274"/>
      <c r="O1546" s="274"/>
      <c r="P1546" s="274"/>
      <c r="Q1546" s="274"/>
      <c r="R1546" s="274"/>
      <c r="S1546" s="274"/>
      <c r="T1546" s="274"/>
      <c r="U1546" s="274"/>
      <c r="V1546" s="274"/>
    </row>
    <row r="1547" spans="1:22" x14ac:dyDescent="0.25">
      <c r="A1547" s="247">
        <v>1545</v>
      </c>
      <c r="B1547" s="270"/>
      <c r="C1547" s="270"/>
      <c r="D1547" s="271"/>
      <c r="E1547" s="272"/>
      <c r="F1547" s="272"/>
      <c r="G1547" s="273"/>
      <c r="H1547" s="274"/>
      <c r="I1547" s="274"/>
      <c r="J1547" s="274"/>
      <c r="K1547" s="274"/>
      <c r="L1547" s="274"/>
      <c r="M1547" s="274"/>
      <c r="N1547" s="274"/>
      <c r="O1547" s="274"/>
      <c r="P1547" s="274"/>
      <c r="Q1547" s="274"/>
      <c r="R1547" s="274"/>
      <c r="S1547" s="274"/>
      <c r="T1547" s="274"/>
      <c r="U1547" s="274"/>
      <c r="V1547" s="274"/>
    </row>
    <row r="1548" spans="1:22" x14ac:dyDescent="0.25">
      <c r="A1548" s="247">
        <v>1546</v>
      </c>
      <c r="B1548" s="270"/>
      <c r="C1548" s="270"/>
      <c r="D1548" s="271"/>
      <c r="E1548" s="272"/>
      <c r="F1548" s="272"/>
      <c r="G1548" s="273"/>
      <c r="H1548" s="274"/>
      <c r="I1548" s="274"/>
      <c r="J1548" s="274"/>
      <c r="K1548" s="274"/>
      <c r="L1548" s="274"/>
      <c r="M1548" s="274"/>
      <c r="N1548" s="274"/>
      <c r="O1548" s="274"/>
      <c r="P1548" s="274"/>
      <c r="Q1548" s="274"/>
      <c r="R1548" s="274"/>
      <c r="S1548" s="274"/>
      <c r="T1548" s="274"/>
      <c r="U1548" s="274"/>
      <c r="V1548" s="274"/>
    </row>
    <row r="1549" spans="1:22" x14ac:dyDescent="0.25">
      <c r="A1549" s="247">
        <v>1547</v>
      </c>
      <c r="B1549" s="270"/>
      <c r="C1549" s="270"/>
      <c r="D1549" s="271"/>
      <c r="E1549" s="272"/>
      <c r="F1549" s="272"/>
      <c r="G1549" s="273"/>
      <c r="H1549" s="274"/>
      <c r="I1549" s="274"/>
      <c r="J1549" s="274"/>
      <c r="K1549" s="274"/>
      <c r="L1549" s="274"/>
      <c r="M1549" s="274"/>
      <c r="N1549" s="274"/>
      <c r="O1549" s="274"/>
      <c r="P1549" s="274"/>
      <c r="Q1549" s="274"/>
      <c r="R1549" s="274"/>
      <c r="S1549" s="274"/>
      <c r="T1549" s="274"/>
      <c r="U1549" s="274"/>
      <c r="V1549" s="274"/>
    </row>
    <row r="1550" spans="1:22" x14ac:dyDescent="0.25">
      <c r="A1550" s="247">
        <v>1548</v>
      </c>
      <c r="B1550" s="270"/>
      <c r="C1550" s="270"/>
      <c r="D1550" s="271"/>
      <c r="E1550" s="272"/>
      <c r="F1550" s="272"/>
      <c r="G1550" s="273"/>
      <c r="H1550" s="274"/>
      <c r="I1550" s="274"/>
      <c r="J1550" s="274"/>
      <c r="K1550" s="274"/>
      <c r="L1550" s="274"/>
      <c r="M1550" s="274"/>
      <c r="N1550" s="274"/>
      <c r="O1550" s="274"/>
      <c r="P1550" s="274"/>
      <c r="Q1550" s="274"/>
      <c r="R1550" s="274"/>
      <c r="S1550" s="274"/>
      <c r="T1550" s="274"/>
      <c r="U1550" s="274"/>
      <c r="V1550" s="274"/>
    </row>
    <row r="1551" spans="1:22" x14ac:dyDescent="0.25">
      <c r="A1551" s="247">
        <v>1549</v>
      </c>
      <c r="B1551" s="270"/>
      <c r="C1551" s="270"/>
      <c r="D1551" s="271"/>
      <c r="E1551" s="272"/>
      <c r="F1551" s="272"/>
      <c r="G1551" s="273"/>
      <c r="H1551" s="274"/>
      <c r="I1551" s="274"/>
      <c r="J1551" s="274"/>
      <c r="K1551" s="274"/>
      <c r="L1551" s="274"/>
      <c r="M1551" s="274"/>
      <c r="N1551" s="274"/>
      <c r="O1551" s="274"/>
      <c r="P1551" s="274"/>
      <c r="Q1551" s="274"/>
      <c r="R1551" s="274"/>
      <c r="S1551" s="274"/>
      <c r="T1551" s="274"/>
      <c r="U1551" s="274"/>
      <c r="V1551" s="274"/>
    </row>
    <row r="1552" spans="1:22" x14ac:dyDescent="0.25">
      <c r="A1552" s="247">
        <v>1550</v>
      </c>
      <c r="B1552" s="270"/>
      <c r="C1552" s="270"/>
      <c r="D1552" s="271"/>
      <c r="E1552" s="272"/>
      <c r="F1552" s="272"/>
      <c r="G1552" s="273"/>
      <c r="H1552" s="274"/>
      <c r="I1552" s="274"/>
      <c r="J1552" s="274"/>
      <c r="K1552" s="274"/>
      <c r="L1552" s="274"/>
      <c r="M1552" s="274"/>
      <c r="N1552" s="274"/>
      <c r="O1552" s="274"/>
      <c r="P1552" s="274"/>
      <c r="Q1552" s="274"/>
      <c r="R1552" s="274"/>
      <c r="S1552" s="274"/>
      <c r="T1552" s="274"/>
      <c r="U1552" s="274"/>
      <c r="V1552" s="274"/>
    </row>
    <row r="1553" spans="1:22" x14ac:dyDescent="0.25">
      <c r="A1553" s="247">
        <v>1551</v>
      </c>
      <c r="B1553" s="270"/>
      <c r="C1553" s="270"/>
      <c r="D1553" s="271"/>
      <c r="E1553" s="272"/>
      <c r="F1553" s="272"/>
      <c r="G1553" s="273"/>
      <c r="H1553" s="274"/>
      <c r="I1553" s="274"/>
      <c r="J1553" s="274"/>
      <c r="K1553" s="274"/>
      <c r="L1553" s="274"/>
      <c r="M1553" s="274"/>
      <c r="N1553" s="274"/>
      <c r="O1553" s="274"/>
      <c r="P1553" s="274"/>
      <c r="Q1553" s="274"/>
      <c r="R1553" s="274"/>
      <c r="S1553" s="274"/>
      <c r="T1553" s="274"/>
      <c r="U1553" s="274"/>
      <c r="V1553" s="274"/>
    </row>
    <row r="1554" spans="1:22" x14ac:dyDescent="0.25">
      <c r="A1554" s="247">
        <v>1552</v>
      </c>
      <c r="B1554" s="270"/>
      <c r="C1554" s="270"/>
      <c r="D1554" s="271"/>
      <c r="E1554" s="272"/>
      <c r="F1554" s="272"/>
      <c r="G1554" s="273"/>
      <c r="H1554" s="274"/>
      <c r="I1554" s="274"/>
      <c r="J1554" s="274"/>
      <c r="K1554" s="274"/>
      <c r="L1554" s="274"/>
      <c r="M1554" s="274"/>
      <c r="N1554" s="274"/>
      <c r="O1554" s="274"/>
      <c r="P1554" s="274"/>
      <c r="Q1554" s="274"/>
      <c r="R1554" s="274"/>
      <c r="S1554" s="274"/>
      <c r="T1554" s="274"/>
      <c r="U1554" s="274"/>
      <c r="V1554" s="274"/>
    </row>
    <row r="1555" spans="1:22" x14ac:dyDescent="0.25">
      <c r="A1555" s="247">
        <v>1553</v>
      </c>
      <c r="B1555" s="270"/>
      <c r="C1555" s="270"/>
      <c r="D1555" s="271"/>
      <c r="E1555" s="272"/>
      <c r="F1555" s="272"/>
      <c r="G1555" s="273"/>
      <c r="H1555" s="274"/>
      <c r="I1555" s="274"/>
      <c r="J1555" s="274"/>
      <c r="K1555" s="274"/>
      <c r="L1555" s="274"/>
      <c r="M1555" s="274"/>
      <c r="N1555" s="274"/>
      <c r="O1555" s="274"/>
      <c r="P1555" s="274"/>
      <c r="Q1555" s="274"/>
      <c r="R1555" s="274"/>
      <c r="S1555" s="274"/>
      <c r="T1555" s="274"/>
      <c r="U1555" s="274"/>
      <c r="V1555" s="274"/>
    </row>
    <row r="1556" spans="1:22" x14ac:dyDescent="0.25">
      <c r="A1556" s="247">
        <v>1554</v>
      </c>
      <c r="B1556" s="270"/>
      <c r="C1556" s="270"/>
      <c r="D1556" s="271"/>
      <c r="E1556" s="272"/>
      <c r="F1556" s="272"/>
      <c r="G1556" s="273"/>
      <c r="H1556" s="274"/>
      <c r="I1556" s="274"/>
      <c r="J1556" s="274"/>
      <c r="K1556" s="274"/>
      <c r="L1556" s="274"/>
      <c r="M1556" s="274"/>
      <c r="N1556" s="274"/>
      <c r="O1556" s="274"/>
      <c r="P1556" s="274"/>
      <c r="Q1556" s="274"/>
      <c r="R1556" s="274"/>
      <c r="S1556" s="274"/>
      <c r="T1556" s="274"/>
      <c r="U1556" s="274"/>
      <c r="V1556" s="274"/>
    </row>
    <row r="1557" spans="1:22" x14ac:dyDescent="0.25">
      <c r="A1557" s="247">
        <v>1555</v>
      </c>
      <c r="B1557" s="270"/>
      <c r="C1557" s="270"/>
      <c r="D1557" s="271"/>
      <c r="E1557" s="272"/>
      <c r="F1557" s="272"/>
      <c r="G1557" s="273"/>
      <c r="H1557" s="274"/>
      <c r="I1557" s="274"/>
      <c r="J1557" s="274"/>
      <c r="K1557" s="274"/>
      <c r="L1557" s="274"/>
      <c r="M1557" s="274"/>
      <c r="N1557" s="274"/>
      <c r="O1557" s="274"/>
      <c r="P1557" s="274"/>
      <c r="Q1557" s="274"/>
      <c r="R1557" s="274"/>
      <c r="S1557" s="274"/>
      <c r="T1557" s="274"/>
      <c r="U1557" s="274"/>
      <c r="V1557" s="274"/>
    </row>
    <row r="1558" spans="1:22" x14ac:dyDescent="0.25">
      <c r="A1558" s="247">
        <v>1556</v>
      </c>
      <c r="B1558" s="270"/>
      <c r="C1558" s="270"/>
      <c r="D1558" s="271"/>
      <c r="E1558" s="272"/>
      <c r="F1558" s="272"/>
      <c r="G1558" s="273"/>
      <c r="H1558" s="274"/>
      <c r="I1558" s="274"/>
      <c r="J1558" s="274"/>
      <c r="K1558" s="274"/>
      <c r="L1558" s="274"/>
      <c r="M1558" s="274"/>
      <c r="N1558" s="274"/>
      <c r="O1558" s="274"/>
      <c r="P1558" s="274"/>
      <c r="Q1558" s="274"/>
      <c r="R1558" s="274"/>
      <c r="S1558" s="274"/>
      <c r="T1558" s="274"/>
      <c r="U1558" s="274"/>
      <c r="V1558" s="274"/>
    </row>
    <row r="1559" spans="1:22" x14ac:dyDescent="0.25">
      <c r="A1559" s="247">
        <v>1557</v>
      </c>
      <c r="B1559" s="270"/>
      <c r="C1559" s="270"/>
      <c r="D1559" s="271"/>
      <c r="E1559" s="272"/>
      <c r="F1559" s="272"/>
      <c r="G1559" s="273"/>
      <c r="H1559" s="274"/>
      <c r="I1559" s="274"/>
      <c r="J1559" s="274"/>
      <c r="K1559" s="274"/>
      <c r="L1559" s="274"/>
      <c r="M1559" s="274"/>
      <c r="N1559" s="274"/>
      <c r="O1559" s="274"/>
      <c r="P1559" s="274"/>
      <c r="Q1559" s="274"/>
      <c r="R1559" s="274"/>
      <c r="S1559" s="274"/>
      <c r="T1559" s="274"/>
      <c r="U1559" s="274"/>
      <c r="V1559" s="274"/>
    </row>
    <row r="1560" spans="1:22" x14ac:dyDescent="0.25">
      <c r="A1560" s="247">
        <v>1558</v>
      </c>
      <c r="B1560" s="270"/>
      <c r="C1560" s="270"/>
      <c r="D1560" s="271"/>
      <c r="E1560" s="272"/>
      <c r="F1560" s="272"/>
      <c r="G1560" s="273"/>
      <c r="H1560" s="274"/>
      <c r="I1560" s="274"/>
      <c r="J1560" s="274"/>
      <c r="K1560" s="274"/>
      <c r="L1560" s="274"/>
      <c r="M1560" s="274"/>
      <c r="N1560" s="274"/>
      <c r="O1560" s="274"/>
      <c r="P1560" s="274"/>
      <c r="Q1560" s="274"/>
      <c r="R1560" s="274"/>
      <c r="S1560" s="274"/>
      <c r="T1560" s="274"/>
      <c r="U1560" s="274"/>
      <c r="V1560" s="274"/>
    </row>
    <row r="1561" spans="1:22" x14ac:dyDescent="0.25">
      <c r="A1561" s="247">
        <v>1559</v>
      </c>
      <c r="B1561" s="270"/>
      <c r="C1561" s="270"/>
      <c r="D1561" s="271"/>
      <c r="E1561" s="272"/>
      <c r="F1561" s="272"/>
      <c r="G1561" s="273"/>
      <c r="H1561" s="274"/>
      <c r="I1561" s="274"/>
      <c r="J1561" s="274"/>
      <c r="K1561" s="274"/>
      <c r="L1561" s="274"/>
      <c r="M1561" s="274"/>
      <c r="N1561" s="274"/>
      <c r="O1561" s="274"/>
      <c r="P1561" s="274"/>
      <c r="Q1561" s="274"/>
      <c r="R1561" s="274"/>
      <c r="S1561" s="274"/>
      <c r="T1561" s="274"/>
      <c r="U1561" s="274"/>
      <c r="V1561" s="274"/>
    </row>
    <row r="1562" spans="1:22" x14ac:dyDescent="0.25">
      <c r="A1562" s="247">
        <v>1560</v>
      </c>
      <c r="B1562" s="270"/>
      <c r="C1562" s="270"/>
      <c r="D1562" s="271"/>
      <c r="E1562" s="272"/>
      <c r="F1562" s="272"/>
      <c r="G1562" s="273"/>
      <c r="H1562" s="274"/>
      <c r="I1562" s="274"/>
      <c r="J1562" s="274"/>
      <c r="K1562" s="274"/>
      <c r="L1562" s="274"/>
      <c r="M1562" s="274"/>
      <c r="N1562" s="274"/>
      <c r="O1562" s="274"/>
      <c r="P1562" s="274"/>
      <c r="Q1562" s="274"/>
      <c r="R1562" s="274"/>
      <c r="S1562" s="274"/>
      <c r="T1562" s="274"/>
      <c r="U1562" s="274"/>
      <c r="V1562" s="274"/>
    </row>
    <row r="1563" spans="1:22" x14ac:dyDescent="0.25">
      <c r="A1563" s="247">
        <v>1561</v>
      </c>
      <c r="B1563" s="270"/>
      <c r="C1563" s="270"/>
      <c r="D1563" s="271"/>
      <c r="E1563" s="272"/>
      <c r="F1563" s="272"/>
      <c r="G1563" s="273"/>
      <c r="H1563" s="274"/>
      <c r="I1563" s="274"/>
      <c r="J1563" s="274"/>
      <c r="K1563" s="274"/>
      <c r="L1563" s="274"/>
      <c r="M1563" s="274"/>
      <c r="N1563" s="274"/>
      <c r="O1563" s="274"/>
      <c r="P1563" s="274"/>
      <c r="Q1563" s="274"/>
      <c r="R1563" s="274"/>
      <c r="S1563" s="274"/>
      <c r="T1563" s="274"/>
      <c r="U1563" s="274"/>
      <c r="V1563" s="274"/>
    </row>
    <row r="1564" spans="1:22" x14ac:dyDescent="0.25">
      <c r="A1564" s="247">
        <v>1562</v>
      </c>
      <c r="B1564" s="270"/>
      <c r="C1564" s="270"/>
      <c r="D1564" s="271"/>
      <c r="E1564" s="272"/>
      <c r="F1564" s="272"/>
      <c r="G1564" s="273"/>
      <c r="H1564" s="274"/>
      <c r="I1564" s="274"/>
      <c r="J1564" s="274"/>
      <c r="K1564" s="274"/>
      <c r="L1564" s="274"/>
      <c r="M1564" s="274"/>
      <c r="N1564" s="274"/>
      <c r="O1564" s="274"/>
      <c r="P1564" s="274"/>
      <c r="Q1564" s="274"/>
      <c r="R1564" s="274"/>
      <c r="S1564" s="274"/>
      <c r="T1564" s="274"/>
      <c r="U1564" s="274"/>
      <c r="V1564" s="274"/>
    </row>
    <row r="1565" spans="1:22" x14ac:dyDescent="0.25">
      <c r="A1565" s="247">
        <v>1563</v>
      </c>
      <c r="B1565" s="270"/>
      <c r="C1565" s="270"/>
      <c r="D1565" s="271"/>
      <c r="E1565" s="272"/>
      <c r="F1565" s="272"/>
      <c r="G1565" s="273"/>
      <c r="H1565" s="274"/>
      <c r="I1565" s="274"/>
      <c r="J1565" s="274"/>
      <c r="K1565" s="274"/>
      <c r="L1565" s="274"/>
      <c r="M1565" s="274"/>
      <c r="N1565" s="274"/>
      <c r="O1565" s="274"/>
      <c r="P1565" s="274"/>
      <c r="Q1565" s="274"/>
      <c r="R1565" s="274"/>
      <c r="S1565" s="274"/>
      <c r="T1565" s="274"/>
      <c r="U1565" s="274"/>
      <c r="V1565" s="274"/>
    </row>
    <row r="1566" spans="1:22" x14ac:dyDescent="0.25">
      <c r="A1566" s="247">
        <v>1564</v>
      </c>
      <c r="B1566" s="270"/>
      <c r="C1566" s="270"/>
      <c r="D1566" s="271"/>
      <c r="E1566" s="272"/>
      <c r="F1566" s="272"/>
      <c r="G1566" s="273"/>
      <c r="H1566" s="274"/>
      <c r="I1566" s="274"/>
      <c r="J1566" s="274"/>
      <c r="K1566" s="274"/>
      <c r="L1566" s="274"/>
      <c r="M1566" s="274"/>
      <c r="N1566" s="274"/>
      <c r="O1566" s="274"/>
      <c r="P1566" s="274"/>
      <c r="Q1566" s="274"/>
      <c r="R1566" s="274"/>
      <c r="S1566" s="274"/>
      <c r="T1566" s="274"/>
      <c r="U1566" s="274"/>
      <c r="V1566" s="274"/>
    </row>
    <row r="1567" spans="1:22" x14ac:dyDescent="0.25">
      <c r="A1567" s="247">
        <v>1565</v>
      </c>
      <c r="B1567" s="270"/>
      <c r="C1567" s="270"/>
      <c r="D1567" s="271"/>
      <c r="E1567" s="272"/>
      <c r="F1567" s="272"/>
      <c r="G1567" s="273"/>
      <c r="H1567" s="274"/>
      <c r="I1567" s="274"/>
      <c r="J1567" s="274"/>
      <c r="K1567" s="274"/>
      <c r="L1567" s="274"/>
      <c r="M1567" s="274"/>
      <c r="N1567" s="274"/>
      <c r="O1567" s="274"/>
      <c r="P1567" s="274"/>
      <c r="Q1567" s="274"/>
      <c r="R1567" s="274"/>
      <c r="S1567" s="274"/>
      <c r="T1567" s="274"/>
      <c r="U1567" s="274"/>
      <c r="V1567" s="274"/>
    </row>
    <row r="1568" spans="1:22" x14ac:dyDescent="0.25">
      <c r="A1568" s="247">
        <v>1566</v>
      </c>
      <c r="B1568" s="270"/>
      <c r="C1568" s="270"/>
      <c r="D1568" s="271"/>
      <c r="E1568" s="272"/>
      <c r="F1568" s="272"/>
      <c r="G1568" s="273"/>
      <c r="H1568" s="274"/>
      <c r="I1568" s="274"/>
      <c r="J1568" s="274"/>
      <c r="K1568" s="274"/>
      <c r="L1568" s="274"/>
      <c r="M1568" s="274"/>
      <c r="N1568" s="274"/>
      <c r="O1568" s="274"/>
      <c r="P1568" s="274"/>
      <c r="Q1568" s="274"/>
      <c r="R1568" s="274"/>
      <c r="S1568" s="274"/>
      <c r="T1568" s="274"/>
      <c r="U1568" s="274"/>
      <c r="V1568" s="274"/>
    </row>
    <row r="1569" spans="1:22" x14ac:dyDescent="0.25">
      <c r="A1569" s="247">
        <v>1567</v>
      </c>
      <c r="B1569" s="270"/>
      <c r="C1569" s="270"/>
      <c r="D1569" s="271"/>
      <c r="E1569" s="272"/>
      <c r="F1569" s="272"/>
      <c r="G1569" s="273"/>
      <c r="H1569" s="274"/>
      <c r="I1569" s="274"/>
      <c r="J1569" s="274"/>
      <c r="K1569" s="274"/>
      <c r="L1569" s="274"/>
      <c r="M1569" s="274"/>
      <c r="N1569" s="274"/>
      <c r="O1569" s="274"/>
      <c r="P1569" s="274"/>
      <c r="Q1569" s="274"/>
      <c r="R1569" s="274"/>
      <c r="S1569" s="274"/>
      <c r="T1569" s="274"/>
      <c r="U1569" s="274"/>
      <c r="V1569" s="274"/>
    </row>
    <row r="1570" spans="1:22" x14ac:dyDescent="0.25">
      <c r="A1570" s="247">
        <v>1568</v>
      </c>
      <c r="B1570" s="270"/>
      <c r="C1570" s="270"/>
      <c r="D1570" s="271"/>
      <c r="E1570" s="272"/>
      <c r="F1570" s="272"/>
      <c r="G1570" s="273"/>
      <c r="H1570" s="274"/>
      <c r="I1570" s="274"/>
      <c r="J1570" s="274"/>
      <c r="K1570" s="274"/>
      <c r="L1570" s="274"/>
      <c r="M1570" s="274"/>
      <c r="N1570" s="274"/>
      <c r="O1570" s="274"/>
      <c r="P1570" s="274"/>
      <c r="Q1570" s="274"/>
      <c r="R1570" s="274"/>
      <c r="S1570" s="274"/>
      <c r="T1570" s="274"/>
      <c r="U1570" s="274"/>
      <c r="V1570" s="274"/>
    </row>
    <row r="1571" spans="1:22" x14ac:dyDescent="0.25">
      <c r="A1571" s="247">
        <v>1569</v>
      </c>
      <c r="B1571" s="270"/>
      <c r="C1571" s="270"/>
      <c r="D1571" s="271"/>
      <c r="E1571" s="272"/>
      <c r="F1571" s="272"/>
      <c r="G1571" s="273"/>
      <c r="H1571" s="274"/>
      <c r="I1571" s="274"/>
      <c r="J1571" s="274"/>
      <c r="K1571" s="274"/>
      <c r="L1571" s="274"/>
      <c r="M1571" s="274"/>
      <c r="N1571" s="274"/>
      <c r="O1571" s="274"/>
      <c r="P1571" s="274"/>
      <c r="Q1571" s="274"/>
      <c r="R1571" s="274"/>
      <c r="S1571" s="274"/>
      <c r="T1571" s="274"/>
      <c r="U1571" s="274"/>
      <c r="V1571" s="274"/>
    </row>
    <row r="1572" spans="1:22" x14ac:dyDescent="0.25">
      <c r="A1572" s="247">
        <v>1570</v>
      </c>
      <c r="B1572" s="270"/>
      <c r="C1572" s="270"/>
      <c r="D1572" s="271"/>
      <c r="E1572" s="272"/>
      <c r="F1572" s="272"/>
      <c r="G1572" s="273"/>
      <c r="H1572" s="274"/>
      <c r="I1572" s="274"/>
      <c r="J1572" s="274"/>
      <c r="K1572" s="274"/>
      <c r="L1572" s="274"/>
      <c r="M1572" s="274"/>
      <c r="N1572" s="274"/>
      <c r="O1572" s="274"/>
      <c r="P1572" s="274"/>
      <c r="Q1572" s="274"/>
      <c r="R1572" s="274"/>
      <c r="S1572" s="274"/>
      <c r="T1572" s="274"/>
      <c r="U1572" s="274"/>
      <c r="V1572" s="274"/>
    </row>
    <row r="1573" spans="1:22" x14ac:dyDescent="0.25">
      <c r="A1573" s="247">
        <v>1571</v>
      </c>
      <c r="B1573" s="270"/>
      <c r="C1573" s="270"/>
      <c r="D1573" s="271"/>
      <c r="E1573" s="272"/>
      <c r="F1573" s="272"/>
      <c r="G1573" s="273"/>
      <c r="H1573" s="274"/>
      <c r="I1573" s="274"/>
      <c r="J1573" s="274"/>
      <c r="K1573" s="274"/>
      <c r="L1573" s="274"/>
      <c r="M1573" s="274"/>
      <c r="N1573" s="274"/>
      <c r="O1573" s="274"/>
      <c r="P1573" s="274"/>
      <c r="Q1573" s="274"/>
      <c r="R1573" s="274"/>
      <c r="S1573" s="274"/>
      <c r="T1573" s="274"/>
      <c r="U1573" s="274"/>
      <c r="V1573" s="274"/>
    </row>
    <row r="1574" spans="1:22" x14ac:dyDescent="0.25">
      <c r="A1574" s="247">
        <v>1572</v>
      </c>
      <c r="B1574" s="270"/>
      <c r="C1574" s="270"/>
      <c r="D1574" s="271"/>
      <c r="E1574" s="272"/>
      <c r="F1574" s="272"/>
      <c r="G1574" s="273"/>
      <c r="H1574" s="274"/>
      <c r="I1574" s="274"/>
      <c r="J1574" s="274"/>
      <c r="K1574" s="274"/>
      <c r="L1574" s="274"/>
      <c r="M1574" s="274"/>
      <c r="N1574" s="274"/>
      <c r="O1574" s="274"/>
      <c r="P1574" s="274"/>
      <c r="Q1574" s="274"/>
      <c r="R1574" s="274"/>
      <c r="S1574" s="274"/>
      <c r="T1574" s="274"/>
      <c r="U1574" s="274"/>
      <c r="V1574" s="274"/>
    </row>
    <row r="1575" spans="1:22" x14ac:dyDescent="0.25">
      <c r="A1575" s="247">
        <v>1573</v>
      </c>
      <c r="B1575" s="270"/>
      <c r="C1575" s="270"/>
      <c r="D1575" s="271"/>
      <c r="E1575" s="272"/>
      <c r="F1575" s="272"/>
      <c r="G1575" s="273"/>
      <c r="H1575" s="274"/>
      <c r="I1575" s="274"/>
      <c r="J1575" s="274"/>
      <c r="K1575" s="274"/>
      <c r="L1575" s="274"/>
      <c r="M1575" s="274"/>
      <c r="N1575" s="274"/>
      <c r="O1575" s="274"/>
      <c r="P1575" s="274"/>
      <c r="Q1575" s="274"/>
      <c r="R1575" s="274"/>
      <c r="S1575" s="274"/>
      <c r="T1575" s="274"/>
      <c r="U1575" s="274"/>
      <c r="V1575" s="274"/>
    </row>
    <row r="1576" spans="1:22" x14ac:dyDescent="0.25">
      <c r="A1576" s="247">
        <v>1574</v>
      </c>
      <c r="B1576" s="270"/>
      <c r="C1576" s="270"/>
      <c r="D1576" s="271"/>
      <c r="E1576" s="272"/>
      <c r="F1576" s="272"/>
      <c r="G1576" s="273"/>
      <c r="H1576" s="274"/>
      <c r="I1576" s="274"/>
      <c r="J1576" s="274"/>
      <c r="K1576" s="274"/>
      <c r="L1576" s="274"/>
      <c r="M1576" s="274"/>
      <c r="N1576" s="274"/>
      <c r="O1576" s="274"/>
      <c r="P1576" s="274"/>
      <c r="Q1576" s="274"/>
      <c r="R1576" s="274"/>
      <c r="S1576" s="274"/>
      <c r="T1576" s="274"/>
      <c r="U1576" s="274"/>
      <c r="V1576" s="274"/>
    </row>
    <row r="1577" spans="1:22" x14ac:dyDescent="0.25">
      <c r="A1577" s="247">
        <v>1575</v>
      </c>
      <c r="B1577" s="270"/>
      <c r="C1577" s="270"/>
      <c r="D1577" s="271"/>
      <c r="E1577" s="272"/>
      <c r="F1577" s="272"/>
      <c r="G1577" s="273"/>
      <c r="H1577" s="274"/>
      <c r="I1577" s="274"/>
      <c r="J1577" s="274"/>
      <c r="K1577" s="274"/>
      <c r="L1577" s="274"/>
      <c r="M1577" s="274"/>
      <c r="N1577" s="274"/>
      <c r="O1577" s="274"/>
      <c r="P1577" s="274"/>
      <c r="Q1577" s="274"/>
      <c r="R1577" s="274"/>
      <c r="S1577" s="274"/>
      <c r="T1577" s="274"/>
      <c r="U1577" s="274"/>
      <c r="V1577" s="274"/>
    </row>
    <row r="1578" spans="1:22" x14ac:dyDescent="0.25">
      <c r="A1578" s="247">
        <v>1576</v>
      </c>
      <c r="B1578" s="270"/>
      <c r="C1578" s="270"/>
      <c r="D1578" s="271"/>
      <c r="E1578" s="272"/>
      <c r="F1578" s="272"/>
      <c r="G1578" s="273"/>
      <c r="H1578" s="274"/>
      <c r="I1578" s="274"/>
      <c r="J1578" s="274"/>
      <c r="K1578" s="274"/>
      <c r="L1578" s="274"/>
      <c r="M1578" s="274"/>
      <c r="N1578" s="274"/>
      <c r="O1578" s="274"/>
      <c r="P1578" s="274"/>
      <c r="Q1578" s="274"/>
      <c r="R1578" s="274"/>
      <c r="S1578" s="274"/>
      <c r="T1578" s="274"/>
      <c r="U1578" s="274"/>
      <c r="V1578" s="274"/>
    </row>
    <row r="1579" spans="1:22" x14ac:dyDescent="0.25">
      <c r="A1579" s="247">
        <v>1577</v>
      </c>
      <c r="B1579" s="270"/>
      <c r="C1579" s="270"/>
      <c r="D1579" s="271"/>
      <c r="E1579" s="272"/>
      <c r="F1579" s="272"/>
      <c r="G1579" s="273"/>
      <c r="H1579" s="274"/>
      <c r="I1579" s="274"/>
      <c r="J1579" s="274"/>
      <c r="K1579" s="274"/>
      <c r="L1579" s="274"/>
      <c r="M1579" s="274"/>
      <c r="N1579" s="274"/>
      <c r="O1579" s="274"/>
      <c r="P1579" s="274"/>
      <c r="Q1579" s="274"/>
      <c r="R1579" s="274"/>
      <c r="S1579" s="274"/>
      <c r="T1579" s="274"/>
      <c r="U1579" s="274"/>
      <c r="V1579" s="274"/>
    </row>
    <row r="1580" spans="1:22" x14ac:dyDescent="0.25">
      <c r="A1580" s="247">
        <v>1578</v>
      </c>
      <c r="B1580" s="270"/>
      <c r="C1580" s="270"/>
      <c r="D1580" s="271"/>
      <c r="E1580" s="272"/>
      <c r="F1580" s="272"/>
      <c r="G1580" s="273"/>
      <c r="H1580" s="274"/>
      <c r="I1580" s="274"/>
      <c r="J1580" s="274"/>
      <c r="K1580" s="274"/>
      <c r="L1580" s="274"/>
      <c r="M1580" s="274"/>
      <c r="N1580" s="274"/>
      <c r="O1580" s="274"/>
      <c r="P1580" s="274"/>
      <c r="Q1580" s="274"/>
      <c r="R1580" s="274"/>
      <c r="S1580" s="274"/>
      <c r="T1580" s="274"/>
      <c r="U1580" s="274"/>
      <c r="V1580" s="274"/>
    </row>
    <row r="1581" spans="1:22" x14ac:dyDescent="0.25">
      <c r="A1581" s="247">
        <v>1579</v>
      </c>
      <c r="B1581" s="270"/>
      <c r="C1581" s="270"/>
      <c r="D1581" s="271"/>
      <c r="E1581" s="272"/>
      <c r="F1581" s="272"/>
      <c r="G1581" s="273"/>
      <c r="H1581" s="274"/>
      <c r="I1581" s="274"/>
      <c r="J1581" s="274"/>
      <c r="K1581" s="274"/>
      <c r="L1581" s="274"/>
      <c r="M1581" s="274"/>
      <c r="N1581" s="274"/>
      <c r="O1581" s="274"/>
      <c r="P1581" s="274"/>
      <c r="Q1581" s="274"/>
      <c r="R1581" s="274"/>
      <c r="S1581" s="274"/>
      <c r="T1581" s="274"/>
      <c r="U1581" s="274"/>
      <c r="V1581" s="274"/>
    </row>
    <row r="1582" spans="1:22" x14ac:dyDescent="0.25">
      <c r="A1582" s="247">
        <v>1580</v>
      </c>
      <c r="B1582" s="270"/>
      <c r="C1582" s="270"/>
      <c r="D1582" s="271"/>
      <c r="E1582" s="272"/>
      <c r="F1582" s="272"/>
      <c r="G1582" s="273"/>
      <c r="H1582" s="274"/>
      <c r="I1582" s="274"/>
      <c r="J1582" s="274"/>
      <c r="K1582" s="274"/>
      <c r="L1582" s="274"/>
      <c r="M1582" s="274"/>
      <c r="N1582" s="274"/>
      <c r="O1582" s="274"/>
      <c r="P1582" s="274"/>
      <c r="Q1582" s="274"/>
      <c r="R1582" s="274"/>
      <c r="S1582" s="274"/>
      <c r="T1582" s="274"/>
      <c r="U1582" s="274"/>
      <c r="V1582" s="274"/>
    </row>
    <row r="1583" spans="1:22" x14ac:dyDescent="0.25">
      <c r="A1583" s="247">
        <v>1581</v>
      </c>
      <c r="B1583" s="270"/>
      <c r="C1583" s="270"/>
      <c r="D1583" s="271"/>
      <c r="E1583" s="272"/>
      <c r="F1583" s="272"/>
      <c r="G1583" s="273"/>
      <c r="H1583" s="274"/>
      <c r="I1583" s="274"/>
      <c r="J1583" s="274"/>
      <c r="K1583" s="274"/>
      <c r="L1583" s="274"/>
      <c r="M1583" s="274"/>
      <c r="N1583" s="274"/>
      <c r="O1583" s="274"/>
      <c r="P1583" s="274"/>
      <c r="Q1583" s="274"/>
      <c r="R1583" s="274"/>
      <c r="S1583" s="274"/>
      <c r="T1583" s="274"/>
      <c r="U1583" s="274"/>
      <c r="V1583" s="274"/>
    </row>
    <row r="1584" spans="1:22" x14ac:dyDescent="0.25">
      <c r="A1584" s="247">
        <v>1582</v>
      </c>
      <c r="B1584" s="270"/>
      <c r="C1584" s="270"/>
      <c r="D1584" s="271"/>
      <c r="E1584" s="272"/>
      <c r="F1584" s="272"/>
      <c r="G1584" s="273"/>
      <c r="H1584" s="274"/>
      <c r="I1584" s="274"/>
      <c r="J1584" s="274"/>
      <c r="K1584" s="274"/>
      <c r="L1584" s="274"/>
      <c r="M1584" s="274"/>
      <c r="N1584" s="274"/>
      <c r="O1584" s="274"/>
      <c r="P1584" s="274"/>
      <c r="Q1584" s="274"/>
      <c r="R1584" s="274"/>
      <c r="S1584" s="274"/>
      <c r="T1584" s="274"/>
      <c r="U1584" s="274"/>
      <c r="V1584" s="274"/>
    </row>
    <row r="1585" spans="1:22" x14ac:dyDescent="0.25">
      <c r="A1585" s="247">
        <v>1583</v>
      </c>
      <c r="B1585" s="270"/>
      <c r="C1585" s="270"/>
      <c r="D1585" s="271"/>
      <c r="E1585" s="272"/>
      <c r="F1585" s="272"/>
      <c r="G1585" s="273"/>
      <c r="H1585" s="274"/>
      <c r="I1585" s="274"/>
      <c r="J1585" s="274"/>
      <c r="K1585" s="274"/>
      <c r="L1585" s="274"/>
      <c r="M1585" s="274"/>
      <c r="N1585" s="274"/>
      <c r="O1585" s="274"/>
      <c r="P1585" s="274"/>
      <c r="Q1585" s="274"/>
      <c r="R1585" s="274"/>
      <c r="S1585" s="274"/>
      <c r="T1585" s="274"/>
      <c r="U1585" s="274"/>
      <c r="V1585" s="274"/>
    </row>
    <row r="1586" spans="1:22" x14ac:dyDescent="0.25">
      <c r="A1586" s="247">
        <v>1584</v>
      </c>
      <c r="B1586" s="270"/>
      <c r="C1586" s="270"/>
      <c r="D1586" s="271"/>
      <c r="E1586" s="272"/>
      <c r="F1586" s="272"/>
      <c r="G1586" s="273"/>
      <c r="H1586" s="274"/>
      <c r="I1586" s="274"/>
      <c r="J1586" s="274"/>
      <c r="K1586" s="274"/>
      <c r="L1586" s="274"/>
      <c r="M1586" s="274"/>
      <c r="N1586" s="274"/>
      <c r="O1586" s="274"/>
      <c r="P1586" s="274"/>
      <c r="Q1586" s="274"/>
      <c r="R1586" s="274"/>
      <c r="S1586" s="274"/>
      <c r="T1586" s="274"/>
      <c r="U1586" s="274"/>
      <c r="V1586" s="274"/>
    </row>
    <row r="1587" spans="1:22" x14ac:dyDescent="0.25">
      <c r="A1587" s="247">
        <v>1585</v>
      </c>
      <c r="B1587" s="270"/>
      <c r="C1587" s="270"/>
      <c r="D1587" s="271"/>
      <c r="E1587" s="272"/>
      <c r="F1587" s="272"/>
      <c r="G1587" s="273"/>
      <c r="H1587" s="274"/>
      <c r="I1587" s="274"/>
      <c r="J1587" s="274"/>
      <c r="K1587" s="274"/>
      <c r="L1587" s="274"/>
      <c r="M1587" s="274"/>
      <c r="N1587" s="274"/>
      <c r="O1587" s="274"/>
      <c r="P1587" s="274"/>
      <c r="Q1587" s="274"/>
      <c r="R1587" s="274"/>
      <c r="S1587" s="274"/>
      <c r="T1587" s="274"/>
      <c r="U1587" s="274"/>
      <c r="V1587" s="274"/>
    </row>
    <row r="1588" spans="1:22" x14ac:dyDescent="0.25">
      <c r="A1588" s="247">
        <v>1586</v>
      </c>
      <c r="B1588" s="270"/>
      <c r="C1588" s="270"/>
      <c r="D1588" s="271"/>
      <c r="E1588" s="272"/>
      <c r="F1588" s="272"/>
      <c r="G1588" s="273"/>
      <c r="H1588" s="274"/>
      <c r="I1588" s="274"/>
      <c r="J1588" s="274"/>
      <c r="K1588" s="274"/>
      <c r="L1588" s="274"/>
      <c r="M1588" s="274"/>
      <c r="N1588" s="274"/>
      <c r="O1588" s="274"/>
      <c r="P1588" s="274"/>
      <c r="Q1588" s="274"/>
      <c r="R1588" s="274"/>
      <c r="S1588" s="274"/>
      <c r="T1588" s="274"/>
      <c r="U1588" s="274"/>
      <c r="V1588" s="274"/>
    </row>
    <row r="1589" spans="1:22" x14ac:dyDescent="0.25">
      <c r="A1589" s="247">
        <v>1587</v>
      </c>
      <c r="B1589" s="270"/>
      <c r="C1589" s="270"/>
      <c r="D1589" s="271"/>
      <c r="E1589" s="272"/>
      <c r="F1589" s="272"/>
      <c r="G1589" s="273"/>
      <c r="H1589" s="274"/>
      <c r="I1589" s="274"/>
      <c r="J1589" s="274"/>
      <c r="K1589" s="274"/>
      <c r="L1589" s="274"/>
      <c r="M1589" s="274"/>
      <c r="N1589" s="274"/>
      <c r="O1589" s="274"/>
      <c r="P1589" s="274"/>
      <c r="Q1589" s="274"/>
      <c r="R1589" s="274"/>
      <c r="S1589" s="274"/>
      <c r="T1589" s="274"/>
      <c r="U1589" s="274"/>
      <c r="V1589" s="274"/>
    </row>
    <row r="1590" spans="1:22" x14ac:dyDescent="0.25">
      <c r="A1590" s="247">
        <v>1588</v>
      </c>
      <c r="B1590" s="270"/>
      <c r="C1590" s="270"/>
      <c r="D1590" s="271"/>
      <c r="E1590" s="272"/>
      <c r="F1590" s="272"/>
      <c r="G1590" s="273"/>
      <c r="H1590" s="274"/>
      <c r="I1590" s="274"/>
      <c r="J1590" s="274"/>
      <c r="K1590" s="274"/>
      <c r="L1590" s="274"/>
      <c r="M1590" s="274"/>
      <c r="N1590" s="274"/>
      <c r="O1590" s="274"/>
      <c r="P1590" s="274"/>
      <c r="Q1590" s="274"/>
      <c r="R1590" s="274"/>
      <c r="S1590" s="274"/>
      <c r="T1590" s="274"/>
      <c r="U1590" s="274"/>
      <c r="V1590" s="274"/>
    </row>
    <row r="1591" spans="1:22" x14ac:dyDescent="0.25">
      <c r="A1591" s="247">
        <v>1589</v>
      </c>
      <c r="B1591" s="270"/>
      <c r="C1591" s="270"/>
      <c r="D1591" s="271"/>
      <c r="E1591" s="272"/>
      <c r="F1591" s="272"/>
      <c r="G1591" s="273"/>
      <c r="H1591" s="274"/>
      <c r="I1591" s="274"/>
      <c r="J1591" s="274"/>
      <c r="K1591" s="274"/>
      <c r="L1591" s="274"/>
      <c r="M1591" s="274"/>
      <c r="N1591" s="274"/>
      <c r="O1591" s="274"/>
      <c r="P1591" s="274"/>
      <c r="Q1591" s="274"/>
      <c r="R1591" s="274"/>
      <c r="S1591" s="274"/>
      <c r="T1591" s="274"/>
      <c r="U1591" s="274"/>
      <c r="V1591" s="274"/>
    </row>
    <row r="1592" spans="1:22" x14ac:dyDescent="0.25">
      <c r="A1592" s="247">
        <v>1590</v>
      </c>
      <c r="B1592" s="270"/>
      <c r="C1592" s="270"/>
      <c r="D1592" s="271"/>
      <c r="E1592" s="272"/>
      <c r="F1592" s="272"/>
      <c r="G1592" s="273"/>
      <c r="H1592" s="274"/>
      <c r="I1592" s="274"/>
      <c r="J1592" s="274"/>
      <c r="K1592" s="274"/>
      <c r="L1592" s="274"/>
      <c r="M1592" s="274"/>
      <c r="N1592" s="274"/>
      <c r="O1592" s="274"/>
      <c r="P1592" s="274"/>
      <c r="Q1592" s="274"/>
      <c r="R1592" s="274"/>
      <c r="S1592" s="274"/>
      <c r="T1592" s="274"/>
      <c r="U1592" s="274"/>
      <c r="V1592" s="274"/>
    </row>
    <row r="1593" spans="1:22" x14ac:dyDescent="0.25">
      <c r="A1593" s="247">
        <v>1591</v>
      </c>
      <c r="B1593" s="270"/>
      <c r="C1593" s="270"/>
      <c r="D1593" s="271"/>
      <c r="E1593" s="272"/>
      <c r="F1593" s="272"/>
      <c r="G1593" s="273"/>
      <c r="H1593" s="274"/>
      <c r="I1593" s="274"/>
      <c r="J1593" s="274"/>
      <c r="K1593" s="274"/>
      <c r="L1593" s="274"/>
      <c r="M1593" s="274"/>
      <c r="N1593" s="274"/>
      <c r="O1593" s="274"/>
      <c r="P1593" s="274"/>
      <c r="Q1593" s="274"/>
      <c r="R1593" s="274"/>
      <c r="S1593" s="274"/>
      <c r="T1593" s="274"/>
      <c r="U1593" s="274"/>
      <c r="V1593" s="274"/>
    </row>
    <row r="1594" spans="1:22" x14ac:dyDescent="0.25">
      <c r="A1594" s="247">
        <v>1592</v>
      </c>
      <c r="B1594" s="270"/>
      <c r="C1594" s="270"/>
      <c r="D1594" s="271"/>
      <c r="E1594" s="272"/>
      <c r="F1594" s="272"/>
      <c r="G1594" s="273"/>
      <c r="H1594" s="274"/>
      <c r="I1594" s="274"/>
      <c r="J1594" s="274"/>
      <c r="K1594" s="274"/>
      <c r="L1594" s="274"/>
      <c r="M1594" s="274"/>
      <c r="N1594" s="274"/>
      <c r="O1594" s="274"/>
      <c r="P1594" s="274"/>
      <c r="Q1594" s="274"/>
      <c r="R1594" s="274"/>
      <c r="S1594" s="274"/>
      <c r="T1594" s="274"/>
      <c r="U1594" s="274"/>
      <c r="V1594" s="274"/>
    </row>
    <row r="1595" spans="1:22" x14ac:dyDescent="0.25">
      <c r="A1595" s="247">
        <v>1593</v>
      </c>
      <c r="B1595" s="270"/>
      <c r="C1595" s="270"/>
      <c r="D1595" s="271"/>
      <c r="E1595" s="272"/>
      <c r="F1595" s="272"/>
      <c r="G1595" s="273"/>
      <c r="H1595" s="274"/>
      <c r="I1595" s="274"/>
      <c r="J1595" s="274"/>
      <c r="K1595" s="274"/>
      <c r="L1595" s="274"/>
      <c r="M1595" s="274"/>
      <c r="N1595" s="274"/>
      <c r="O1595" s="274"/>
      <c r="P1595" s="274"/>
      <c r="Q1595" s="274"/>
      <c r="R1595" s="274"/>
      <c r="S1595" s="274"/>
      <c r="T1595" s="274"/>
      <c r="U1595" s="274"/>
      <c r="V1595" s="274"/>
    </row>
    <row r="1596" spans="1:22" x14ac:dyDescent="0.25">
      <c r="A1596" s="247">
        <v>1594</v>
      </c>
      <c r="B1596" s="270"/>
      <c r="C1596" s="270"/>
      <c r="D1596" s="271"/>
      <c r="E1596" s="272"/>
      <c r="F1596" s="272"/>
      <c r="G1596" s="273"/>
      <c r="H1596" s="274"/>
      <c r="I1596" s="274"/>
      <c r="J1596" s="274"/>
      <c r="K1596" s="274"/>
      <c r="L1596" s="274"/>
      <c r="M1596" s="274"/>
      <c r="N1596" s="274"/>
      <c r="O1596" s="274"/>
      <c r="P1596" s="274"/>
      <c r="Q1596" s="274"/>
      <c r="R1596" s="274"/>
      <c r="S1596" s="274"/>
      <c r="T1596" s="274"/>
      <c r="U1596" s="274"/>
      <c r="V1596" s="274"/>
    </row>
    <row r="1597" spans="1:22" x14ac:dyDescent="0.25">
      <c r="A1597" s="247">
        <v>1595</v>
      </c>
      <c r="B1597" s="270"/>
      <c r="C1597" s="270"/>
      <c r="D1597" s="271"/>
      <c r="E1597" s="272"/>
      <c r="F1597" s="272"/>
      <c r="G1597" s="273"/>
      <c r="H1597" s="274"/>
      <c r="I1597" s="274"/>
      <c r="J1597" s="274"/>
      <c r="K1597" s="274"/>
      <c r="L1597" s="274"/>
      <c r="M1597" s="274"/>
      <c r="N1597" s="274"/>
      <c r="O1597" s="274"/>
      <c r="P1597" s="274"/>
      <c r="Q1597" s="274"/>
      <c r="R1597" s="274"/>
      <c r="S1597" s="274"/>
      <c r="T1597" s="274"/>
      <c r="U1597" s="274"/>
      <c r="V1597" s="274"/>
    </row>
    <row r="1598" spans="1:22" x14ac:dyDescent="0.25">
      <c r="A1598" s="247">
        <v>1596</v>
      </c>
      <c r="B1598" s="270"/>
      <c r="C1598" s="270"/>
      <c r="D1598" s="271"/>
      <c r="E1598" s="272"/>
      <c r="F1598" s="272"/>
      <c r="G1598" s="273"/>
      <c r="H1598" s="274"/>
      <c r="I1598" s="274"/>
      <c r="J1598" s="274"/>
      <c r="K1598" s="274"/>
      <c r="L1598" s="274"/>
      <c r="M1598" s="274"/>
      <c r="N1598" s="274"/>
      <c r="O1598" s="274"/>
      <c r="P1598" s="274"/>
      <c r="Q1598" s="274"/>
      <c r="R1598" s="274"/>
      <c r="S1598" s="274"/>
      <c r="T1598" s="274"/>
      <c r="U1598" s="274"/>
      <c r="V1598" s="274"/>
    </row>
    <row r="1599" spans="1:22" x14ac:dyDescent="0.25">
      <c r="A1599" s="247">
        <v>1597</v>
      </c>
      <c r="B1599" s="270"/>
      <c r="C1599" s="270"/>
      <c r="D1599" s="271"/>
      <c r="E1599" s="272"/>
      <c r="F1599" s="272"/>
      <c r="G1599" s="273"/>
      <c r="H1599" s="274"/>
      <c r="I1599" s="274"/>
      <c r="J1599" s="274"/>
      <c r="K1599" s="274"/>
      <c r="L1599" s="274"/>
      <c r="M1599" s="274"/>
      <c r="N1599" s="274"/>
      <c r="O1599" s="274"/>
      <c r="P1599" s="274"/>
      <c r="Q1599" s="274"/>
      <c r="R1599" s="274"/>
      <c r="S1599" s="274"/>
      <c r="T1599" s="274"/>
      <c r="U1599" s="274"/>
      <c r="V1599" s="274"/>
    </row>
    <row r="1600" spans="1:22" x14ac:dyDescent="0.25">
      <c r="A1600" s="247">
        <v>1598</v>
      </c>
      <c r="B1600" s="270"/>
      <c r="C1600" s="270"/>
      <c r="D1600" s="271"/>
      <c r="E1600" s="272"/>
      <c r="F1600" s="272"/>
      <c r="G1600" s="273"/>
      <c r="H1600" s="274"/>
      <c r="I1600" s="274"/>
      <c r="J1600" s="274"/>
      <c r="K1600" s="274"/>
      <c r="L1600" s="274"/>
      <c r="M1600" s="274"/>
      <c r="N1600" s="274"/>
      <c r="O1600" s="274"/>
      <c r="P1600" s="274"/>
      <c r="Q1600" s="274"/>
      <c r="R1600" s="274"/>
      <c r="S1600" s="274"/>
      <c r="T1600" s="274"/>
      <c r="U1600" s="274"/>
      <c r="V1600" s="274"/>
    </row>
    <row r="1601" spans="1:22" x14ac:dyDescent="0.25">
      <c r="A1601" s="247">
        <v>1599</v>
      </c>
      <c r="B1601" s="270"/>
      <c r="C1601" s="270"/>
      <c r="D1601" s="271"/>
      <c r="E1601" s="272"/>
      <c r="F1601" s="272"/>
      <c r="G1601" s="273"/>
      <c r="H1601" s="274"/>
      <c r="I1601" s="274"/>
      <c r="J1601" s="274"/>
      <c r="K1601" s="274"/>
      <c r="L1601" s="274"/>
      <c r="M1601" s="274"/>
      <c r="N1601" s="274"/>
      <c r="O1601" s="274"/>
      <c r="P1601" s="274"/>
      <c r="Q1601" s="274"/>
      <c r="R1601" s="274"/>
      <c r="S1601" s="274"/>
      <c r="T1601" s="274"/>
      <c r="U1601" s="274"/>
      <c r="V1601" s="274"/>
    </row>
    <row r="1602" spans="1:22" x14ac:dyDescent="0.25">
      <c r="A1602" s="247">
        <v>1600</v>
      </c>
      <c r="B1602" s="270"/>
      <c r="C1602" s="270"/>
      <c r="D1602" s="271"/>
      <c r="E1602" s="272"/>
      <c r="F1602" s="272"/>
      <c r="G1602" s="273"/>
      <c r="H1602" s="274"/>
      <c r="I1602" s="274"/>
      <c r="J1602" s="274"/>
      <c r="K1602" s="274"/>
      <c r="L1602" s="274"/>
      <c r="M1602" s="274"/>
      <c r="N1602" s="274"/>
      <c r="O1602" s="274"/>
      <c r="P1602" s="274"/>
      <c r="Q1602" s="274"/>
      <c r="R1602" s="274"/>
      <c r="S1602" s="274"/>
      <c r="T1602" s="274"/>
      <c r="U1602" s="274"/>
      <c r="V1602" s="274"/>
    </row>
    <row r="1603" spans="1:22" x14ac:dyDescent="0.25">
      <c r="A1603" s="247">
        <v>1601</v>
      </c>
      <c r="B1603" s="270"/>
      <c r="C1603" s="270"/>
      <c r="D1603" s="271"/>
      <c r="E1603" s="272"/>
      <c r="F1603" s="272"/>
      <c r="G1603" s="273"/>
      <c r="H1603" s="274"/>
      <c r="I1603" s="274"/>
      <c r="J1603" s="274"/>
      <c r="K1603" s="274"/>
      <c r="L1603" s="274"/>
      <c r="M1603" s="274"/>
      <c r="N1603" s="274"/>
      <c r="O1603" s="274"/>
      <c r="P1603" s="274"/>
      <c r="Q1603" s="274"/>
      <c r="R1603" s="274"/>
      <c r="S1603" s="274"/>
      <c r="T1603" s="274"/>
      <c r="U1603" s="274"/>
      <c r="V1603" s="274"/>
    </row>
    <row r="1604" spans="1:22" x14ac:dyDescent="0.25">
      <c r="A1604" s="247">
        <v>1602</v>
      </c>
      <c r="B1604" s="270"/>
      <c r="C1604" s="270"/>
      <c r="D1604" s="271"/>
      <c r="E1604" s="272"/>
      <c r="F1604" s="272"/>
      <c r="G1604" s="273"/>
      <c r="H1604" s="274"/>
      <c r="I1604" s="274"/>
      <c r="J1604" s="274"/>
      <c r="K1604" s="274"/>
      <c r="L1604" s="274"/>
      <c r="M1604" s="274"/>
      <c r="N1604" s="274"/>
      <c r="O1604" s="274"/>
      <c r="P1604" s="274"/>
      <c r="Q1604" s="274"/>
      <c r="R1604" s="274"/>
      <c r="S1604" s="274"/>
      <c r="T1604" s="274"/>
      <c r="U1604" s="274"/>
      <c r="V1604" s="274"/>
    </row>
    <row r="1605" spans="1:22" x14ac:dyDescent="0.25">
      <c r="A1605" s="247">
        <v>1603</v>
      </c>
      <c r="B1605" s="270"/>
      <c r="C1605" s="270"/>
      <c r="D1605" s="271"/>
      <c r="E1605" s="272"/>
      <c r="F1605" s="272"/>
      <c r="G1605" s="273"/>
      <c r="H1605" s="274"/>
      <c r="I1605" s="274"/>
      <c r="J1605" s="274"/>
      <c r="K1605" s="274"/>
      <c r="L1605" s="274"/>
      <c r="M1605" s="274"/>
      <c r="N1605" s="274"/>
      <c r="O1605" s="274"/>
      <c r="P1605" s="274"/>
      <c r="Q1605" s="274"/>
      <c r="R1605" s="274"/>
      <c r="S1605" s="274"/>
      <c r="T1605" s="274"/>
      <c r="U1605" s="274"/>
      <c r="V1605" s="274"/>
    </row>
    <row r="1606" spans="1:22" x14ac:dyDescent="0.25">
      <c r="A1606" s="247">
        <v>1604</v>
      </c>
      <c r="B1606" s="270"/>
      <c r="C1606" s="270"/>
      <c r="D1606" s="271"/>
      <c r="E1606" s="272"/>
      <c r="F1606" s="272"/>
      <c r="G1606" s="273"/>
      <c r="H1606" s="274"/>
      <c r="I1606" s="274"/>
      <c r="J1606" s="274"/>
      <c r="K1606" s="274"/>
      <c r="L1606" s="274"/>
      <c r="M1606" s="274"/>
      <c r="N1606" s="274"/>
      <c r="O1606" s="274"/>
      <c r="P1606" s="274"/>
      <c r="Q1606" s="274"/>
      <c r="R1606" s="274"/>
      <c r="S1606" s="274"/>
      <c r="T1606" s="274"/>
      <c r="U1606" s="274"/>
      <c r="V1606" s="274"/>
    </row>
    <row r="1607" spans="1:22" x14ac:dyDescent="0.25">
      <c r="A1607" s="247">
        <v>1605</v>
      </c>
      <c r="B1607" s="270"/>
      <c r="C1607" s="270"/>
      <c r="D1607" s="271"/>
      <c r="E1607" s="272"/>
      <c r="F1607" s="272"/>
      <c r="G1607" s="273"/>
      <c r="H1607" s="274"/>
      <c r="I1607" s="274"/>
      <c r="J1607" s="274"/>
      <c r="K1607" s="274"/>
      <c r="L1607" s="274"/>
      <c r="M1607" s="274"/>
      <c r="N1607" s="274"/>
      <c r="O1607" s="274"/>
      <c r="P1607" s="274"/>
      <c r="Q1607" s="274"/>
      <c r="R1607" s="274"/>
      <c r="S1607" s="274"/>
      <c r="T1607" s="274"/>
      <c r="U1607" s="274"/>
      <c r="V1607" s="274"/>
    </row>
    <row r="1608" spans="1:22" x14ac:dyDescent="0.25">
      <c r="A1608" s="247">
        <v>1606</v>
      </c>
      <c r="B1608" s="270"/>
      <c r="C1608" s="270"/>
      <c r="D1608" s="271"/>
      <c r="E1608" s="272"/>
      <c r="F1608" s="272"/>
      <c r="G1608" s="273"/>
      <c r="H1608" s="274"/>
      <c r="I1608" s="274"/>
      <c r="J1608" s="274"/>
      <c r="K1608" s="274"/>
      <c r="L1608" s="274"/>
      <c r="M1608" s="274"/>
      <c r="N1608" s="274"/>
      <c r="O1608" s="274"/>
      <c r="P1608" s="274"/>
      <c r="Q1608" s="274"/>
      <c r="R1608" s="274"/>
      <c r="S1608" s="274"/>
      <c r="T1608" s="274"/>
      <c r="U1608" s="274"/>
      <c r="V1608" s="274"/>
    </row>
    <row r="1609" spans="1:22" x14ac:dyDescent="0.25">
      <c r="A1609" s="247">
        <v>1607</v>
      </c>
      <c r="B1609" s="270"/>
      <c r="C1609" s="270"/>
      <c r="D1609" s="271"/>
      <c r="E1609" s="272"/>
      <c r="F1609" s="272"/>
      <c r="G1609" s="273"/>
      <c r="H1609" s="274"/>
      <c r="I1609" s="274"/>
      <c r="J1609" s="274"/>
      <c r="K1609" s="274"/>
      <c r="L1609" s="274"/>
      <c r="M1609" s="274"/>
      <c r="N1609" s="274"/>
      <c r="O1609" s="274"/>
      <c r="P1609" s="274"/>
      <c r="Q1609" s="274"/>
      <c r="R1609" s="274"/>
      <c r="S1609" s="274"/>
      <c r="T1609" s="274"/>
      <c r="U1609" s="274"/>
      <c r="V1609" s="274"/>
    </row>
    <row r="1610" spans="1:22" x14ac:dyDescent="0.25">
      <c r="A1610" s="247">
        <v>1608</v>
      </c>
      <c r="B1610" s="270"/>
      <c r="C1610" s="270"/>
      <c r="D1610" s="271"/>
      <c r="E1610" s="272"/>
      <c r="F1610" s="272"/>
      <c r="G1610" s="273"/>
      <c r="H1610" s="274"/>
      <c r="I1610" s="274"/>
      <c r="J1610" s="274"/>
      <c r="K1610" s="274"/>
      <c r="L1610" s="274"/>
      <c r="M1610" s="274"/>
      <c r="N1610" s="274"/>
      <c r="O1610" s="274"/>
      <c r="P1610" s="274"/>
      <c r="Q1610" s="274"/>
      <c r="R1610" s="274"/>
      <c r="S1610" s="274"/>
      <c r="T1610" s="274"/>
      <c r="U1610" s="274"/>
      <c r="V1610" s="274"/>
    </row>
    <row r="1611" spans="1:22" x14ac:dyDescent="0.25">
      <c r="A1611" s="247">
        <v>1609</v>
      </c>
      <c r="B1611" s="270"/>
      <c r="C1611" s="270"/>
      <c r="D1611" s="271"/>
      <c r="E1611" s="272"/>
      <c r="F1611" s="272"/>
      <c r="G1611" s="273"/>
      <c r="H1611" s="274"/>
      <c r="I1611" s="274"/>
      <c r="J1611" s="274"/>
      <c r="K1611" s="274"/>
      <c r="L1611" s="274"/>
      <c r="M1611" s="274"/>
      <c r="N1611" s="274"/>
      <c r="O1611" s="274"/>
      <c r="P1611" s="274"/>
      <c r="Q1611" s="274"/>
      <c r="R1611" s="274"/>
      <c r="S1611" s="274"/>
      <c r="T1611" s="274"/>
      <c r="U1611" s="274"/>
      <c r="V1611" s="274"/>
    </row>
    <row r="1612" spans="1:22" x14ac:dyDescent="0.25">
      <c r="A1612" s="247">
        <v>1610</v>
      </c>
      <c r="B1612" s="270"/>
      <c r="C1612" s="270"/>
      <c r="D1612" s="271"/>
      <c r="E1612" s="272"/>
      <c r="F1612" s="272"/>
      <c r="G1612" s="273"/>
      <c r="H1612" s="274"/>
      <c r="I1612" s="274"/>
      <c r="J1612" s="274"/>
      <c r="K1612" s="274"/>
      <c r="L1612" s="274"/>
      <c r="M1612" s="274"/>
      <c r="N1612" s="274"/>
      <c r="O1612" s="274"/>
      <c r="P1612" s="274"/>
      <c r="Q1612" s="274"/>
      <c r="R1612" s="274"/>
      <c r="S1612" s="274"/>
      <c r="T1612" s="274"/>
      <c r="U1612" s="274"/>
      <c r="V1612" s="274"/>
    </row>
    <row r="1613" spans="1:22" x14ac:dyDescent="0.25">
      <c r="A1613" s="247">
        <v>1611</v>
      </c>
      <c r="B1613" s="270"/>
      <c r="C1613" s="270"/>
      <c r="D1613" s="271"/>
      <c r="E1613" s="272"/>
      <c r="F1613" s="272"/>
      <c r="G1613" s="273"/>
      <c r="H1613" s="274"/>
      <c r="I1613" s="274"/>
      <c r="J1613" s="274"/>
      <c r="K1613" s="274"/>
      <c r="L1613" s="274"/>
      <c r="M1613" s="274"/>
      <c r="N1613" s="274"/>
      <c r="O1613" s="274"/>
      <c r="P1613" s="274"/>
      <c r="Q1613" s="274"/>
      <c r="R1613" s="274"/>
      <c r="S1613" s="274"/>
      <c r="T1613" s="274"/>
      <c r="U1613" s="274"/>
      <c r="V1613" s="274"/>
    </row>
    <row r="1614" spans="1:22" x14ac:dyDescent="0.25">
      <c r="A1614" s="247">
        <v>1612</v>
      </c>
      <c r="B1614" s="270"/>
      <c r="C1614" s="270"/>
      <c r="D1614" s="271"/>
      <c r="E1614" s="272"/>
      <c r="F1614" s="272"/>
      <c r="G1614" s="273"/>
      <c r="H1614" s="274"/>
      <c r="I1614" s="274"/>
      <c r="J1614" s="274"/>
      <c r="K1614" s="274"/>
      <c r="L1614" s="274"/>
      <c r="M1614" s="274"/>
      <c r="N1614" s="274"/>
      <c r="O1614" s="274"/>
      <c r="P1614" s="274"/>
      <c r="Q1614" s="274"/>
      <c r="R1614" s="274"/>
      <c r="S1614" s="274"/>
      <c r="T1614" s="274"/>
      <c r="U1614" s="274"/>
      <c r="V1614" s="274"/>
    </row>
    <row r="1615" spans="1:22" x14ac:dyDescent="0.25">
      <c r="A1615" s="247">
        <v>1613</v>
      </c>
      <c r="B1615" s="270"/>
      <c r="C1615" s="270"/>
      <c r="D1615" s="271"/>
      <c r="E1615" s="272"/>
      <c r="F1615" s="272"/>
      <c r="G1615" s="273"/>
      <c r="H1615" s="274"/>
      <c r="I1615" s="274"/>
      <c r="J1615" s="274"/>
      <c r="K1615" s="274"/>
      <c r="L1615" s="274"/>
      <c r="M1615" s="274"/>
      <c r="N1615" s="274"/>
      <c r="O1615" s="274"/>
      <c r="P1615" s="274"/>
      <c r="Q1615" s="274"/>
      <c r="R1615" s="274"/>
      <c r="S1615" s="274"/>
      <c r="T1615" s="274"/>
      <c r="U1615" s="274"/>
      <c r="V1615" s="274"/>
    </row>
    <row r="1616" spans="1:22" x14ac:dyDescent="0.25">
      <c r="A1616" s="247">
        <v>1614</v>
      </c>
      <c r="B1616" s="270"/>
      <c r="C1616" s="270"/>
      <c r="D1616" s="271"/>
      <c r="E1616" s="272"/>
      <c r="F1616" s="272"/>
      <c r="G1616" s="273"/>
      <c r="H1616" s="274"/>
      <c r="I1616" s="274"/>
      <c r="J1616" s="274"/>
      <c r="K1616" s="274"/>
      <c r="L1616" s="274"/>
      <c r="M1616" s="274"/>
      <c r="N1616" s="274"/>
      <c r="O1616" s="274"/>
      <c r="P1616" s="274"/>
      <c r="Q1616" s="274"/>
      <c r="R1616" s="274"/>
      <c r="S1616" s="274"/>
      <c r="T1616" s="274"/>
      <c r="U1616" s="274"/>
      <c r="V1616" s="274"/>
    </row>
    <row r="1617" spans="1:22" x14ac:dyDescent="0.25">
      <c r="A1617" s="247">
        <v>1615</v>
      </c>
      <c r="B1617" s="270"/>
      <c r="C1617" s="270"/>
      <c r="D1617" s="271"/>
      <c r="E1617" s="272"/>
      <c r="F1617" s="272"/>
      <c r="G1617" s="273"/>
      <c r="H1617" s="274"/>
      <c r="I1617" s="274"/>
      <c r="J1617" s="274"/>
      <c r="K1617" s="274"/>
      <c r="L1617" s="274"/>
      <c r="M1617" s="274"/>
      <c r="N1617" s="274"/>
      <c r="O1617" s="274"/>
      <c r="P1617" s="274"/>
      <c r="Q1617" s="274"/>
      <c r="R1617" s="274"/>
      <c r="S1617" s="274"/>
      <c r="T1617" s="274"/>
      <c r="U1617" s="274"/>
      <c r="V1617" s="274"/>
    </row>
    <row r="1618" spans="1:22" x14ac:dyDescent="0.25">
      <c r="A1618" s="247">
        <v>1616</v>
      </c>
      <c r="B1618" s="270"/>
      <c r="C1618" s="270"/>
      <c r="D1618" s="271"/>
      <c r="E1618" s="272"/>
      <c r="F1618" s="272"/>
      <c r="G1618" s="273"/>
      <c r="H1618" s="274"/>
      <c r="I1618" s="274"/>
      <c r="J1618" s="274"/>
      <c r="K1618" s="274"/>
      <c r="L1618" s="274"/>
      <c r="M1618" s="274"/>
      <c r="N1618" s="274"/>
      <c r="O1618" s="274"/>
      <c r="P1618" s="274"/>
      <c r="Q1618" s="274"/>
      <c r="R1618" s="274"/>
      <c r="S1618" s="274"/>
      <c r="T1618" s="274"/>
      <c r="U1618" s="274"/>
      <c r="V1618" s="274"/>
    </row>
    <row r="1619" spans="1:22" x14ac:dyDescent="0.25">
      <c r="A1619" s="247">
        <v>1617</v>
      </c>
      <c r="B1619" s="270"/>
      <c r="C1619" s="270"/>
      <c r="D1619" s="271"/>
      <c r="E1619" s="272"/>
      <c r="F1619" s="272"/>
      <c r="G1619" s="273"/>
      <c r="H1619" s="274"/>
      <c r="I1619" s="274"/>
      <c r="J1619" s="274"/>
      <c r="K1619" s="274"/>
      <c r="L1619" s="274"/>
      <c r="M1619" s="274"/>
      <c r="N1619" s="274"/>
      <c r="O1619" s="274"/>
      <c r="P1619" s="274"/>
      <c r="Q1619" s="274"/>
      <c r="R1619" s="274"/>
      <c r="S1619" s="274"/>
      <c r="T1619" s="274"/>
      <c r="U1619" s="274"/>
      <c r="V1619" s="274"/>
    </row>
    <row r="1620" spans="1:22" x14ac:dyDescent="0.25">
      <c r="A1620" s="247">
        <v>1618</v>
      </c>
      <c r="B1620" s="270"/>
      <c r="C1620" s="270"/>
      <c r="D1620" s="271"/>
      <c r="E1620" s="272"/>
      <c r="F1620" s="272"/>
      <c r="G1620" s="273"/>
      <c r="H1620" s="274"/>
      <c r="I1620" s="274"/>
      <c r="J1620" s="274"/>
      <c r="K1620" s="274"/>
      <c r="L1620" s="274"/>
      <c r="M1620" s="274"/>
      <c r="N1620" s="274"/>
      <c r="O1620" s="274"/>
      <c r="P1620" s="274"/>
      <c r="Q1620" s="274"/>
      <c r="R1620" s="274"/>
      <c r="S1620" s="274"/>
      <c r="T1620" s="274"/>
      <c r="U1620" s="274"/>
      <c r="V1620" s="274"/>
    </row>
    <row r="1621" spans="1:22" x14ac:dyDescent="0.25">
      <c r="A1621" s="247">
        <v>1619</v>
      </c>
      <c r="B1621" s="270"/>
      <c r="C1621" s="270"/>
      <c r="D1621" s="271"/>
      <c r="E1621" s="272"/>
      <c r="F1621" s="272"/>
      <c r="G1621" s="273"/>
      <c r="H1621" s="274"/>
      <c r="I1621" s="274"/>
      <c r="J1621" s="274"/>
      <c r="K1621" s="274"/>
      <c r="L1621" s="274"/>
      <c r="M1621" s="274"/>
      <c r="N1621" s="274"/>
      <c r="O1621" s="274"/>
      <c r="P1621" s="274"/>
      <c r="Q1621" s="274"/>
      <c r="R1621" s="274"/>
      <c r="S1621" s="274"/>
      <c r="T1621" s="274"/>
      <c r="U1621" s="274"/>
      <c r="V1621" s="274"/>
    </row>
    <row r="1622" spans="1:22" x14ac:dyDescent="0.25">
      <c r="A1622" s="247">
        <v>1620</v>
      </c>
      <c r="B1622" s="270"/>
      <c r="C1622" s="270"/>
      <c r="D1622" s="271"/>
      <c r="E1622" s="272"/>
      <c r="F1622" s="272"/>
      <c r="G1622" s="273"/>
      <c r="H1622" s="274"/>
      <c r="I1622" s="274"/>
      <c r="J1622" s="274"/>
      <c r="K1622" s="274"/>
      <c r="L1622" s="274"/>
      <c r="M1622" s="274"/>
      <c r="N1622" s="274"/>
      <c r="O1622" s="274"/>
      <c r="P1622" s="274"/>
      <c r="Q1622" s="274"/>
      <c r="R1622" s="274"/>
      <c r="S1622" s="274"/>
      <c r="T1622" s="274"/>
      <c r="U1622" s="274"/>
      <c r="V1622" s="274"/>
    </row>
    <row r="1623" spans="1:22" x14ac:dyDescent="0.25">
      <c r="A1623" s="247">
        <v>1621</v>
      </c>
      <c r="B1623" s="270"/>
      <c r="C1623" s="270"/>
      <c r="D1623" s="271"/>
      <c r="E1623" s="272"/>
      <c r="F1623" s="272"/>
      <c r="G1623" s="273"/>
      <c r="H1623" s="274"/>
      <c r="I1623" s="274"/>
      <c r="J1623" s="274"/>
      <c r="K1623" s="274"/>
      <c r="L1623" s="274"/>
      <c r="M1623" s="274"/>
      <c r="N1623" s="274"/>
      <c r="O1623" s="274"/>
      <c r="P1623" s="274"/>
      <c r="Q1623" s="274"/>
      <c r="R1623" s="274"/>
      <c r="S1623" s="274"/>
      <c r="T1623" s="274"/>
      <c r="U1623" s="274"/>
      <c r="V1623" s="274"/>
    </row>
    <row r="1624" spans="1:22" x14ac:dyDescent="0.25">
      <c r="A1624" s="247">
        <v>1622</v>
      </c>
      <c r="B1624" s="270"/>
      <c r="C1624" s="270"/>
      <c r="D1624" s="271"/>
      <c r="E1624" s="272"/>
      <c r="F1624" s="272"/>
      <c r="G1624" s="273"/>
      <c r="H1624" s="274"/>
      <c r="I1624" s="274"/>
      <c r="J1624" s="274"/>
      <c r="K1624" s="274"/>
      <c r="L1624" s="274"/>
      <c r="M1624" s="274"/>
      <c r="N1624" s="274"/>
      <c r="O1624" s="274"/>
      <c r="P1624" s="274"/>
      <c r="Q1624" s="274"/>
      <c r="R1624" s="274"/>
      <c r="S1624" s="274"/>
      <c r="T1624" s="274"/>
      <c r="U1624" s="274"/>
      <c r="V1624" s="274"/>
    </row>
    <row r="1625" spans="1:22" x14ac:dyDescent="0.25">
      <c r="A1625" s="247">
        <v>1623</v>
      </c>
      <c r="B1625" s="270"/>
      <c r="C1625" s="270"/>
      <c r="D1625" s="271"/>
      <c r="E1625" s="272"/>
      <c r="F1625" s="272"/>
      <c r="G1625" s="273"/>
      <c r="H1625" s="274"/>
      <c r="I1625" s="274"/>
      <c r="J1625" s="274"/>
      <c r="K1625" s="274"/>
      <c r="L1625" s="274"/>
      <c r="M1625" s="274"/>
      <c r="N1625" s="274"/>
      <c r="O1625" s="274"/>
      <c r="P1625" s="274"/>
      <c r="Q1625" s="274"/>
      <c r="R1625" s="274"/>
      <c r="S1625" s="274"/>
      <c r="T1625" s="274"/>
      <c r="U1625" s="274"/>
      <c r="V1625" s="274"/>
    </row>
    <row r="1626" spans="1:22" x14ac:dyDescent="0.25">
      <c r="A1626" s="247">
        <v>1624</v>
      </c>
      <c r="B1626" s="270"/>
      <c r="C1626" s="270"/>
      <c r="D1626" s="271"/>
      <c r="E1626" s="272"/>
      <c r="F1626" s="272"/>
      <c r="G1626" s="273"/>
      <c r="H1626" s="274"/>
      <c r="I1626" s="274"/>
      <c r="J1626" s="274"/>
      <c r="K1626" s="274"/>
      <c r="L1626" s="274"/>
      <c r="M1626" s="274"/>
      <c r="N1626" s="274"/>
      <c r="O1626" s="274"/>
      <c r="P1626" s="274"/>
      <c r="Q1626" s="274"/>
      <c r="R1626" s="274"/>
      <c r="S1626" s="274"/>
      <c r="T1626" s="274"/>
      <c r="U1626" s="274"/>
      <c r="V1626" s="274"/>
    </row>
    <row r="1627" spans="1:22" x14ac:dyDescent="0.25">
      <c r="A1627" s="247">
        <v>1625</v>
      </c>
      <c r="B1627" s="270"/>
      <c r="C1627" s="270"/>
      <c r="D1627" s="271"/>
      <c r="E1627" s="272"/>
      <c r="F1627" s="272"/>
      <c r="G1627" s="273"/>
      <c r="H1627" s="274"/>
      <c r="I1627" s="274"/>
      <c r="J1627" s="274"/>
      <c r="K1627" s="274"/>
      <c r="L1627" s="274"/>
      <c r="M1627" s="274"/>
      <c r="N1627" s="274"/>
      <c r="O1627" s="274"/>
      <c r="P1627" s="274"/>
      <c r="Q1627" s="274"/>
      <c r="R1627" s="274"/>
      <c r="S1627" s="274"/>
      <c r="T1627" s="274"/>
      <c r="U1627" s="274"/>
      <c r="V1627" s="274"/>
    </row>
    <row r="1628" spans="1:22" x14ac:dyDescent="0.25">
      <c r="A1628" s="247">
        <v>1626</v>
      </c>
      <c r="B1628" s="270"/>
      <c r="C1628" s="270"/>
      <c r="D1628" s="271"/>
      <c r="E1628" s="272"/>
      <c r="F1628" s="272"/>
      <c r="G1628" s="273"/>
      <c r="H1628" s="274"/>
      <c r="I1628" s="274"/>
      <c r="J1628" s="274"/>
      <c r="K1628" s="274"/>
      <c r="L1628" s="274"/>
      <c r="M1628" s="274"/>
      <c r="N1628" s="274"/>
      <c r="O1628" s="274"/>
      <c r="P1628" s="274"/>
      <c r="Q1628" s="274"/>
      <c r="R1628" s="274"/>
      <c r="S1628" s="274"/>
      <c r="T1628" s="274"/>
      <c r="U1628" s="274"/>
      <c r="V1628" s="274"/>
    </row>
    <row r="1629" spans="1:22" x14ac:dyDescent="0.25">
      <c r="A1629" s="247">
        <v>1627</v>
      </c>
      <c r="B1629" s="270"/>
      <c r="C1629" s="270"/>
      <c r="D1629" s="271"/>
      <c r="E1629" s="272"/>
      <c r="F1629" s="272"/>
      <c r="G1629" s="273"/>
      <c r="H1629" s="274"/>
      <c r="I1629" s="274"/>
      <c r="J1629" s="274"/>
      <c r="K1629" s="274"/>
      <c r="L1629" s="274"/>
      <c r="M1629" s="274"/>
      <c r="N1629" s="274"/>
      <c r="O1629" s="274"/>
      <c r="P1629" s="274"/>
      <c r="Q1629" s="274"/>
      <c r="R1629" s="274"/>
      <c r="S1629" s="274"/>
      <c r="T1629" s="274"/>
      <c r="U1629" s="274"/>
      <c r="V1629" s="274"/>
    </row>
    <row r="1630" spans="1:22" x14ac:dyDescent="0.25">
      <c r="A1630" s="247">
        <v>1628</v>
      </c>
      <c r="B1630" s="270"/>
      <c r="C1630" s="270"/>
      <c r="D1630" s="271"/>
      <c r="E1630" s="272"/>
      <c r="F1630" s="272"/>
      <c r="G1630" s="273"/>
      <c r="H1630" s="274"/>
      <c r="I1630" s="274"/>
      <c r="J1630" s="274"/>
      <c r="K1630" s="274"/>
      <c r="L1630" s="274"/>
      <c r="M1630" s="274"/>
      <c r="N1630" s="274"/>
      <c r="O1630" s="274"/>
      <c r="P1630" s="274"/>
      <c r="Q1630" s="274"/>
      <c r="R1630" s="274"/>
      <c r="S1630" s="274"/>
      <c r="T1630" s="274"/>
      <c r="U1630" s="274"/>
      <c r="V1630" s="274"/>
    </row>
    <row r="1631" spans="1:22" x14ac:dyDescent="0.25">
      <c r="A1631" s="247">
        <v>1629</v>
      </c>
      <c r="B1631" s="270"/>
      <c r="C1631" s="270"/>
      <c r="D1631" s="271"/>
      <c r="E1631" s="272"/>
      <c r="F1631" s="272"/>
      <c r="G1631" s="273"/>
      <c r="H1631" s="274"/>
      <c r="I1631" s="274"/>
      <c r="J1631" s="274"/>
      <c r="K1631" s="274"/>
      <c r="L1631" s="274"/>
      <c r="M1631" s="274"/>
      <c r="N1631" s="274"/>
      <c r="O1631" s="274"/>
      <c r="P1631" s="274"/>
      <c r="Q1631" s="274"/>
      <c r="R1631" s="274"/>
      <c r="S1631" s="274"/>
      <c r="T1631" s="274"/>
      <c r="U1631" s="274"/>
      <c r="V1631" s="274"/>
    </row>
    <row r="1632" spans="1:22" x14ac:dyDescent="0.25">
      <c r="A1632" s="247">
        <v>1630</v>
      </c>
      <c r="B1632" s="270"/>
      <c r="C1632" s="270"/>
      <c r="D1632" s="271"/>
      <c r="E1632" s="272"/>
      <c r="F1632" s="272"/>
      <c r="G1632" s="273"/>
      <c r="H1632" s="274"/>
      <c r="I1632" s="274"/>
      <c r="J1632" s="274"/>
      <c r="K1632" s="274"/>
      <c r="L1632" s="274"/>
      <c r="M1632" s="274"/>
      <c r="N1632" s="274"/>
      <c r="O1632" s="274"/>
      <c r="P1632" s="274"/>
      <c r="Q1632" s="274"/>
      <c r="R1632" s="274"/>
      <c r="S1632" s="274"/>
      <c r="T1632" s="274"/>
      <c r="U1632" s="274"/>
      <c r="V1632" s="274"/>
    </row>
    <row r="1633" spans="1:22" x14ac:dyDescent="0.25">
      <c r="A1633" s="247">
        <v>1631</v>
      </c>
      <c r="B1633" s="270"/>
      <c r="C1633" s="270"/>
      <c r="D1633" s="271"/>
      <c r="E1633" s="272"/>
      <c r="F1633" s="272"/>
      <c r="G1633" s="273"/>
      <c r="H1633" s="274"/>
      <c r="I1633" s="274"/>
      <c r="J1633" s="274"/>
      <c r="K1633" s="274"/>
      <c r="L1633" s="274"/>
      <c r="M1633" s="274"/>
      <c r="N1633" s="274"/>
      <c r="O1633" s="274"/>
      <c r="P1633" s="274"/>
      <c r="Q1633" s="274"/>
      <c r="R1633" s="274"/>
      <c r="S1633" s="274"/>
      <c r="T1633" s="274"/>
      <c r="U1633" s="274"/>
      <c r="V1633" s="274"/>
    </row>
    <row r="1634" spans="1:22" x14ac:dyDescent="0.25">
      <c r="A1634" s="247">
        <v>1632</v>
      </c>
      <c r="B1634" s="270"/>
      <c r="C1634" s="270"/>
      <c r="D1634" s="271"/>
      <c r="E1634" s="272"/>
      <c r="F1634" s="272"/>
      <c r="G1634" s="273"/>
      <c r="H1634" s="274"/>
      <c r="I1634" s="274"/>
      <c r="J1634" s="274"/>
      <c r="K1634" s="274"/>
      <c r="L1634" s="274"/>
      <c r="M1634" s="274"/>
      <c r="N1634" s="274"/>
      <c r="O1634" s="274"/>
      <c r="P1634" s="274"/>
      <c r="Q1634" s="274"/>
      <c r="R1634" s="274"/>
      <c r="S1634" s="274"/>
      <c r="T1634" s="274"/>
      <c r="U1634" s="274"/>
      <c r="V1634" s="274"/>
    </row>
    <row r="1635" spans="1:22" x14ac:dyDescent="0.25">
      <c r="A1635" s="247">
        <v>1633</v>
      </c>
      <c r="B1635" s="270"/>
      <c r="C1635" s="270"/>
      <c r="D1635" s="271"/>
      <c r="E1635" s="272"/>
      <c r="F1635" s="272"/>
      <c r="G1635" s="273"/>
      <c r="H1635" s="274"/>
      <c r="I1635" s="274"/>
      <c r="J1635" s="274"/>
      <c r="K1635" s="274"/>
      <c r="L1635" s="274"/>
      <c r="M1635" s="274"/>
      <c r="N1635" s="274"/>
      <c r="O1635" s="274"/>
      <c r="P1635" s="274"/>
      <c r="Q1635" s="274"/>
      <c r="R1635" s="274"/>
      <c r="S1635" s="274"/>
      <c r="T1635" s="274"/>
      <c r="U1635" s="274"/>
      <c r="V1635" s="274"/>
    </row>
    <row r="1636" spans="1:22" x14ac:dyDescent="0.25">
      <c r="A1636" s="247">
        <v>1634</v>
      </c>
      <c r="B1636" s="270"/>
      <c r="C1636" s="270"/>
      <c r="D1636" s="271"/>
      <c r="E1636" s="272"/>
      <c r="F1636" s="272"/>
      <c r="G1636" s="273"/>
      <c r="H1636" s="274"/>
      <c r="I1636" s="274"/>
      <c r="J1636" s="274"/>
      <c r="K1636" s="274"/>
      <c r="L1636" s="274"/>
      <c r="M1636" s="274"/>
      <c r="N1636" s="274"/>
      <c r="O1636" s="274"/>
      <c r="P1636" s="274"/>
      <c r="Q1636" s="274"/>
      <c r="R1636" s="274"/>
      <c r="S1636" s="274"/>
      <c r="T1636" s="274"/>
      <c r="U1636" s="274"/>
      <c r="V1636" s="274"/>
    </row>
    <row r="1637" spans="1:22" x14ac:dyDescent="0.25">
      <c r="A1637" s="247">
        <v>1635</v>
      </c>
      <c r="B1637" s="270"/>
      <c r="C1637" s="270"/>
      <c r="D1637" s="271"/>
      <c r="E1637" s="272"/>
      <c r="F1637" s="272"/>
      <c r="G1637" s="273"/>
      <c r="H1637" s="274"/>
      <c r="I1637" s="274"/>
      <c r="J1637" s="274"/>
      <c r="K1637" s="274"/>
      <c r="L1637" s="274"/>
      <c r="M1637" s="274"/>
      <c r="N1637" s="274"/>
      <c r="O1637" s="274"/>
      <c r="P1637" s="274"/>
      <c r="Q1637" s="274"/>
      <c r="R1637" s="274"/>
      <c r="S1637" s="274"/>
      <c r="T1637" s="274"/>
      <c r="U1637" s="274"/>
      <c r="V1637" s="274"/>
    </row>
    <row r="1638" spans="1:22" x14ac:dyDescent="0.25">
      <c r="A1638" s="247">
        <v>1636</v>
      </c>
      <c r="B1638" s="270"/>
      <c r="C1638" s="270"/>
      <c r="D1638" s="271"/>
      <c r="E1638" s="272"/>
      <c r="F1638" s="272"/>
      <c r="G1638" s="273"/>
      <c r="H1638" s="274"/>
      <c r="I1638" s="274"/>
      <c r="J1638" s="274"/>
      <c r="K1638" s="274"/>
      <c r="L1638" s="274"/>
      <c r="M1638" s="274"/>
      <c r="N1638" s="274"/>
      <c r="O1638" s="274"/>
      <c r="P1638" s="274"/>
      <c r="Q1638" s="274"/>
      <c r="R1638" s="274"/>
      <c r="S1638" s="274"/>
      <c r="T1638" s="274"/>
      <c r="U1638" s="274"/>
      <c r="V1638" s="274"/>
    </row>
    <row r="1639" spans="1:22" x14ac:dyDescent="0.25">
      <c r="A1639" s="247">
        <v>1637</v>
      </c>
      <c r="B1639" s="270"/>
      <c r="C1639" s="270"/>
      <c r="D1639" s="271"/>
      <c r="E1639" s="272"/>
      <c r="F1639" s="272"/>
      <c r="G1639" s="273"/>
      <c r="H1639" s="274"/>
      <c r="I1639" s="274"/>
      <c r="J1639" s="274"/>
      <c r="K1639" s="274"/>
      <c r="L1639" s="274"/>
      <c r="M1639" s="274"/>
      <c r="N1639" s="274"/>
      <c r="O1639" s="274"/>
      <c r="P1639" s="274"/>
      <c r="Q1639" s="274"/>
      <c r="R1639" s="274"/>
      <c r="S1639" s="274"/>
      <c r="T1639" s="274"/>
      <c r="U1639" s="274"/>
      <c r="V1639" s="274"/>
    </row>
    <row r="1640" spans="1:22" x14ac:dyDescent="0.25">
      <c r="A1640" s="247">
        <v>1638</v>
      </c>
      <c r="B1640" s="270"/>
      <c r="C1640" s="270"/>
      <c r="D1640" s="271"/>
      <c r="E1640" s="272"/>
      <c r="F1640" s="272"/>
      <c r="G1640" s="273"/>
      <c r="H1640" s="274"/>
      <c r="I1640" s="274"/>
      <c r="J1640" s="274"/>
      <c r="K1640" s="274"/>
      <c r="L1640" s="274"/>
      <c r="M1640" s="274"/>
      <c r="N1640" s="274"/>
      <c r="O1640" s="274"/>
      <c r="P1640" s="274"/>
      <c r="Q1640" s="274"/>
      <c r="R1640" s="274"/>
      <c r="S1640" s="274"/>
      <c r="T1640" s="274"/>
      <c r="U1640" s="274"/>
      <c r="V1640" s="274"/>
    </row>
    <row r="1641" spans="1:22" x14ac:dyDescent="0.25">
      <c r="A1641" s="247">
        <v>1639</v>
      </c>
      <c r="B1641" s="270"/>
      <c r="C1641" s="270"/>
      <c r="D1641" s="271"/>
      <c r="E1641" s="272"/>
      <c r="F1641" s="272"/>
      <c r="G1641" s="273"/>
      <c r="H1641" s="274"/>
      <c r="I1641" s="274"/>
      <c r="J1641" s="274"/>
      <c r="K1641" s="274"/>
      <c r="L1641" s="274"/>
      <c r="M1641" s="274"/>
      <c r="N1641" s="274"/>
      <c r="O1641" s="274"/>
      <c r="P1641" s="274"/>
      <c r="Q1641" s="274"/>
      <c r="R1641" s="274"/>
      <c r="S1641" s="274"/>
      <c r="T1641" s="274"/>
      <c r="U1641" s="274"/>
      <c r="V1641" s="274"/>
    </row>
    <row r="1642" spans="1:22" x14ac:dyDescent="0.25">
      <c r="A1642" s="247">
        <v>1640</v>
      </c>
      <c r="B1642" s="270"/>
      <c r="C1642" s="270"/>
      <c r="D1642" s="271"/>
      <c r="E1642" s="272"/>
      <c r="F1642" s="272"/>
      <c r="G1642" s="273"/>
      <c r="H1642" s="274"/>
      <c r="I1642" s="274"/>
      <c r="J1642" s="274"/>
      <c r="K1642" s="274"/>
      <c r="L1642" s="274"/>
      <c r="M1642" s="274"/>
      <c r="N1642" s="274"/>
      <c r="O1642" s="274"/>
      <c r="P1642" s="274"/>
      <c r="Q1642" s="274"/>
      <c r="R1642" s="274"/>
      <c r="S1642" s="274"/>
      <c r="T1642" s="274"/>
      <c r="U1642" s="274"/>
      <c r="V1642" s="274"/>
    </row>
    <row r="1643" spans="1:22" x14ac:dyDescent="0.25">
      <c r="A1643" s="247">
        <v>1641</v>
      </c>
      <c r="B1643" s="270"/>
      <c r="C1643" s="270"/>
      <c r="D1643" s="271"/>
      <c r="E1643" s="272"/>
      <c r="F1643" s="272"/>
      <c r="G1643" s="273"/>
      <c r="H1643" s="274"/>
      <c r="I1643" s="274"/>
      <c r="J1643" s="274"/>
      <c r="K1643" s="274"/>
      <c r="L1643" s="274"/>
      <c r="M1643" s="274"/>
      <c r="N1643" s="274"/>
      <c r="O1643" s="274"/>
      <c r="P1643" s="274"/>
      <c r="Q1643" s="274"/>
      <c r="R1643" s="274"/>
      <c r="S1643" s="274"/>
      <c r="T1643" s="274"/>
      <c r="U1643" s="274"/>
      <c r="V1643" s="274"/>
    </row>
    <row r="1644" spans="1:22" x14ac:dyDescent="0.25">
      <c r="A1644" s="247">
        <v>1642</v>
      </c>
      <c r="B1644" s="270"/>
      <c r="C1644" s="270"/>
      <c r="D1644" s="271"/>
      <c r="E1644" s="272"/>
      <c r="F1644" s="272"/>
      <c r="G1644" s="273"/>
      <c r="H1644" s="274"/>
      <c r="I1644" s="274"/>
      <c r="J1644" s="274"/>
      <c r="K1644" s="274"/>
      <c r="L1644" s="274"/>
      <c r="M1644" s="274"/>
      <c r="N1644" s="274"/>
      <c r="O1644" s="274"/>
      <c r="P1644" s="274"/>
      <c r="Q1644" s="274"/>
      <c r="R1644" s="274"/>
      <c r="S1644" s="274"/>
      <c r="T1644" s="274"/>
      <c r="U1644" s="274"/>
      <c r="V1644" s="274"/>
    </row>
    <row r="1645" spans="1:22" x14ac:dyDescent="0.25">
      <c r="A1645" s="247">
        <v>1643</v>
      </c>
      <c r="B1645" s="270"/>
      <c r="C1645" s="270"/>
      <c r="D1645" s="271"/>
      <c r="E1645" s="272"/>
      <c r="F1645" s="272"/>
      <c r="G1645" s="273"/>
      <c r="H1645" s="274"/>
      <c r="I1645" s="274"/>
      <c r="J1645" s="274"/>
      <c r="K1645" s="274"/>
      <c r="L1645" s="274"/>
      <c r="M1645" s="274"/>
      <c r="N1645" s="274"/>
      <c r="O1645" s="274"/>
      <c r="P1645" s="274"/>
      <c r="Q1645" s="274"/>
      <c r="R1645" s="274"/>
      <c r="S1645" s="274"/>
      <c r="T1645" s="274"/>
      <c r="U1645" s="274"/>
      <c r="V1645" s="274"/>
    </row>
    <row r="1646" spans="1:22" x14ac:dyDescent="0.25">
      <c r="A1646" s="247">
        <v>1644</v>
      </c>
      <c r="B1646" s="270"/>
      <c r="C1646" s="270"/>
      <c r="D1646" s="271"/>
      <c r="E1646" s="272"/>
      <c r="F1646" s="272"/>
      <c r="G1646" s="273"/>
      <c r="H1646" s="274"/>
      <c r="I1646" s="274"/>
      <c r="J1646" s="274"/>
      <c r="K1646" s="274"/>
      <c r="L1646" s="274"/>
      <c r="M1646" s="274"/>
      <c r="N1646" s="274"/>
      <c r="O1646" s="274"/>
      <c r="P1646" s="274"/>
      <c r="Q1646" s="274"/>
      <c r="R1646" s="274"/>
      <c r="S1646" s="274"/>
      <c r="T1646" s="274"/>
      <c r="U1646" s="274"/>
      <c r="V1646" s="274"/>
    </row>
    <row r="1647" spans="1:22" x14ac:dyDescent="0.25">
      <c r="A1647" s="247">
        <v>1645</v>
      </c>
      <c r="B1647" s="270"/>
      <c r="C1647" s="270"/>
      <c r="D1647" s="271"/>
      <c r="E1647" s="272"/>
      <c r="F1647" s="272"/>
      <c r="G1647" s="273"/>
      <c r="H1647" s="274"/>
      <c r="I1647" s="274"/>
      <c r="J1647" s="274"/>
      <c r="K1647" s="274"/>
      <c r="L1647" s="274"/>
      <c r="M1647" s="274"/>
      <c r="N1647" s="274"/>
      <c r="O1647" s="274"/>
      <c r="P1647" s="274"/>
      <c r="Q1647" s="274"/>
      <c r="R1647" s="274"/>
      <c r="S1647" s="274"/>
      <c r="T1647" s="274"/>
      <c r="U1647" s="274"/>
      <c r="V1647" s="274"/>
    </row>
    <row r="1648" spans="1:22" x14ac:dyDescent="0.25">
      <c r="A1648" s="247">
        <v>1646</v>
      </c>
      <c r="B1648" s="270"/>
      <c r="C1648" s="270"/>
      <c r="D1648" s="271"/>
      <c r="E1648" s="272"/>
      <c r="F1648" s="272"/>
      <c r="G1648" s="273"/>
      <c r="H1648" s="274"/>
      <c r="I1648" s="274"/>
      <c r="J1648" s="274"/>
      <c r="K1648" s="274"/>
      <c r="L1648" s="274"/>
      <c r="M1648" s="274"/>
      <c r="N1648" s="274"/>
      <c r="O1648" s="274"/>
      <c r="P1648" s="274"/>
      <c r="Q1648" s="274"/>
      <c r="R1648" s="274"/>
      <c r="S1648" s="274"/>
      <c r="T1648" s="274"/>
      <c r="U1648" s="274"/>
      <c r="V1648" s="274"/>
    </row>
    <row r="1649" spans="1:22" x14ac:dyDescent="0.25">
      <c r="A1649" s="247">
        <v>1647</v>
      </c>
      <c r="B1649" s="270"/>
      <c r="C1649" s="270"/>
      <c r="D1649" s="271"/>
      <c r="E1649" s="272"/>
      <c r="F1649" s="272"/>
      <c r="G1649" s="273"/>
      <c r="H1649" s="274"/>
      <c r="I1649" s="274"/>
      <c r="J1649" s="274"/>
      <c r="K1649" s="274"/>
      <c r="L1649" s="274"/>
      <c r="M1649" s="274"/>
      <c r="N1649" s="274"/>
      <c r="O1649" s="274"/>
      <c r="P1649" s="274"/>
      <c r="Q1649" s="274"/>
      <c r="R1649" s="274"/>
      <c r="S1649" s="274"/>
      <c r="T1649" s="274"/>
      <c r="U1649" s="274"/>
      <c r="V1649" s="274"/>
    </row>
    <row r="1650" spans="1:22" x14ac:dyDescent="0.25">
      <c r="A1650" s="247">
        <v>1648</v>
      </c>
      <c r="B1650" s="270"/>
      <c r="C1650" s="270"/>
      <c r="D1650" s="271"/>
      <c r="E1650" s="272"/>
      <c r="F1650" s="272"/>
      <c r="G1650" s="273"/>
      <c r="H1650" s="274"/>
      <c r="I1650" s="274"/>
      <c r="J1650" s="274"/>
      <c r="K1650" s="274"/>
      <c r="L1650" s="274"/>
      <c r="M1650" s="274"/>
      <c r="N1650" s="274"/>
      <c r="O1650" s="274"/>
      <c r="P1650" s="274"/>
      <c r="Q1650" s="274"/>
      <c r="R1650" s="274"/>
      <c r="S1650" s="274"/>
      <c r="T1650" s="274"/>
      <c r="U1650" s="274"/>
      <c r="V1650" s="274"/>
    </row>
    <row r="1651" spans="1:22" x14ac:dyDescent="0.25">
      <c r="A1651" s="247">
        <v>1649</v>
      </c>
      <c r="B1651" s="270"/>
      <c r="C1651" s="270"/>
      <c r="D1651" s="271"/>
      <c r="E1651" s="272"/>
      <c r="F1651" s="272"/>
      <c r="G1651" s="273"/>
      <c r="H1651" s="274"/>
      <c r="I1651" s="274"/>
      <c r="J1651" s="274"/>
      <c r="K1651" s="274"/>
      <c r="L1651" s="274"/>
      <c r="M1651" s="274"/>
      <c r="N1651" s="274"/>
      <c r="O1651" s="274"/>
      <c r="P1651" s="274"/>
      <c r="Q1651" s="274"/>
      <c r="R1651" s="274"/>
      <c r="S1651" s="274"/>
      <c r="T1651" s="274"/>
      <c r="U1651" s="274"/>
      <c r="V1651" s="274"/>
    </row>
    <row r="1652" spans="1:22" x14ac:dyDescent="0.25">
      <c r="A1652" s="247">
        <v>1650</v>
      </c>
      <c r="B1652" s="270"/>
      <c r="C1652" s="270"/>
      <c r="D1652" s="271"/>
      <c r="E1652" s="272"/>
      <c r="F1652" s="272"/>
      <c r="G1652" s="273"/>
      <c r="H1652" s="274"/>
      <c r="I1652" s="274"/>
      <c r="J1652" s="274"/>
      <c r="K1652" s="274"/>
      <c r="L1652" s="274"/>
      <c r="M1652" s="274"/>
      <c r="N1652" s="274"/>
      <c r="O1652" s="274"/>
      <c r="P1652" s="274"/>
      <c r="Q1652" s="274"/>
      <c r="R1652" s="274"/>
      <c r="S1652" s="274"/>
      <c r="T1652" s="274"/>
      <c r="U1652" s="274"/>
      <c r="V1652" s="274"/>
    </row>
    <row r="1653" spans="1:22" x14ac:dyDescent="0.25">
      <c r="A1653" s="247">
        <v>1651</v>
      </c>
      <c r="B1653" s="270"/>
      <c r="C1653" s="270"/>
      <c r="D1653" s="271"/>
      <c r="E1653" s="272"/>
      <c r="F1653" s="272"/>
      <c r="G1653" s="273"/>
      <c r="H1653" s="274"/>
      <c r="I1653" s="274"/>
      <c r="J1653" s="274"/>
      <c r="K1653" s="274"/>
      <c r="L1653" s="274"/>
      <c r="M1653" s="274"/>
      <c r="N1653" s="274"/>
      <c r="O1653" s="274"/>
      <c r="P1653" s="274"/>
      <c r="Q1653" s="274"/>
      <c r="R1653" s="274"/>
      <c r="S1653" s="274"/>
      <c r="T1653" s="274"/>
      <c r="U1653" s="274"/>
      <c r="V1653" s="274"/>
    </row>
    <row r="1654" spans="1:22" x14ac:dyDescent="0.25">
      <c r="A1654" s="247">
        <v>1652</v>
      </c>
      <c r="B1654" s="270"/>
      <c r="C1654" s="270"/>
      <c r="D1654" s="271"/>
      <c r="E1654" s="272"/>
      <c r="F1654" s="272"/>
      <c r="G1654" s="273"/>
      <c r="H1654" s="274"/>
      <c r="I1654" s="274"/>
      <c r="J1654" s="274"/>
      <c r="K1654" s="274"/>
      <c r="L1654" s="274"/>
      <c r="M1654" s="274"/>
      <c r="N1654" s="274"/>
      <c r="O1654" s="274"/>
      <c r="P1654" s="274"/>
      <c r="Q1654" s="274"/>
      <c r="R1654" s="274"/>
      <c r="S1654" s="274"/>
      <c r="T1654" s="274"/>
      <c r="U1654" s="274"/>
      <c r="V1654" s="274"/>
    </row>
    <row r="1655" spans="1:22" x14ac:dyDescent="0.25">
      <c r="A1655" s="247">
        <v>1653</v>
      </c>
      <c r="B1655" s="270"/>
      <c r="C1655" s="270"/>
      <c r="D1655" s="271"/>
      <c r="E1655" s="272"/>
      <c r="F1655" s="272"/>
      <c r="G1655" s="273"/>
      <c r="H1655" s="274"/>
      <c r="I1655" s="274"/>
      <c r="J1655" s="274"/>
      <c r="K1655" s="274"/>
      <c r="L1655" s="274"/>
      <c r="M1655" s="274"/>
      <c r="N1655" s="274"/>
      <c r="O1655" s="274"/>
      <c r="P1655" s="274"/>
      <c r="Q1655" s="274"/>
      <c r="R1655" s="274"/>
      <c r="S1655" s="274"/>
      <c r="T1655" s="274"/>
      <c r="U1655" s="274"/>
      <c r="V1655" s="274"/>
    </row>
    <row r="1656" spans="1:22" x14ac:dyDescent="0.25">
      <c r="A1656" s="247">
        <v>1654</v>
      </c>
      <c r="B1656" s="270"/>
      <c r="C1656" s="270"/>
      <c r="D1656" s="271"/>
      <c r="E1656" s="272"/>
      <c r="F1656" s="272"/>
      <c r="G1656" s="273"/>
      <c r="H1656" s="274"/>
      <c r="I1656" s="274"/>
      <c r="J1656" s="274"/>
      <c r="K1656" s="274"/>
      <c r="L1656" s="274"/>
      <c r="M1656" s="274"/>
      <c r="N1656" s="274"/>
      <c r="O1656" s="274"/>
      <c r="P1656" s="274"/>
      <c r="Q1656" s="274"/>
      <c r="R1656" s="274"/>
      <c r="S1656" s="274"/>
      <c r="T1656" s="274"/>
      <c r="U1656" s="274"/>
      <c r="V1656" s="274"/>
    </row>
    <row r="1657" spans="1:22" x14ac:dyDescent="0.25">
      <c r="A1657" s="247">
        <v>1655</v>
      </c>
      <c r="B1657" s="270"/>
      <c r="C1657" s="270"/>
      <c r="D1657" s="271"/>
      <c r="E1657" s="272"/>
      <c r="F1657" s="272"/>
      <c r="G1657" s="273"/>
      <c r="H1657" s="274"/>
      <c r="I1657" s="274"/>
      <c r="J1657" s="274"/>
      <c r="K1657" s="274"/>
      <c r="L1657" s="274"/>
      <c r="M1657" s="274"/>
      <c r="N1657" s="274"/>
      <c r="O1657" s="274"/>
      <c r="P1657" s="274"/>
      <c r="Q1657" s="274"/>
      <c r="R1657" s="274"/>
      <c r="S1657" s="274"/>
      <c r="T1657" s="274"/>
      <c r="U1657" s="274"/>
      <c r="V1657" s="274"/>
    </row>
    <row r="1658" spans="1:22" x14ac:dyDescent="0.25">
      <c r="A1658" s="247">
        <v>1656</v>
      </c>
      <c r="B1658" s="270"/>
      <c r="C1658" s="270"/>
      <c r="D1658" s="271"/>
      <c r="E1658" s="272"/>
      <c r="F1658" s="272"/>
      <c r="G1658" s="273"/>
      <c r="H1658" s="274"/>
      <c r="I1658" s="274"/>
      <c r="J1658" s="274"/>
      <c r="K1658" s="274"/>
      <c r="L1658" s="274"/>
      <c r="M1658" s="274"/>
      <c r="N1658" s="274"/>
      <c r="O1658" s="274"/>
      <c r="P1658" s="274"/>
      <c r="Q1658" s="274"/>
      <c r="R1658" s="274"/>
      <c r="S1658" s="274"/>
      <c r="T1658" s="274"/>
      <c r="U1658" s="274"/>
      <c r="V1658" s="274"/>
    </row>
    <row r="1659" spans="1:22" x14ac:dyDescent="0.25">
      <c r="A1659" s="247">
        <v>1657</v>
      </c>
      <c r="B1659" s="270"/>
      <c r="C1659" s="270"/>
      <c r="D1659" s="271"/>
      <c r="E1659" s="272"/>
      <c r="F1659" s="272"/>
      <c r="G1659" s="273"/>
      <c r="H1659" s="274"/>
      <c r="I1659" s="274"/>
      <c r="J1659" s="274"/>
      <c r="K1659" s="274"/>
      <c r="L1659" s="274"/>
      <c r="M1659" s="274"/>
      <c r="N1659" s="274"/>
      <c r="O1659" s="274"/>
      <c r="P1659" s="274"/>
      <c r="Q1659" s="274"/>
      <c r="R1659" s="274"/>
      <c r="S1659" s="274"/>
      <c r="T1659" s="274"/>
      <c r="U1659" s="274"/>
      <c r="V1659" s="274"/>
    </row>
    <row r="1660" spans="1:22" x14ac:dyDescent="0.25">
      <c r="A1660" s="247">
        <v>1658</v>
      </c>
      <c r="B1660" s="270"/>
      <c r="C1660" s="270"/>
      <c r="D1660" s="271"/>
      <c r="E1660" s="272"/>
      <c r="F1660" s="272"/>
      <c r="G1660" s="273"/>
      <c r="H1660" s="274"/>
      <c r="I1660" s="274"/>
      <c r="J1660" s="274"/>
      <c r="K1660" s="274"/>
      <c r="L1660" s="274"/>
      <c r="M1660" s="274"/>
      <c r="N1660" s="274"/>
      <c r="O1660" s="274"/>
      <c r="P1660" s="274"/>
      <c r="Q1660" s="274"/>
      <c r="R1660" s="274"/>
      <c r="S1660" s="274"/>
      <c r="T1660" s="274"/>
      <c r="U1660" s="274"/>
      <c r="V1660" s="274"/>
    </row>
    <row r="1661" spans="1:22" x14ac:dyDescent="0.25">
      <c r="A1661" s="247">
        <v>1659</v>
      </c>
      <c r="B1661" s="270"/>
      <c r="C1661" s="270"/>
      <c r="D1661" s="271"/>
      <c r="E1661" s="272"/>
      <c r="F1661" s="272"/>
      <c r="G1661" s="273"/>
      <c r="H1661" s="274"/>
      <c r="I1661" s="274"/>
      <c r="J1661" s="274"/>
      <c r="K1661" s="274"/>
      <c r="L1661" s="274"/>
      <c r="M1661" s="274"/>
      <c r="N1661" s="274"/>
      <c r="O1661" s="274"/>
      <c r="P1661" s="274"/>
      <c r="Q1661" s="274"/>
      <c r="R1661" s="274"/>
      <c r="S1661" s="274"/>
      <c r="T1661" s="274"/>
      <c r="U1661" s="274"/>
      <c r="V1661" s="274"/>
    </row>
    <row r="1662" spans="1:22" x14ac:dyDescent="0.25">
      <c r="A1662" s="247">
        <v>1660</v>
      </c>
      <c r="B1662" s="270"/>
      <c r="C1662" s="270"/>
      <c r="D1662" s="271"/>
      <c r="E1662" s="272"/>
      <c r="F1662" s="272"/>
      <c r="G1662" s="273"/>
      <c r="H1662" s="274"/>
      <c r="I1662" s="274"/>
      <c r="J1662" s="274"/>
      <c r="K1662" s="274"/>
      <c r="L1662" s="274"/>
      <c r="M1662" s="274"/>
      <c r="N1662" s="274"/>
      <c r="O1662" s="274"/>
      <c r="P1662" s="274"/>
      <c r="Q1662" s="274"/>
      <c r="R1662" s="274"/>
      <c r="S1662" s="274"/>
      <c r="T1662" s="274"/>
      <c r="U1662" s="274"/>
      <c r="V1662" s="274"/>
    </row>
    <row r="1663" spans="1:22" x14ac:dyDescent="0.25">
      <c r="A1663" s="247">
        <v>1661</v>
      </c>
      <c r="B1663" s="270"/>
      <c r="C1663" s="270"/>
      <c r="D1663" s="271"/>
      <c r="E1663" s="272"/>
      <c r="F1663" s="272"/>
      <c r="G1663" s="273"/>
      <c r="H1663" s="274"/>
      <c r="I1663" s="274"/>
      <c r="J1663" s="274"/>
      <c r="K1663" s="274"/>
      <c r="L1663" s="274"/>
      <c r="M1663" s="274"/>
      <c r="N1663" s="274"/>
      <c r="O1663" s="274"/>
      <c r="P1663" s="274"/>
      <c r="Q1663" s="274"/>
      <c r="R1663" s="274"/>
      <c r="S1663" s="274"/>
      <c r="T1663" s="274"/>
      <c r="U1663" s="274"/>
      <c r="V1663" s="274"/>
    </row>
    <row r="1664" spans="1:22" x14ac:dyDescent="0.25">
      <c r="A1664" s="247">
        <v>1662</v>
      </c>
      <c r="B1664" s="270"/>
      <c r="C1664" s="270"/>
      <c r="D1664" s="271"/>
      <c r="E1664" s="272"/>
      <c r="F1664" s="272"/>
      <c r="G1664" s="273"/>
      <c r="H1664" s="274"/>
      <c r="I1664" s="274"/>
      <c r="J1664" s="274"/>
      <c r="K1664" s="274"/>
      <c r="L1664" s="274"/>
      <c r="M1664" s="274"/>
      <c r="N1664" s="274"/>
      <c r="O1664" s="274"/>
      <c r="P1664" s="274"/>
      <c r="Q1664" s="274"/>
      <c r="R1664" s="274"/>
      <c r="S1664" s="274"/>
      <c r="T1664" s="274"/>
      <c r="U1664" s="274"/>
      <c r="V1664" s="274"/>
    </row>
    <row r="1665" spans="1:22" x14ac:dyDescent="0.25">
      <c r="A1665" s="247">
        <v>1663</v>
      </c>
      <c r="B1665" s="270"/>
      <c r="C1665" s="270"/>
      <c r="D1665" s="271"/>
      <c r="E1665" s="272"/>
      <c r="F1665" s="272"/>
      <c r="G1665" s="273"/>
      <c r="H1665" s="274"/>
      <c r="I1665" s="274"/>
      <c r="J1665" s="274"/>
      <c r="K1665" s="274"/>
      <c r="L1665" s="274"/>
      <c r="M1665" s="274"/>
      <c r="N1665" s="274"/>
      <c r="O1665" s="274"/>
      <c r="P1665" s="274"/>
      <c r="Q1665" s="274"/>
      <c r="R1665" s="274"/>
      <c r="S1665" s="274"/>
      <c r="T1665" s="274"/>
      <c r="U1665" s="274"/>
      <c r="V1665" s="274"/>
    </row>
    <row r="1666" spans="1:22" x14ac:dyDescent="0.25">
      <c r="A1666" s="247">
        <v>1664</v>
      </c>
      <c r="B1666" s="270"/>
      <c r="C1666" s="270"/>
      <c r="D1666" s="271"/>
      <c r="E1666" s="272"/>
      <c r="F1666" s="272"/>
      <c r="G1666" s="273"/>
      <c r="H1666" s="274"/>
      <c r="I1666" s="274"/>
      <c r="J1666" s="274"/>
      <c r="K1666" s="274"/>
      <c r="L1666" s="274"/>
      <c r="M1666" s="274"/>
      <c r="N1666" s="274"/>
      <c r="O1666" s="274"/>
      <c r="P1666" s="274"/>
      <c r="Q1666" s="274"/>
      <c r="R1666" s="274"/>
      <c r="S1666" s="274"/>
      <c r="T1666" s="274"/>
      <c r="U1666" s="274"/>
      <c r="V1666" s="274"/>
    </row>
    <row r="1667" spans="1:22" x14ac:dyDescent="0.25">
      <c r="A1667" s="247">
        <v>1665</v>
      </c>
      <c r="B1667" s="270"/>
      <c r="C1667" s="270"/>
      <c r="D1667" s="271"/>
      <c r="E1667" s="272"/>
      <c r="F1667" s="272"/>
      <c r="G1667" s="273"/>
      <c r="H1667" s="274"/>
      <c r="I1667" s="274"/>
      <c r="J1667" s="274"/>
      <c r="K1667" s="274"/>
      <c r="L1667" s="274"/>
      <c r="M1667" s="274"/>
      <c r="N1667" s="274"/>
      <c r="O1667" s="274"/>
      <c r="P1667" s="274"/>
      <c r="Q1667" s="274"/>
      <c r="R1667" s="274"/>
      <c r="S1667" s="274"/>
      <c r="T1667" s="274"/>
      <c r="U1667" s="274"/>
      <c r="V1667" s="274"/>
    </row>
    <row r="1668" spans="1:22" x14ac:dyDescent="0.25">
      <c r="A1668" s="247">
        <v>1666</v>
      </c>
      <c r="B1668" s="270"/>
      <c r="C1668" s="270"/>
      <c r="D1668" s="271"/>
      <c r="E1668" s="272"/>
      <c r="F1668" s="272"/>
      <c r="G1668" s="273"/>
      <c r="H1668" s="274"/>
      <c r="I1668" s="274"/>
      <c r="J1668" s="274"/>
      <c r="K1668" s="274"/>
      <c r="L1668" s="274"/>
      <c r="M1668" s="274"/>
      <c r="N1668" s="274"/>
      <c r="O1668" s="274"/>
      <c r="P1668" s="274"/>
      <c r="Q1668" s="274"/>
      <c r="R1668" s="274"/>
      <c r="S1668" s="274"/>
      <c r="T1668" s="274"/>
      <c r="U1668" s="274"/>
      <c r="V1668" s="274"/>
    </row>
    <row r="1669" spans="1:22" x14ac:dyDescent="0.25">
      <c r="A1669" s="247">
        <v>1667</v>
      </c>
      <c r="B1669" s="270"/>
      <c r="C1669" s="270"/>
      <c r="D1669" s="271"/>
      <c r="E1669" s="272"/>
      <c r="F1669" s="272"/>
      <c r="G1669" s="273"/>
      <c r="H1669" s="274"/>
      <c r="I1669" s="274"/>
      <c r="J1669" s="274"/>
      <c r="K1669" s="274"/>
      <c r="L1669" s="274"/>
      <c r="M1669" s="274"/>
      <c r="N1669" s="274"/>
      <c r="O1669" s="274"/>
      <c r="P1669" s="274"/>
      <c r="Q1669" s="274"/>
      <c r="R1669" s="274"/>
      <c r="S1669" s="274"/>
      <c r="T1669" s="274"/>
      <c r="U1669" s="274"/>
      <c r="V1669" s="274"/>
    </row>
    <row r="1670" spans="1:22" x14ac:dyDescent="0.25">
      <c r="A1670" s="247">
        <v>1668</v>
      </c>
      <c r="B1670" s="270"/>
      <c r="C1670" s="270"/>
      <c r="D1670" s="271"/>
      <c r="E1670" s="272"/>
      <c r="F1670" s="272"/>
      <c r="G1670" s="273"/>
      <c r="H1670" s="274"/>
      <c r="I1670" s="274"/>
      <c r="J1670" s="274"/>
      <c r="K1670" s="274"/>
      <c r="L1670" s="274"/>
      <c r="M1670" s="274"/>
      <c r="N1670" s="274"/>
      <c r="O1670" s="274"/>
      <c r="P1670" s="274"/>
      <c r="Q1670" s="274"/>
      <c r="R1670" s="274"/>
      <c r="S1670" s="274"/>
      <c r="T1670" s="274"/>
      <c r="U1670" s="274"/>
      <c r="V1670" s="274"/>
    </row>
    <row r="1671" spans="1:22" x14ac:dyDescent="0.25">
      <c r="A1671" s="247">
        <v>1669</v>
      </c>
      <c r="B1671" s="270"/>
      <c r="C1671" s="270"/>
      <c r="D1671" s="271"/>
      <c r="E1671" s="272"/>
      <c r="F1671" s="272"/>
      <c r="G1671" s="273"/>
      <c r="H1671" s="274"/>
      <c r="I1671" s="274"/>
      <c r="J1671" s="274"/>
      <c r="K1671" s="274"/>
      <c r="L1671" s="274"/>
      <c r="M1671" s="274"/>
      <c r="N1671" s="274"/>
      <c r="O1671" s="274"/>
      <c r="P1671" s="274"/>
      <c r="Q1671" s="274"/>
      <c r="R1671" s="274"/>
      <c r="S1671" s="274"/>
      <c r="T1671" s="274"/>
      <c r="U1671" s="274"/>
      <c r="V1671" s="274"/>
    </row>
    <row r="1672" spans="1:22" x14ac:dyDescent="0.25">
      <c r="A1672" s="247">
        <v>1670</v>
      </c>
      <c r="B1672" s="270"/>
      <c r="C1672" s="270"/>
      <c r="D1672" s="271"/>
      <c r="E1672" s="272"/>
      <c r="F1672" s="272"/>
      <c r="G1672" s="273"/>
      <c r="H1672" s="274"/>
      <c r="I1672" s="274"/>
      <c r="J1672" s="274"/>
      <c r="K1672" s="274"/>
      <c r="L1672" s="274"/>
      <c r="M1672" s="274"/>
      <c r="N1672" s="274"/>
      <c r="O1672" s="274"/>
      <c r="P1672" s="274"/>
      <c r="Q1672" s="274"/>
      <c r="R1672" s="274"/>
      <c r="S1672" s="274"/>
      <c r="T1672" s="274"/>
      <c r="U1672" s="274"/>
      <c r="V1672" s="274"/>
    </row>
    <row r="1673" spans="1:22" x14ac:dyDescent="0.25">
      <c r="A1673" s="247">
        <v>1671</v>
      </c>
      <c r="B1673" s="270"/>
      <c r="C1673" s="270"/>
      <c r="D1673" s="271"/>
      <c r="E1673" s="272"/>
      <c r="F1673" s="272"/>
      <c r="G1673" s="273"/>
      <c r="H1673" s="274"/>
      <c r="I1673" s="274"/>
      <c r="J1673" s="274"/>
      <c r="K1673" s="274"/>
      <c r="L1673" s="274"/>
      <c r="M1673" s="274"/>
      <c r="N1673" s="274"/>
      <c r="O1673" s="274"/>
      <c r="P1673" s="274"/>
      <c r="Q1673" s="274"/>
      <c r="R1673" s="274"/>
      <c r="S1673" s="274"/>
      <c r="T1673" s="274"/>
      <c r="U1673" s="274"/>
      <c r="V1673" s="274"/>
    </row>
    <row r="1674" spans="1:22" x14ac:dyDescent="0.25">
      <c r="A1674" s="247">
        <v>1672</v>
      </c>
      <c r="B1674" s="270"/>
      <c r="C1674" s="270"/>
      <c r="D1674" s="271"/>
      <c r="E1674" s="272"/>
      <c r="F1674" s="272"/>
      <c r="G1674" s="273"/>
      <c r="H1674" s="274"/>
      <c r="I1674" s="274"/>
      <c r="J1674" s="274"/>
      <c r="K1674" s="274"/>
      <c r="L1674" s="274"/>
      <c r="M1674" s="274"/>
      <c r="N1674" s="274"/>
      <c r="O1674" s="274"/>
      <c r="P1674" s="274"/>
      <c r="Q1674" s="274"/>
      <c r="R1674" s="274"/>
      <c r="S1674" s="274"/>
      <c r="T1674" s="274"/>
      <c r="U1674" s="274"/>
      <c r="V1674" s="274"/>
    </row>
    <row r="1675" spans="1:22" x14ac:dyDescent="0.25">
      <c r="A1675" s="247">
        <v>1673</v>
      </c>
      <c r="B1675" s="270"/>
      <c r="C1675" s="270"/>
      <c r="D1675" s="271"/>
      <c r="E1675" s="272"/>
      <c r="F1675" s="272"/>
      <c r="G1675" s="273"/>
      <c r="H1675" s="274"/>
      <c r="I1675" s="274"/>
      <c r="J1675" s="274"/>
      <c r="K1675" s="274"/>
      <c r="L1675" s="274"/>
      <c r="M1675" s="274"/>
      <c r="N1675" s="274"/>
      <c r="O1675" s="274"/>
      <c r="P1675" s="274"/>
      <c r="Q1675" s="274"/>
      <c r="R1675" s="274"/>
      <c r="S1675" s="274"/>
      <c r="T1675" s="274"/>
      <c r="U1675" s="274"/>
      <c r="V1675" s="274"/>
    </row>
    <row r="1676" spans="1:22" x14ac:dyDescent="0.25">
      <c r="A1676" s="247">
        <v>1674</v>
      </c>
      <c r="B1676" s="270"/>
      <c r="C1676" s="270"/>
      <c r="D1676" s="271"/>
      <c r="E1676" s="272"/>
      <c r="F1676" s="272"/>
      <c r="G1676" s="273"/>
      <c r="H1676" s="274"/>
      <c r="I1676" s="274"/>
      <c r="J1676" s="274"/>
      <c r="K1676" s="274"/>
      <c r="L1676" s="274"/>
      <c r="M1676" s="274"/>
      <c r="N1676" s="274"/>
      <c r="O1676" s="274"/>
      <c r="P1676" s="274"/>
      <c r="Q1676" s="274"/>
      <c r="R1676" s="274"/>
      <c r="S1676" s="274"/>
      <c r="T1676" s="274"/>
      <c r="U1676" s="274"/>
      <c r="V1676" s="274"/>
    </row>
    <row r="1677" spans="1:22" x14ac:dyDescent="0.25">
      <c r="A1677" s="247">
        <v>1675</v>
      </c>
      <c r="B1677" s="270"/>
      <c r="C1677" s="270"/>
      <c r="D1677" s="271"/>
      <c r="E1677" s="272"/>
      <c r="F1677" s="272"/>
      <c r="G1677" s="273"/>
      <c r="H1677" s="274"/>
      <c r="I1677" s="274"/>
      <c r="J1677" s="274"/>
      <c r="K1677" s="274"/>
      <c r="L1677" s="274"/>
      <c r="M1677" s="274"/>
      <c r="N1677" s="274"/>
      <c r="O1677" s="274"/>
      <c r="P1677" s="274"/>
      <c r="Q1677" s="274"/>
      <c r="R1677" s="274"/>
      <c r="S1677" s="274"/>
      <c r="T1677" s="274"/>
      <c r="U1677" s="274"/>
      <c r="V1677" s="274"/>
    </row>
    <row r="1678" spans="1:22" x14ac:dyDescent="0.25">
      <c r="A1678" s="247">
        <v>1676</v>
      </c>
      <c r="B1678" s="270"/>
      <c r="C1678" s="270"/>
      <c r="D1678" s="271"/>
      <c r="E1678" s="272"/>
      <c r="F1678" s="272"/>
      <c r="G1678" s="273"/>
      <c r="H1678" s="274"/>
      <c r="I1678" s="274"/>
      <c r="J1678" s="274"/>
      <c r="K1678" s="274"/>
      <c r="L1678" s="274"/>
      <c r="M1678" s="274"/>
      <c r="N1678" s="274"/>
      <c r="O1678" s="274"/>
      <c r="P1678" s="274"/>
      <c r="Q1678" s="274"/>
      <c r="R1678" s="274"/>
      <c r="S1678" s="274"/>
      <c r="T1678" s="274"/>
      <c r="U1678" s="274"/>
      <c r="V1678" s="274"/>
    </row>
    <row r="1679" spans="1:22" x14ac:dyDescent="0.25">
      <c r="A1679" s="247">
        <v>1677</v>
      </c>
      <c r="B1679" s="270"/>
      <c r="C1679" s="270"/>
      <c r="D1679" s="271"/>
      <c r="E1679" s="272"/>
      <c r="F1679" s="272"/>
      <c r="G1679" s="273"/>
      <c r="H1679" s="274"/>
      <c r="I1679" s="274"/>
      <c r="J1679" s="274"/>
      <c r="K1679" s="274"/>
      <c r="L1679" s="274"/>
      <c r="M1679" s="274"/>
      <c r="N1679" s="274"/>
      <c r="O1679" s="274"/>
      <c r="P1679" s="274"/>
      <c r="Q1679" s="274"/>
      <c r="R1679" s="274"/>
      <c r="S1679" s="274"/>
      <c r="T1679" s="274"/>
      <c r="U1679" s="274"/>
      <c r="V1679" s="274"/>
    </row>
    <row r="1680" spans="1:22" x14ac:dyDescent="0.25">
      <c r="A1680" s="247">
        <v>1678</v>
      </c>
      <c r="B1680" s="270"/>
      <c r="C1680" s="270"/>
      <c r="D1680" s="271"/>
      <c r="E1680" s="272"/>
      <c r="F1680" s="272"/>
      <c r="G1680" s="273"/>
      <c r="H1680" s="274"/>
      <c r="I1680" s="274"/>
      <c r="J1680" s="274"/>
      <c r="K1680" s="274"/>
      <c r="L1680" s="274"/>
      <c r="M1680" s="274"/>
      <c r="N1680" s="274"/>
      <c r="O1680" s="274"/>
      <c r="P1680" s="274"/>
      <c r="Q1680" s="274"/>
      <c r="R1680" s="274"/>
      <c r="S1680" s="274"/>
      <c r="T1680" s="274"/>
      <c r="U1680" s="274"/>
      <c r="V1680" s="274"/>
    </row>
    <row r="1681" spans="1:22" x14ac:dyDescent="0.25">
      <c r="A1681" s="247">
        <v>1679</v>
      </c>
      <c r="B1681" s="270"/>
      <c r="C1681" s="270"/>
      <c r="D1681" s="271"/>
      <c r="E1681" s="272"/>
      <c r="F1681" s="272"/>
      <c r="G1681" s="273"/>
      <c r="H1681" s="274"/>
      <c r="I1681" s="274"/>
      <c r="J1681" s="274"/>
      <c r="K1681" s="274"/>
      <c r="L1681" s="274"/>
      <c r="M1681" s="274"/>
      <c r="N1681" s="274"/>
      <c r="O1681" s="274"/>
      <c r="P1681" s="274"/>
      <c r="Q1681" s="274"/>
      <c r="R1681" s="274"/>
      <c r="S1681" s="274"/>
      <c r="T1681" s="274"/>
      <c r="U1681" s="274"/>
      <c r="V1681" s="274"/>
    </row>
    <row r="1682" spans="1:22" x14ac:dyDescent="0.25">
      <c r="A1682" s="247">
        <v>1680</v>
      </c>
      <c r="B1682" s="270"/>
      <c r="C1682" s="270"/>
      <c r="D1682" s="271"/>
      <c r="E1682" s="272"/>
      <c r="F1682" s="272"/>
      <c r="G1682" s="273"/>
      <c r="H1682" s="274"/>
      <c r="I1682" s="274"/>
      <c r="J1682" s="274"/>
      <c r="K1682" s="274"/>
      <c r="L1682" s="274"/>
      <c r="M1682" s="274"/>
      <c r="N1682" s="274"/>
      <c r="O1682" s="274"/>
      <c r="P1682" s="274"/>
      <c r="Q1682" s="274"/>
      <c r="R1682" s="274"/>
      <c r="S1682" s="274"/>
      <c r="T1682" s="274"/>
      <c r="U1682" s="274"/>
      <c r="V1682" s="274"/>
    </row>
    <row r="1683" spans="1:22" x14ac:dyDescent="0.25">
      <c r="A1683" s="247">
        <v>1681</v>
      </c>
      <c r="B1683" s="270"/>
      <c r="C1683" s="270"/>
      <c r="D1683" s="271"/>
      <c r="E1683" s="272"/>
      <c r="F1683" s="272"/>
      <c r="G1683" s="273"/>
      <c r="H1683" s="274"/>
      <c r="I1683" s="274"/>
      <c r="J1683" s="274"/>
      <c r="K1683" s="274"/>
      <c r="L1683" s="274"/>
      <c r="M1683" s="274"/>
      <c r="N1683" s="274"/>
      <c r="O1683" s="274"/>
      <c r="P1683" s="274"/>
      <c r="Q1683" s="274"/>
      <c r="R1683" s="274"/>
      <c r="S1683" s="274"/>
      <c r="T1683" s="274"/>
      <c r="U1683" s="274"/>
      <c r="V1683" s="274"/>
    </row>
    <row r="1684" spans="1:22" x14ac:dyDescent="0.25">
      <c r="A1684" s="247">
        <v>1682</v>
      </c>
      <c r="B1684" s="270"/>
      <c r="C1684" s="270"/>
      <c r="D1684" s="271"/>
      <c r="E1684" s="272"/>
      <c r="F1684" s="272"/>
      <c r="G1684" s="273"/>
      <c r="H1684" s="274"/>
      <c r="I1684" s="274"/>
      <c r="J1684" s="274"/>
      <c r="K1684" s="274"/>
      <c r="L1684" s="274"/>
      <c r="M1684" s="274"/>
      <c r="N1684" s="274"/>
      <c r="O1684" s="274"/>
      <c r="P1684" s="274"/>
      <c r="Q1684" s="274"/>
      <c r="R1684" s="274"/>
      <c r="S1684" s="274"/>
      <c r="T1684" s="274"/>
      <c r="U1684" s="274"/>
      <c r="V1684" s="274"/>
    </row>
    <row r="1685" spans="1:22" x14ac:dyDescent="0.25">
      <c r="A1685" s="247">
        <v>1683</v>
      </c>
      <c r="B1685" s="270"/>
      <c r="C1685" s="270"/>
      <c r="D1685" s="271"/>
      <c r="E1685" s="272"/>
      <c r="F1685" s="272"/>
      <c r="G1685" s="273"/>
      <c r="H1685" s="274"/>
      <c r="I1685" s="274"/>
      <c r="J1685" s="274"/>
      <c r="K1685" s="274"/>
      <c r="L1685" s="274"/>
      <c r="M1685" s="274"/>
      <c r="N1685" s="274"/>
      <c r="O1685" s="274"/>
      <c r="P1685" s="274"/>
      <c r="Q1685" s="274"/>
      <c r="R1685" s="274"/>
      <c r="S1685" s="274"/>
      <c r="T1685" s="274"/>
      <c r="U1685" s="274"/>
      <c r="V1685" s="274"/>
    </row>
    <row r="1686" spans="1:22" x14ac:dyDescent="0.25">
      <c r="A1686" s="247">
        <v>1684</v>
      </c>
      <c r="B1686" s="270"/>
      <c r="C1686" s="270"/>
      <c r="D1686" s="271"/>
      <c r="E1686" s="272"/>
      <c r="F1686" s="272"/>
      <c r="G1686" s="273"/>
      <c r="H1686" s="274"/>
      <c r="I1686" s="274"/>
      <c r="J1686" s="274"/>
      <c r="K1686" s="274"/>
      <c r="L1686" s="274"/>
      <c r="M1686" s="274"/>
      <c r="N1686" s="274"/>
      <c r="O1686" s="274"/>
      <c r="P1686" s="274"/>
      <c r="Q1686" s="274"/>
      <c r="R1686" s="274"/>
      <c r="S1686" s="274"/>
      <c r="T1686" s="274"/>
      <c r="U1686" s="274"/>
      <c r="V1686" s="274"/>
    </row>
    <row r="1687" spans="1:22" x14ac:dyDescent="0.25">
      <c r="A1687" s="247">
        <v>1685</v>
      </c>
      <c r="B1687" s="270"/>
      <c r="C1687" s="270"/>
      <c r="D1687" s="271"/>
      <c r="E1687" s="272"/>
      <c r="F1687" s="272"/>
      <c r="G1687" s="273"/>
      <c r="H1687" s="274"/>
      <c r="I1687" s="274"/>
      <c r="J1687" s="274"/>
      <c r="K1687" s="274"/>
      <c r="L1687" s="274"/>
      <c r="M1687" s="274"/>
      <c r="N1687" s="274"/>
      <c r="O1687" s="274"/>
      <c r="P1687" s="274"/>
      <c r="Q1687" s="274"/>
      <c r="R1687" s="274"/>
      <c r="S1687" s="274"/>
      <c r="T1687" s="274"/>
      <c r="U1687" s="274"/>
      <c r="V1687" s="274"/>
    </row>
    <row r="1688" spans="1:22" x14ac:dyDescent="0.25">
      <c r="A1688" s="247">
        <v>1686</v>
      </c>
      <c r="B1688" s="270"/>
      <c r="C1688" s="270"/>
      <c r="D1688" s="271"/>
      <c r="E1688" s="272"/>
      <c r="F1688" s="272"/>
      <c r="G1688" s="273"/>
      <c r="H1688" s="274"/>
      <c r="I1688" s="274"/>
      <c r="J1688" s="274"/>
      <c r="K1688" s="274"/>
      <c r="L1688" s="274"/>
      <c r="M1688" s="274"/>
      <c r="N1688" s="274"/>
      <c r="O1688" s="274"/>
      <c r="P1688" s="274"/>
      <c r="Q1688" s="274"/>
      <c r="R1688" s="274"/>
      <c r="S1688" s="274"/>
      <c r="T1688" s="274"/>
      <c r="U1688" s="274"/>
      <c r="V1688" s="274"/>
    </row>
    <row r="1689" spans="1:22" x14ac:dyDescent="0.25">
      <c r="A1689" s="247">
        <v>1687</v>
      </c>
      <c r="B1689" s="270"/>
      <c r="C1689" s="270"/>
      <c r="D1689" s="271"/>
      <c r="E1689" s="272"/>
      <c r="F1689" s="272"/>
      <c r="G1689" s="273"/>
      <c r="H1689" s="274"/>
      <c r="I1689" s="274"/>
      <c r="J1689" s="274"/>
      <c r="K1689" s="274"/>
      <c r="L1689" s="274"/>
      <c r="M1689" s="274"/>
      <c r="N1689" s="274"/>
      <c r="O1689" s="274"/>
      <c r="P1689" s="274"/>
      <c r="Q1689" s="274"/>
      <c r="R1689" s="274"/>
      <c r="S1689" s="274"/>
      <c r="T1689" s="274"/>
      <c r="U1689" s="274"/>
      <c r="V1689" s="274"/>
    </row>
    <row r="1690" spans="1:22" x14ac:dyDescent="0.25">
      <c r="A1690" s="247">
        <v>1688</v>
      </c>
      <c r="B1690" s="270"/>
      <c r="C1690" s="270"/>
      <c r="D1690" s="271"/>
      <c r="E1690" s="272"/>
      <c r="F1690" s="272"/>
      <c r="G1690" s="273"/>
      <c r="H1690" s="274"/>
      <c r="I1690" s="274"/>
      <c r="J1690" s="274"/>
      <c r="K1690" s="274"/>
      <c r="L1690" s="274"/>
      <c r="M1690" s="274"/>
      <c r="N1690" s="274"/>
      <c r="O1690" s="274"/>
      <c r="P1690" s="274"/>
      <c r="Q1690" s="274"/>
      <c r="R1690" s="274"/>
      <c r="S1690" s="274"/>
      <c r="T1690" s="274"/>
      <c r="U1690" s="274"/>
      <c r="V1690" s="274"/>
    </row>
    <row r="1691" spans="1:22" x14ac:dyDescent="0.25">
      <c r="A1691" s="247">
        <v>1689</v>
      </c>
      <c r="B1691" s="270"/>
      <c r="C1691" s="270"/>
      <c r="D1691" s="271"/>
      <c r="E1691" s="272"/>
      <c r="F1691" s="272"/>
      <c r="G1691" s="273"/>
      <c r="H1691" s="274"/>
      <c r="I1691" s="274"/>
      <c r="J1691" s="274"/>
      <c r="K1691" s="274"/>
      <c r="L1691" s="274"/>
      <c r="M1691" s="274"/>
      <c r="N1691" s="274"/>
      <c r="O1691" s="274"/>
      <c r="P1691" s="274"/>
      <c r="Q1691" s="274"/>
      <c r="R1691" s="274"/>
      <c r="S1691" s="274"/>
      <c r="T1691" s="274"/>
      <c r="U1691" s="274"/>
      <c r="V1691" s="274"/>
    </row>
    <row r="1692" spans="1:22" x14ac:dyDescent="0.25">
      <c r="A1692" s="247">
        <v>1690</v>
      </c>
      <c r="B1692" s="270"/>
      <c r="C1692" s="270"/>
      <c r="D1692" s="271"/>
      <c r="E1692" s="272"/>
      <c r="F1692" s="272"/>
      <c r="G1692" s="273"/>
      <c r="H1692" s="274"/>
      <c r="I1692" s="274"/>
      <c r="J1692" s="274"/>
      <c r="K1692" s="274"/>
      <c r="L1692" s="274"/>
      <c r="M1692" s="274"/>
      <c r="N1692" s="274"/>
      <c r="O1692" s="274"/>
      <c r="P1692" s="274"/>
      <c r="Q1692" s="274"/>
      <c r="R1692" s="274"/>
      <c r="S1692" s="274"/>
      <c r="T1692" s="274"/>
      <c r="U1692" s="274"/>
      <c r="V1692" s="274"/>
    </row>
    <row r="1693" spans="1:22" x14ac:dyDescent="0.25">
      <c r="A1693" s="247">
        <v>1691</v>
      </c>
      <c r="B1693" s="270"/>
      <c r="C1693" s="270"/>
      <c r="D1693" s="271"/>
      <c r="E1693" s="272"/>
      <c r="F1693" s="272"/>
      <c r="G1693" s="273"/>
      <c r="H1693" s="274"/>
      <c r="I1693" s="274"/>
      <c r="J1693" s="274"/>
      <c r="K1693" s="274"/>
      <c r="L1693" s="274"/>
      <c r="M1693" s="274"/>
      <c r="N1693" s="274"/>
      <c r="O1693" s="274"/>
      <c r="P1693" s="274"/>
      <c r="Q1693" s="274"/>
      <c r="R1693" s="274"/>
      <c r="S1693" s="274"/>
      <c r="T1693" s="274"/>
      <c r="U1693" s="274"/>
      <c r="V1693" s="274"/>
    </row>
    <row r="1694" spans="1:22" x14ac:dyDescent="0.25">
      <c r="A1694" s="247">
        <v>1692</v>
      </c>
      <c r="B1694" s="270"/>
      <c r="C1694" s="270"/>
      <c r="D1694" s="271"/>
      <c r="E1694" s="272"/>
      <c r="F1694" s="272"/>
      <c r="G1694" s="273"/>
      <c r="H1694" s="274"/>
      <c r="I1694" s="274"/>
      <c r="J1694" s="274"/>
      <c r="K1694" s="274"/>
      <c r="L1694" s="274"/>
      <c r="M1694" s="274"/>
      <c r="N1694" s="274"/>
      <c r="O1694" s="274"/>
      <c r="P1694" s="274"/>
      <c r="Q1694" s="274"/>
      <c r="R1694" s="274"/>
      <c r="S1694" s="274"/>
      <c r="T1694" s="274"/>
      <c r="U1694" s="274"/>
      <c r="V1694" s="274"/>
    </row>
    <row r="1695" spans="1:22" x14ac:dyDescent="0.25">
      <c r="A1695" s="247">
        <v>1693</v>
      </c>
      <c r="B1695" s="270"/>
      <c r="C1695" s="270"/>
      <c r="D1695" s="271"/>
      <c r="E1695" s="272"/>
      <c r="F1695" s="272"/>
      <c r="G1695" s="273"/>
      <c r="H1695" s="274"/>
      <c r="I1695" s="274"/>
      <c r="J1695" s="274"/>
      <c r="K1695" s="274"/>
      <c r="L1695" s="274"/>
      <c r="M1695" s="274"/>
      <c r="N1695" s="274"/>
      <c r="O1695" s="274"/>
      <c r="P1695" s="274"/>
      <c r="Q1695" s="274"/>
      <c r="R1695" s="274"/>
      <c r="S1695" s="274"/>
      <c r="T1695" s="274"/>
      <c r="U1695" s="274"/>
      <c r="V1695" s="274"/>
    </row>
    <row r="1696" spans="1:22" x14ac:dyDescent="0.25">
      <c r="A1696" s="247">
        <v>1694</v>
      </c>
      <c r="B1696" s="270"/>
      <c r="C1696" s="270"/>
      <c r="D1696" s="271"/>
      <c r="E1696" s="272"/>
      <c r="F1696" s="272"/>
      <c r="G1696" s="273"/>
      <c r="H1696" s="274"/>
      <c r="I1696" s="274"/>
      <c r="J1696" s="274"/>
      <c r="K1696" s="274"/>
      <c r="L1696" s="274"/>
      <c r="M1696" s="274"/>
      <c r="N1696" s="274"/>
      <c r="O1696" s="274"/>
      <c r="P1696" s="274"/>
      <c r="Q1696" s="274"/>
      <c r="R1696" s="274"/>
      <c r="S1696" s="274"/>
      <c r="T1696" s="274"/>
      <c r="U1696" s="274"/>
      <c r="V1696" s="274"/>
    </row>
    <row r="1697" spans="1:22" x14ac:dyDescent="0.25">
      <c r="A1697" s="247">
        <v>1695</v>
      </c>
      <c r="B1697" s="270"/>
      <c r="C1697" s="270"/>
      <c r="D1697" s="271"/>
      <c r="E1697" s="272"/>
      <c r="F1697" s="272"/>
      <c r="G1697" s="273"/>
      <c r="H1697" s="274"/>
      <c r="I1697" s="274"/>
      <c r="J1697" s="274"/>
      <c r="K1697" s="274"/>
      <c r="L1697" s="274"/>
      <c r="M1697" s="274"/>
      <c r="N1697" s="274"/>
      <c r="O1697" s="274"/>
      <c r="P1697" s="274"/>
      <c r="Q1697" s="274"/>
      <c r="R1697" s="274"/>
      <c r="S1697" s="274"/>
      <c r="T1697" s="274"/>
      <c r="U1697" s="274"/>
      <c r="V1697" s="274"/>
    </row>
    <row r="1698" spans="1:22" x14ac:dyDescent="0.25">
      <c r="A1698" s="247">
        <v>1696</v>
      </c>
      <c r="B1698" s="270"/>
      <c r="C1698" s="270"/>
      <c r="D1698" s="271"/>
      <c r="E1698" s="272"/>
      <c r="F1698" s="272"/>
      <c r="G1698" s="273"/>
      <c r="H1698" s="274"/>
      <c r="I1698" s="274"/>
      <c r="J1698" s="274"/>
      <c r="K1698" s="274"/>
      <c r="L1698" s="274"/>
      <c r="M1698" s="274"/>
      <c r="N1698" s="274"/>
      <c r="O1698" s="274"/>
      <c r="P1698" s="274"/>
      <c r="Q1698" s="274"/>
      <c r="R1698" s="274"/>
      <c r="S1698" s="274"/>
      <c r="T1698" s="274"/>
      <c r="U1698" s="274"/>
      <c r="V1698" s="274"/>
    </row>
    <row r="1699" spans="1:22" x14ac:dyDescent="0.25">
      <c r="A1699" s="247">
        <v>1697</v>
      </c>
      <c r="B1699" s="270"/>
      <c r="C1699" s="270"/>
      <c r="D1699" s="271"/>
      <c r="E1699" s="272"/>
      <c r="F1699" s="272"/>
      <c r="G1699" s="273"/>
      <c r="H1699" s="274"/>
      <c r="I1699" s="274"/>
      <c r="J1699" s="274"/>
      <c r="K1699" s="274"/>
      <c r="L1699" s="274"/>
      <c r="M1699" s="274"/>
      <c r="N1699" s="274"/>
      <c r="O1699" s="274"/>
      <c r="P1699" s="274"/>
      <c r="Q1699" s="274"/>
      <c r="R1699" s="274"/>
      <c r="S1699" s="274"/>
      <c r="T1699" s="274"/>
      <c r="U1699" s="274"/>
      <c r="V1699" s="274"/>
    </row>
    <row r="1700" spans="1:22" x14ac:dyDescent="0.25">
      <c r="A1700" s="247">
        <v>1698</v>
      </c>
      <c r="B1700" s="270"/>
      <c r="C1700" s="270"/>
      <c r="D1700" s="271"/>
      <c r="E1700" s="272"/>
      <c r="F1700" s="272"/>
      <c r="G1700" s="273"/>
      <c r="H1700" s="274"/>
      <c r="I1700" s="274"/>
      <c r="J1700" s="274"/>
      <c r="K1700" s="274"/>
      <c r="L1700" s="274"/>
      <c r="M1700" s="274"/>
      <c r="N1700" s="274"/>
      <c r="O1700" s="274"/>
      <c r="P1700" s="274"/>
      <c r="Q1700" s="274"/>
      <c r="R1700" s="274"/>
      <c r="S1700" s="274"/>
      <c r="T1700" s="274"/>
      <c r="U1700" s="274"/>
      <c r="V1700" s="274"/>
    </row>
    <row r="1701" spans="1:22" x14ac:dyDescent="0.25">
      <c r="A1701" s="247">
        <v>1699</v>
      </c>
      <c r="B1701" s="270"/>
      <c r="C1701" s="270"/>
      <c r="D1701" s="271"/>
      <c r="E1701" s="272"/>
      <c r="F1701" s="272"/>
      <c r="G1701" s="273"/>
      <c r="H1701" s="274"/>
      <c r="I1701" s="274"/>
      <c r="J1701" s="274"/>
      <c r="K1701" s="274"/>
      <c r="L1701" s="274"/>
      <c r="M1701" s="274"/>
      <c r="N1701" s="274"/>
      <c r="O1701" s="274"/>
      <c r="P1701" s="274"/>
      <c r="Q1701" s="274"/>
      <c r="R1701" s="274"/>
      <c r="S1701" s="274"/>
      <c r="T1701" s="274"/>
      <c r="U1701" s="274"/>
      <c r="V1701" s="274"/>
    </row>
    <row r="1702" spans="1:22" x14ac:dyDescent="0.25">
      <c r="A1702" s="247">
        <v>1700</v>
      </c>
      <c r="B1702" s="270"/>
      <c r="C1702" s="270"/>
      <c r="D1702" s="271"/>
      <c r="E1702" s="272"/>
      <c r="F1702" s="272"/>
      <c r="G1702" s="273"/>
      <c r="H1702" s="274"/>
      <c r="I1702" s="274"/>
      <c r="J1702" s="274"/>
      <c r="K1702" s="274"/>
      <c r="L1702" s="274"/>
      <c r="M1702" s="274"/>
      <c r="N1702" s="274"/>
      <c r="O1702" s="274"/>
      <c r="P1702" s="274"/>
      <c r="Q1702" s="274"/>
      <c r="R1702" s="274"/>
      <c r="S1702" s="274"/>
      <c r="T1702" s="274"/>
      <c r="U1702" s="274"/>
      <c r="V1702" s="274"/>
    </row>
    <row r="1703" spans="1:22" x14ac:dyDescent="0.25">
      <c r="A1703" s="247">
        <v>1701</v>
      </c>
      <c r="B1703" s="270"/>
      <c r="C1703" s="270"/>
      <c r="D1703" s="271"/>
      <c r="E1703" s="272"/>
      <c r="F1703" s="272"/>
      <c r="G1703" s="273"/>
      <c r="H1703" s="274"/>
      <c r="I1703" s="274"/>
      <c r="J1703" s="274"/>
      <c r="K1703" s="274"/>
      <c r="L1703" s="274"/>
      <c r="M1703" s="274"/>
      <c r="N1703" s="274"/>
      <c r="O1703" s="274"/>
      <c r="P1703" s="274"/>
      <c r="Q1703" s="274"/>
      <c r="R1703" s="274"/>
      <c r="S1703" s="274"/>
      <c r="T1703" s="274"/>
      <c r="U1703" s="274"/>
      <c r="V1703" s="274"/>
    </row>
    <row r="1704" spans="1:22" x14ac:dyDescent="0.25">
      <c r="A1704" s="247">
        <v>1702</v>
      </c>
      <c r="B1704" s="270"/>
      <c r="C1704" s="270"/>
      <c r="D1704" s="271"/>
      <c r="E1704" s="272"/>
      <c r="F1704" s="272"/>
      <c r="G1704" s="273"/>
      <c r="H1704" s="274"/>
      <c r="I1704" s="274"/>
      <c r="J1704" s="274"/>
      <c r="K1704" s="274"/>
      <c r="L1704" s="274"/>
      <c r="M1704" s="274"/>
      <c r="N1704" s="274"/>
      <c r="O1704" s="274"/>
      <c r="P1704" s="274"/>
      <c r="Q1704" s="274"/>
      <c r="R1704" s="274"/>
      <c r="S1704" s="274"/>
      <c r="T1704" s="274"/>
      <c r="U1704" s="274"/>
      <c r="V1704" s="274"/>
    </row>
    <row r="1705" spans="1:22" x14ac:dyDescent="0.25">
      <c r="A1705" s="247">
        <v>1703</v>
      </c>
      <c r="B1705" s="270"/>
      <c r="C1705" s="270"/>
      <c r="D1705" s="271"/>
      <c r="E1705" s="272"/>
      <c r="F1705" s="272"/>
      <c r="G1705" s="273"/>
      <c r="H1705" s="274"/>
      <c r="I1705" s="274"/>
      <c r="J1705" s="274"/>
      <c r="K1705" s="274"/>
      <c r="L1705" s="274"/>
      <c r="M1705" s="274"/>
      <c r="N1705" s="274"/>
      <c r="O1705" s="274"/>
      <c r="P1705" s="274"/>
      <c r="Q1705" s="274"/>
      <c r="R1705" s="274"/>
      <c r="S1705" s="274"/>
      <c r="T1705" s="274"/>
      <c r="U1705" s="274"/>
      <c r="V1705" s="274"/>
    </row>
    <row r="1706" spans="1:22" x14ac:dyDescent="0.25">
      <c r="A1706" s="247">
        <v>1704</v>
      </c>
      <c r="B1706" s="270"/>
      <c r="C1706" s="270"/>
      <c r="D1706" s="271"/>
      <c r="E1706" s="272"/>
      <c r="F1706" s="272"/>
      <c r="G1706" s="273"/>
      <c r="H1706" s="274"/>
      <c r="I1706" s="274"/>
      <c r="J1706" s="274"/>
      <c r="K1706" s="274"/>
      <c r="L1706" s="274"/>
      <c r="M1706" s="274"/>
      <c r="N1706" s="274"/>
      <c r="O1706" s="274"/>
      <c r="P1706" s="274"/>
      <c r="Q1706" s="274"/>
      <c r="R1706" s="274"/>
      <c r="S1706" s="274"/>
      <c r="T1706" s="274"/>
      <c r="U1706" s="274"/>
      <c r="V1706" s="274"/>
    </row>
    <row r="1707" spans="1:22" x14ac:dyDescent="0.25">
      <c r="A1707" s="247">
        <v>1705</v>
      </c>
      <c r="B1707" s="270"/>
      <c r="C1707" s="270"/>
      <c r="D1707" s="271"/>
      <c r="E1707" s="272"/>
      <c r="F1707" s="272"/>
      <c r="G1707" s="273"/>
      <c r="H1707" s="274"/>
      <c r="I1707" s="274"/>
      <c r="J1707" s="274"/>
      <c r="K1707" s="274"/>
      <c r="L1707" s="274"/>
      <c r="M1707" s="274"/>
      <c r="N1707" s="274"/>
      <c r="O1707" s="274"/>
      <c r="P1707" s="274"/>
      <c r="Q1707" s="274"/>
      <c r="R1707" s="274"/>
      <c r="S1707" s="274"/>
      <c r="T1707" s="274"/>
      <c r="U1707" s="274"/>
      <c r="V1707" s="274"/>
    </row>
    <row r="1708" spans="1:22" x14ac:dyDescent="0.25">
      <c r="A1708" s="247">
        <v>1706</v>
      </c>
      <c r="B1708" s="270"/>
      <c r="C1708" s="270"/>
      <c r="D1708" s="271"/>
      <c r="E1708" s="272"/>
      <c r="F1708" s="272"/>
      <c r="G1708" s="273"/>
      <c r="H1708" s="274"/>
      <c r="I1708" s="274"/>
      <c r="J1708" s="274"/>
      <c r="K1708" s="274"/>
      <c r="L1708" s="274"/>
      <c r="M1708" s="274"/>
      <c r="N1708" s="274"/>
      <c r="O1708" s="274"/>
      <c r="P1708" s="274"/>
      <c r="Q1708" s="274"/>
      <c r="R1708" s="274"/>
      <c r="S1708" s="274"/>
      <c r="T1708" s="274"/>
      <c r="U1708" s="274"/>
      <c r="V1708" s="274"/>
    </row>
    <row r="1709" spans="1:22" x14ac:dyDescent="0.25">
      <c r="A1709" s="247">
        <v>1707</v>
      </c>
      <c r="B1709" s="270"/>
      <c r="C1709" s="270"/>
      <c r="D1709" s="271"/>
      <c r="E1709" s="272"/>
      <c r="F1709" s="272"/>
      <c r="G1709" s="273"/>
      <c r="H1709" s="274"/>
      <c r="I1709" s="274"/>
      <c r="J1709" s="274"/>
      <c r="K1709" s="274"/>
      <c r="L1709" s="274"/>
      <c r="M1709" s="274"/>
      <c r="N1709" s="274"/>
      <c r="O1709" s="274"/>
      <c r="P1709" s="274"/>
      <c r="Q1709" s="274"/>
      <c r="R1709" s="274"/>
      <c r="S1709" s="274"/>
      <c r="T1709" s="274"/>
      <c r="U1709" s="274"/>
      <c r="V1709" s="274"/>
    </row>
    <row r="1710" spans="1:22" x14ac:dyDescent="0.25">
      <c r="A1710" s="247">
        <v>1708</v>
      </c>
      <c r="B1710" s="270"/>
      <c r="C1710" s="270"/>
      <c r="D1710" s="271"/>
      <c r="E1710" s="272"/>
      <c r="F1710" s="272"/>
      <c r="G1710" s="273"/>
      <c r="H1710" s="274"/>
      <c r="I1710" s="274"/>
      <c r="J1710" s="274"/>
      <c r="K1710" s="274"/>
      <c r="L1710" s="274"/>
      <c r="M1710" s="274"/>
      <c r="N1710" s="274"/>
      <c r="O1710" s="274"/>
      <c r="P1710" s="274"/>
      <c r="Q1710" s="274"/>
      <c r="R1710" s="274"/>
      <c r="S1710" s="274"/>
      <c r="T1710" s="274"/>
      <c r="U1710" s="274"/>
      <c r="V1710" s="274"/>
    </row>
    <row r="1711" spans="1:22" x14ac:dyDescent="0.25">
      <c r="A1711" s="247">
        <v>1709</v>
      </c>
      <c r="B1711" s="270"/>
      <c r="C1711" s="270"/>
      <c r="D1711" s="271"/>
      <c r="E1711" s="272"/>
      <c r="F1711" s="272"/>
      <c r="G1711" s="273"/>
      <c r="H1711" s="274"/>
      <c r="I1711" s="274"/>
      <c r="J1711" s="274"/>
      <c r="K1711" s="274"/>
      <c r="L1711" s="274"/>
      <c r="M1711" s="274"/>
      <c r="N1711" s="274"/>
      <c r="O1711" s="274"/>
      <c r="P1711" s="274"/>
      <c r="Q1711" s="274"/>
      <c r="R1711" s="274"/>
      <c r="S1711" s="274"/>
      <c r="T1711" s="274"/>
      <c r="U1711" s="274"/>
      <c r="V1711" s="274"/>
    </row>
    <row r="1712" spans="1:22" x14ac:dyDescent="0.25">
      <c r="A1712" s="247">
        <v>1710</v>
      </c>
      <c r="B1712" s="270"/>
      <c r="C1712" s="270"/>
      <c r="D1712" s="271"/>
      <c r="E1712" s="272"/>
      <c r="F1712" s="272"/>
      <c r="G1712" s="273"/>
      <c r="H1712" s="274"/>
      <c r="I1712" s="274"/>
      <c r="J1712" s="274"/>
      <c r="K1712" s="274"/>
      <c r="L1712" s="274"/>
      <c r="M1712" s="274"/>
      <c r="N1712" s="274"/>
      <c r="O1712" s="274"/>
      <c r="P1712" s="274"/>
      <c r="Q1712" s="274"/>
      <c r="R1712" s="274"/>
      <c r="S1712" s="274"/>
      <c r="T1712" s="274"/>
      <c r="U1712" s="274"/>
      <c r="V1712" s="274"/>
    </row>
    <row r="1713" spans="1:22" x14ac:dyDescent="0.25">
      <c r="A1713" s="247">
        <v>1711</v>
      </c>
      <c r="B1713" s="270"/>
      <c r="C1713" s="270"/>
      <c r="D1713" s="271"/>
      <c r="E1713" s="272"/>
      <c r="F1713" s="272"/>
      <c r="G1713" s="273"/>
      <c r="H1713" s="274"/>
      <c r="I1713" s="274"/>
      <c r="J1713" s="274"/>
      <c r="K1713" s="274"/>
      <c r="L1713" s="274"/>
      <c r="M1713" s="274"/>
      <c r="N1713" s="274"/>
      <c r="O1713" s="274"/>
      <c r="P1713" s="274"/>
      <c r="Q1713" s="274"/>
      <c r="R1713" s="274"/>
      <c r="S1713" s="274"/>
      <c r="T1713" s="274"/>
      <c r="U1713" s="274"/>
      <c r="V1713" s="274"/>
    </row>
    <row r="1714" spans="1:22" x14ac:dyDescent="0.25">
      <c r="A1714" s="247">
        <v>1712</v>
      </c>
      <c r="B1714" s="270"/>
      <c r="C1714" s="270"/>
      <c r="D1714" s="271"/>
      <c r="E1714" s="272"/>
      <c r="F1714" s="272"/>
      <c r="G1714" s="273"/>
      <c r="H1714" s="274"/>
      <c r="I1714" s="274"/>
      <c r="J1714" s="274"/>
      <c r="K1714" s="274"/>
      <c r="L1714" s="274"/>
      <c r="M1714" s="274"/>
      <c r="N1714" s="274"/>
      <c r="O1714" s="274"/>
      <c r="P1714" s="274"/>
      <c r="Q1714" s="274"/>
      <c r="R1714" s="274"/>
      <c r="S1714" s="274"/>
      <c r="T1714" s="274"/>
      <c r="U1714" s="274"/>
      <c r="V1714" s="274"/>
    </row>
    <row r="1715" spans="1:22" x14ac:dyDescent="0.25">
      <c r="A1715" s="247">
        <v>1713</v>
      </c>
      <c r="B1715" s="270"/>
      <c r="C1715" s="270"/>
      <c r="D1715" s="271"/>
      <c r="E1715" s="272"/>
      <c r="F1715" s="272"/>
      <c r="G1715" s="273"/>
      <c r="H1715" s="274"/>
      <c r="I1715" s="274"/>
      <c r="J1715" s="274"/>
      <c r="K1715" s="274"/>
      <c r="L1715" s="274"/>
      <c r="M1715" s="274"/>
      <c r="N1715" s="274"/>
      <c r="O1715" s="274"/>
      <c r="P1715" s="274"/>
      <c r="Q1715" s="274"/>
      <c r="R1715" s="274"/>
      <c r="S1715" s="274"/>
      <c r="T1715" s="274"/>
      <c r="U1715" s="274"/>
      <c r="V1715" s="274"/>
    </row>
    <row r="1716" spans="1:22" x14ac:dyDescent="0.25">
      <c r="A1716" s="247">
        <v>1714</v>
      </c>
      <c r="B1716" s="270"/>
      <c r="C1716" s="270"/>
      <c r="D1716" s="271"/>
      <c r="E1716" s="272"/>
      <c r="F1716" s="272"/>
      <c r="G1716" s="273"/>
      <c r="H1716" s="274"/>
      <c r="I1716" s="274"/>
      <c r="J1716" s="274"/>
      <c r="K1716" s="274"/>
      <c r="L1716" s="274"/>
      <c r="M1716" s="274"/>
      <c r="N1716" s="274"/>
      <c r="O1716" s="274"/>
      <c r="P1716" s="274"/>
      <c r="Q1716" s="274"/>
      <c r="R1716" s="274"/>
      <c r="S1716" s="274"/>
      <c r="T1716" s="274"/>
      <c r="U1716" s="274"/>
      <c r="V1716" s="274"/>
    </row>
    <row r="1717" spans="1:22" x14ac:dyDescent="0.25">
      <c r="A1717" s="247">
        <v>1715</v>
      </c>
      <c r="B1717" s="270"/>
      <c r="C1717" s="270"/>
      <c r="D1717" s="271"/>
      <c r="E1717" s="272"/>
      <c r="F1717" s="272"/>
      <c r="G1717" s="273"/>
      <c r="H1717" s="274"/>
      <c r="I1717" s="274"/>
      <c r="J1717" s="274"/>
      <c r="K1717" s="274"/>
      <c r="L1717" s="274"/>
      <c r="M1717" s="274"/>
      <c r="N1717" s="274"/>
      <c r="O1717" s="274"/>
      <c r="P1717" s="274"/>
      <c r="Q1717" s="274"/>
      <c r="R1717" s="274"/>
      <c r="S1717" s="274"/>
      <c r="T1717" s="274"/>
      <c r="U1717" s="274"/>
      <c r="V1717" s="274"/>
    </row>
    <row r="1718" spans="1:22" x14ac:dyDescent="0.25">
      <c r="A1718" s="247">
        <v>1716</v>
      </c>
      <c r="B1718" s="270"/>
      <c r="C1718" s="270"/>
      <c r="D1718" s="271"/>
      <c r="E1718" s="272"/>
      <c r="F1718" s="272"/>
      <c r="G1718" s="273"/>
      <c r="H1718" s="274"/>
      <c r="I1718" s="274"/>
      <c r="J1718" s="274"/>
      <c r="K1718" s="274"/>
      <c r="L1718" s="274"/>
      <c r="M1718" s="274"/>
      <c r="N1718" s="274"/>
      <c r="O1718" s="274"/>
      <c r="P1718" s="274"/>
      <c r="Q1718" s="274"/>
      <c r="R1718" s="274"/>
      <c r="S1718" s="274"/>
      <c r="T1718" s="274"/>
      <c r="U1718" s="274"/>
      <c r="V1718" s="274"/>
    </row>
    <row r="1719" spans="1:22" x14ac:dyDescent="0.25">
      <c r="A1719" s="247">
        <v>1717</v>
      </c>
      <c r="B1719" s="270"/>
      <c r="C1719" s="270"/>
      <c r="D1719" s="271"/>
      <c r="E1719" s="272"/>
      <c r="F1719" s="272"/>
      <c r="G1719" s="273"/>
      <c r="H1719" s="274"/>
      <c r="I1719" s="274"/>
      <c r="J1719" s="274"/>
      <c r="K1719" s="274"/>
      <c r="L1719" s="274"/>
      <c r="M1719" s="274"/>
      <c r="N1719" s="274"/>
      <c r="O1719" s="274"/>
      <c r="P1719" s="274"/>
      <c r="Q1719" s="274"/>
      <c r="R1719" s="274"/>
      <c r="S1719" s="274"/>
      <c r="T1719" s="274"/>
      <c r="U1719" s="274"/>
      <c r="V1719" s="274"/>
    </row>
    <row r="1720" spans="1:22" x14ac:dyDescent="0.25">
      <c r="A1720" s="247">
        <v>1718</v>
      </c>
      <c r="B1720" s="270"/>
      <c r="C1720" s="270"/>
      <c r="D1720" s="271"/>
      <c r="E1720" s="272"/>
      <c r="F1720" s="272"/>
      <c r="G1720" s="273"/>
      <c r="H1720" s="274"/>
      <c r="I1720" s="274"/>
      <c r="J1720" s="274"/>
      <c r="K1720" s="274"/>
      <c r="L1720" s="274"/>
      <c r="M1720" s="274"/>
      <c r="N1720" s="274"/>
      <c r="O1720" s="274"/>
      <c r="P1720" s="274"/>
      <c r="Q1720" s="274"/>
      <c r="R1720" s="274"/>
      <c r="S1720" s="274"/>
      <c r="T1720" s="274"/>
      <c r="U1720" s="274"/>
      <c r="V1720" s="274"/>
    </row>
    <row r="1721" spans="1:22" x14ac:dyDescent="0.25">
      <c r="A1721" s="247">
        <v>1719</v>
      </c>
      <c r="B1721" s="270"/>
      <c r="C1721" s="270"/>
      <c r="D1721" s="271"/>
      <c r="E1721" s="272"/>
      <c r="F1721" s="272"/>
      <c r="G1721" s="273"/>
      <c r="H1721" s="274"/>
      <c r="I1721" s="274"/>
      <c r="J1721" s="274"/>
      <c r="K1721" s="274"/>
      <c r="L1721" s="274"/>
      <c r="M1721" s="274"/>
      <c r="N1721" s="274"/>
      <c r="O1721" s="274"/>
      <c r="P1721" s="274"/>
      <c r="Q1721" s="274"/>
      <c r="R1721" s="274"/>
      <c r="S1721" s="274"/>
      <c r="T1721" s="274"/>
      <c r="U1721" s="274"/>
      <c r="V1721" s="274"/>
    </row>
    <row r="1722" spans="1:22" x14ac:dyDescent="0.25">
      <c r="A1722" s="247">
        <v>1720</v>
      </c>
      <c r="B1722" s="270"/>
      <c r="C1722" s="270"/>
      <c r="D1722" s="271"/>
      <c r="E1722" s="272"/>
      <c r="F1722" s="272"/>
      <c r="G1722" s="273"/>
      <c r="H1722" s="274"/>
      <c r="I1722" s="274"/>
      <c r="J1722" s="274"/>
      <c r="K1722" s="274"/>
      <c r="L1722" s="274"/>
      <c r="M1722" s="274"/>
      <c r="N1722" s="274"/>
      <c r="O1722" s="274"/>
      <c r="P1722" s="274"/>
      <c r="Q1722" s="274"/>
      <c r="R1722" s="274"/>
      <c r="S1722" s="274"/>
      <c r="T1722" s="274"/>
      <c r="U1722" s="274"/>
      <c r="V1722" s="274"/>
    </row>
    <row r="1723" spans="1:22" x14ac:dyDescent="0.25">
      <c r="A1723" s="247">
        <v>1721</v>
      </c>
      <c r="B1723" s="270"/>
      <c r="C1723" s="270"/>
      <c r="D1723" s="271"/>
      <c r="E1723" s="272"/>
      <c r="F1723" s="272"/>
      <c r="G1723" s="273"/>
      <c r="H1723" s="274"/>
      <c r="I1723" s="274"/>
      <c r="J1723" s="274"/>
      <c r="K1723" s="274"/>
      <c r="L1723" s="274"/>
      <c r="M1723" s="274"/>
      <c r="N1723" s="274"/>
      <c r="O1723" s="274"/>
      <c r="P1723" s="274"/>
      <c r="Q1723" s="274"/>
      <c r="R1723" s="274"/>
      <c r="S1723" s="274"/>
      <c r="T1723" s="274"/>
      <c r="U1723" s="274"/>
      <c r="V1723" s="274"/>
    </row>
    <row r="1724" spans="1:22" x14ac:dyDescent="0.25">
      <c r="A1724" s="247">
        <v>1722</v>
      </c>
      <c r="B1724" s="270"/>
      <c r="C1724" s="270"/>
      <c r="D1724" s="271"/>
      <c r="E1724" s="272"/>
      <c r="F1724" s="272"/>
      <c r="G1724" s="273"/>
      <c r="H1724" s="274"/>
      <c r="I1724" s="274"/>
      <c r="J1724" s="274"/>
      <c r="K1724" s="274"/>
      <c r="L1724" s="274"/>
      <c r="M1724" s="274"/>
      <c r="N1724" s="274"/>
      <c r="O1724" s="274"/>
      <c r="P1724" s="274"/>
      <c r="Q1724" s="274"/>
      <c r="R1724" s="274"/>
      <c r="S1724" s="274"/>
      <c r="T1724" s="274"/>
      <c r="U1724" s="274"/>
      <c r="V1724" s="274"/>
    </row>
    <row r="1725" spans="1:22" x14ac:dyDescent="0.25">
      <c r="A1725" s="247">
        <v>1723</v>
      </c>
      <c r="B1725" s="270"/>
      <c r="C1725" s="270"/>
      <c r="D1725" s="271"/>
      <c r="E1725" s="272"/>
      <c r="F1725" s="272"/>
      <c r="G1725" s="273"/>
      <c r="H1725" s="274"/>
      <c r="I1725" s="274"/>
      <c r="J1725" s="274"/>
      <c r="K1725" s="274"/>
      <c r="L1725" s="274"/>
      <c r="M1725" s="274"/>
      <c r="N1725" s="274"/>
      <c r="O1725" s="274"/>
      <c r="P1725" s="274"/>
      <c r="Q1725" s="274"/>
      <c r="R1725" s="274"/>
      <c r="S1725" s="274"/>
      <c r="T1725" s="274"/>
      <c r="U1725" s="274"/>
      <c r="V1725" s="274"/>
    </row>
    <row r="1726" spans="1:22" x14ac:dyDescent="0.25">
      <c r="A1726" s="247">
        <v>1724</v>
      </c>
      <c r="B1726" s="270"/>
      <c r="C1726" s="270"/>
      <c r="D1726" s="271"/>
      <c r="E1726" s="272"/>
      <c r="F1726" s="272"/>
      <c r="G1726" s="273"/>
      <c r="H1726" s="274"/>
      <c r="I1726" s="274"/>
      <c r="J1726" s="274"/>
      <c r="K1726" s="274"/>
      <c r="L1726" s="274"/>
      <c r="M1726" s="274"/>
      <c r="N1726" s="274"/>
      <c r="O1726" s="274"/>
      <c r="P1726" s="274"/>
      <c r="Q1726" s="274"/>
      <c r="R1726" s="274"/>
      <c r="S1726" s="274"/>
      <c r="T1726" s="274"/>
      <c r="U1726" s="274"/>
      <c r="V1726" s="274"/>
    </row>
    <row r="1727" spans="1:22" x14ac:dyDescent="0.25">
      <c r="A1727" s="247">
        <v>1725</v>
      </c>
      <c r="B1727" s="270"/>
      <c r="C1727" s="270"/>
      <c r="D1727" s="271"/>
      <c r="E1727" s="272"/>
      <c r="F1727" s="272"/>
      <c r="G1727" s="273"/>
      <c r="H1727" s="274"/>
      <c r="I1727" s="274"/>
      <c r="J1727" s="274"/>
      <c r="K1727" s="274"/>
      <c r="L1727" s="274"/>
      <c r="M1727" s="274"/>
      <c r="N1727" s="274"/>
      <c r="O1727" s="274"/>
      <c r="P1727" s="274"/>
      <c r="Q1727" s="274"/>
      <c r="R1727" s="274"/>
      <c r="S1727" s="274"/>
      <c r="T1727" s="274"/>
      <c r="U1727" s="274"/>
      <c r="V1727" s="274"/>
    </row>
    <row r="1728" spans="1:22" x14ac:dyDescent="0.25">
      <c r="A1728" s="247">
        <v>1726</v>
      </c>
      <c r="B1728" s="270"/>
      <c r="C1728" s="270"/>
      <c r="D1728" s="271"/>
      <c r="E1728" s="272"/>
      <c r="F1728" s="272"/>
      <c r="G1728" s="273"/>
      <c r="H1728" s="274"/>
      <c r="I1728" s="274"/>
      <c r="J1728" s="274"/>
      <c r="K1728" s="274"/>
      <c r="L1728" s="274"/>
      <c r="M1728" s="274"/>
      <c r="N1728" s="274"/>
      <c r="O1728" s="274"/>
      <c r="P1728" s="274"/>
      <c r="Q1728" s="274"/>
      <c r="R1728" s="274"/>
      <c r="S1728" s="274"/>
      <c r="T1728" s="274"/>
      <c r="U1728" s="274"/>
      <c r="V1728" s="274"/>
    </row>
    <row r="1729" spans="1:22" x14ac:dyDescent="0.25">
      <c r="A1729" s="247">
        <v>1727</v>
      </c>
      <c r="B1729" s="270"/>
      <c r="C1729" s="270"/>
      <c r="D1729" s="271"/>
      <c r="E1729" s="272"/>
      <c r="F1729" s="272"/>
      <c r="G1729" s="273"/>
      <c r="H1729" s="274"/>
      <c r="I1729" s="274"/>
      <c r="J1729" s="274"/>
      <c r="K1729" s="274"/>
      <c r="L1729" s="274"/>
      <c r="M1729" s="274"/>
      <c r="N1729" s="274"/>
      <c r="O1729" s="274"/>
      <c r="P1729" s="274"/>
      <c r="Q1729" s="274"/>
      <c r="R1729" s="274"/>
      <c r="S1729" s="274"/>
      <c r="T1729" s="274"/>
      <c r="U1729" s="274"/>
      <c r="V1729" s="274"/>
    </row>
    <row r="1730" spans="1:22" x14ac:dyDescent="0.25">
      <c r="A1730" s="247">
        <v>1728</v>
      </c>
      <c r="B1730" s="270"/>
      <c r="C1730" s="270"/>
      <c r="D1730" s="271"/>
      <c r="E1730" s="272"/>
      <c r="F1730" s="272"/>
      <c r="G1730" s="273"/>
      <c r="H1730" s="274"/>
      <c r="I1730" s="274"/>
      <c r="J1730" s="274"/>
      <c r="K1730" s="274"/>
      <c r="L1730" s="274"/>
      <c r="M1730" s="274"/>
      <c r="N1730" s="274"/>
      <c r="O1730" s="274"/>
      <c r="P1730" s="274"/>
      <c r="Q1730" s="274"/>
      <c r="R1730" s="274"/>
      <c r="S1730" s="274"/>
      <c r="T1730" s="274"/>
      <c r="U1730" s="274"/>
      <c r="V1730" s="274"/>
    </row>
    <row r="1731" spans="1:22" x14ac:dyDescent="0.25">
      <c r="A1731" s="247">
        <v>1729</v>
      </c>
      <c r="B1731" s="270"/>
      <c r="C1731" s="270"/>
      <c r="D1731" s="271"/>
      <c r="E1731" s="272"/>
      <c r="F1731" s="272"/>
      <c r="G1731" s="273"/>
      <c r="H1731" s="274"/>
      <c r="I1731" s="274"/>
      <c r="J1731" s="274"/>
      <c r="K1731" s="274"/>
      <c r="L1731" s="274"/>
      <c r="M1731" s="274"/>
      <c r="N1731" s="274"/>
      <c r="O1731" s="274"/>
      <c r="P1731" s="274"/>
      <c r="Q1731" s="274"/>
      <c r="R1731" s="274"/>
      <c r="S1731" s="274"/>
      <c r="T1731" s="274"/>
      <c r="U1731" s="274"/>
      <c r="V1731" s="274"/>
    </row>
    <row r="1732" spans="1:22" x14ac:dyDescent="0.25">
      <c r="A1732" s="247">
        <v>1730</v>
      </c>
      <c r="B1732" s="270"/>
      <c r="C1732" s="270"/>
      <c r="D1732" s="271"/>
      <c r="E1732" s="272"/>
      <c r="F1732" s="272"/>
      <c r="G1732" s="273"/>
      <c r="H1732" s="274"/>
      <c r="I1732" s="274"/>
      <c r="J1732" s="274"/>
      <c r="K1732" s="274"/>
      <c r="L1732" s="274"/>
      <c r="M1732" s="274"/>
      <c r="N1732" s="274"/>
      <c r="O1732" s="274"/>
      <c r="P1732" s="274"/>
      <c r="Q1732" s="274"/>
      <c r="R1732" s="274"/>
      <c r="S1732" s="274"/>
      <c r="T1732" s="274"/>
      <c r="U1732" s="274"/>
      <c r="V1732" s="274"/>
    </row>
    <row r="1733" spans="1:22" x14ac:dyDescent="0.25">
      <c r="A1733" s="247">
        <v>1731</v>
      </c>
      <c r="B1733" s="270"/>
      <c r="C1733" s="270"/>
      <c r="D1733" s="271"/>
      <c r="E1733" s="272"/>
      <c r="F1733" s="272"/>
      <c r="G1733" s="273"/>
      <c r="H1733" s="274"/>
      <c r="I1733" s="274"/>
      <c r="J1733" s="274"/>
      <c r="K1733" s="274"/>
      <c r="L1733" s="274"/>
      <c r="M1733" s="274"/>
      <c r="N1733" s="274"/>
      <c r="O1733" s="274"/>
      <c r="P1733" s="274"/>
      <c r="Q1733" s="274"/>
      <c r="R1733" s="274"/>
      <c r="S1733" s="274"/>
      <c r="T1733" s="274"/>
      <c r="U1733" s="274"/>
      <c r="V1733" s="274"/>
    </row>
    <row r="1734" spans="1:22" x14ac:dyDescent="0.25">
      <c r="A1734" s="247">
        <v>1732</v>
      </c>
      <c r="B1734" s="270"/>
      <c r="C1734" s="270"/>
      <c r="D1734" s="271"/>
      <c r="E1734" s="272"/>
      <c r="F1734" s="272"/>
      <c r="G1734" s="273"/>
      <c r="H1734" s="274"/>
      <c r="I1734" s="274"/>
      <c r="J1734" s="274"/>
      <c r="K1734" s="274"/>
      <c r="L1734" s="274"/>
      <c r="M1734" s="274"/>
      <c r="N1734" s="274"/>
      <c r="O1734" s="274"/>
      <c r="P1734" s="274"/>
      <c r="Q1734" s="274"/>
      <c r="R1734" s="274"/>
      <c r="S1734" s="274"/>
      <c r="T1734" s="274"/>
      <c r="U1734" s="274"/>
      <c r="V1734" s="274"/>
    </row>
    <row r="1735" spans="1:22" x14ac:dyDescent="0.25">
      <c r="A1735" s="247">
        <v>1733</v>
      </c>
      <c r="B1735" s="270"/>
      <c r="C1735" s="270"/>
      <c r="D1735" s="271"/>
      <c r="E1735" s="272"/>
      <c r="F1735" s="272"/>
      <c r="G1735" s="273"/>
      <c r="H1735" s="274"/>
      <c r="I1735" s="274"/>
      <c r="J1735" s="274"/>
      <c r="K1735" s="274"/>
      <c r="L1735" s="274"/>
      <c r="M1735" s="274"/>
      <c r="N1735" s="274"/>
      <c r="O1735" s="274"/>
      <c r="P1735" s="274"/>
      <c r="Q1735" s="274"/>
      <c r="R1735" s="274"/>
      <c r="S1735" s="274"/>
      <c r="T1735" s="274"/>
      <c r="U1735" s="274"/>
      <c r="V1735" s="274"/>
    </row>
    <row r="1736" spans="1:22" x14ac:dyDescent="0.25">
      <c r="A1736" s="247">
        <v>1734</v>
      </c>
      <c r="B1736" s="270"/>
      <c r="C1736" s="270"/>
      <c r="D1736" s="271"/>
      <c r="E1736" s="272"/>
      <c r="F1736" s="272"/>
      <c r="G1736" s="273"/>
      <c r="H1736" s="274"/>
      <c r="I1736" s="274"/>
      <c r="J1736" s="274"/>
      <c r="K1736" s="274"/>
      <c r="L1736" s="274"/>
      <c r="M1736" s="274"/>
      <c r="N1736" s="274"/>
      <c r="O1736" s="274"/>
      <c r="P1736" s="274"/>
      <c r="Q1736" s="274"/>
      <c r="R1736" s="274"/>
      <c r="S1736" s="274"/>
      <c r="T1736" s="274"/>
      <c r="U1736" s="274"/>
      <c r="V1736" s="274"/>
    </row>
    <row r="1737" spans="1:22" x14ac:dyDescent="0.25">
      <c r="A1737" s="247">
        <v>1735</v>
      </c>
      <c r="B1737" s="270"/>
      <c r="C1737" s="270"/>
      <c r="D1737" s="271"/>
      <c r="E1737" s="272"/>
      <c r="F1737" s="272"/>
      <c r="G1737" s="273"/>
      <c r="H1737" s="274"/>
      <c r="I1737" s="274"/>
      <c r="J1737" s="274"/>
      <c r="K1737" s="274"/>
      <c r="L1737" s="274"/>
      <c r="M1737" s="274"/>
      <c r="N1737" s="274"/>
      <c r="O1737" s="274"/>
      <c r="P1737" s="274"/>
      <c r="Q1737" s="274"/>
      <c r="R1737" s="274"/>
      <c r="S1737" s="274"/>
      <c r="T1737" s="274"/>
      <c r="U1737" s="274"/>
      <c r="V1737" s="274"/>
    </row>
    <row r="1738" spans="1:22" x14ac:dyDescent="0.25">
      <c r="A1738" s="247">
        <v>1736</v>
      </c>
      <c r="B1738" s="270"/>
      <c r="C1738" s="270"/>
      <c r="D1738" s="271"/>
      <c r="E1738" s="272"/>
      <c r="F1738" s="272"/>
      <c r="G1738" s="273"/>
      <c r="H1738" s="274"/>
      <c r="I1738" s="274"/>
      <c r="J1738" s="274"/>
      <c r="K1738" s="274"/>
      <c r="L1738" s="274"/>
      <c r="M1738" s="274"/>
      <c r="N1738" s="274"/>
      <c r="O1738" s="274"/>
      <c r="P1738" s="274"/>
      <c r="Q1738" s="274"/>
      <c r="R1738" s="274"/>
      <c r="S1738" s="274"/>
      <c r="T1738" s="274"/>
      <c r="U1738" s="274"/>
      <c r="V1738" s="274"/>
    </row>
    <row r="1739" spans="1:22" x14ac:dyDescent="0.25">
      <c r="A1739" s="247">
        <v>1737</v>
      </c>
      <c r="B1739" s="270"/>
      <c r="C1739" s="270"/>
      <c r="D1739" s="271"/>
      <c r="E1739" s="272"/>
      <c r="F1739" s="272"/>
      <c r="G1739" s="273"/>
      <c r="H1739" s="274"/>
      <c r="I1739" s="274"/>
      <c r="J1739" s="274"/>
      <c r="K1739" s="274"/>
      <c r="L1739" s="274"/>
      <c r="M1739" s="274"/>
      <c r="N1739" s="274"/>
      <c r="O1739" s="274"/>
      <c r="P1739" s="274"/>
      <c r="Q1739" s="274"/>
      <c r="R1739" s="274"/>
      <c r="S1739" s="274"/>
      <c r="T1739" s="274"/>
      <c r="U1739" s="274"/>
      <c r="V1739" s="274"/>
    </row>
    <row r="1740" spans="1:22" x14ac:dyDescent="0.25">
      <c r="A1740" s="247">
        <v>1738</v>
      </c>
      <c r="B1740" s="270"/>
      <c r="C1740" s="270"/>
      <c r="D1740" s="271"/>
      <c r="E1740" s="272"/>
      <c r="F1740" s="272"/>
      <c r="G1740" s="273"/>
      <c r="H1740" s="274"/>
      <c r="I1740" s="274"/>
      <c r="J1740" s="274"/>
      <c r="K1740" s="274"/>
      <c r="L1740" s="274"/>
      <c r="M1740" s="274"/>
      <c r="N1740" s="274"/>
      <c r="O1740" s="274"/>
      <c r="P1740" s="274"/>
      <c r="Q1740" s="274"/>
      <c r="R1740" s="274"/>
      <c r="S1740" s="274"/>
      <c r="T1740" s="274"/>
      <c r="U1740" s="274"/>
      <c r="V1740" s="274"/>
    </row>
    <row r="1741" spans="1:22" x14ac:dyDescent="0.25">
      <c r="A1741" s="247">
        <v>1739</v>
      </c>
      <c r="B1741" s="270"/>
      <c r="C1741" s="270"/>
      <c r="D1741" s="271"/>
      <c r="E1741" s="272"/>
      <c r="F1741" s="272"/>
      <c r="G1741" s="273"/>
      <c r="H1741" s="274"/>
      <c r="I1741" s="274"/>
      <c r="J1741" s="274"/>
      <c r="K1741" s="274"/>
      <c r="L1741" s="274"/>
      <c r="M1741" s="274"/>
      <c r="N1741" s="274"/>
      <c r="O1741" s="274"/>
      <c r="P1741" s="274"/>
      <c r="Q1741" s="274"/>
      <c r="R1741" s="274"/>
      <c r="S1741" s="274"/>
      <c r="T1741" s="274"/>
      <c r="U1741" s="274"/>
      <c r="V1741" s="274"/>
    </row>
    <row r="1742" spans="1:22" x14ac:dyDescent="0.25">
      <c r="A1742" s="247">
        <v>1740</v>
      </c>
      <c r="B1742" s="270"/>
      <c r="C1742" s="270"/>
      <c r="D1742" s="271"/>
      <c r="E1742" s="272"/>
      <c r="F1742" s="272"/>
      <c r="G1742" s="273"/>
      <c r="H1742" s="274"/>
      <c r="I1742" s="274"/>
      <c r="J1742" s="274"/>
      <c r="K1742" s="274"/>
      <c r="L1742" s="274"/>
      <c r="M1742" s="274"/>
      <c r="N1742" s="274"/>
      <c r="O1742" s="274"/>
      <c r="P1742" s="274"/>
      <c r="Q1742" s="274"/>
      <c r="R1742" s="274"/>
      <c r="S1742" s="274"/>
      <c r="T1742" s="274"/>
      <c r="U1742" s="274"/>
      <c r="V1742" s="274"/>
    </row>
    <row r="1743" spans="1:22" x14ac:dyDescent="0.25">
      <c r="A1743" s="247">
        <v>1741</v>
      </c>
      <c r="B1743" s="270"/>
      <c r="C1743" s="270"/>
      <c r="D1743" s="271"/>
      <c r="E1743" s="272"/>
      <c r="F1743" s="272"/>
      <c r="G1743" s="273"/>
      <c r="H1743" s="274"/>
      <c r="I1743" s="274"/>
      <c r="J1743" s="274"/>
      <c r="K1743" s="274"/>
      <c r="L1743" s="274"/>
      <c r="M1743" s="274"/>
      <c r="N1743" s="274"/>
      <c r="O1743" s="274"/>
      <c r="P1743" s="274"/>
      <c r="Q1743" s="274"/>
      <c r="R1743" s="274"/>
      <c r="S1743" s="274"/>
      <c r="T1743" s="274"/>
      <c r="U1743" s="274"/>
      <c r="V1743" s="274"/>
    </row>
    <row r="1744" spans="1:22" x14ac:dyDescent="0.25">
      <c r="A1744" s="247">
        <v>1742</v>
      </c>
      <c r="B1744" s="270"/>
      <c r="C1744" s="270"/>
      <c r="D1744" s="271"/>
      <c r="E1744" s="272"/>
      <c r="F1744" s="272"/>
      <c r="G1744" s="273"/>
      <c r="H1744" s="274"/>
      <c r="I1744" s="274"/>
      <c r="J1744" s="274"/>
      <c r="K1744" s="274"/>
      <c r="L1744" s="274"/>
      <c r="M1744" s="274"/>
      <c r="N1744" s="274"/>
      <c r="O1744" s="274"/>
      <c r="P1744" s="274"/>
      <c r="Q1744" s="274"/>
      <c r="R1744" s="274"/>
      <c r="S1744" s="274"/>
      <c r="T1744" s="274"/>
      <c r="U1744" s="274"/>
      <c r="V1744" s="274"/>
    </row>
    <row r="1745" spans="1:22" x14ac:dyDescent="0.25">
      <c r="A1745" s="247">
        <v>1743</v>
      </c>
      <c r="B1745" s="270"/>
      <c r="C1745" s="270"/>
      <c r="D1745" s="271"/>
      <c r="E1745" s="272"/>
      <c r="F1745" s="272"/>
      <c r="G1745" s="273"/>
      <c r="H1745" s="274"/>
      <c r="I1745" s="274"/>
      <c r="J1745" s="274"/>
      <c r="K1745" s="274"/>
      <c r="L1745" s="274"/>
      <c r="M1745" s="274"/>
      <c r="N1745" s="274"/>
      <c r="O1745" s="274"/>
      <c r="P1745" s="274"/>
      <c r="Q1745" s="274"/>
      <c r="R1745" s="274"/>
      <c r="S1745" s="274"/>
      <c r="T1745" s="274"/>
      <c r="U1745" s="274"/>
      <c r="V1745" s="274"/>
    </row>
    <row r="1746" spans="1:22" x14ac:dyDescent="0.25">
      <c r="A1746" s="247">
        <v>1744</v>
      </c>
      <c r="B1746" s="270"/>
      <c r="C1746" s="270"/>
      <c r="D1746" s="271"/>
      <c r="E1746" s="272"/>
      <c r="F1746" s="272"/>
      <c r="G1746" s="273"/>
      <c r="H1746" s="274"/>
      <c r="I1746" s="274"/>
      <c r="J1746" s="274"/>
      <c r="K1746" s="274"/>
      <c r="L1746" s="274"/>
      <c r="M1746" s="274"/>
      <c r="N1746" s="274"/>
      <c r="O1746" s="274"/>
      <c r="P1746" s="274"/>
      <c r="Q1746" s="274"/>
      <c r="R1746" s="274"/>
      <c r="S1746" s="274"/>
      <c r="T1746" s="274"/>
      <c r="U1746" s="274"/>
      <c r="V1746" s="274"/>
    </row>
    <row r="1747" spans="1:22" x14ac:dyDescent="0.25">
      <c r="A1747" s="247">
        <v>1745</v>
      </c>
      <c r="B1747" s="270"/>
      <c r="C1747" s="270"/>
      <c r="D1747" s="271"/>
      <c r="E1747" s="272"/>
      <c r="F1747" s="272"/>
      <c r="G1747" s="273"/>
      <c r="H1747" s="274"/>
      <c r="I1747" s="274"/>
      <c r="J1747" s="274"/>
      <c r="K1747" s="274"/>
      <c r="L1747" s="274"/>
      <c r="M1747" s="274"/>
      <c r="N1747" s="274"/>
      <c r="O1747" s="274"/>
      <c r="P1747" s="274"/>
      <c r="Q1747" s="274"/>
      <c r="R1747" s="274"/>
      <c r="S1747" s="274"/>
      <c r="T1747" s="274"/>
      <c r="U1747" s="274"/>
      <c r="V1747" s="274"/>
    </row>
    <row r="1748" spans="1:22" x14ac:dyDescent="0.25">
      <c r="A1748" s="247">
        <v>1746</v>
      </c>
      <c r="B1748" s="270"/>
      <c r="C1748" s="270"/>
      <c r="D1748" s="271"/>
      <c r="E1748" s="272"/>
      <c r="F1748" s="272"/>
      <c r="G1748" s="273"/>
      <c r="H1748" s="274"/>
      <c r="I1748" s="274"/>
      <c r="J1748" s="274"/>
      <c r="K1748" s="274"/>
      <c r="L1748" s="274"/>
      <c r="M1748" s="274"/>
      <c r="N1748" s="274"/>
      <c r="O1748" s="274"/>
      <c r="P1748" s="274"/>
      <c r="Q1748" s="274"/>
      <c r="R1748" s="274"/>
      <c r="S1748" s="274"/>
      <c r="T1748" s="274"/>
      <c r="U1748" s="274"/>
      <c r="V1748" s="274"/>
    </row>
    <row r="1749" spans="1:22" x14ac:dyDescent="0.25">
      <c r="A1749" s="247">
        <v>1747</v>
      </c>
      <c r="B1749" s="270"/>
      <c r="C1749" s="270"/>
      <c r="D1749" s="271"/>
      <c r="E1749" s="272"/>
      <c r="F1749" s="272"/>
      <c r="G1749" s="273"/>
      <c r="H1749" s="274"/>
      <c r="I1749" s="274"/>
      <c r="J1749" s="274"/>
      <c r="K1749" s="274"/>
      <c r="L1749" s="274"/>
      <c r="M1749" s="274"/>
      <c r="N1749" s="274"/>
      <c r="O1749" s="274"/>
      <c r="P1749" s="274"/>
      <c r="Q1749" s="274"/>
      <c r="R1749" s="274"/>
      <c r="S1749" s="274"/>
      <c r="T1749" s="274"/>
      <c r="U1749" s="274"/>
      <c r="V1749" s="274"/>
    </row>
    <row r="1750" spans="1:22" x14ac:dyDescent="0.25">
      <c r="A1750" s="247">
        <v>1748</v>
      </c>
      <c r="B1750" s="270"/>
      <c r="C1750" s="270"/>
      <c r="D1750" s="271"/>
      <c r="E1750" s="272"/>
      <c r="F1750" s="272"/>
      <c r="G1750" s="273"/>
      <c r="H1750" s="274"/>
      <c r="I1750" s="274"/>
      <c r="J1750" s="274"/>
      <c r="K1750" s="274"/>
      <c r="L1750" s="274"/>
      <c r="M1750" s="274"/>
      <c r="N1750" s="274"/>
      <c r="O1750" s="274"/>
      <c r="P1750" s="274"/>
      <c r="Q1750" s="274"/>
      <c r="R1750" s="274"/>
      <c r="S1750" s="274"/>
      <c r="T1750" s="274"/>
      <c r="U1750" s="274"/>
      <c r="V1750" s="274"/>
    </row>
    <row r="1751" spans="1:22" x14ac:dyDescent="0.25">
      <c r="A1751" s="247">
        <v>1749</v>
      </c>
      <c r="B1751" s="270"/>
      <c r="C1751" s="270"/>
      <c r="D1751" s="271"/>
      <c r="E1751" s="272"/>
      <c r="F1751" s="272"/>
      <c r="G1751" s="273"/>
      <c r="H1751" s="274"/>
      <c r="I1751" s="274"/>
      <c r="J1751" s="274"/>
      <c r="K1751" s="274"/>
      <c r="L1751" s="274"/>
      <c r="M1751" s="274"/>
      <c r="N1751" s="274"/>
      <c r="O1751" s="274"/>
      <c r="P1751" s="274"/>
      <c r="Q1751" s="274"/>
      <c r="R1751" s="274"/>
      <c r="S1751" s="274"/>
      <c r="T1751" s="274"/>
      <c r="U1751" s="274"/>
      <c r="V1751" s="274"/>
    </row>
    <row r="1752" spans="1:22" x14ac:dyDescent="0.25">
      <c r="A1752" s="247">
        <v>1750</v>
      </c>
      <c r="B1752" s="270"/>
      <c r="C1752" s="270"/>
      <c r="D1752" s="271"/>
      <c r="E1752" s="272"/>
      <c r="F1752" s="272"/>
      <c r="G1752" s="273"/>
      <c r="H1752" s="274"/>
      <c r="I1752" s="274"/>
      <c r="J1752" s="274"/>
      <c r="K1752" s="274"/>
      <c r="L1752" s="274"/>
      <c r="M1752" s="274"/>
      <c r="N1752" s="274"/>
      <c r="O1752" s="274"/>
      <c r="P1752" s="274"/>
      <c r="Q1752" s="274"/>
      <c r="R1752" s="274"/>
      <c r="S1752" s="274"/>
      <c r="T1752" s="274"/>
      <c r="U1752" s="274"/>
      <c r="V1752" s="274"/>
    </row>
    <row r="1753" spans="1:22" x14ac:dyDescent="0.25">
      <c r="A1753" s="247">
        <v>1751</v>
      </c>
      <c r="B1753" s="270"/>
      <c r="C1753" s="270"/>
      <c r="D1753" s="271"/>
      <c r="E1753" s="272"/>
      <c r="F1753" s="272"/>
      <c r="G1753" s="273"/>
      <c r="H1753" s="274"/>
      <c r="I1753" s="274"/>
      <c r="J1753" s="274"/>
      <c r="K1753" s="274"/>
      <c r="L1753" s="274"/>
      <c r="M1753" s="274"/>
      <c r="N1753" s="274"/>
      <c r="O1753" s="274"/>
      <c r="P1753" s="274"/>
      <c r="Q1753" s="274"/>
      <c r="R1753" s="274"/>
      <c r="S1753" s="274"/>
      <c r="T1753" s="274"/>
      <c r="U1753" s="274"/>
      <c r="V1753" s="274"/>
    </row>
    <row r="1754" spans="1:22" x14ac:dyDescent="0.25">
      <c r="A1754" s="247">
        <v>1752</v>
      </c>
      <c r="B1754" s="270"/>
      <c r="C1754" s="270"/>
      <c r="D1754" s="271"/>
      <c r="E1754" s="272"/>
      <c r="F1754" s="272"/>
      <c r="G1754" s="273"/>
      <c r="H1754" s="274"/>
      <c r="I1754" s="274"/>
      <c r="J1754" s="274"/>
      <c r="K1754" s="274"/>
      <c r="L1754" s="274"/>
      <c r="M1754" s="274"/>
      <c r="N1754" s="274"/>
      <c r="O1754" s="274"/>
      <c r="P1754" s="274"/>
      <c r="Q1754" s="274"/>
      <c r="R1754" s="274"/>
      <c r="S1754" s="274"/>
      <c r="T1754" s="274"/>
      <c r="U1754" s="274"/>
      <c r="V1754" s="274"/>
    </row>
    <row r="1755" spans="1:22" x14ac:dyDescent="0.25">
      <c r="A1755" s="247">
        <v>1753</v>
      </c>
      <c r="B1755" s="270"/>
      <c r="C1755" s="270"/>
      <c r="D1755" s="271"/>
      <c r="E1755" s="272"/>
      <c r="F1755" s="272"/>
      <c r="G1755" s="273"/>
      <c r="H1755" s="274"/>
      <c r="I1755" s="274"/>
      <c r="J1755" s="274"/>
      <c r="K1755" s="274"/>
      <c r="L1755" s="274"/>
      <c r="M1755" s="274"/>
      <c r="N1755" s="274"/>
      <c r="O1755" s="274"/>
      <c r="P1755" s="274"/>
      <c r="Q1755" s="274"/>
      <c r="R1755" s="274"/>
      <c r="S1755" s="274"/>
      <c r="T1755" s="274"/>
      <c r="U1755" s="274"/>
      <c r="V1755" s="274"/>
    </row>
    <row r="1756" spans="1:22" x14ac:dyDescent="0.25">
      <c r="A1756" s="247">
        <v>1754</v>
      </c>
      <c r="B1756" s="270"/>
      <c r="C1756" s="270"/>
      <c r="D1756" s="271"/>
      <c r="E1756" s="272"/>
      <c r="F1756" s="272"/>
      <c r="G1756" s="273"/>
      <c r="H1756" s="274"/>
      <c r="I1756" s="274"/>
      <c r="J1756" s="274"/>
      <c r="K1756" s="274"/>
      <c r="L1756" s="274"/>
      <c r="M1756" s="274"/>
      <c r="N1756" s="274"/>
      <c r="O1756" s="274"/>
      <c r="P1756" s="274"/>
      <c r="Q1756" s="274"/>
      <c r="R1756" s="274"/>
      <c r="S1756" s="274"/>
      <c r="T1756" s="274"/>
      <c r="U1756" s="274"/>
      <c r="V1756" s="274"/>
    </row>
    <row r="1757" spans="1:22" x14ac:dyDescent="0.25">
      <c r="A1757" s="247">
        <v>1755</v>
      </c>
      <c r="B1757" s="270"/>
      <c r="C1757" s="270"/>
      <c r="D1757" s="271"/>
      <c r="E1757" s="272"/>
      <c r="F1757" s="272"/>
      <c r="G1757" s="273"/>
      <c r="H1757" s="274"/>
      <c r="I1757" s="274"/>
      <c r="J1757" s="274"/>
      <c r="K1757" s="274"/>
      <c r="L1757" s="274"/>
      <c r="M1757" s="274"/>
      <c r="N1757" s="274"/>
      <c r="O1757" s="274"/>
      <c r="P1757" s="274"/>
      <c r="Q1757" s="274"/>
      <c r="R1757" s="274"/>
      <c r="S1757" s="274"/>
      <c r="T1757" s="274"/>
      <c r="U1757" s="274"/>
      <c r="V1757" s="274"/>
    </row>
    <row r="1758" spans="1:22" x14ac:dyDescent="0.25">
      <c r="A1758" s="247">
        <v>1756</v>
      </c>
      <c r="B1758" s="270"/>
      <c r="C1758" s="270"/>
      <c r="D1758" s="271"/>
      <c r="E1758" s="272"/>
      <c r="F1758" s="272"/>
      <c r="G1758" s="273"/>
      <c r="H1758" s="274"/>
      <c r="I1758" s="274"/>
      <c r="J1758" s="274"/>
      <c r="K1758" s="274"/>
      <c r="L1758" s="274"/>
      <c r="M1758" s="274"/>
      <c r="N1758" s="274"/>
      <c r="O1758" s="274"/>
      <c r="P1758" s="274"/>
      <c r="Q1758" s="274"/>
      <c r="R1758" s="274"/>
      <c r="S1758" s="274"/>
      <c r="T1758" s="274"/>
      <c r="U1758" s="274"/>
      <c r="V1758" s="274"/>
    </row>
    <row r="1759" spans="1:22" x14ac:dyDescent="0.25">
      <c r="A1759" s="247">
        <v>1757</v>
      </c>
      <c r="B1759" s="270"/>
      <c r="C1759" s="270"/>
      <c r="D1759" s="271"/>
      <c r="E1759" s="272"/>
      <c r="F1759" s="272"/>
      <c r="G1759" s="273"/>
      <c r="H1759" s="274"/>
      <c r="I1759" s="274"/>
      <c r="J1759" s="274"/>
      <c r="K1759" s="274"/>
      <c r="L1759" s="274"/>
      <c r="M1759" s="274"/>
      <c r="N1759" s="274"/>
      <c r="O1759" s="274"/>
      <c r="P1759" s="274"/>
      <c r="Q1759" s="274"/>
      <c r="R1759" s="274"/>
      <c r="S1759" s="274"/>
      <c r="T1759" s="274"/>
      <c r="U1759" s="274"/>
      <c r="V1759" s="274"/>
    </row>
    <row r="1760" spans="1:22" x14ac:dyDescent="0.25">
      <c r="A1760" s="247">
        <v>1758</v>
      </c>
      <c r="B1760" s="270"/>
      <c r="C1760" s="270"/>
      <c r="D1760" s="271"/>
      <c r="E1760" s="272"/>
      <c r="F1760" s="272"/>
      <c r="G1760" s="273"/>
      <c r="H1760" s="274"/>
      <c r="I1760" s="274"/>
      <c r="J1760" s="274"/>
      <c r="K1760" s="274"/>
      <c r="L1760" s="274"/>
      <c r="M1760" s="274"/>
      <c r="N1760" s="274"/>
      <c r="O1760" s="274"/>
      <c r="P1760" s="274"/>
      <c r="Q1760" s="274"/>
      <c r="R1760" s="274"/>
      <c r="S1760" s="274"/>
      <c r="T1760" s="274"/>
      <c r="U1760" s="274"/>
      <c r="V1760" s="274"/>
    </row>
    <row r="1761" spans="1:22" x14ac:dyDescent="0.25">
      <c r="A1761" s="247">
        <v>1759</v>
      </c>
      <c r="B1761" s="270"/>
      <c r="C1761" s="270"/>
      <c r="D1761" s="271"/>
      <c r="E1761" s="272"/>
      <c r="F1761" s="272"/>
      <c r="G1761" s="273"/>
      <c r="H1761" s="274"/>
      <c r="I1761" s="274"/>
      <c r="J1761" s="274"/>
      <c r="K1761" s="274"/>
      <c r="L1761" s="274"/>
      <c r="M1761" s="274"/>
      <c r="N1761" s="274"/>
      <c r="O1761" s="274"/>
      <c r="P1761" s="274"/>
      <c r="Q1761" s="274"/>
      <c r="R1761" s="274"/>
      <c r="S1761" s="274"/>
      <c r="T1761" s="274"/>
      <c r="U1761" s="274"/>
      <c r="V1761" s="274"/>
    </row>
    <row r="1762" spans="1:22" x14ac:dyDescent="0.25">
      <c r="A1762" s="247">
        <v>1760</v>
      </c>
      <c r="B1762" s="270"/>
      <c r="C1762" s="270"/>
      <c r="D1762" s="271"/>
      <c r="E1762" s="272"/>
      <c r="F1762" s="272"/>
      <c r="G1762" s="273"/>
      <c r="H1762" s="274"/>
      <c r="I1762" s="274"/>
      <c r="J1762" s="274"/>
      <c r="K1762" s="274"/>
      <c r="L1762" s="274"/>
      <c r="M1762" s="274"/>
      <c r="N1762" s="274"/>
      <c r="O1762" s="274"/>
      <c r="P1762" s="274"/>
      <c r="Q1762" s="274"/>
      <c r="R1762" s="274"/>
      <c r="S1762" s="274"/>
      <c r="T1762" s="274"/>
      <c r="U1762" s="274"/>
      <c r="V1762" s="274"/>
    </row>
    <row r="1763" spans="1:22" x14ac:dyDescent="0.25">
      <c r="A1763" s="247">
        <v>1761</v>
      </c>
      <c r="B1763" s="270"/>
      <c r="C1763" s="270"/>
      <c r="D1763" s="271"/>
      <c r="E1763" s="272"/>
      <c r="F1763" s="272"/>
      <c r="G1763" s="273"/>
      <c r="H1763" s="274"/>
      <c r="I1763" s="274"/>
      <c r="J1763" s="274"/>
      <c r="K1763" s="274"/>
      <c r="L1763" s="274"/>
      <c r="M1763" s="274"/>
      <c r="N1763" s="274"/>
      <c r="O1763" s="274"/>
      <c r="P1763" s="274"/>
      <c r="Q1763" s="274"/>
      <c r="R1763" s="274"/>
      <c r="S1763" s="274"/>
      <c r="T1763" s="274"/>
      <c r="U1763" s="274"/>
      <c r="V1763" s="274"/>
    </row>
    <row r="1764" spans="1:22" x14ac:dyDescent="0.25">
      <c r="A1764" s="247">
        <v>1762</v>
      </c>
      <c r="B1764" s="270"/>
      <c r="C1764" s="270"/>
      <c r="D1764" s="271"/>
      <c r="E1764" s="272"/>
      <c r="F1764" s="272"/>
      <c r="G1764" s="273"/>
      <c r="H1764" s="274"/>
      <c r="I1764" s="274"/>
      <c r="J1764" s="274"/>
      <c r="K1764" s="274"/>
      <c r="L1764" s="274"/>
      <c r="M1764" s="274"/>
      <c r="N1764" s="274"/>
      <c r="O1764" s="274"/>
      <c r="P1764" s="274"/>
      <c r="Q1764" s="274"/>
      <c r="R1764" s="274"/>
      <c r="S1764" s="274"/>
      <c r="T1764" s="274"/>
      <c r="U1764" s="274"/>
      <c r="V1764" s="274"/>
    </row>
    <row r="1765" spans="1:22" x14ac:dyDescent="0.25">
      <c r="A1765" s="247">
        <v>1763</v>
      </c>
      <c r="B1765" s="270"/>
      <c r="C1765" s="270"/>
      <c r="D1765" s="271"/>
      <c r="E1765" s="272"/>
      <c r="F1765" s="272"/>
      <c r="G1765" s="273"/>
      <c r="H1765" s="274"/>
      <c r="I1765" s="274"/>
      <c r="J1765" s="274"/>
      <c r="K1765" s="274"/>
      <c r="L1765" s="274"/>
      <c r="M1765" s="274"/>
      <c r="N1765" s="274"/>
      <c r="O1765" s="274"/>
      <c r="P1765" s="274"/>
      <c r="Q1765" s="274"/>
      <c r="R1765" s="274"/>
      <c r="S1765" s="274"/>
      <c r="T1765" s="274"/>
      <c r="U1765" s="274"/>
      <c r="V1765" s="274"/>
    </row>
    <row r="1766" spans="1:22" x14ac:dyDescent="0.25">
      <c r="A1766" s="247">
        <v>1764</v>
      </c>
      <c r="B1766" s="270"/>
      <c r="C1766" s="270"/>
      <c r="D1766" s="271"/>
      <c r="E1766" s="272"/>
      <c r="F1766" s="272"/>
      <c r="G1766" s="273"/>
      <c r="H1766" s="274"/>
      <c r="I1766" s="274"/>
      <c r="J1766" s="274"/>
      <c r="K1766" s="274"/>
      <c r="L1766" s="274"/>
      <c r="M1766" s="274"/>
      <c r="N1766" s="274"/>
      <c r="O1766" s="274"/>
      <c r="P1766" s="274"/>
      <c r="Q1766" s="274"/>
      <c r="R1766" s="274"/>
      <c r="S1766" s="274"/>
      <c r="T1766" s="274"/>
      <c r="U1766" s="274"/>
      <c r="V1766" s="274"/>
    </row>
    <row r="1767" spans="1:22" x14ac:dyDescent="0.25">
      <c r="A1767" s="247">
        <v>1765</v>
      </c>
      <c r="B1767" s="270"/>
      <c r="C1767" s="270"/>
      <c r="D1767" s="271"/>
      <c r="E1767" s="272"/>
      <c r="F1767" s="272"/>
      <c r="G1767" s="273"/>
      <c r="H1767" s="274"/>
      <c r="I1767" s="274"/>
      <c r="J1767" s="274"/>
      <c r="K1767" s="274"/>
      <c r="L1767" s="274"/>
      <c r="M1767" s="274"/>
      <c r="N1767" s="274"/>
      <c r="O1767" s="274"/>
      <c r="P1767" s="274"/>
      <c r="Q1767" s="274"/>
      <c r="R1767" s="274"/>
      <c r="S1767" s="274"/>
      <c r="T1767" s="274"/>
      <c r="U1767" s="274"/>
      <c r="V1767" s="274"/>
    </row>
    <row r="1768" spans="1:22" x14ac:dyDescent="0.25">
      <c r="A1768" s="247">
        <v>1766</v>
      </c>
      <c r="B1768" s="270"/>
      <c r="C1768" s="270"/>
      <c r="D1768" s="271"/>
      <c r="E1768" s="272"/>
      <c r="F1768" s="272"/>
      <c r="G1768" s="273"/>
      <c r="H1768" s="274"/>
      <c r="I1768" s="274"/>
      <c r="J1768" s="274"/>
      <c r="K1768" s="274"/>
      <c r="L1768" s="274"/>
      <c r="M1768" s="274"/>
      <c r="N1768" s="274"/>
      <c r="O1768" s="274"/>
      <c r="P1768" s="274"/>
      <c r="Q1768" s="274"/>
      <c r="R1768" s="274"/>
      <c r="S1768" s="274"/>
      <c r="T1768" s="274"/>
      <c r="U1768" s="274"/>
      <c r="V1768" s="274"/>
    </row>
    <row r="1769" spans="1:22" x14ac:dyDescent="0.25">
      <c r="A1769" s="247">
        <v>1767</v>
      </c>
      <c r="B1769" s="270"/>
      <c r="C1769" s="270"/>
      <c r="D1769" s="271"/>
      <c r="E1769" s="272"/>
      <c r="F1769" s="272"/>
      <c r="G1769" s="273"/>
      <c r="H1769" s="274"/>
      <c r="I1769" s="274"/>
      <c r="J1769" s="274"/>
      <c r="K1769" s="274"/>
      <c r="L1769" s="274"/>
      <c r="M1769" s="274"/>
      <c r="N1769" s="274"/>
      <c r="O1769" s="274"/>
      <c r="P1769" s="274"/>
      <c r="Q1769" s="274"/>
      <c r="R1769" s="274"/>
      <c r="S1769" s="274"/>
      <c r="T1769" s="274"/>
      <c r="U1769" s="274"/>
      <c r="V1769" s="274"/>
    </row>
    <row r="1770" spans="1:22" x14ac:dyDescent="0.25">
      <c r="A1770" s="247">
        <v>1768</v>
      </c>
      <c r="B1770" s="270"/>
      <c r="C1770" s="270"/>
      <c r="D1770" s="271"/>
      <c r="E1770" s="272"/>
      <c r="F1770" s="272"/>
      <c r="G1770" s="273"/>
      <c r="H1770" s="274"/>
      <c r="I1770" s="274"/>
      <c r="J1770" s="274"/>
      <c r="K1770" s="274"/>
      <c r="L1770" s="274"/>
      <c r="M1770" s="274"/>
      <c r="N1770" s="274"/>
      <c r="O1770" s="274"/>
      <c r="P1770" s="274"/>
      <c r="Q1770" s="274"/>
      <c r="R1770" s="274"/>
      <c r="S1770" s="274"/>
      <c r="T1770" s="274"/>
      <c r="U1770" s="274"/>
      <c r="V1770" s="274"/>
    </row>
    <row r="1771" spans="1:22" x14ac:dyDescent="0.25">
      <c r="A1771" s="247">
        <v>1769</v>
      </c>
      <c r="B1771" s="270"/>
      <c r="C1771" s="270"/>
      <c r="D1771" s="271"/>
      <c r="E1771" s="272"/>
      <c r="F1771" s="272"/>
      <c r="G1771" s="273"/>
      <c r="H1771" s="274"/>
      <c r="I1771" s="274"/>
      <c r="J1771" s="274"/>
      <c r="K1771" s="274"/>
      <c r="L1771" s="274"/>
      <c r="M1771" s="274"/>
      <c r="N1771" s="274"/>
      <c r="O1771" s="274"/>
      <c r="P1771" s="274"/>
      <c r="Q1771" s="274"/>
      <c r="R1771" s="274"/>
      <c r="S1771" s="274"/>
      <c r="T1771" s="274"/>
      <c r="U1771" s="274"/>
      <c r="V1771" s="274"/>
    </row>
    <row r="1772" spans="1:22" x14ac:dyDescent="0.25">
      <c r="A1772" s="247">
        <v>1770</v>
      </c>
      <c r="B1772" s="270"/>
      <c r="C1772" s="270"/>
      <c r="D1772" s="271"/>
      <c r="E1772" s="272"/>
      <c r="F1772" s="272"/>
      <c r="G1772" s="273"/>
      <c r="H1772" s="274"/>
      <c r="I1772" s="274"/>
      <c r="J1772" s="274"/>
      <c r="K1772" s="274"/>
      <c r="L1772" s="274"/>
      <c r="M1772" s="274"/>
      <c r="N1772" s="274"/>
      <c r="O1772" s="274"/>
      <c r="P1772" s="274"/>
      <c r="Q1772" s="274"/>
      <c r="R1772" s="274"/>
      <c r="S1772" s="274"/>
      <c r="T1772" s="274"/>
      <c r="U1772" s="274"/>
      <c r="V1772" s="274"/>
    </row>
    <row r="1773" spans="1:22" x14ac:dyDescent="0.25">
      <c r="A1773" s="247">
        <v>1771</v>
      </c>
      <c r="B1773" s="270"/>
      <c r="C1773" s="270"/>
      <c r="D1773" s="271"/>
      <c r="E1773" s="272"/>
      <c r="F1773" s="272"/>
      <c r="G1773" s="273"/>
      <c r="H1773" s="274"/>
      <c r="I1773" s="274"/>
      <c r="J1773" s="274"/>
      <c r="K1773" s="274"/>
      <c r="L1773" s="274"/>
      <c r="M1773" s="274"/>
      <c r="N1773" s="274"/>
      <c r="O1773" s="274"/>
      <c r="P1773" s="274"/>
      <c r="Q1773" s="274"/>
      <c r="R1773" s="274"/>
      <c r="S1773" s="274"/>
      <c r="T1773" s="274"/>
      <c r="U1773" s="274"/>
      <c r="V1773" s="274"/>
    </row>
    <row r="1774" spans="1:22" x14ac:dyDescent="0.25">
      <c r="A1774" s="247">
        <v>1772</v>
      </c>
      <c r="B1774" s="270"/>
      <c r="C1774" s="270"/>
      <c r="D1774" s="271"/>
      <c r="E1774" s="272"/>
      <c r="F1774" s="272"/>
      <c r="G1774" s="273"/>
      <c r="H1774" s="274"/>
      <c r="I1774" s="274"/>
      <c r="J1774" s="274"/>
      <c r="K1774" s="274"/>
      <c r="L1774" s="274"/>
      <c r="M1774" s="274"/>
      <c r="N1774" s="274"/>
      <c r="O1774" s="274"/>
      <c r="P1774" s="274"/>
      <c r="Q1774" s="274"/>
      <c r="R1774" s="274"/>
      <c r="S1774" s="274"/>
      <c r="T1774" s="274"/>
      <c r="U1774" s="274"/>
      <c r="V1774" s="274"/>
    </row>
    <row r="1775" spans="1:22" x14ac:dyDescent="0.25">
      <c r="A1775" s="247">
        <v>1773</v>
      </c>
      <c r="B1775" s="270"/>
      <c r="C1775" s="270"/>
      <c r="D1775" s="271"/>
      <c r="E1775" s="272"/>
      <c r="F1775" s="272"/>
      <c r="G1775" s="273"/>
      <c r="H1775" s="274"/>
      <c r="I1775" s="274"/>
      <c r="J1775" s="274"/>
      <c r="K1775" s="274"/>
      <c r="L1775" s="274"/>
      <c r="M1775" s="274"/>
      <c r="N1775" s="274"/>
      <c r="O1775" s="274"/>
      <c r="P1775" s="274"/>
      <c r="Q1775" s="274"/>
      <c r="R1775" s="274"/>
      <c r="S1775" s="274"/>
      <c r="T1775" s="274"/>
      <c r="U1775" s="274"/>
      <c r="V1775" s="274"/>
    </row>
    <row r="1776" spans="1:22" x14ac:dyDescent="0.25">
      <c r="A1776" s="247">
        <v>1774</v>
      </c>
      <c r="B1776" s="270"/>
      <c r="C1776" s="270"/>
      <c r="D1776" s="271"/>
      <c r="E1776" s="272"/>
      <c r="F1776" s="272"/>
      <c r="G1776" s="273"/>
      <c r="H1776" s="274"/>
      <c r="I1776" s="274"/>
      <c r="J1776" s="274"/>
      <c r="K1776" s="274"/>
      <c r="L1776" s="274"/>
      <c r="M1776" s="274"/>
      <c r="N1776" s="274"/>
      <c r="O1776" s="274"/>
      <c r="P1776" s="274"/>
      <c r="Q1776" s="274"/>
      <c r="R1776" s="274"/>
      <c r="S1776" s="274"/>
      <c r="T1776" s="274"/>
      <c r="U1776" s="274"/>
      <c r="V1776" s="274"/>
    </row>
    <row r="1777" spans="1:22" x14ac:dyDescent="0.25">
      <c r="A1777" s="247">
        <v>1775</v>
      </c>
      <c r="B1777" s="270"/>
      <c r="C1777" s="270"/>
      <c r="D1777" s="271"/>
      <c r="E1777" s="272"/>
      <c r="F1777" s="272"/>
      <c r="G1777" s="273"/>
      <c r="H1777" s="274"/>
      <c r="I1777" s="274"/>
      <c r="J1777" s="274"/>
      <c r="K1777" s="274"/>
      <c r="L1777" s="274"/>
      <c r="M1777" s="274"/>
      <c r="N1777" s="274"/>
      <c r="O1777" s="274"/>
      <c r="P1777" s="274"/>
      <c r="Q1777" s="274"/>
      <c r="R1777" s="274"/>
      <c r="S1777" s="274"/>
      <c r="T1777" s="274"/>
      <c r="U1777" s="274"/>
      <c r="V1777" s="274"/>
    </row>
    <row r="1778" spans="1:22" x14ac:dyDescent="0.25">
      <c r="A1778" s="247">
        <v>1776</v>
      </c>
      <c r="B1778" s="270"/>
      <c r="C1778" s="270"/>
      <c r="D1778" s="271"/>
      <c r="E1778" s="272"/>
      <c r="F1778" s="272"/>
      <c r="G1778" s="273"/>
      <c r="H1778" s="274"/>
      <c r="I1778" s="274"/>
      <c r="J1778" s="274"/>
      <c r="K1778" s="274"/>
      <c r="L1778" s="274"/>
      <c r="M1778" s="274"/>
      <c r="N1778" s="274"/>
      <c r="O1778" s="274"/>
      <c r="P1778" s="274"/>
      <c r="Q1778" s="274"/>
      <c r="R1778" s="274"/>
      <c r="S1778" s="274"/>
      <c r="T1778" s="274"/>
      <c r="U1778" s="274"/>
      <c r="V1778" s="274"/>
    </row>
    <row r="1779" spans="1:22" x14ac:dyDescent="0.25">
      <c r="A1779" s="247">
        <v>1777</v>
      </c>
      <c r="B1779" s="270"/>
      <c r="C1779" s="270"/>
      <c r="D1779" s="271"/>
      <c r="E1779" s="272"/>
      <c r="F1779" s="272"/>
      <c r="G1779" s="273"/>
      <c r="H1779" s="274"/>
      <c r="I1779" s="274"/>
      <c r="J1779" s="274"/>
      <c r="K1779" s="274"/>
      <c r="L1779" s="274"/>
      <c r="M1779" s="274"/>
      <c r="N1779" s="274"/>
      <c r="O1779" s="274"/>
      <c r="P1779" s="274"/>
      <c r="Q1779" s="274"/>
      <c r="R1779" s="274"/>
      <c r="S1779" s="274"/>
      <c r="T1779" s="274"/>
      <c r="U1779" s="274"/>
      <c r="V1779" s="274"/>
    </row>
    <row r="1780" spans="1:22" x14ac:dyDescent="0.25">
      <c r="A1780" s="247">
        <v>1778</v>
      </c>
      <c r="B1780" s="270"/>
      <c r="C1780" s="270"/>
      <c r="D1780" s="271"/>
      <c r="E1780" s="272"/>
      <c r="F1780" s="272"/>
      <c r="G1780" s="273"/>
      <c r="H1780" s="274"/>
      <c r="I1780" s="274"/>
      <c r="J1780" s="274"/>
      <c r="K1780" s="274"/>
      <c r="L1780" s="274"/>
      <c r="M1780" s="274"/>
      <c r="N1780" s="274"/>
      <c r="O1780" s="274"/>
      <c r="P1780" s="274"/>
      <c r="Q1780" s="274"/>
      <c r="R1780" s="274"/>
      <c r="S1780" s="274"/>
      <c r="T1780" s="274"/>
      <c r="U1780" s="274"/>
      <c r="V1780" s="274"/>
    </row>
    <row r="1781" spans="1:22" x14ac:dyDescent="0.25">
      <c r="A1781" s="247">
        <v>1779</v>
      </c>
      <c r="B1781" s="270"/>
      <c r="C1781" s="270"/>
      <c r="D1781" s="271"/>
      <c r="E1781" s="272"/>
      <c r="F1781" s="272"/>
      <c r="G1781" s="273"/>
      <c r="H1781" s="274"/>
      <c r="I1781" s="274"/>
      <c r="J1781" s="274"/>
      <c r="K1781" s="274"/>
      <c r="L1781" s="274"/>
      <c r="M1781" s="274"/>
      <c r="N1781" s="274"/>
      <c r="O1781" s="274"/>
      <c r="P1781" s="274"/>
      <c r="Q1781" s="274"/>
      <c r="R1781" s="274"/>
      <c r="S1781" s="274"/>
      <c r="T1781" s="274"/>
      <c r="U1781" s="274"/>
      <c r="V1781" s="274"/>
    </row>
    <row r="1782" spans="1:22" x14ac:dyDescent="0.25">
      <c r="A1782" s="247">
        <v>1780</v>
      </c>
      <c r="B1782" s="270"/>
      <c r="C1782" s="270"/>
      <c r="D1782" s="271"/>
      <c r="E1782" s="272"/>
      <c r="F1782" s="272"/>
      <c r="G1782" s="273"/>
      <c r="H1782" s="274"/>
      <c r="I1782" s="274"/>
      <c r="J1782" s="274"/>
      <c r="K1782" s="274"/>
      <c r="L1782" s="274"/>
      <c r="M1782" s="274"/>
      <c r="N1782" s="274"/>
      <c r="O1782" s="274"/>
      <c r="P1782" s="274"/>
      <c r="Q1782" s="274"/>
      <c r="R1782" s="274"/>
      <c r="S1782" s="274"/>
      <c r="T1782" s="274"/>
      <c r="U1782" s="274"/>
      <c r="V1782" s="274"/>
    </row>
    <row r="1783" spans="1:22" x14ac:dyDescent="0.25">
      <c r="A1783" s="247">
        <v>1781</v>
      </c>
      <c r="B1783" s="270"/>
      <c r="C1783" s="270"/>
      <c r="D1783" s="271"/>
      <c r="E1783" s="272"/>
      <c r="F1783" s="272"/>
      <c r="G1783" s="273"/>
      <c r="H1783" s="274"/>
      <c r="I1783" s="274"/>
      <c r="J1783" s="274"/>
      <c r="K1783" s="274"/>
      <c r="L1783" s="274"/>
      <c r="M1783" s="274"/>
      <c r="N1783" s="274"/>
      <c r="O1783" s="274"/>
      <c r="P1783" s="274"/>
      <c r="Q1783" s="274"/>
      <c r="R1783" s="274"/>
      <c r="S1783" s="274"/>
      <c r="T1783" s="274"/>
      <c r="U1783" s="274"/>
      <c r="V1783" s="274"/>
    </row>
    <row r="1784" spans="1:22" x14ac:dyDescent="0.25">
      <c r="A1784" s="247">
        <v>1782</v>
      </c>
      <c r="B1784" s="270"/>
      <c r="C1784" s="270"/>
      <c r="D1784" s="271"/>
      <c r="E1784" s="272"/>
      <c r="F1784" s="272"/>
      <c r="G1784" s="273"/>
      <c r="H1784" s="274"/>
      <c r="I1784" s="274"/>
      <c r="J1784" s="274"/>
      <c r="K1784" s="274"/>
      <c r="L1784" s="274"/>
      <c r="M1784" s="274"/>
      <c r="N1784" s="274"/>
      <c r="O1784" s="274"/>
      <c r="P1784" s="274"/>
      <c r="Q1784" s="274"/>
      <c r="R1784" s="274"/>
      <c r="S1784" s="274"/>
      <c r="T1784" s="274"/>
      <c r="U1784" s="274"/>
      <c r="V1784" s="274"/>
    </row>
    <row r="1785" spans="1:22" x14ac:dyDescent="0.25">
      <c r="A1785" s="247">
        <v>1783</v>
      </c>
      <c r="B1785" s="270"/>
      <c r="C1785" s="270"/>
      <c r="D1785" s="271"/>
      <c r="E1785" s="272"/>
      <c r="F1785" s="272"/>
      <c r="G1785" s="273"/>
      <c r="H1785" s="274"/>
      <c r="I1785" s="274"/>
      <c r="J1785" s="274"/>
      <c r="K1785" s="274"/>
      <c r="L1785" s="274"/>
      <c r="M1785" s="274"/>
      <c r="N1785" s="274"/>
      <c r="O1785" s="274"/>
      <c r="P1785" s="274"/>
      <c r="Q1785" s="274"/>
      <c r="R1785" s="274"/>
      <c r="S1785" s="274"/>
      <c r="T1785" s="274"/>
      <c r="U1785" s="274"/>
      <c r="V1785" s="274"/>
    </row>
    <row r="1786" spans="1:22" x14ac:dyDescent="0.25">
      <c r="A1786" s="247">
        <v>1784</v>
      </c>
      <c r="B1786" s="270"/>
      <c r="C1786" s="270"/>
      <c r="D1786" s="271"/>
      <c r="E1786" s="272"/>
      <c r="F1786" s="272"/>
      <c r="G1786" s="273"/>
      <c r="H1786" s="274"/>
      <c r="I1786" s="274"/>
      <c r="J1786" s="274"/>
      <c r="K1786" s="274"/>
      <c r="L1786" s="274"/>
      <c r="M1786" s="274"/>
      <c r="N1786" s="274"/>
      <c r="O1786" s="274"/>
      <c r="P1786" s="274"/>
      <c r="Q1786" s="274"/>
      <c r="R1786" s="274"/>
      <c r="S1786" s="274"/>
      <c r="T1786" s="274"/>
      <c r="U1786" s="274"/>
      <c r="V1786" s="274"/>
    </row>
    <row r="1787" spans="1:22" x14ac:dyDescent="0.25">
      <c r="A1787" s="247">
        <v>1785</v>
      </c>
      <c r="B1787" s="270"/>
      <c r="C1787" s="270"/>
      <c r="D1787" s="271"/>
      <c r="E1787" s="272"/>
      <c r="F1787" s="272"/>
      <c r="G1787" s="273"/>
      <c r="H1787" s="274"/>
      <c r="I1787" s="274"/>
      <c r="J1787" s="274"/>
      <c r="K1787" s="274"/>
      <c r="L1787" s="274"/>
      <c r="M1787" s="274"/>
      <c r="N1787" s="274"/>
      <c r="O1787" s="274"/>
      <c r="P1787" s="274"/>
      <c r="Q1787" s="274"/>
      <c r="R1787" s="274"/>
      <c r="S1787" s="274"/>
      <c r="T1787" s="274"/>
      <c r="U1787" s="274"/>
      <c r="V1787" s="274"/>
    </row>
    <row r="1788" spans="1:22" x14ac:dyDescent="0.25">
      <c r="A1788" s="247">
        <v>1786</v>
      </c>
      <c r="B1788" s="270"/>
      <c r="C1788" s="270"/>
      <c r="D1788" s="271"/>
      <c r="E1788" s="272"/>
      <c r="F1788" s="272"/>
      <c r="G1788" s="273"/>
      <c r="H1788" s="274"/>
      <c r="I1788" s="274"/>
      <c r="J1788" s="274"/>
      <c r="K1788" s="274"/>
      <c r="L1788" s="274"/>
      <c r="M1788" s="274"/>
      <c r="N1788" s="274"/>
      <c r="O1788" s="274"/>
      <c r="P1788" s="274"/>
      <c r="Q1788" s="274"/>
      <c r="R1788" s="274"/>
      <c r="S1788" s="274"/>
      <c r="T1788" s="274"/>
      <c r="U1788" s="274"/>
      <c r="V1788" s="274"/>
    </row>
    <row r="1789" spans="1:22" x14ac:dyDescent="0.25">
      <c r="A1789" s="247">
        <v>1787</v>
      </c>
      <c r="B1789" s="270"/>
      <c r="C1789" s="270"/>
      <c r="D1789" s="271"/>
      <c r="E1789" s="272"/>
      <c r="F1789" s="272"/>
      <c r="G1789" s="273"/>
      <c r="H1789" s="274"/>
      <c r="I1789" s="274"/>
      <c r="J1789" s="274"/>
      <c r="K1789" s="274"/>
      <c r="L1789" s="274"/>
      <c r="M1789" s="274"/>
      <c r="N1789" s="274"/>
      <c r="O1789" s="274"/>
      <c r="P1789" s="274"/>
      <c r="Q1789" s="274"/>
      <c r="R1789" s="274"/>
      <c r="S1789" s="274"/>
      <c r="T1789" s="274"/>
      <c r="U1789" s="274"/>
      <c r="V1789" s="274"/>
    </row>
    <row r="1790" spans="1:22" x14ac:dyDescent="0.25">
      <c r="A1790" s="247">
        <v>1788</v>
      </c>
      <c r="B1790" s="270"/>
      <c r="C1790" s="270"/>
      <c r="D1790" s="271"/>
      <c r="E1790" s="272"/>
      <c r="F1790" s="272"/>
      <c r="G1790" s="273"/>
      <c r="H1790" s="274"/>
      <c r="I1790" s="274"/>
      <c r="J1790" s="274"/>
      <c r="K1790" s="274"/>
      <c r="L1790" s="274"/>
      <c r="M1790" s="274"/>
      <c r="N1790" s="274"/>
      <c r="O1790" s="274"/>
      <c r="P1790" s="274"/>
      <c r="Q1790" s="274"/>
      <c r="R1790" s="274"/>
      <c r="S1790" s="274"/>
      <c r="T1790" s="274"/>
      <c r="U1790" s="274"/>
      <c r="V1790" s="274"/>
    </row>
    <row r="1791" spans="1:22" x14ac:dyDescent="0.25">
      <c r="A1791" s="247">
        <v>1789</v>
      </c>
      <c r="B1791" s="270"/>
      <c r="C1791" s="270"/>
      <c r="D1791" s="271"/>
      <c r="E1791" s="272"/>
      <c r="F1791" s="272"/>
      <c r="G1791" s="273"/>
      <c r="H1791" s="274"/>
      <c r="I1791" s="274"/>
      <c r="J1791" s="274"/>
      <c r="K1791" s="274"/>
      <c r="L1791" s="274"/>
      <c r="M1791" s="274"/>
      <c r="N1791" s="274"/>
      <c r="O1791" s="274"/>
      <c r="P1791" s="274"/>
      <c r="Q1791" s="274"/>
      <c r="R1791" s="274"/>
      <c r="S1791" s="274"/>
      <c r="T1791" s="274"/>
      <c r="U1791" s="274"/>
      <c r="V1791" s="274"/>
    </row>
    <row r="1792" spans="1:22" x14ac:dyDescent="0.25">
      <c r="A1792" s="247">
        <v>1790</v>
      </c>
      <c r="B1792" s="270"/>
      <c r="C1792" s="270"/>
      <c r="D1792" s="271"/>
      <c r="E1792" s="272"/>
      <c r="F1792" s="272"/>
      <c r="G1792" s="273"/>
      <c r="H1792" s="274"/>
      <c r="I1792" s="274"/>
      <c r="J1792" s="274"/>
      <c r="K1792" s="274"/>
      <c r="L1792" s="274"/>
      <c r="M1792" s="274"/>
      <c r="N1792" s="274"/>
      <c r="O1792" s="274"/>
      <c r="P1792" s="274"/>
      <c r="Q1792" s="274"/>
      <c r="R1792" s="274"/>
      <c r="S1792" s="274"/>
      <c r="T1792" s="274"/>
      <c r="U1792" s="274"/>
      <c r="V1792" s="274"/>
    </row>
    <row r="1793" spans="1:22" x14ac:dyDescent="0.25">
      <c r="A1793" s="247">
        <v>1791</v>
      </c>
      <c r="B1793" s="270"/>
      <c r="C1793" s="270"/>
      <c r="D1793" s="271"/>
      <c r="E1793" s="272"/>
      <c r="F1793" s="272"/>
      <c r="G1793" s="273"/>
      <c r="H1793" s="274"/>
      <c r="I1793" s="274"/>
      <c r="J1793" s="274"/>
      <c r="K1793" s="274"/>
      <c r="L1793" s="274"/>
      <c r="M1793" s="274"/>
      <c r="N1793" s="274"/>
      <c r="O1793" s="274"/>
      <c r="P1793" s="274"/>
      <c r="Q1793" s="274"/>
      <c r="R1793" s="274"/>
      <c r="S1793" s="274"/>
      <c r="T1793" s="274"/>
      <c r="U1793" s="274"/>
      <c r="V1793" s="274"/>
    </row>
    <row r="1794" spans="1:22" x14ac:dyDescent="0.25">
      <c r="A1794" s="247">
        <v>1792</v>
      </c>
      <c r="B1794" s="270"/>
      <c r="C1794" s="270"/>
      <c r="D1794" s="271"/>
      <c r="E1794" s="272"/>
      <c r="F1794" s="272"/>
      <c r="G1794" s="273"/>
      <c r="H1794" s="274"/>
      <c r="I1794" s="274"/>
      <c r="J1794" s="274"/>
      <c r="K1794" s="274"/>
      <c r="L1794" s="274"/>
      <c r="M1794" s="274"/>
      <c r="N1794" s="274"/>
      <c r="O1794" s="274"/>
      <c r="P1794" s="274"/>
      <c r="Q1794" s="274"/>
      <c r="R1794" s="274"/>
      <c r="S1794" s="274"/>
      <c r="T1794" s="274"/>
      <c r="U1794" s="274"/>
      <c r="V1794" s="274"/>
    </row>
    <row r="1795" spans="1:22" x14ac:dyDescent="0.25">
      <c r="A1795" s="247">
        <v>1793</v>
      </c>
      <c r="B1795" s="270"/>
      <c r="C1795" s="270"/>
      <c r="D1795" s="271"/>
      <c r="E1795" s="272"/>
      <c r="F1795" s="272"/>
      <c r="G1795" s="273"/>
      <c r="H1795" s="274"/>
      <c r="I1795" s="274"/>
      <c r="J1795" s="274"/>
      <c r="K1795" s="274"/>
      <c r="L1795" s="274"/>
      <c r="M1795" s="274"/>
      <c r="N1795" s="274"/>
      <c r="O1795" s="274"/>
      <c r="P1795" s="274"/>
      <c r="Q1795" s="274"/>
      <c r="R1795" s="274"/>
      <c r="S1795" s="274"/>
      <c r="T1795" s="274"/>
      <c r="U1795" s="274"/>
      <c r="V1795" s="274"/>
    </row>
    <row r="1796" spans="1:22" x14ac:dyDescent="0.25">
      <c r="A1796" s="247">
        <v>1794</v>
      </c>
      <c r="B1796" s="270"/>
      <c r="C1796" s="270"/>
      <c r="D1796" s="271"/>
      <c r="E1796" s="272"/>
      <c r="F1796" s="272"/>
      <c r="G1796" s="273"/>
      <c r="H1796" s="274"/>
      <c r="I1796" s="274"/>
      <c r="J1796" s="274"/>
      <c r="K1796" s="274"/>
      <c r="L1796" s="274"/>
      <c r="M1796" s="274"/>
      <c r="N1796" s="274"/>
      <c r="O1796" s="274"/>
      <c r="P1796" s="274"/>
      <c r="Q1796" s="274"/>
      <c r="R1796" s="274"/>
      <c r="S1796" s="274"/>
      <c r="T1796" s="274"/>
      <c r="U1796" s="274"/>
      <c r="V1796" s="274"/>
    </row>
    <row r="1797" spans="1:22" x14ac:dyDescent="0.25">
      <c r="A1797" s="247">
        <v>1795</v>
      </c>
      <c r="B1797" s="270"/>
      <c r="C1797" s="270"/>
      <c r="D1797" s="271"/>
      <c r="E1797" s="272"/>
      <c r="F1797" s="272"/>
      <c r="G1797" s="273"/>
      <c r="H1797" s="274"/>
      <c r="I1797" s="274"/>
      <c r="J1797" s="274"/>
      <c r="K1797" s="274"/>
      <c r="L1797" s="274"/>
      <c r="M1797" s="274"/>
      <c r="N1797" s="274"/>
      <c r="O1797" s="274"/>
      <c r="P1797" s="274"/>
      <c r="Q1797" s="274"/>
      <c r="R1797" s="274"/>
      <c r="S1797" s="274"/>
      <c r="T1797" s="274"/>
      <c r="U1797" s="274"/>
      <c r="V1797" s="274"/>
    </row>
    <row r="1798" spans="1:22" x14ac:dyDescent="0.25">
      <c r="A1798" s="247">
        <v>1796</v>
      </c>
      <c r="B1798" s="270"/>
      <c r="C1798" s="270"/>
      <c r="D1798" s="271"/>
      <c r="E1798" s="272"/>
      <c r="F1798" s="272"/>
      <c r="G1798" s="273"/>
      <c r="H1798" s="274"/>
      <c r="I1798" s="274"/>
      <c r="J1798" s="274"/>
      <c r="K1798" s="274"/>
      <c r="L1798" s="274"/>
      <c r="M1798" s="274"/>
      <c r="N1798" s="274"/>
      <c r="O1798" s="274"/>
      <c r="P1798" s="274"/>
      <c r="Q1798" s="274"/>
      <c r="R1798" s="274"/>
      <c r="S1798" s="274"/>
      <c r="T1798" s="274"/>
      <c r="U1798" s="274"/>
      <c r="V1798" s="274"/>
    </row>
    <row r="1799" spans="1:22" x14ac:dyDescent="0.25">
      <c r="A1799" s="247">
        <v>1797</v>
      </c>
      <c r="B1799" s="270"/>
      <c r="C1799" s="270"/>
      <c r="D1799" s="271"/>
      <c r="E1799" s="272"/>
      <c r="F1799" s="272"/>
      <c r="G1799" s="273"/>
      <c r="H1799" s="274"/>
      <c r="I1799" s="274"/>
      <c r="J1799" s="274"/>
      <c r="K1799" s="274"/>
      <c r="L1799" s="274"/>
      <c r="M1799" s="274"/>
      <c r="N1799" s="274"/>
      <c r="O1799" s="274"/>
      <c r="P1799" s="274"/>
      <c r="Q1799" s="274"/>
      <c r="R1799" s="274"/>
      <c r="S1799" s="274"/>
      <c r="T1799" s="274"/>
      <c r="U1799" s="274"/>
      <c r="V1799" s="274"/>
    </row>
    <row r="1800" spans="1:22" x14ac:dyDescent="0.25">
      <c r="A1800" s="247">
        <v>1798</v>
      </c>
      <c r="B1800" s="270"/>
      <c r="C1800" s="270"/>
      <c r="D1800" s="271"/>
      <c r="E1800" s="272"/>
      <c r="F1800" s="272"/>
      <c r="G1800" s="273"/>
      <c r="H1800" s="274"/>
      <c r="I1800" s="274"/>
      <c r="J1800" s="274"/>
      <c r="K1800" s="274"/>
      <c r="L1800" s="274"/>
      <c r="M1800" s="274"/>
      <c r="N1800" s="274"/>
      <c r="O1800" s="274"/>
      <c r="P1800" s="274"/>
      <c r="Q1800" s="274"/>
      <c r="R1800" s="274"/>
      <c r="S1800" s="274"/>
      <c r="T1800" s="274"/>
      <c r="U1800" s="274"/>
      <c r="V1800" s="274"/>
    </row>
    <row r="1801" spans="1:22" x14ac:dyDescent="0.25">
      <c r="A1801" s="247">
        <v>1799</v>
      </c>
      <c r="B1801" s="270"/>
      <c r="C1801" s="270"/>
      <c r="D1801" s="271"/>
      <c r="E1801" s="272"/>
      <c r="F1801" s="272"/>
      <c r="G1801" s="273"/>
      <c r="H1801" s="274"/>
      <c r="I1801" s="274"/>
      <c r="J1801" s="274"/>
      <c r="K1801" s="274"/>
      <c r="L1801" s="274"/>
      <c r="M1801" s="274"/>
      <c r="N1801" s="274"/>
      <c r="O1801" s="274"/>
      <c r="P1801" s="274"/>
      <c r="Q1801" s="274"/>
      <c r="R1801" s="274"/>
      <c r="S1801" s="274"/>
      <c r="T1801" s="274"/>
      <c r="U1801" s="274"/>
      <c r="V1801" s="274"/>
    </row>
    <row r="1802" spans="1:22" x14ac:dyDescent="0.25">
      <c r="A1802" s="247">
        <v>1800</v>
      </c>
      <c r="B1802" s="270"/>
      <c r="C1802" s="270"/>
      <c r="D1802" s="271"/>
      <c r="E1802" s="272"/>
      <c r="F1802" s="272"/>
      <c r="G1802" s="273"/>
      <c r="H1802" s="274"/>
      <c r="I1802" s="274"/>
      <c r="J1802" s="274"/>
      <c r="K1802" s="274"/>
      <c r="L1802" s="274"/>
      <c r="M1802" s="274"/>
      <c r="N1802" s="274"/>
      <c r="O1802" s="274"/>
      <c r="P1802" s="274"/>
      <c r="Q1802" s="274"/>
      <c r="R1802" s="274"/>
      <c r="S1802" s="274"/>
      <c r="T1802" s="274"/>
      <c r="U1802" s="274"/>
      <c r="V1802" s="274"/>
    </row>
    <row r="1803" spans="1:22" x14ac:dyDescent="0.25">
      <c r="A1803" s="247">
        <v>1801</v>
      </c>
      <c r="B1803" s="270"/>
      <c r="C1803" s="270"/>
      <c r="D1803" s="271"/>
      <c r="E1803" s="272"/>
      <c r="F1803" s="272"/>
      <c r="G1803" s="273"/>
      <c r="H1803" s="274"/>
      <c r="I1803" s="274"/>
      <c r="J1803" s="274"/>
      <c r="K1803" s="274"/>
      <c r="L1803" s="274"/>
      <c r="M1803" s="274"/>
      <c r="N1803" s="274"/>
      <c r="O1803" s="274"/>
      <c r="P1803" s="274"/>
      <c r="Q1803" s="274"/>
      <c r="R1803" s="274"/>
      <c r="S1803" s="274"/>
      <c r="T1803" s="274"/>
      <c r="U1803" s="274"/>
      <c r="V1803" s="274"/>
    </row>
    <row r="1804" spans="1:22" x14ac:dyDescent="0.25">
      <c r="A1804" s="247">
        <v>1802</v>
      </c>
      <c r="B1804" s="270"/>
      <c r="C1804" s="270"/>
      <c r="D1804" s="271"/>
      <c r="E1804" s="272"/>
      <c r="F1804" s="272"/>
      <c r="G1804" s="273"/>
      <c r="H1804" s="274"/>
      <c r="I1804" s="274"/>
      <c r="J1804" s="274"/>
      <c r="K1804" s="274"/>
      <c r="L1804" s="274"/>
      <c r="M1804" s="274"/>
      <c r="N1804" s="274"/>
      <c r="O1804" s="274"/>
      <c r="P1804" s="274"/>
      <c r="Q1804" s="274"/>
      <c r="R1804" s="274"/>
      <c r="S1804" s="274"/>
      <c r="T1804" s="274"/>
      <c r="U1804" s="274"/>
      <c r="V1804" s="274"/>
    </row>
    <row r="1805" spans="1:22" x14ac:dyDescent="0.25">
      <c r="A1805" s="247">
        <v>1803</v>
      </c>
      <c r="B1805" s="270"/>
      <c r="C1805" s="270"/>
      <c r="D1805" s="271"/>
      <c r="E1805" s="272"/>
      <c r="F1805" s="272"/>
      <c r="G1805" s="273"/>
      <c r="H1805" s="274"/>
      <c r="I1805" s="274"/>
      <c r="J1805" s="274"/>
      <c r="K1805" s="274"/>
      <c r="L1805" s="274"/>
      <c r="M1805" s="274"/>
      <c r="N1805" s="274"/>
      <c r="O1805" s="274"/>
      <c r="P1805" s="274"/>
      <c r="Q1805" s="274"/>
      <c r="R1805" s="274"/>
      <c r="S1805" s="274"/>
      <c r="T1805" s="274"/>
      <c r="U1805" s="274"/>
      <c r="V1805" s="274"/>
    </row>
    <row r="1806" spans="1:22" x14ac:dyDescent="0.25">
      <c r="A1806" s="247">
        <v>1804</v>
      </c>
      <c r="B1806" s="270"/>
      <c r="C1806" s="270"/>
      <c r="D1806" s="271"/>
      <c r="E1806" s="272"/>
      <c r="F1806" s="272"/>
      <c r="G1806" s="273"/>
      <c r="H1806" s="274"/>
      <c r="I1806" s="274"/>
      <c r="J1806" s="274"/>
      <c r="K1806" s="274"/>
      <c r="L1806" s="274"/>
      <c r="M1806" s="274"/>
      <c r="N1806" s="274"/>
      <c r="O1806" s="274"/>
      <c r="P1806" s="274"/>
      <c r="Q1806" s="274"/>
      <c r="R1806" s="274"/>
      <c r="S1806" s="274"/>
      <c r="T1806" s="274"/>
      <c r="U1806" s="274"/>
      <c r="V1806" s="274"/>
    </row>
    <row r="1807" spans="1:22" x14ac:dyDescent="0.25">
      <c r="A1807" s="247">
        <v>1805</v>
      </c>
      <c r="B1807" s="270"/>
      <c r="C1807" s="270"/>
      <c r="D1807" s="271"/>
      <c r="E1807" s="272"/>
      <c r="F1807" s="272"/>
      <c r="G1807" s="273"/>
      <c r="H1807" s="274"/>
      <c r="I1807" s="274"/>
      <c r="J1807" s="274"/>
      <c r="K1807" s="274"/>
      <c r="L1807" s="274"/>
      <c r="M1807" s="274"/>
      <c r="N1807" s="274"/>
      <c r="O1807" s="274"/>
      <c r="P1807" s="274"/>
      <c r="Q1807" s="274"/>
      <c r="R1807" s="274"/>
      <c r="S1807" s="274"/>
      <c r="T1807" s="274"/>
      <c r="U1807" s="274"/>
      <c r="V1807" s="274"/>
    </row>
    <row r="1808" spans="1:22" x14ac:dyDescent="0.25">
      <c r="A1808" s="247">
        <v>1806</v>
      </c>
      <c r="B1808" s="270"/>
      <c r="C1808" s="270"/>
      <c r="D1808" s="271"/>
      <c r="E1808" s="272"/>
      <c r="F1808" s="272"/>
      <c r="G1808" s="273"/>
      <c r="H1808" s="274"/>
      <c r="I1808" s="274"/>
      <c r="J1808" s="274"/>
      <c r="K1808" s="274"/>
      <c r="L1808" s="274"/>
      <c r="M1808" s="274"/>
      <c r="N1808" s="274"/>
      <c r="O1808" s="274"/>
      <c r="P1808" s="274"/>
      <c r="Q1808" s="274"/>
      <c r="R1808" s="274"/>
      <c r="S1808" s="274"/>
      <c r="T1808" s="274"/>
      <c r="U1808" s="274"/>
      <c r="V1808" s="274"/>
    </row>
    <row r="1809" spans="1:22" x14ac:dyDescent="0.25">
      <c r="A1809" s="247">
        <v>1807</v>
      </c>
      <c r="B1809" s="270"/>
      <c r="C1809" s="270"/>
      <c r="D1809" s="271"/>
      <c r="E1809" s="272"/>
      <c r="F1809" s="272"/>
      <c r="G1809" s="273"/>
      <c r="H1809" s="274"/>
      <c r="I1809" s="274"/>
      <c r="J1809" s="274"/>
      <c r="K1809" s="274"/>
      <c r="L1809" s="274"/>
      <c r="M1809" s="274"/>
      <c r="N1809" s="274"/>
      <c r="O1809" s="274"/>
      <c r="P1809" s="274"/>
      <c r="Q1809" s="274"/>
      <c r="R1809" s="274"/>
      <c r="S1809" s="274"/>
      <c r="T1809" s="274"/>
      <c r="U1809" s="274"/>
      <c r="V1809" s="274"/>
    </row>
    <row r="1810" spans="1:22" x14ac:dyDescent="0.25">
      <c r="A1810" s="247">
        <v>1808</v>
      </c>
      <c r="B1810" s="270"/>
      <c r="C1810" s="270"/>
      <c r="D1810" s="271"/>
      <c r="E1810" s="272"/>
      <c r="F1810" s="272"/>
      <c r="G1810" s="273"/>
      <c r="H1810" s="274"/>
      <c r="I1810" s="274"/>
      <c r="J1810" s="274"/>
      <c r="K1810" s="274"/>
      <c r="L1810" s="274"/>
      <c r="M1810" s="274"/>
      <c r="N1810" s="274"/>
      <c r="O1810" s="274"/>
      <c r="P1810" s="274"/>
      <c r="Q1810" s="274"/>
      <c r="R1810" s="274"/>
      <c r="S1810" s="274"/>
      <c r="T1810" s="274"/>
      <c r="U1810" s="274"/>
      <c r="V1810" s="274"/>
    </row>
    <row r="1811" spans="1:22" x14ac:dyDescent="0.25">
      <c r="A1811" s="247">
        <v>1809</v>
      </c>
      <c r="B1811" s="270"/>
      <c r="C1811" s="270"/>
      <c r="D1811" s="271"/>
      <c r="E1811" s="272"/>
      <c r="F1811" s="272"/>
      <c r="G1811" s="273"/>
      <c r="H1811" s="274"/>
      <c r="I1811" s="274"/>
      <c r="J1811" s="274"/>
      <c r="K1811" s="274"/>
      <c r="L1811" s="274"/>
      <c r="M1811" s="274"/>
      <c r="N1811" s="274"/>
      <c r="O1811" s="274"/>
      <c r="P1811" s="274"/>
      <c r="Q1811" s="274"/>
      <c r="R1811" s="274"/>
      <c r="S1811" s="274"/>
      <c r="T1811" s="274"/>
      <c r="U1811" s="274"/>
      <c r="V1811" s="274"/>
    </row>
    <row r="1812" spans="1:22" x14ac:dyDescent="0.25">
      <c r="A1812" s="247">
        <v>1810</v>
      </c>
      <c r="B1812" s="270"/>
      <c r="C1812" s="270"/>
      <c r="D1812" s="271"/>
      <c r="E1812" s="272"/>
      <c r="F1812" s="272"/>
      <c r="G1812" s="273"/>
      <c r="H1812" s="274"/>
      <c r="I1812" s="274"/>
      <c r="J1812" s="274"/>
      <c r="K1812" s="274"/>
      <c r="L1812" s="274"/>
      <c r="M1812" s="274"/>
      <c r="N1812" s="274"/>
      <c r="O1812" s="274"/>
      <c r="P1812" s="274"/>
      <c r="Q1812" s="274"/>
      <c r="R1812" s="274"/>
      <c r="S1812" s="274"/>
      <c r="T1812" s="274"/>
      <c r="U1812" s="274"/>
      <c r="V1812" s="274"/>
    </row>
    <row r="1813" spans="1:22" x14ac:dyDescent="0.25">
      <c r="A1813" s="247">
        <v>1811</v>
      </c>
      <c r="B1813" s="270"/>
      <c r="C1813" s="270"/>
      <c r="D1813" s="271"/>
      <c r="E1813" s="272"/>
      <c r="F1813" s="272"/>
      <c r="G1813" s="273"/>
      <c r="H1813" s="274"/>
      <c r="I1813" s="274"/>
      <c r="J1813" s="274"/>
      <c r="K1813" s="274"/>
      <c r="L1813" s="274"/>
      <c r="M1813" s="274"/>
      <c r="N1813" s="274"/>
      <c r="O1813" s="274"/>
      <c r="P1813" s="274"/>
      <c r="Q1813" s="274"/>
      <c r="R1813" s="274"/>
      <c r="S1813" s="274"/>
      <c r="T1813" s="274"/>
      <c r="U1813" s="274"/>
      <c r="V1813" s="274"/>
    </row>
    <row r="1814" spans="1:22" x14ac:dyDescent="0.25">
      <c r="A1814" s="247">
        <v>1812</v>
      </c>
      <c r="B1814" s="270"/>
      <c r="C1814" s="270"/>
      <c r="D1814" s="271"/>
      <c r="E1814" s="272"/>
      <c r="F1814" s="272"/>
      <c r="G1814" s="273"/>
      <c r="H1814" s="274"/>
      <c r="I1814" s="274"/>
      <c r="J1814" s="274"/>
      <c r="K1814" s="274"/>
      <c r="L1814" s="274"/>
      <c r="M1814" s="274"/>
      <c r="N1814" s="274"/>
      <c r="O1814" s="274"/>
      <c r="P1814" s="274"/>
      <c r="Q1814" s="274"/>
      <c r="R1814" s="274"/>
      <c r="S1814" s="274"/>
      <c r="T1814" s="274"/>
      <c r="U1814" s="274"/>
      <c r="V1814" s="274"/>
    </row>
    <row r="1815" spans="1:22" x14ac:dyDescent="0.25">
      <c r="A1815" s="247">
        <v>1813</v>
      </c>
      <c r="B1815" s="270"/>
      <c r="C1815" s="270"/>
      <c r="D1815" s="271"/>
      <c r="E1815" s="272"/>
      <c r="F1815" s="272"/>
      <c r="G1815" s="273"/>
      <c r="H1815" s="274"/>
      <c r="I1815" s="274"/>
      <c r="J1815" s="274"/>
      <c r="K1815" s="274"/>
      <c r="L1815" s="274"/>
      <c r="M1815" s="274"/>
      <c r="N1815" s="274"/>
      <c r="O1815" s="274"/>
      <c r="P1815" s="274"/>
      <c r="Q1815" s="274"/>
      <c r="R1815" s="274"/>
      <c r="S1815" s="274"/>
      <c r="T1815" s="274"/>
      <c r="U1815" s="274"/>
      <c r="V1815" s="274"/>
    </row>
    <row r="1816" spans="1:22" x14ac:dyDescent="0.25">
      <c r="A1816" s="247">
        <v>1814</v>
      </c>
      <c r="B1816" s="270"/>
      <c r="C1816" s="270"/>
      <c r="D1816" s="271"/>
      <c r="E1816" s="272"/>
      <c r="F1816" s="272"/>
      <c r="G1816" s="273"/>
      <c r="H1816" s="274"/>
      <c r="I1816" s="274"/>
      <c r="J1816" s="274"/>
      <c r="K1816" s="274"/>
      <c r="L1816" s="274"/>
      <c r="M1816" s="274"/>
      <c r="N1816" s="274"/>
      <c r="O1816" s="274"/>
      <c r="P1816" s="274"/>
      <c r="Q1816" s="274"/>
      <c r="R1816" s="274"/>
      <c r="S1816" s="274"/>
      <c r="T1816" s="274"/>
      <c r="U1816" s="274"/>
      <c r="V1816" s="274"/>
    </row>
    <row r="1817" spans="1:22" x14ac:dyDescent="0.25">
      <c r="A1817" s="247">
        <v>1815</v>
      </c>
      <c r="B1817" s="270"/>
      <c r="C1817" s="270"/>
      <c r="D1817" s="271"/>
      <c r="E1817" s="272"/>
      <c r="F1817" s="272"/>
      <c r="G1817" s="273"/>
      <c r="H1817" s="274"/>
      <c r="I1817" s="274"/>
      <c r="J1817" s="274"/>
      <c r="K1817" s="274"/>
      <c r="L1817" s="274"/>
      <c r="M1817" s="274"/>
      <c r="N1817" s="274"/>
      <c r="O1817" s="274"/>
      <c r="P1817" s="274"/>
      <c r="Q1817" s="274"/>
      <c r="R1817" s="274"/>
      <c r="S1817" s="274"/>
      <c r="T1817" s="274"/>
      <c r="U1817" s="274"/>
      <c r="V1817" s="274"/>
    </row>
    <row r="1818" spans="1:22" x14ac:dyDescent="0.25">
      <c r="A1818" s="247">
        <v>1816</v>
      </c>
      <c r="B1818" s="270"/>
      <c r="C1818" s="270"/>
      <c r="D1818" s="271"/>
      <c r="E1818" s="272"/>
      <c r="F1818" s="272"/>
      <c r="G1818" s="273"/>
      <c r="H1818" s="274"/>
      <c r="I1818" s="274"/>
      <c r="J1818" s="274"/>
      <c r="K1818" s="274"/>
      <c r="L1818" s="274"/>
      <c r="M1818" s="274"/>
      <c r="N1818" s="274"/>
      <c r="O1818" s="274"/>
      <c r="P1818" s="274"/>
      <c r="Q1818" s="274"/>
      <c r="R1818" s="274"/>
      <c r="S1818" s="274"/>
      <c r="T1818" s="274"/>
      <c r="U1818" s="274"/>
      <c r="V1818" s="274"/>
    </row>
    <row r="1819" spans="1:22" x14ac:dyDescent="0.25">
      <c r="A1819" s="247">
        <v>1817</v>
      </c>
      <c r="B1819" s="270"/>
      <c r="C1819" s="270"/>
      <c r="D1819" s="271"/>
      <c r="E1819" s="272"/>
      <c r="F1819" s="272"/>
      <c r="G1819" s="273"/>
      <c r="H1819" s="274"/>
      <c r="I1819" s="274"/>
      <c r="J1819" s="274"/>
      <c r="K1819" s="274"/>
      <c r="L1819" s="274"/>
      <c r="M1819" s="274"/>
      <c r="N1819" s="274"/>
      <c r="O1819" s="274"/>
      <c r="P1819" s="274"/>
      <c r="Q1819" s="274"/>
      <c r="R1819" s="274"/>
      <c r="S1819" s="274"/>
      <c r="T1819" s="274"/>
      <c r="U1819" s="274"/>
      <c r="V1819" s="274"/>
    </row>
    <row r="1820" spans="1:22" x14ac:dyDescent="0.25">
      <c r="A1820" s="247">
        <v>1818</v>
      </c>
      <c r="B1820" s="270"/>
      <c r="C1820" s="270"/>
      <c r="D1820" s="271"/>
      <c r="E1820" s="272"/>
      <c r="F1820" s="272"/>
      <c r="G1820" s="273"/>
      <c r="H1820" s="274"/>
      <c r="I1820" s="274"/>
      <c r="J1820" s="274"/>
      <c r="K1820" s="274"/>
      <c r="L1820" s="274"/>
      <c r="M1820" s="274"/>
      <c r="N1820" s="274"/>
      <c r="O1820" s="274"/>
      <c r="P1820" s="274"/>
      <c r="Q1820" s="274"/>
      <c r="R1820" s="274"/>
      <c r="S1820" s="274"/>
      <c r="T1820" s="274"/>
      <c r="U1820" s="274"/>
      <c r="V1820" s="274"/>
    </row>
    <row r="1821" spans="1:22" x14ac:dyDescent="0.25">
      <c r="A1821" s="247">
        <v>1819</v>
      </c>
      <c r="B1821" s="270"/>
      <c r="C1821" s="270"/>
      <c r="D1821" s="271"/>
      <c r="E1821" s="272"/>
      <c r="F1821" s="272"/>
      <c r="G1821" s="273"/>
      <c r="H1821" s="274"/>
      <c r="I1821" s="274"/>
      <c r="J1821" s="274"/>
      <c r="K1821" s="274"/>
      <c r="L1821" s="274"/>
      <c r="M1821" s="274"/>
      <c r="N1821" s="274"/>
      <c r="O1821" s="274"/>
      <c r="P1821" s="274"/>
      <c r="Q1821" s="274"/>
      <c r="R1821" s="274"/>
      <c r="S1821" s="274"/>
      <c r="T1821" s="274"/>
      <c r="U1821" s="274"/>
      <c r="V1821" s="274"/>
    </row>
    <row r="1822" spans="1:22" x14ac:dyDescent="0.25">
      <c r="A1822" s="247">
        <v>1820</v>
      </c>
      <c r="B1822" s="270"/>
      <c r="C1822" s="270"/>
      <c r="D1822" s="271"/>
      <c r="E1822" s="272"/>
      <c r="F1822" s="272"/>
      <c r="G1822" s="273"/>
      <c r="H1822" s="274"/>
      <c r="I1822" s="274"/>
      <c r="J1822" s="274"/>
      <c r="K1822" s="274"/>
      <c r="L1822" s="274"/>
      <c r="M1822" s="274"/>
      <c r="N1822" s="274"/>
      <c r="O1822" s="274"/>
      <c r="P1822" s="274"/>
      <c r="Q1822" s="274"/>
      <c r="R1822" s="274"/>
      <c r="S1822" s="274"/>
      <c r="T1822" s="274"/>
      <c r="U1822" s="274"/>
      <c r="V1822" s="274"/>
    </row>
    <row r="1823" spans="1:22" x14ac:dyDescent="0.25">
      <c r="A1823" s="247">
        <v>1821</v>
      </c>
      <c r="B1823" s="270"/>
      <c r="C1823" s="270"/>
      <c r="D1823" s="271"/>
      <c r="E1823" s="272"/>
      <c r="F1823" s="272"/>
      <c r="G1823" s="273"/>
      <c r="H1823" s="274"/>
      <c r="I1823" s="274"/>
      <c r="J1823" s="274"/>
      <c r="K1823" s="274"/>
      <c r="L1823" s="274"/>
      <c r="M1823" s="274"/>
      <c r="N1823" s="274"/>
      <c r="O1823" s="274"/>
      <c r="P1823" s="274"/>
      <c r="Q1823" s="274"/>
      <c r="R1823" s="274"/>
      <c r="S1823" s="274"/>
      <c r="T1823" s="274"/>
      <c r="U1823" s="274"/>
      <c r="V1823" s="274"/>
    </row>
    <row r="1824" spans="1:22" x14ac:dyDescent="0.25">
      <c r="A1824" s="247">
        <v>1822</v>
      </c>
      <c r="B1824" s="270"/>
      <c r="C1824" s="270"/>
      <c r="D1824" s="271"/>
      <c r="E1824" s="272"/>
      <c r="F1824" s="272"/>
      <c r="G1824" s="273"/>
      <c r="H1824" s="274"/>
      <c r="I1824" s="274"/>
      <c r="J1824" s="274"/>
      <c r="K1824" s="274"/>
      <c r="L1824" s="274"/>
      <c r="M1824" s="274"/>
      <c r="N1824" s="274"/>
      <c r="O1824" s="274"/>
      <c r="P1824" s="274"/>
      <c r="Q1824" s="274"/>
      <c r="R1824" s="274"/>
      <c r="S1824" s="274"/>
      <c r="T1824" s="274"/>
      <c r="U1824" s="274"/>
      <c r="V1824" s="274"/>
    </row>
    <row r="1825" spans="1:22" x14ac:dyDescent="0.25">
      <c r="A1825" s="247">
        <v>1823</v>
      </c>
      <c r="B1825" s="270"/>
      <c r="C1825" s="270"/>
      <c r="D1825" s="271"/>
      <c r="E1825" s="272"/>
      <c r="F1825" s="272"/>
      <c r="G1825" s="273"/>
      <c r="H1825" s="274"/>
      <c r="I1825" s="274"/>
      <c r="J1825" s="274"/>
      <c r="K1825" s="274"/>
      <c r="L1825" s="274"/>
      <c r="M1825" s="274"/>
      <c r="N1825" s="274"/>
      <c r="O1825" s="274"/>
      <c r="P1825" s="274"/>
      <c r="Q1825" s="274"/>
      <c r="R1825" s="274"/>
      <c r="S1825" s="274"/>
      <c r="T1825" s="274"/>
      <c r="U1825" s="274"/>
      <c r="V1825" s="274"/>
    </row>
    <row r="1826" spans="1:22" x14ac:dyDescent="0.25">
      <c r="A1826" s="247">
        <v>1824</v>
      </c>
      <c r="B1826" s="270"/>
      <c r="C1826" s="270"/>
      <c r="D1826" s="271"/>
      <c r="E1826" s="272"/>
      <c r="F1826" s="272"/>
      <c r="G1826" s="273"/>
      <c r="H1826" s="274"/>
      <c r="I1826" s="274"/>
      <c r="J1826" s="274"/>
      <c r="K1826" s="274"/>
      <c r="L1826" s="274"/>
      <c r="M1826" s="274"/>
      <c r="N1826" s="274"/>
      <c r="O1826" s="274"/>
      <c r="P1826" s="274"/>
      <c r="Q1826" s="274"/>
      <c r="R1826" s="274"/>
      <c r="S1826" s="274"/>
      <c r="T1826" s="274"/>
      <c r="U1826" s="274"/>
      <c r="V1826" s="274"/>
    </row>
    <row r="1827" spans="1:22" x14ac:dyDescent="0.25">
      <c r="A1827" s="247">
        <v>1825</v>
      </c>
      <c r="B1827" s="270"/>
      <c r="C1827" s="270"/>
      <c r="D1827" s="271"/>
      <c r="E1827" s="272"/>
      <c r="F1827" s="272"/>
      <c r="G1827" s="273"/>
      <c r="H1827" s="274"/>
      <c r="I1827" s="274"/>
      <c r="J1827" s="274"/>
      <c r="K1827" s="274"/>
      <c r="L1827" s="274"/>
      <c r="M1827" s="274"/>
      <c r="N1827" s="274"/>
      <c r="O1827" s="274"/>
      <c r="P1827" s="274"/>
      <c r="Q1827" s="274"/>
      <c r="R1827" s="274"/>
      <c r="S1827" s="274"/>
      <c r="T1827" s="274"/>
      <c r="U1827" s="274"/>
      <c r="V1827" s="274"/>
    </row>
    <row r="1828" spans="1:22" x14ac:dyDescent="0.25">
      <c r="A1828" s="247">
        <v>1826</v>
      </c>
      <c r="B1828" s="270"/>
      <c r="C1828" s="270"/>
      <c r="D1828" s="271"/>
      <c r="E1828" s="272"/>
      <c r="F1828" s="272"/>
      <c r="G1828" s="273"/>
      <c r="H1828" s="274"/>
      <c r="I1828" s="274"/>
      <c r="J1828" s="274"/>
      <c r="K1828" s="274"/>
      <c r="L1828" s="274"/>
      <c r="M1828" s="274"/>
      <c r="N1828" s="274"/>
      <c r="O1828" s="274"/>
      <c r="P1828" s="274"/>
      <c r="Q1828" s="274"/>
      <c r="R1828" s="274"/>
      <c r="S1828" s="274"/>
      <c r="T1828" s="274"/>
      <c r="U1828" s="274"/>
      <c r="V1828" s="274"/>
    </row>
    <row r="1829" spans="1:22" x14ac:dyDescent="0.25">
      <c r="A1829" s="247">
        <v>1827</v>
      </c>
      <c r="B1829" s="270"/>
      <c r="C1829" s="270"/>
      <c r="D1829" s="271"/>
      <c r="E1829" s="272"/>
      <c r="F1829" s="272"/>
      <c r="G1829" s="273"/>
      <c r="H1829" s="274"/>
      <c r="I1829" s="274"/>
      <c r="J1829" s="274"/>
      <c r="K1829" s="274"/>
      <c r="L1829" s="274"/>
      <c r="M1829" s="274"/>
      <c r="N1829" s="274"/>
      <c r="O1829" s="274"/>
      <c r="P1829" s="274"/>
      <c r="Q1829" s="274"/>
      <c r="R1829" s="274"/>
      <c r="S1829" s="274"/>
      <c r="T1829" s="274"/>
      <c r="U1829" s="274"/>
      <c r="V1829" s="274"/>
    </row>
    <row r="1830" spans="1:22" x14ac:dyDescent="0.25">
      <c r="A1830" s="247">
        <v>1828</v>
      </c>
      <c r="B1830" s="270"/>
      <c r="C1830" s="270"/>
      <c r="D1830" s="271"/>
      <c r="E1830" s="272"/>
      <c r="F1830" s="272"/>
      <c r="G1830" s="273"/>
      <c r="H1830" s="274"/>
      <c r="I1830" s="274"/>
      <c r="J1830" s="274"/>
      <c r="K1830" s="274"/>
      <c r="L1830" s="274"/>
      <c r="M1830" s="274"/>
      <c r="N1830" s="274"/>
      <c r="O1830" s="274"/>
      <c r="P1830" s="274"/>
      <c r="Q1830" s="274"/>
      <c r="R1830" s="274"/>
      <c r="S1830" s="274"/>
      <c r="T1830" s="274"/>
      <c r="U1830" s="274"/>
      <c r="V1830" s="274"/>
    </row>
    <row r="1831" spans="1:22" x14ac:dyDescent="0.25">
      <c r="A1831" s="247">
        <v>1829</v>
      </c>
      <c r="B1831" s="270"/>
      <c r="C1831" s="270"/>
      <c r="D1831" s="271"/>
      <c r="E1831" s="272"/>
      <c r="F1831" s="272"/>
      <c r="G1831" s="273"/>
      <c r="H1831" s="274"/>
      <c r="I1831" s="274"/>
      <c r="J1831" s="274"/>
      <c r="K1831" s="274"/>
      <c r="L1831" s="274"/>
      <c r="M1831" s="274"/>
      <c r="N1831" s="274"/>
      <c r="O1831" s="274"/>
      <c r="P1831" s="274"/>
      <c r="Q1831" s="274"/>
      <c r="R1831" s="274"/>
      <c r="S1831" s="274"/>
      <c r="T1831" s="274"/>
      <c r="U1831" s="274"/>
      <c r="V1831" s="274"/>
    </row>
    <row r="1832" spans="1:22" x14ac:dyDescent="0.25">
      <c r="A1832" s="247">
        <v>1830</v>
      </c>
      <c r="B1832" s="270"/>
      <c r="C1832" s="270"/>
      <c r="D1832" s="271"/>
      <c r="E1832" s="272"/>
      <c r="F1832" s="272"/>
      <c r="G1832" s="273"/>
      <c r="H1832" s="274"/>
      <c r="I1832" s="274"/>
      <c r="J1832" s="274"/>
      <c r="K1832" s="274"/>
      <c r="L1832" s="274"/>
      <c r="M1832" s="274"/>
      <c r="N1832" s="274"/>
      <c r="O1832" s="274"/>
      <c r="P1832" s="274"/>
      <c r="Q1832" s="274"/>
      <c r="R1832" s="274"/>
      <c r="S1832" s="274"/>
      <c r="T1832" s="274"/>
      <c r="U1832" s="274"/>
      <c r="V1832" s="274"/>
    </row>
    <row r="1833" spans="1:22" x14ac:dyDescent="0.25">
      <c r="A1833" s="247">
        <v>1831</v>
      </c>
      <c r="B1833" s="270"/>
      <c r="C1833" s="270"/>
      <c r="D1833" s="271"/>
      <c r="E1833" s="272"/>
      <c r="F1833" s="272"/>
      <c r="G1833" s="273"/>
      <c r="H1833" s="274"/>
      <c r="I1833" s="274"/>
      <c r="J1833" s="274"/>
      <c r="K1833" s="274"/>
      <c r="L1833" s="274"/>
      <c r="M1833" s="274"/>
      <c r="N1833" s="274"/>
      <c r="O1833" s="274"/>
      <c r="P1833" s="274"/>
      <c r="Q1833" s="274"/>
      <c r="R1833" s="274"/>
      <c r="S1833" s="274"/>
      <c r="T1833" s="274"/>
      <c r="U1833" s="274"/>
      <c r="V1833" s="274"/>
    </row>
    <row r="1834" spans="1:22" x14ac:dyDescent="0.25">
      <c r="A1834" s="247">
        <v>1832</v>
      </c>
      <c r="B1834" s="270"/>
      <c r="C1834" s="270"/>
      <c r="D1834" s="271"/>
      <c r="E1834" s="272"/>
      <c r="F1834" s="272"/>
      <c r="G1834" s="273"/>
      <c r="H1834" s="274"/>
      <c r="I1834" s="274"/>
      <c r="J1834" s="274"/>
      <c r="K1834" s="274"/>
      <c r="L1834" s="274"/>
      <c r="M1834" s="274"/>
      <c r="N1834" s="274"/>
      <c r="O1834" s="274"/>
      <c r="P1834" s="274"/>
      <c r="Q1834" s="274"/>
      <c r="R1834" s="274"/>
      <c r="S1834" s="274"/>
      <c r="T1834" s="274"/>
      <c r="U1834" s="274"/>
      <c r="V1834" s="274"/>
    </row>
    <row r="1835" spans="1:22" x14ac:dyDescent="0.25">
      <c r="A1835" s="247">
        <v>1833</v>
      </c>
      <c r="B1835" s="270"/>
      <c r="C1835" s="270"/>
      <c r="D1835" s="271"/>
      <c r="E1835" s="272"/>
      <c r="F1835" s="272"/>
      <c r="G1835" s="273"/>
      <c r="H1835" s="274"/>
      <c r="I1835" s="274"/>
      <c r="J1835" s="274"/>
      <c r="K1835" s="274"/>
      <c r="L1835" s="274"/>
      <c r="M1835" s="274"/>
      <c r="N1835" s="274"/>
      <c r="O1835" s="274"/>
      <c r="P1835" s="274"/>
      <c r="Q1835" s="274"/>
      <c r="R1835" s="274"/>
      <c r="S1835" s="274"/>
      <c r="T1835" s="274"/>
      <c r="U1835" s="274"/>
      <c r="V1835" s="274"/>
    </row>
    <row r="1836" spans="1:22" x14ac:dyDescent="0.25">
      <c r="A1836" s="247">
        <v>1834</v>
      </c>
      <c r="B1836" s="270"/>
      <c r="C1836" s="270"/>
      <c r="D1836" s="271"/>
      <c r="E1836" s="272"/>
      <c r="F1836" s="272"/>
      <c r="G1836" s="273"/>
      <c r="H1836" s="274"/>
      <c r="I1836" s="274"/>
      <c r="J1836" s="274"/>
      <c r="K1836" s="274"/>
      <c r="L1836" s="274"/>
      <c r="M1836" s="274"/>
      <c r="N1836" s="274"/>
      <c r="O1836" s="274"/>
      <c r="P1836" s="274"/>
      <c r="Q1836" s="274"/>
      <c r="R1836" s="274"/>
      <c r="S1836" s="274"/>
      <c r="T1836" s="274"/>
      <c r="U1836" s="274"/>
      <c r="V1836" s="274"/>
    </row>
    <row r="1837" spans="1:22" x14ac:dyDescent="0.25">
      <c r="A1837" s="247">
        <v>1835</v>
      </c>
      <c r="B1837" s="270"/>
      <c r="C1837" s="270"/>
      <c r="D1837" s="271"/>
      <c r="E1837" s="272"/>
      <c r="F1837" s="272"/>
      <c r="G1837" s="273"/>
      <c r="H1837" s="274"/>
      <c r="I1837" s="274"/>
      <c r="J1837" s="274"/>
      <c r="K1837" s="274"/>
      <c r="L1837" s="274"/>
      <c r="M1837" s="274"/>
      <c r="N1837" s="274"/>
      <c r="O1837" s="274"/>
      <c r="P1837" s="274"/>
      <c r="Q1837" s="274"/>
      <c r="R1837" s="274"/>
      <c r="S1837" s="274"/>
      <c r="T1837" s="274"/>
      <c r="U1837" s="274"/>
      <c r="V1837" s="274"/>
    </row>
    <row r="1838" spans="1:22" x14ac:dyDescent="0.25">
      <c r="A1838" s="247">
        <v>1836</v>
      </c>
      <c r="B1838" s="270"/>
      <c r="C1838" s="270"/>
      <c r="D1838" s="271"/>
      <c r="E1838" s="272"/>
      <c r="F1838" s="272"/>
      <c r="G1838" s="273"/>
      <c r="H1838" s="274"/>
      <c r="I1838" s="274"/>
      <c r="J1838" s="274"/>
      <c r="K1838" s="274"/>
      <c r="L1838" s="274"/>
      <c r="M1838" s="274"/>
      <c r="N1838" s="274"/>
      <c r="O1838" s="274"/>
      <c r="P1838" s="274"/>
      <c r="Q1838" s="274"/>
      <c r="R1838" s="274"/>
      <c r="S1838" s="274"/>
      <c r="T1838" s="274"/>
      <c r="U1838" s="274"/>
      <c r="V1838" s="274"/>
    </row>
    <row r="1839" spans="1:22" x14ac:dyDescent="0.25">
      <c r="A1839" s="247">
        <v>1837</v>
      </c>
      <c r="B1839" s="270"/>
      <c r="C1839" s="270"/>
      <c r="D1839" s="271"/>
      <c r="E1839" s="272"/>
      <c r="F1839" s="272"/>
      <c r="G1839" s="273"/>
      <c r="H1839" s="274"/>
      <c r="I1839" s="274"/>
      <c r="J1839" s="274"/>
      <c r="K1839" s="274"/>
      <c r="L1839" s="274"/>
      <c r="M1839" s="274"/>
      <c r="N1839" s="274"/>
      <c r="O1839" s="274"/>
      <c r="P1839" s="274"/>
      <c r="Q1839" s="274"/>
      <c r="R1839" s="274"/>
      <c r="S1839" s="274"/>
      <c r="T1839" s="274"/>
      <c r="U1839" s="274"/>
      <c r="V1839" s="274"/>
    </row>
    <row r="1840" spans="1:22" x14ac:dyDescent="0.25">
      <c r="A1840" s="247">
        <v>1838</v>
      </c>
      <c r="B1840" s="270"/>
      <c r="C1840" s="270"/>
      <c r="D1840" s="271"/>
      <c r="E1840" s="272"/>
      <c r="F1840" s="272"/>
      <c r="G1840" s="273"/>
      <c r="H1840" s="274"/>
      <c r="I1840" s="274"/>
      <c r="J1840" s="274"/>
      <c r="K1840" s="274"/>
      <c r="L1840" s="274"/>
      <c r="M1840" s="274"/>
      <c r="N1840" s="274"/>
      <c r="O1840" s="274"/>
      <c r="P1840" s="274"/>
      <c r="Q1840" s="274"/>
      <c r="R1840" s="274"/>
      <c r="S1840" s="274"/>
      <c r="T1840" s="274"/>
      <c r="U1840" s="274"/>
      <c r="V1840" s="274"/>
    </row>
    <row r="1841" spans="1:22" x14ac:dyDescent="0.25">
      <c r="A1841" s="247">
        <v>1839</v>
      </c>
      <c r="B1841" s="270"/>
      <c r="C1841" s="270"/>
      <c r="D1841" s="271"/>
      <c r="E1841" s="272"/>
      <c r="F1841" s="272"/>
      <c r="G1841" s="273"/>
      <c r="H1841" s="274"/>
      <c r="I1841" s="274"/>
      <c r="J1841" s="274"/>
      <c r="K1841" s="274"/>
      <c r="L1841" s="274"/>
      <c r="M1841" s="274"/>
      <c r="N1841" s="274"/>
      <c r="O1841" s="274"/>
      <c r="P1841" s="274"/>
      <c r="Q1841" s="274"/>
      <c r="R1841" s="274"/>
      <c r="S1841" s="274"/>
      <c r="T1841" s="274"/>
      <c r="U1841" s="274"/>
      <c r="V1841" s="274"/>
    </row>
    <row r="1842" spans="1:22" x14ac:dyDescent="0.25">
      <c r="A1842" s="247">
        <v>1840</v>
      </c>
      <c r="B1842" s="270"/>
      <c r="C1842" s="270"/>
      <c r="D1842" s="271"/>
      <c r="E1842" s="272"/>
      <c r="F1842" s="272"/>
      <c r="G1842" s="273"/>
      <c r="H1842" s="274"/>
      <c r="I1842" s="274"/>
      <c r="J1842" s="274"/>
      <c r="K1842" s="274"/>
      <c r="L1842" s="274"/>
      <c r="M1842" s="274"/>
      <c r="N1842" s="274"/>
      <c r="O1842" s="274"/>
      <c r="P1842" s="274"/>
      <c r="Q1842" s="274"/>
      <c r="R1842" s="274"/>
      <c r="S1842" s="274"/>
      <c r="T1842" s="274"/>
      <c r="U1842" s="274"/>
      <c r="V1842" s="274"/>
    </row>
    <row r="1843" spans="1:22" x14ac:dyDescent="0.25">
      <c r="A1843" s="247">
        <v>1841</v>
      </c>
      <c r="B1843" s="270"/>
      <c r="C1843" s="270"/>
      <c r="D1843" s="271"/>
      <c r="E1843" s="272"/>
      <c r="F1843" s="272"/>
      <c r="G1843" s="273"/>
      <c r="H1843" s="274"/>
      <c r="I1843" s="274"/>
      <c r="J1843" s="274"/>
      <c r="K1843" s="274"/>
      <c r="L1843" s="274"/>
      <c r="M1843" s="274"/>
      <c r="N1843" s="274"/>
      <c r="O1843" s="274"/>
      <c r="P1843" s="274"/>
      <c r="Q1843" s="274"/>
      <c r="R1843" s="274"/>
      <c r="S1843" s="274"/>
      <c r="T1843" s="274"/>
      <c r="U1843" s="274"/>
      <c r="V1843" s="274"/>
    </row>
    <row r="1844" spans="1:22" x14ac:dyDescent="0.25">
      <c r="A1844" s="247">
        <v>1842</v>
      </c>
      <c r="B1844" s="270"/>
      <c r="C1844" s="270"/>
      <c r="D1844" s="271"/>
      <c r="E1844" s="272"/>
      <c r="F1844" s="272"/>
      <c r="G1844" s="273"/>
      <c r="H1844" s="274"/>
      <c r="I1844" s="274"/>
      <c r="J1844" s="274"/>
      <c r="K1844" s="274"/>
      <c r="L1844" s="274"/>
      <c r="M1844" s="274"/>
      <c r="N1844" s="274"/>
      <c r="O1844" s="274"/>
      <c r="P1844" s="274"/>
      <c r="Q1844" s="274"/>
      <c r="R1844" s="274"/>
      <c r="S1844" s="274"/>
      <c r="T1844" s="274"/>
      <c r="U1844" s="274"/>
      <c r="V1844" s="274"/>
    </row>
    <row r="1845" spans="1:22" x14ac:dyDescent="0.25">
      <c r="A1845" s="247">
        <v>1843</v>
      </c>
      <c r="B1845" s="270"/>
      <c r="C1845" s="270"/>
      <c r="D1845" s="271"/>
      <c r="E1845" s="272"/>
      <c r="F1845" s="272"/>
      <c r="G1845" s="273"/>
      <c r="H1845" s="274"/>
      <c r="I1845" s="274"/>
      <c r="J1845" s="274"/>
      <c r="K1845" s="274"/>
      <c r="L1845" s="274"/>
      <c r="M1845" s="274"/>
      <c r="N1845" s="274"/>
      <c r="O1845" s="274"/>
      <c r="P1845" s="274"/>
      <c r="Q1845" s="274"/>
      <c r="R1845" s="274"/>
      <c r="S1845" s="274"/>
      <c r="T1845" s="274"/>
      <c r="U1845" s="274"/>
      <c r="V1845" s="274"/>
    </row>
    <row r="1846" spans="1:22" x14ac:dyDescent="0.25">
      <c r="A1846" s="247">
        <v>1844</v>
      </c>
      <c r="B1846" s="270"/>
      <c r="C1846" s="270"/>
      <c r="D1846" s="271"/>
      <c r="E1846" s="272"/>
      <c r="F1846" s="272"/>
      <c r="G1846" s="273"/>
      <c r="H1846" s="274"/>
      <c r="I1846" s="274"/>
      <c r="J1846" s="274"/>
      <c r="K1846" s="274"/>
      <c r="L1846" s="274"/>
      <c r="M1846" s="274"/>
      <c r="N1846" s="274"/>
      <c r="O1846" s="274"/>
      <c r="P1846" s="274"/>
      <c r="Q1846" s="274"/>
      <c r="R1846" s="274"/>
      <c r="S1846" s="274"/>
      <c r="T1846" s="274"/>
      <c r="U1846" s="274"/>
      <c r="V1846" s="274"/>
    </row>
    <row r="1847" spans="1:22" x14ac:dyDescent="0.25">
      <c r="A1847" s="247">
        <v>1845</v>
      </c>
      <c r="B1847" s="270"/>
      <c r="C1847" s="270"/>
      <c r="D1847" s="271"/>
      <c r="E1847" s="272"/>
      <c r="F1847" s="272"/>
      <c r="G1847" s="273"/>
      <c r="H1847" s="274"/>
      <c r="I1847" s="274"/>
      <c r="J1847" s="274"/>
      <c r="K1847" s="274"/>
      <c r="L1847" s="274"/>
      <c r="M1847" s="274"/>
      <c r="N1847" s="274"/>
      <c r="O1847" s="274"/>
      <c r="P1847" s="274"/>
      <c r="Q1847" s="274"/>
      <c r="R1847" s="274"/>
      <c r="S1847" s="274"/>
      <c r="T1847" s="274"/>
      <c r="U1847" s="274"/>
      <c r="V1847" s="274"/>
    </row>
    <row r="1848" spans="1:22" x14ac:dyDescent="0.25">
      <c r="A1848" s="247">
        <v>1846</v>
      </c>
      <c r="B1848" s="270"/>
      <c r="C1848" s="270"/>
      <c r="D1848" s="271"/>
      <c r="E1848" s="272"/>
      <c r="F1848" s="272"/>
      <c r="G1848" s="273"/>
      <c r="H1848" s="274"/>
      <c r="I1848" s="274"/>
      <c r="J1848" s="274"/>
      <c r="K1848" s="274"/>
      <c r="L1848" s="274"/>
      <c r="M1848" s="274"/>
      <c r="N1848" s="274"/>
      <c r="O1848" s="274"/>
      <c r="P1848" s="274"/>
      <c r="Q1848" s="274"/>
      <c r="R1848" s="274"/>
      <c r="S1848" s="274"/>
      <c r="T1848" s="274"/>
      <c r="U1848" s="274"/>
      <c r="V1848" s="274"/>
    </row>
    <row r="1849" spans="1:22" x14ac:dyDescent="0.25">
      <c r="A1849" s="247">
        <v>1847</v>
      </c>
      <c r="B1849" s="270"/>
      <c r="C1849" s="270"/>
      <c r="D1849" s="271"/>
      <c r="E1849" s="272"/>
      <c r="F1849" s="272"/>
      <c r="G1849" s="273"/>
      <c r="H1849" s="274"/>
      <c r="I1849" s="274"/>
      <c r="J1849" s="274"/>
      <c r="K1849" s="274"/>
      <c r="L1849" s="274"/>
      <c r="M1849" s="274"/>
      <c r="N1849" s="274"/>
      <c r="O1849" s="274"/>
      <c r="P1849" s="274"/>
      <c r="Q1849" s="274"/>
      <c r="R1849" s="274"/>
      <c r="S1849" s="274"/>
      <c r="T1849" s="274"/>
      <c r="U1849" s="274"/>
      <c r="V1849" s="274"/>
    </row>
    <row r="1850" spans="1:22" x14ac:dyDescent="0.25">
      <c r="A1850" s="247">
        <v>1848</v>
      </c>
      <c r="B1850" s="270"/>
      <c r="C1850" s="270"/>
      <c r="D1850" s="271"/>
      <c r="E1850" s="272"/>
      <c r="F1850" s="272"/>
      <c r="G1850" s="273"/>
      <c r="H1850" s="274"/>
      <c r="I1850" s="274"/>
      <c r="J1850" s="274"/>
      <c r="K1850" s="274"/>
      <c r="L1850" s="274"/>
      <c r="M1850" s="274"/>
      <c r="N1850" s="274"/>
      <c r="O1850" s="274"/>
      <c r="P1850" s="274"/>
      <c r="Q1850" s="274"/>
      <c r="R1850" s="274"/>
      <c r="S1850" s="274"/>
      <c r="T1850" s="274"/>
      <c r="U1850" s="274"/>
      <c r="V1850" s="274"/>
    </row>
    <row r="1851" spans="1:22" x14ac:dyDescent="0.25">
      <c r="A1851" s="247">
        <v>1849</v>
      </c>
      <c r="B1851" s="270"/>
      <c r="C1851" s="270"/>
      <c r="D1851" s="271"/>
      <c r="E1851" s="272"/>
      <c r="F1851" s="272"/>
      <c r="G1851" s="273"/>
      <c r="H1851" s="274"/>
      <c r="I1851" s="274"/>
      <c r="J1851" s="274"/>
      <c r="K1851" s="274"/>
      <c r="L1851" s="274"/>
      <c r="M1851" s="274"/>
      <c r="N1851" s="274"/>
      <c r="O1851" s="274"/>
      <c r="P1851" s="274"/>
      <c r="Q1851" s="274"/>
      <c r="R1851" s="274"/>
      <c r="S1851" s="274"/>
      <c r="T1851" s="274"/>
      <c r="U1851" s="274"/>
      <c r="V1851" s="274"/>
    </row>
    <row r="1852" spans="1:22" x14ac:dyDescent="0.25">
      <c r="A1852" s="247">
        <v>1850</v>
      </c>
      <c r="B1852" s="270"/>
      <c r="C1852" s="270"/>
      <c r="D1852" s="271"/>
      <c r="E1852" s="272"/>
      <c r="F1852" s="272"/>
      <c r="G1852" s="273"/>
      <c r="H1852" s="274"/>
      <c r="I1852" s="274"/>
      <c r="J1852" s="274"/>
      <c r="K1852" s="274"/>
      <c r="L1852" s="274"/>
      <c r="M1852" s="274"/>
      <c r="N1852" s="274"/>
      <c r="O1852" s="274"/>
      <c r="P1852" s="274"/>
      <c r="Q1852" s="274"/>
      <c r="R1852" s="274"/>
      <c r="S1852" s="274"/>
      <c r="T1852" s="274"/>
      <c r="U1852" s="274"/>
      <c r="V1852" s="274"/>
    </row>
    <row r="1853" spans="1:22" x14ac:dyDescent="0.25">
      <c r="A1853" s="247">
        <v>1851</v>
      </c>
      <c r="B1853" s="270"/>
      <c r="C1853" s="270"/>
      <c r="D1853" s="271"/>
      <c r="E1853" s="272"/>
      <c r="F1853" s="272"/>
      <c r="G1853" s="273"/>
      <c r="H1853" s="274"/>
      <c r="I1853" s="274"/>
      <c r="J1853" s="274"/>
      <c r="K1853" s="274"/>
      <c r="L1853" s="274"/>
      <c r="M1853" s="274"/>
      <c r="N1853" s="274"/>
      <c r="O1853" s="274"/>
      <c r="P1853" s="274"/>
      <c r="Q1853" s="274"/>
      <c r="R1853" s="274"/>
      <c r="S1853" s="274"/>
      <c r="T1853" s="274"/>
      <c r="U1853" s="274"/>
      <c r="V1853" s="274"/>
    </row>
    <row r="1854" spans="1:22" x14ac:dyDescent="0.25">
      <c r="A1854" s="247">
        <v>1852</v>
      </c>
      <c r="B1854" s="270"/>
      <c r="C1854" s="270"/>
      <c r="D1854" s="271"/>
      <c r="E1854" s="272"/>
      <c r="F1854" s="272"/>
      <c r="G1854" s="273"/>
      <c r="H1854" s="274"/>
      <c r="I1854" s="274"/>
      <c r="J1854" s="274"/>
      <c r="K1854" s="274"/>
      <c r="L1854" s="274"/>
      <c r="M1854" s="274"/>
      <c r="N1854" s="274"/>
      <c r="O1854" s="274"/>
      <c r="P1854" s="274"/>
      <c r="Q1854" s="274"/>
      <c r="R1854" s="274"/>
      <c r="S1854" s="274"/>
      <c r="T1854" s="274"/>
      <c r="U1854" s="274"/>
      <c r="V1854" s="274"/>
    </row>
    <row r="1855" spans="1:22" x14ac:dyDescent="0.25">
      <c r="A1855" s="247">
        <v>1853</v>
      </c>
      <c r="B1855" s="270"/>
      <c r="C1855" s="270"/>
      <c r="D1855" s="271"/>
      <c r="E1855" s="272"/>
      <c r="F1855" s="272"/>
      <c r="G1855" s="273"/>
      <c r="H1855" s="274"/>
      <c r="I1855" s="274"/>
      <c r="J1855" s="274"/>
      <c r="K1855" s="274"/>
      <c r="L1855" s="274"/>
      <c r="M1855" s="274"/>
      <c r="N1855" s="274"/>
      <c r="O1855" s="274"/>
      <c r="P1855" s="274"/>
      <c r="Q1855" s="274"/>
      <c r="R1855" s="274"/>
      <c r="S1855" s="274"/>
      <c r="T1855" s="274"/>
      <c r="U1855" s="274"/>
      <c r="V1855" s="274"/>
    </row>
    <row r="1856" spans="1:22" x14ac:dyDescent="0.25">
      <c r="A1856" s="247">
        <v>1854</v>
      </c>
      <c r="B1856" s="270"/>
      <c r="C1856" s="270"/>
      <c r="D1856" s="271"/>
      <c r="E1856" s="272"/>
      <c r="F1856" s="272"/>
      <c r="G1856" s="273"/>
      <c r="H1856" s="274"/>
      <c r="I1856" s="274"/>
      <c r="J1856" s="274"/>
      <c r="K1856" s="274"/>
      <c r="L1856" s="274"/>
      <c r="M1856" s="274"/>
      <c r="N1856" s="274"/>
      <c r="O1856" s="274"/>
      <c r="P1856" s="274"/>
      <c r="Q1856" s="274"/>
      <c r="R1856" s="274"/>
      <c r="S1856" s="274"/>
      <c r="T1856" s="274"/>
      <c r="U1856" s="274"/>
      <c r="V1856" s="274"/>
    </row>
    <row r="1857" spans="1:22" x14ac:dyDescent="0.25">
      <c r="A1857" s="247">
        <v>1855</v>
      </c>
      <c r="B1857" s="270"/>
      <c r="C1857" s="270"/>
      <c r="D1857" s="271"/>
      <c r="E1857" s="272"/>
      <c r="F1857" s="272"/>
      <c r="G1857" s="273"/>
      <c r="H1857" s="274"/>
      <c r="I1857" s="274"/>
      <c r="J1857" s="274"/>
      <c r="K1857" s="274"/>
      <c r="L1857" s="274"/>
      <c r="M1857" s="274"/>
      <c r="N1857" s="274"/>
      <c r="O1857" s="274"/>
      <c r="P1857" s="274"/>
      <c r="Q1857" s="274"/>
      <c r="R1857" s="274"/>
      <c r="S1857" s="274"/>
      <c r="T1857" s="274"/>
      <c r="U1857" s="274"/>
      <c r="V1857" s="274"/>
    </row>
    <row r="1858" spans="1:22" x14ac:dyDescent="0.25">
      <c r="A1858" s="247">
        <v>1856</v>
      </c>
      <c r="B1858" s="270"/>
      <c r="C1858" s="270"/>
      <c r="D1858" s="271"/>
      <c r="E1858" s="272"/>
      <c r="F1858" s="272"/>
      <c r="G1858" s="273"/>
      <c r="H1858" s="274"/>
      <c r="I1858" s="274"/>
      <c r="J1858" s="274"/>
      <c r="K1858" s="274"/>
      <c r="L1858" s="274"/>
      <c r="M1858" s="274"/>
      <c r="N1858" s="274"/>
      <c r="O1858" s="274"/>
      <c r="P1858" s="274"/>
      <c r="Q1858" s="274"/>
      <c r="R1858" s="274"/>
      <c r="S1858" s="274"/>
      <c r="T1858" s="274"/>
      <c r="U1858" s="274"/>
      <c r="V1858" s="274"/>
    </row>
    <row r="1859" spans="1:22" x14ac:dyDescent="0.25">
      <c r="A1859" s="247">
        <v>1857</v>
      </c>
      <c r="B1859" s="270"/>
      <c r="C1859" s="270"/>
      <c r="D1859" s="271"/>
      <c r="E1859" s="272"/>
      <c r="F1859" s="272"/>
      <c r="G1859" s="273"/>
      <c r="H1859" s="274"/>
      <c r="I1859" s="274"/>
      <c r="J1859" s="274"/>
      <c r="K1859" s="274"/>
      <c r="L1859" s="274"/>
      <c r="M1859" s="274"/>
      <c r="N1859" s="274"/>
      <c r="O1859" s="274"/>
      <c r="P1859" s="274"/>
      <c r="Q1859" s="274"/>
      <c r="R1859" s="274"/>
      <c r="S1859" s="274"/>
      <c r="T1859" s="274"/>
      <c r="U1859" s="274"/>
      <c r="V1859" s="274"/>
    </row>
    <row r="1860" spans="1:22" x14ac:dyDescent="0.25">
      <c r="A1860" s="247">
        <v>1858</v>
      </c>
      <c r="B1860" s="270"/>
      <c r="C1860" s="270"/>
      <c r="D1860" s="271"/>
      <c r="E1860" s="272"/>
      <c r="F1860" s="272"/>
      <c r="G1860" s="273"/>
      <c r="H1860" s="274"/>
      <c r="I1860" s="274"/>
      <c r="J1860" s="274"/>
      <c r="K1860" s="274"/>
      <c r="L1860" s="274"/>
      <c r="M1860" s="274"/>
      <c r="N1860" s="274"/>
      <c r="O1860" s="274"/>
      <c r="P1860" s="274"/>
      <c r="Q1860" s="274"/>
      <c r="R1860" s="274"/>
      <c r="S1860" s="274"/>
      <c r="T1860" s="274"/>
      <c r="U1860" s="274"/>
      <c r="V1860" s="274"/>
    </row>
    <row r="1861" spans="1:22" x14ac:dyDescent="0.25">
      <c r="A1861" s="247">
        <v>1859</v>
      </c>
      <c r="B1861" s="270"/>
      <c r="C1861" s="270"/>
      <c r="D1861" s="271"/>
      <c r="E1861" s="272"/>
      <c r="F1861" s="272"/>
      <c r="G1861" s="273"/>
      <c r="H1861" s="274"/>
      <c r="I1861" s="274"/>
      <c r="J1861" s="274"/>
      <c r="K1861" s="274"/>
      <c r="L1861" s="274"/>
      <c r="M1861" s="274"/>
      <c r="N1861" s="274"/>
      <c r="O1861" s="274"/>
      <c r="P1861" s="274"/>
      <c r="Q1861" s="274"/>
      <c r="R1861" s="274"/>
      <c r="S1861" s="274"/>
      <c r="T1861" s="274"/>
      <c r="U1861" s="274"/>
      <c r="V1861" s="274"/>
    </row>
    <row r="1862" spans="1:22" x14ac:dyDescent="0.25">
      <c r="A1862" s="247">
        <v>1860</v>
      </c>
      <c r="B1862" s="270"/>
      <c r="C1862" s="270"/>
      <c r="D1862" s="271"/>
      <c r="E1862" s="272"/>
      <c r="F1862" s="272"/>
      <c r="G1862" s="273"/>
      <c r="H1862" s="274"/>
      <c r="I1862" s="274"/>
      <c r="J1862" s="274"/>
      <c r="K1862" s="274"/>
      <c r="L1862" s="274"/>
      <c r="M1862" s="274"/>
      <c r="N1862" s="274"/>
      <c r="O1862" s="274"/>
      <c r="P1862" s="274"/>
      <c r="Q1862" s="274"/>
      <c r="R1862" s="274"/>
      <c r="S1862" s="274"/>
      <c r="T1862" s="274"/>
      <c r="U1862" s="274"/>
      <c r="V1862" s="274"/>
    </row>
    <row r="1863" spans="1:22" x14ac:dyDescent="0.25">
      <c r="A1863" s="247">
        <v>1861</v>
      </c>
      <c r="B1863" s="270"/>
      <c r="C1863" s="270"/>
      <c r="D1863" s="271"/>
      <c r="E1863" s="272"/>
      <c r="F1863" s="272"/>
      <c r="G1863" s="273"/>
      <c r="H1863" s="274"/>
      <c r="I1863" s="274"/>
      <c r="J1863" s="274"/>
      <c r="K1863" s="274"/>
      <c r="L1863" s="274"/>
      <c r="M1863" s="274"/>
      <c r="N1863" s="274"/>
      <c r="O1863" s="274"/>
      <c r="P1863" s="274"/>
      <c r="Q1863" s="274"/>
      <c r="R1863" s="274"/>
      <c r="S1863" s="274"/>
      <c r="T1863" s="274"/>
      <c r="U1863" s="274"/>
      <c r="V1863" s="274"/>
    </row>
    <row r="1864" spans="1:22" x14ac:dyDescent="0.25">
      <c r="A1864" s="247">
        <v>1862</v>
      </c>
      <c r="B1864" s="270"/>
      <c r="C1864" s="270"/>
      <c r="D1864" s="271"/>
      <c r="E1864" s="272"/>
      <c r="F1864" s="272"/>
      <c r="G1864" s="273"/>
      <c r="H1864" s="274"/>
      <c r="I1864" s="274"/>
      <c r="J1864" s="274"/>
      <c r="K1864" s="274"/>
      <c r="L1864" s="274"/>
      <c r="M1864" s="274"/>
      <c r="N1864" s="274"/>
      <c r="O1864" s="274"/>
      <c r="P1864" s="274"/>
      <c r="Q1864" s="274"/>
      <c r="R1864" s="274"/>
      <c r="S1864" s="274"/>
      <c r="T1864" s="274"/>
      <c r="U1864" s="274"/>
      <c r="V1864" s="274"/>
    </row>
    <row r="1865" spans="1:22" x14ac:dyDescent="0.25">
      <c r="A1865" s="247">
        <v>1863</v>
      </c>
      <c r="B1865" s="270"/>
      <c r="C1865" s="270"/>
      <c r="D1865" s="271"/>
      <c r="E1865" s="272"/>
      <c r="F1865" s="272"/>
      <c r="G1865" s="273"/>
      <c r="H1865" s="274"/>
      <c r="I1865" s="274"/>
      <c r="J1865" s="274"/>
      <c r="K1865" s="274"/>
      <c r="L1865" s="274"/>
      <c r="M1865" s="274"/>
      <c r="N1865" s="274"/>
      <c r="O1865" s="274"/>
      <c r="P1865" s="274"/>
      <c r="Q1865" s="274"/>
      <c r="R1865" s="274"/>
      <c r="S1865" s="274"/>
      <c r="T1865" s="274"/>
      <c r="U1865" s="274"/>
      <c r="V1865" s="274"/>
    </row>
    <row r="1866" spans="1:22" x14ac:dyDescent="0.25">
      <c r="A1866" s="247">
        <v>1864</v>
      </c>
      <c r="B1866" s="270"/>
      <c r="C1866" s="270"/>
      <c r="D1866" s="271"/>
      <c r="E1866" s="272"/>
      <c r="F1866" s="272"/>
      <c r="G1866" s="273"/>
      <c r="H1866" s="274"/>
      <c r="I1866" s="274"/>
      <c r="J1866" s="274"/>
      <c r="K1866" s="274"/>
      <c r="L1866" s="274"/>
      <c r="M1866" s="274"/>
      <c r="N1866" s="274"/>
      <c r="O1866" s="274"/>
      <c r="P1866" s="274"/>
      <c r="Q1866" s="274"/>
      <c r="R1866" s="274"/>
      <c r="S1866" s="274"/>
      <c r="T1866" s="274"/>
      <c r="U1866" s="274"/>
      <c r="V1866" s="274"/>
    </row>
    <row r="1867" spans="1:22" x14ac:dyDescent="0.25">
      <c r="A1867" s="247">
        <v>1865</v>
      </c>
      <c r="B1867" s="270"/>
      <c r="C1867" s="270"/>
      <c r="D1867" s="271"/>
      <c r="E1867" s="272"/>
      <c r="F1867" s="272"/>
      <c r="G1867" s="273"/>
      <c r="H1867" s="274"/>
      <c r="I1867" s="274"/>
      <c r="J1867" s="274"/>
      <c r="K1867" s="274"/>
      <c r="L1867" s="274"/>
      <c r="M1867" s="274"/>
      <c r="N1867" s="274"/>
      <c r="O1867" s="274"/>
      <c r="P1867" s="274"/>
      <c r="Q1867" s="274"/>
      <c r="R1867" s="274"/>
      <c r="S1867" s="274"/>
      <c r="T1867" s="274"/>
      <c r="U1867" s="274"/>
      <c r="V1867" s="274"/>
    </row>
    <row r="1868" spans="1:22" x14ac:dyDescent="0.25">
      <c r="A1868" s="247">
        <v>1866</v>
      </c>
      <c r="B1868" s="270"/>
      <c r="C1868" s="270"/>
      <c r="D1868" s="271"/>
      <c r="E1868" s="272"/>
      <c r="F1868" s="272"/>
      <c r="G1868" s="273"/>
      <c r="H1868" s="274"/>
      <c r="I1868" s="274"/>
      <c r="J1868" s="274"/>
      <c r="K1868" s="274"/>
      <c r="L1868" s="274"/>
      <c r="M1868" s="274"/>
      <c r="N1868" s="274"/>
      <c r="O1868" s="274"/>
      <c r="P1868" s="274"/>
      <c r="Q1868" s="274"/>
      <c r="R1868" s="274"/>
      <c r="S1868" s="274"/>
      <c r="T1868" s="274"/>
      <c r="U1868" s="274"/>
      <c r="V1868" s="274"/>
    </row>
    <row r="1869" spans="1:22" x14ac:dyDescent="0.25">
      <c r="A1869" s="247">
        <v>1867</v>
      </c>
      <c r="B1869" s="270"/>
      <c r="C1869" s="270"/>
      <c r="D1869" s="271"/>
      <c r="E1869" s="272"/>
      <c r="F1869" s="272"/>
      <c r="G1869" s="273"/>
      <c r="H1869" s="274"/>
      <c r="I1869" s="274"/>
      <c r="J1869" s="274"/>
      <c r="K1869" s="274"/>
      <c r="L1869" s="274"/>
      <c r="M1869" s="274"/>
      <c r="N1869" s="274"/>
      <c r="O1869" s="274"/>
      <c r="P1869" s="274"/>
      <c r="Q1869" s="274"/>
      <c r="R1869" s="274"/>
      <c r="S1869" s="274"/>
      <c r="T1869" s="274"/>
      <c r="U1869" s="274"/>
      <c r="V1869" s="274"/>
    </row>
    <row r="1870" spans="1:22" x14ac:dyDescent="0.25">
      <c r="A1870" s="247">
        <v>1868</v>
      </c>
      <c r="B1870" s="270"/>
      <c r="C1870" s="270"/>
      <c r="D1870" s="271"/>
      <c r="E1870" s="272"/>
      <c r="F1870" s="272"/>
      <c r="G1870" s="273"/>
      <c r="H1870" s="274"/>
      <c r="I1870" s="274"/>
      <c r="J1870" s="274"/>
      <c r="K1870" s="274"/>
      <c r="L1870" s="274"/>
      <c r="M1870" s="274"/>
      <c r="N1870" s="274"/>
      <c r="O1870" s="274"/>
      <c r="P1870" s="274"/>
      <c r="Q1870" s="274"/>
      <c r="R1870" s="274"/>
      <c r="S1870" s="274"/>
      <c r="T1870" s="274"/>
      <c r="U1870" s="274"/>
      <c r="V1870" s="274"/>
    </row>
    <row r="1871" spans="1:22" x14ac:dyDescent="0.25">
      <c r="A1871" s="247">
        <v>1869</v>
      </c>
      <c r="B1871" s="270"/>
      <c r="C1871" s="270"/>
      <c r="D1871" s="271"/>
      <c r="E1871" s="272"/>
      <c r="F1871" s="272"/>
      <c r="G1871" s="273"/>
      <c r="H1871" s="274"/>
      <c r="I1871" s="274"/>
      <c r="J1871" s="274"/>
      <c r="K1871" s="274"/>
      <c r="L1871" s="274"/>
      <c r="M1871" s="274"/>
      <c r="N1871" s="274"/>
      <c r="O1871" s="274"/>
      <c r="P1871" s="274"/>
      <c r="Q1871" s="274"/>
      <c r="R1871" s="274"/>
      <c r="S1871" s="274"/>
      <c r="T1871" s="274"/>
      <c r="U1871" s="274"/>
      <c r="V1871" s="274"/>
    </row>
    <row r="1872" spans="1:22" x14ac:dyDescent="0.25">
      <c r="A1872" s="247">
        <v>1870</v>
      </c>
      <c r="B1872" s="270"/>
      <c r="C1872" s="270"/>
      <c r="D1872" s="271"/>
      <c r="E1872" s="272"/>
      <c r="F1872" s="272"/>
      <c r="G1872" s="273"/>
      <c r="H1872" s="274"/>
      <c r="I1872" s="274"/>
      <c r="J1872" s="274"/>
      <c r="K1872" s="274"/>
      <c r="L1872" s="274"/>
      <c r="M1872" s="274"/>
      <c r="N1872" s="274"/>
      <c r="O1872" s="274"/>
      <c r="P1872" s="274"/>
      <c r="Q1872" s="274"/>
      <c r="R1872" s="274"/>
      <c r="S1872" s="274"/>
      <c r="T1872" s="274"/>
      <c r="U1872" s="274"/>
      <c r="V1872" s="274"/>
    </row>
    <row r="1873" spans="1:22" x14ac:dyDescent="0.25">
      <c r="A1873" s="247">
        <v>1871</v>
      </c>
      <c r="B1873" s="270"/>
      <c r="C1873" s="270"/>
      <c r="D1873" s="271"/>
      <c r="E1873" s="272"/>
      <c r="F1873" s="272"/>
      <c r="G1873" s="273"/>
      <c r="H1873" s="274"/>
      <c r="I1873" s="274"/>
      <c r="J1873" s="274"/>
      <c r="K1873" s="274"/>
      <c r="L1873" s="274"/>
      <c r="M1873" s="274"/>
      <c r="N1873" s="274"/>
      <c r="O1873" s="274"/>
      <c r="P1873" s="274"/>
      <c r="Q1873" s="274"/>
      <c r="R1873" s="274"/>
      <c r="S1873" s="274"/>
      <c r="T1873" s="274"/>
      <c r="U1873" s="274"/>
      <c r="V1873" s="274"/>
    </row>
    <row r="1874" spans="1:22" x14ac:dyDescent="0.25">
      <c r="A1874" s="247">
        <v>1872</v>
      </c>
      <c r="B1874" s="270"/>
      <c r="C1874" s="270"/>
      <c r="D1874" s="271"/>
      <c r="E1874" s="272"/>
      <c r="F1874" s="272"/>
      <c r="G1874" s="273"/>
      <c r="H1874" s="274"/>
      <c r="I1874" s="274"/>
      <c r="J1874" s="274"/>
      <c r="K1874" s="274"/>
      <c r="L1874" s="274"/>
      <c r="M1874" s="274"/>
      <c r="N1874" s="274"/>
      <c r="O1874" s="274"/>
      <c r="P1874" s="274"/>
      <c r="Q1874" s="274"/>
      <c r="R1874" s="274"/>
      <c r="S1874" s="274"/>
      <c r="T1874" s="274"/>
      <c r="U1874" s="274"/>
      <c r="V1874" s="274"/>
    </row>
    <row r="1875" spans="1:22" x14ac:dyDescent="0.25">
      <c r="A1875" s="247">
        <v>1873</v>
      </c>
      <c r="B1875" s="270"/>
      <c r="C1875" s="270"/>
      <c r="D1875" s="271"/>
      <c r="E1875" s="272"/>
      <c r="F1875" s="272"/>
      <c r="G1875" s="273"/>
      <c r="H1875" s="274"/>
      <c r="I1875" s="274"/>
      <c r="J1875" s="274"/>
      <c r="K1875" s="274"/>
      <c r="L1875" s="274"/>
      <c r="M1875" s="274"/>
      <c r="N1875" s="274"/>
      <c r="O1875" s="274"/>
      <c r="P1875" s="274"/>
      <c r="Q1875" s="274"/>
      <c r="R1875" s="274"/>
      <c r="S1875" s="274"/>
      <c r="T1875" s="274"/>
      <c r="U1875" s="274"/>
      <c r="V1875" s="274"/>
    </row>
    <row r="1876" spans="1:22" x14ac:dyDescent="0.25">
      <c r="A1876" s="247">
        <v>1874</v>
      </c>
      <c r="B1876" s="270"/>
      <c r="C1876" s="270"/>
      <c r="D1876" s="271"/>
      <c r="E1876" s="272"/>
      <c r="F1876" s="272"/>
      <c r="G1876" s="273"/>
      <c r="H1876" s="274"/>
      <c r="I1876" s="274"/>
      <c r="J1876" s="274"/>
      <c r="K1876" s="274"/>
      <c r="L1876" s="274"/>
      <c r="M1876" s="274"/>
      <c r="N1876" s="274"/>
      <c r="O1876" s="274"/>
      <c r="P1876" s="274"/>
      <c r="Q1876" s="274"/>
      <c r="R1876" s="274"/>
      <c r="S1876" s="274"/>
      <c r="T1876" s="274"/>
      <c r="U1876" s="274"/>
      <c r="V1876" s="274"/>
    </row>
    <row r="1877" spans="1:22" x14ac:dyDescent="0.25">
      <c r="A1877" s="247">
        <v>1875</v>
      </c>
      <c r="B1877" s="270"/>
      <c r="C1877" s="270"/>
      <c r="D1877" s="271"/>
      <c r="E1877" s="272"/>
      <c r="F1877" s="272"/>
      <c r="G1877" s="273"/>
      <c r="H1877" s="274"/>
      <c r="I1877" s="274"/>
      <c r="J1877" s="274"/>
      <c r="K1877" s="274"/>
      <c r="L1877" s="274"/>
      <c r="M1877" s="274"/>
      <c r="N1877" s="274"/>
      <c r="O1877" s="274"/>
      <c r="P1877" s="274"/>
      <c r="Q1877" s="274"/>
      <c r="R1877" s="274"/>
      <c r="S1877" s="274"/>
      <c r="T1877" s="274"/>
      <c r="U1877" s="274"/>
      <c r="V1877" s="274"/>
    </row>
    <row r="1878" spans="1:22" x14ac:dyDescent="0.25">
      <c r="A1878" s="247">
        <v>1876</v>
      </c>
      <c r="B1878" s="270"/>
      <c r="C1878" s="270"/>
      <c r="D1878" s="271"/>
      <c r="E1878" s="272"/>
      <c r="F1878" s="272"/>
      <c r="G1878" s="273"/>
      <c r="H1878" s="274"/>
      <c r="I1878" s="274"/>
      <c r="J1878" s="274"/>
      <c r="K1878" s="274"/>
      <c r="L1878" s="274"/>
      <c r="M1878" s="274"/>
      <c r="N1878" s="274"/>
      <c r="O1878" s="274"/>
      <c r="P1878" s="274"/>
      <c r="Q1878" s="274"/>
      <c r="R1878" s="274"/>
      <c r="S1878" s="274"/>
      <c r="T1878" s="274"/>
      <c r="U1878" s="274"/>
      <c r="V1878" s="274"/>
    </row>
    <row r="1879" spans="1:22" x14ac:dyDescent="0.25">
      <c r="A1879" s="247">
        <v>1877</v>
      </c>
      <c r="B1879" s="270"/>
      <c r="C1879" s="270"/>
      <c r="D1879" s="271"/>
      <c r="E1879" s="272"/>
      <c r="F1879" s="272"/>
      <c r="G1879" s="273"/>
      <c r="H1879" s="274"/>
      <c r="I1879" s="274"/>
      <c r="J1879" s="274"/>
      <c r="K1879" s="274"/>
      <c r="L1879" s="274"/>
      <c r="M1879" s="274"/>
      <c r="N1879" s="274"/>
      <c r="O1879" s="274"/>
      <c r="P1879" s="274"/>
      <c r="Q1879" s="274"/>
      <c r="R1879" s="274"/>
      <c r="S1879" s="274"/>
      <c r="T1879" s="274"/>
      <c r="U1879" s="274"/>
      <c r="V1879" s="274"/>
    </row>
    <row r="1880" spans="1:22" x14ac:dyDescent="0.25">
      <c r="A1880" s="247">
        <v>1878</v>
      </c>
      <c r="B1880" s="270"/>
      <c r="C1880" s="270"/>
      <c r="D1880" s="271"/>
      <c r="E1880" s="272"/>
      <c r="F1880" s="272"/>
      <c r="G1880" s="273"/>
      <c r="H1880" s="274"/>
      <c r="I1880" s="274"/>
      <c r="J1880" s="274"/>
      <c r="K1880" s="274"/>
      <c r="L1880" s="274"/>
      <c r="M1880" s="274"/>
      <c r="N1880" s="274"/>
      <c r="O1880" s="274"/>
      <c r="P1880" s="274"/>
      <c r="Q1880" s="274"/>
      <c r="R1880" s="274"/>
      <c r="S1880" s="274"/>
      <c r="T1880" s="274"/>
      <c r="U1880" s="274"/>
      <c r="V1880" s="274"/>
    </row>
    <row r="1881" spans="1:22" x14ac:dyDescent="0.25">
      <c r="A1881" s="247">
        <v>1879</v>
      </c>
      <c r="B1881" s="270"/>
      <c r="C1881" s="270"/>
      <c r="D1881" s="271"/>
      <c r="E1881" s="272"/>
      <c r="F1881" s="272"/>
      <c r="G1881" s="273"/>
      <c r="H1881" s="274"/>
      <c r="I1881" s="274"/>
      <c r="J1881" s="274"/>
      <c r="K1881" s="274"/>
      <c r="L1881" s="274"/>
      <c r="M1881" s="274"/>
      <c r="N1881" s="274"/>
      <c r="O1881" s="274"/>
      <c r="P1881" s="274"/>
      <c r="Q1881" s="274"/>
      <c r="R1881" s="274"/>
      <c r="S1881" s="274"/>
      <c r="T1881" s="274"/>
      <c r="U1881" s="274"/>
      <c r="V1881" s="274"/>
    </row>
    <row r="1882" spans="1:22" x14ac:dyDescent="0.25">
      <c r="A1882" s="247">
        <v>1880</v>
      </c>
      <c r="B1882" s="270"/>
      <c r="C1882" s="270"/>
      <c r="D1882" s="271"/>
      <c r="E1882" s="272"/>
      <c r="F1882" s="272"/>
      <c r="G1882" s="273"/>
      <c r="H1882" s="274"/>
      <c r="I1882" s="274"/>
      <c r="J1882" s="274"/>
      <c r="K1882" s="274"/>
      <c r="L1882" s="274"/>
      <c r="M1882" s="274"/>
      <c r="N1882" s="274"/>
      <c r="O1882" s="274"/>
      <c r="P1882" s="274"/>
      <c r="Q1882" s="274"/>
      <c r="R1882" s="274"/>
      <c r="S1882" s="274"/>
      <c r="T1882" s="274"/>
      <c r="U1882" s="274"/>
      <c r="V1882" s="274"/>
    </row>
    <row r="1883" spans="1:22" x14ac:dyDescent="0.25">
      <c r="A1883" s="247">
        <v>1881</v>
      </c>
      <c r="B1883" s="270"/>
      <c r="C1883" s="270"/>
      <c r="D1883" s="271"/>
      <c r="E1883" s="272"/>
      <c r="F1883" s="272"/>
      <c r="G1883" s="273"/>
      <c r="H1883" s="274"/>
      <c r="I1883" s="274"/>
      <c r="J1883" s="274"/>
      <c r="K1883" s="274"/>
      <c r="L1883" s="274"/>
      <c r="M1883" s="274"/>
      <c r="N1883" s="274"/>
      <c r="O1883" s="274"/>
      <c r="P1883" s="274"/>
      <c r="Q1883" s="274"/>
      <c r="R1883" s="274"/>
      <c r="S1883" s="274"/>
      <c r="T1883" s="274"/>
      <c r="U1883" s="274"/>
      <c r="V1883" s="274"/>
    </row>
    <row r="1884" spans="1:22" x14ac:dyDescent="0.25">
      <c r="A1884" s="247">
        <v>1882</v>
      </c>
      <c r="B1884" s="270"/>
      <c r="C1884" s="270"/>
      <c r="D1884" s="271"/>
      <c r="E1884" s="272"/>
      <c r="F1884" s="272"/>
      <c r="G1884" s="273"/>
      <c r="H1884" s="274"/>
      <c r="I1884" s="274"/>
      <c r="J1884" s="274"/>
      <c r="K1884" s="274"/>
      <c r="L1884" s="274"/>
      <c r="M1884" s="274"/>
      <c r="N1884" s="274"/>
      <c r="O1884" s="274"/>
      <c r="P1884" s="274"/>
      <c r="Q1884" s="274"/>
      <c r="R1884" s="274"/>
      <c r="S1884" s="274"/>
      <c r="T1884" s="274"/>
      <c r="U1884" s="274"/>
      <c r="V1884" s="274"/>
    </row>
    <row r="1885" spans="1:22" x14ac:dyDescent="0.25">
      <c r="A1885" s="247">
        <v>1883</v>
      </c>
      <c r="B1885" s="270"/>
      <c r="C1885" s="270"/>
      <c r="D1885" s="271"/>
      <c r="E1885" s="272"/>
      <c r="F1885" s="272"/>
      <c r="G1885" s="273"/>
      <c r="H1885" s="274"/>
      <c r="I1885" s="274"/>
      <c r="J1885" s="274"/>
      <c r="K1885" s="274"/>
      <c r="L1885" s="274"/>
      <c r="M1885" s="274"/>
      <c r="N1885" s="274"/>
      <c r="O1885" s="274"/>
      <c r="P1885" s="274"/>
      <c r="Q1885" s="274"/>
      <c r="R1885" s="274"/>
      <c r="S1885" s="274"/>
      <c r="T1885" s="274"/>
      <c r="U1885" s="274"/>
      <c r="V1885" s="274"/>
    </row>
    <row r="1886" spans="1:22" x14ac:dyDescent="0.25">
      <c r="A1886" s="247">
        <v>1884</v>
      </c>
      <c r="B1886" s="270"/>
      <c r="C1886" s="270"/>
      <c r="D1886" s="271"/>
      <c r="E1886" s="272"/>
      <c r="F1886" s="272"/>
      <c r="G1886" s="273"/>
      <c r="H1886" s="274"/>
      <c r="I1886" s="274"/>
      <c r="J1886" s="274"/>
      <c r="K1886" s="274"/>
      <c r="L1886" s="274"/>
      <c r="M1886" s="274"/>
      <c r="N1886" s="274"/>
      <c r="O1886" s="274"/>
      <c r="P1886" s="274"/>
      <c r="Q1886" s="274"/>
      <c r="R1886" s="274"/>
      <c r="S1886" s="274"/>
      <c r="T1886" s="274"/>
      <c r="U1886" s="274"/>
      <c r="V1886" s="274"/>
    </row>
    <row r="1887" spans="1:22" x14ac:dyDescent="0.25">
      <c r="A1887" s="247">
        <v>1885</v>
      </c>
      <c r="B1887" s="270"/>
      <c r="C1887" s="270"/>
      <c r="D1887" s="271"/>
      <c r="E1887" s="272"/>
      <c r="F1887" s="272"/>
      <c r="G1887" s="273"/>
      <c r="H1887" s="274"/>
      <c r="I1887" s="274"/>
      <c r="J1887" s="274"/>
      <c r="K1887" s="274"/>
      <c r="L1887" s="274"/>
      <c r="M1887" s="274"/>
      <c r="N1887" s="274"/>
      <c r="O1887" s="274"/>
      <c r="P1887" s="274"/>
      <c r="Q1887" s="274"/>
      <c r="R1887" s="274"/>
      <c r="S1887" s="274"/>
      <c r="T1887" s="274"/>
      <c r="U1887" s="274"/>
      <c r="V1887" s="274"/>
    </row>
    <row r="1888" spans="1:22" x14ac:dyDescent="0.25">
      <c r="A1888" s="247">
        <v>1886</v>
      </c>
      <c r="B1888" s="270"/>
      <c r="C1888" s="270"/>
      <c r="D1888" s="271"/>
      <c r="E1888" s="272"/>
      <c r="F1888" s="272"/>
      <c r="G1888" s="273"/>
      <c r="H1888" s="274"/>
      <c r="I1888" s="274"/>
      <c r="J1888" s="274"/>
      <c r="K1888" s="274"/>
      <c r="L1888" s="274"/>
      <c r="M1888" s="274"/>
      <c r="N1888" s="274"/>
      <c r="O1888" s="274"/>
      <c r="P1888" s="274"/>
      <c r="Q1888" s="274"/>
      <c r="R1888" s="274"/>
      <c r="S1888" s="274"/>
      <c r="T1888" s="274"/>
      <c r="U1888" s="274"/>
      <c r="V1888" s="274"/>
    </row>
    <row r="1889" spans="1:22" x14ac:dyDescent="0.25">
      <c r="A1889" s="247">
        <v>1887</v>
      </c>
      <c r="B1889" s="270"/>
      <c r="C1889" s="270"/>
      <c r="D1889" s="271"/>
      <c r="E1889" s="272"/>
      <c r="F1889" s="272"/>
      <c r="G1889" s="273"/>
      <c r="H1889" s="274"/>
      <c r="I1889" s="274"/>
      <c r="J1889" s="274"/>
      <c r="K1889" s="274"/>
      <c r="L1889" s="274"/>
      <c r="M1889" s="274"/>
      <c r="N1889" s="274"/>
      <c r="O1889" s="274"/>
      <c r="P1889" s="274"/>
      <c r="Q1889" s="274"/>
      <c r="R1889" s="274"/>
      <c r="S1889" s="274"/>
      <c r="T1889" s="274"/>
      <c r="U1889" s="274"/>
      <c r="V1889" s="274"/>
    </row>
    <row r="1890" spans="1:22" x14ac:dyDescent="0.25">
      <c r="A1890" s="247">
        <v>1888</v>
      </c>
      <c r="B1890" s="270"/>
      <c r="C1890" s="270"/>
      <c r="D1890" s="271"/>
      <c r="E1890" s="272"/>
      <c r="F1890" s="272"/>
      <c r="G1890" s="273"/>
      <c r="H1890" s="274"/>
      <c r="I1890" s="274"/>
      <c r="J1890" s="274"/>
      <c r="K1890" s="274"/>
      <c r="L1890" s="274"/>
      <c r="M1890" s="274"/>
      <c r="N1890" s="274"/>
      <c r="O1890" s="274"/>
      <c r="P1890" s="274"/>
      <c r="Q1890" s="274"/>
      <c r="R1890" s="274"/>
      <c r="S1890" s="274"/>
      <c r="T1890" s="274"/>
      <c r="U1890" s="274"/>
      <c r="V1890" s="274"/>
    </row>
    <row r="1891" spans="1:22" x14ac:dyDescent="0.25">
      <c r="A1891" s="247">
        <v>1889</v>
      </c>
      <c r="B1891" s="270"/>
      <c r="C1891" s="270"/>
      <c r="D1891" s="271"/>
      <c r="E1891" s="272"/>
      <c r="F1891" s="272"/>
      <c r="G1891" s="273"/>
      <c r="H1891" s="274"/>
      <c r="I1891" s="274"/>
      <c r="J1891" s="274"/>
      <c r="K1891" s="274"/>
      <c r="L1891" s="274"/>
      <c r="M1891" s="274"/>
      <c r="N1891" s="274"/>
      <c r="O1891" s="274"/>
      <c r="P1891" s="274"/>
      <c r="Q1891" s="274"/>
      <c r="R1891" s="274"/>
      <c r="S1891" s="274"/>
      <c r="T1891" s="274"/>
      <c r="U1891" s="274"/>
      <c r="V1891" s="274"/>
    </row>
    <row r="1892" spans="1:22" x14ac:dyDescent="0.25">
      <c r="A1892" s="247">
        <v>1890</v>
      </c>
      <c r="B1892" s="270"/>
      <c r="C1892" s="270"/>
      <c r="D1892" s="271"/>
      <c r="E1892" s="272"/>
      <c r="F1892" s="272"/>
      <c r="G1892" s="273"/>
      <c r="H1892" s="274"/>
      <c r="I1892" s="274"/>
      <c r="J1892" s="274"/>
      <c r="K1892" s="274"/>
      <c r="L1892" s="274"/>
      <c r="M1892" s="274"/>
      <c r="N1892" s="274"/>
      <c r="O1892" s="274"/>
      <c r="P1892" s="274"/>
      <c r="Q1892" s="274"/>
      <c r="R1892" s="274"/>
      <c r="S1892" s="274"/>
      <c r="T1892" s="274"/>
      <c r="U1892" s="274"/>
      <c r="V1892" s="274"/>
    </row>
    <row r="1893" spans="1:22" x14ac:dyDescent="0.25">
      <c r="A1893" s="247">
        <v>1891</v>
      </c>
      <c r="B1893" s="270"/>
      <c r="C1893" s="270"/>
      <c r="D1893" s="271"/>
      <c r="E1893" s="272"/>
      <c r="F1893" s="272"/>
      <c r="G1893" s="273"/>
      <c r="H1893" s="274"/>
      <c r="I1893" s="274"/>
      <c r="J1893" s="274"/>
      <c r="K1893" s="274"/>
      <c r="L1893" s="274"/>
      <c r="M1893" s="274"/>
      <c r="N1893" s="274"/>
      <c r="O1893" s="274"/>
      <c r="P1893" s="274"/>
      <c r="Q1893" s="274"/>
      <c r="R1893" s="274"/>
      <c r="S1893" s="274"/>
      <c r="T1893" s="274"/>
      <c r="U1893" s="274"/>
      <c r="V1893" s="274"/>
    </row>
    <row r="1894" spans="1:22" x14ac:dyDescent="0.25">
      <c r="A1894" s="247">
        <v>1892</v>
      </c>
      <c r="B1894" s="270"/>
      <c r="C1894" s="270"/>
      <c r="D1894" s="271"/>
      <c r="E1894" s="272"/>
      <c r="F1894" s="272"/>
      <c r="G1894" s="273"/>
      <c r="H1894" s="274"/>
      <c r="I1894" s="274"/>
      <c r="J1894" s="274"/>
      <c r="K1894" s="274"/>
      <c r="L1894" s="274"/>
      <c r="M1894" s="274"/>
      <c r="N1894" s="274"/>
      <c r="O1894" s="274"/>
      <c r="P1894" s="274"/>
      <c r="Q1894" s="274"/>
      <c r="R1894" s="274"/>
      <c r="S1894" s="274"/>
      <c r="T1894" s="274"/>
      <c r="U1894" s="274"/>
      <c r="V1894" s="274"/>
    </row>
    <row r="1895" spans="1:22" x14ac:dyDescent="0.25">
      <c r="A1895" s="247">
        <v>1893</v>
      </c>
      <c r="B1895" s="270"/>
      <c r="C1895" s="270"/>
      <c r="D1895" s="271"/>
      <c r="E1895" s="272"/>
      <c r="F1895" s="272"/>
      <c r="G1895" s="273"/>
      <c r="H1895" s="274"/>
      <c r="I1895" s="274"/>
      <c r="J1895" s="274"/>
      <c r="K1895" s="274"/>
      <c r="L1895" s="274"/>
      <c r="M1895" s="274"/>
      <c r="N1895" s="274"/>
      <c r="O1895" s="274"/>
      <c r="P1895" s="274"/>
      <c r="Q1895" s="274"/>
      <c r="R1895" s="274"/>
      <c r="S1895" s="274"/>
      <c r="T1895" s="274"/>
      <c r="U1895" s="274"/>
      <c r="V1895" s="274"/>
    </row>
    <row r="1896" spans="1:22" x14ac:dyDescent="0.25">
      <c r="A1896" s="247">
        <v>1894</v>
      </c>
      <c r="B1896" s="270"/>
      <c r="C1896" s="270"/>
      <c r="D1896" s="271"/>
      <c r="E1896" s="272"/>
      <c r="F1896" s="272"/>
      <c r="G1896" s="273"/>
      <c r="H1896" s="274"/>
      <c r="I1896" s="274"/>
      <c r="J1896" s="274"/>
      <c r="K1896" s="274"/>
      <c r="L1896" s="274"/>
      <c r="M1896" s="274"/>
      <c r="N1896" s="274"/>
      <c r="O1896" s="274"/>
      <c r="P1896" s="274"/>
      <c r="Q1896" s="274"/>
      <c r="R1896" s="274"/>
      <c r="S1896" s="274"/>
      <c r="T1896" s="274"/>
      <c r="U1896" s="274"/>
      <c r="V1896" s="274"/>
    </row>
    <row r="1897" spans="1:22" x14ac:dyDescent="0.25">
      <c r="A1897" s="247">
        <v>1895</v>
      </c>
      <c r="B1897" s="270"/>
      <c r="C1897" s="270"/>
      <c r="D1897" s="271"/>
      <c r="E1897" s="272"/>
      <c r="F1897" s="272"/>
      <c r="G1897" s="273"/>
      <c r="H1897" s="274"/>
      <c r="I1897" s="274"/>
      <c r="J1897" s="274"/>
      <c r="K1897" s="274"/>
      <c r="L1897" s="274"/>
      <c r="M1897" s="274"/>
      <c r="N1897" s="274"/>
      <c r="O1897" s="274"/>
      <c r="P1897" s="274"/>
      <c r="Q1897" s="274"/>
      <c r="R1897" s="274"/>
      <c r="S1897" s="274"/>
      <c r="T1897" s="274"/>
      <c r="U1897" s="274"/>
      <c r="V1897" s="274"/>
    </row>
    <row r="1898" spans="1:22" x14ac:dyDescent="0.25">
      <c r="A1898" s="247">
        <v>1896</v>
      </c>
      <c r="B1898" s="270"/>
      <c r="C1898" s="270"/>
      <c r="D1898" s="271"/>
      <c r="E1898" s="272"/>
      <c r="F1898" s="272"/>
      <c r="G1898" s="273"/>
      <c r="H1898" s="274"/>
      <c r="I1898" s="274"/>
      <c r="J1898" s="274"/>
      <c r="K1898" s="274"/>
      <c r="L1898" s="274"/>
      <c r="M1898" s="274"/>
      <c r="N1898" s="274"/>
      <c r="O1898" s="274"/>
      <c r="P1898" s="274"/>
      <c r="Q1898" s="274"/>
      <c r="R1898" s="274"/>
      <c r="S1898" s="274"/>
      <c r="T1898" s="274"/>
      <c r="U1898" s="274"/>
      <c r="V1898" s="274"/>
    </row>
    <row r="1899" spans="1:22" x14ac:dyDescent="0.25">
      <c r="A1899" s="247">
        <v>1897</v>
      </c>
      <c r="B1899" s="270"/>
      <c r="C1899" s="270"/>
      <c r="D1899" s="271"/>
      <c r="E1899" s="272"/>
      <c r="F1899" s="272"/>
      <c r="G1899" s="273"/>
      <c r="H1899" s="274"/>
      <c r="I1899" s="274"/>
      <c r="J1899" s="274"/>
      <c r="K1899" s="274"/>
      <c r="L1899" s="274"/>
      <c r="M1899" s="274"/>
      <c r="N1899" s="274"/>
      <c r="O1899" s="274"/>
      <c r="P1899" s="274"/>
      <c r="Q1899" s="274"/>
      <c r="R1899" s="274"/>
      <c r="S1899" s="274"/>
      <c r="T1899" s="274"/>
      <c r="U1899" s="274"/>
      <c r="V1899" s="274"/>
    </row>
    <row r="1900" spans="1:22" x14ac:dyDescent="0.25">
      <c r="A1900" s="247">
        <v>1898</v>
      </c>
      <c r="B1900" s="270"/>
      <c r="C1900" s="270"/>
      <c r="D1900" s="271"/>
      <c r="E1900" s="272"/>
      <c r="F1900" s="272"/>
      <c r="G1900" s="273"/>
      <c r="H1900" s="274"/>
      <c r="I1900" s="274"/>
      <c r="J1900" s="274"/>
      <c r="K1900" s="274"/>
      <c r="L1900" s="274"/>
      <c r="M1900" s="274"/>
      <c r="N1900" s="274"/>
      <c r="O1900" s="274"/>
      <c r="P1900" s="274"/>
      <c r="Q1900" s="274"/>
      <c r="R1900" s="274"/>
      <c r="S1900" s="274"/>
      <c r="T1900" s="274"/>
      <c r="U1900" s="274"/>
      <c r="V1900" s="274"/>
    </row>
    <row r="1901" spans="1:22" x14ac:dyDescent="0.25">
      <c r="A1901" s="247">
        <v>1899</v>
      </c>
      <c r="B1901" s="270"/>
      <c r="C1901" s="270"/>
      <c r="D1901" s="271"/>
      <c r="E1901" s="272"/>
      <c r="F1901" s="272"/>
      <c r="G1901" s="273"/>
      <c r="H1901" s="274"/>
      <c r="I1901" s="274"/>
      <c r="J1901" s="274"/>
      <c r="K1901" s="274"/>
      <c r="L1901" s="274"/>
      <c r="M1901" s="274"/>
      <c r="N1901" s="274"/>
      <c r="O1901" s="274"/>
      <c r="P1901" s="274"/>
      <c r="Q1901" s="274"/>
      <c r="R1901" s="274"/>
      <c r="S1901" s="274"/>
      <c r="T1901" s="274"/>
      <c r="U1901" s="274"/>
      <c r="V1901" s="274"/>
    </row>
    <row r="1902" spans="1:22" x14ac:dyDescent="0.25">
      <c r="A1902" s="247">
        <v>1900</v>
      </c>
      <c r="B1902" s="270"/>
      <c r="C1902" s="270"/>
      <c r="D1902" s="271"/>
      <c r="E1902" s="272"/>
      <c r="F1902" s="272"/>
      <c r="G1902" s="273"/>
      <c r="H1902" s="274"/>
      <c r="I1902" s="274"/>
      <c r="J1902" s="274"/>
      <c r="K1902" s="274"/>
      <c r="L1902" s="274"/>
      <c r="M1902" s="274"/>
      <c r="N1902" s="274"/>
      <c r="O1902" s="274"/>
      <c r="P1902" s="274"/>
      <c r="Q1902" s="274"/>
      <c r="R1902" s="274"/>
      <c r="S1902" s="274"/>
      <c r="T1902" s="274"/>
      <c r="U1902" s="274"/>
      <c r="V1902" s="274"/>
    </row>
    <row r="1903" spans="1:22" x14ac:dyDescent="0.25">
      <c r="A1903" s="247">
        <v>1901</v>
      </c>
      <c r="B1903" s="270"/>
      <c r="C1903" s="270"/>
      <c r="D1903" s="271"/>
      <c r="E1903" s="272"/>
      <c r="F1903" s="272"/>
      <c r="G1903" s="273"/>
      <c r="H1903" s="274"/>
      <c r="I1903" s="274"/>
      <c r="J1903" s="274"/>
      <c r="K1903" s="274"/>
      <c r="L1903" s="274"/>
      <c r="M1903" s="274"/>
      <c r="N1903" s="274"/>
      <c r="O1903" s="274"/>
      <c r="P1903" s="274"/>
      <c r="Q1903" s="274"/>
      <c r="R1903" s="274"/>
      <c r="S1903" s="274"/>
      <c r="T1903" s="274"/>
      <c r="U1903" s="274"/>
      <c r="V1903" s="274"/>
    </row>
    <row r="1904" spans="1:22" x14ac:dyDescent="0.25">
      <c r="A1904" s="247">
        <v>1902</v>
      </c>
      <c r="B1904" s="270"/>
      <c r="C1904" s="270"/>
      <c r="D1904" s="271"/>
      <c r="E1904" s="272"/>
      <c r="F1904" s="272"/>
      <c r="G1904" s="273"/>
      <c r="H1904" s="274"/>
      <c r="I1904" s="274"/>
      <c r="J1904" s="274"/>
      <c r="K1904" s="274"/>
      <c r="L1904" s="274"/>
      <c r="M1904" s="274"/>
      <c r="N1904" s="274"/>
      <c r="O1904" s="274"/>
      <c r="P1904" s="274"/>
      <c r="Q1904" s="274"/>
      <c r="R1904" s="274"/>
      <c r="S1904" s="274"/>
      <c r="T1904" s="274"/>
      <c r="U1904" s="274"/>
      <c r="V1904" s="274"/>
    </row>
    <row r="1905" spans="1:22" x14ac:dyDescent="0.25">
      <c r="A1905" s="247">
        <v>1903</v>
      </c>
      <c r="B1905" s="270"/>
      <c r="C1905" s="270"/>
      <c r="D1905" s="271"/>
      <c r="E1905" s="272"/>
      <c r="F1905" s="272"/>
      <c r="G1905" s="273"/>
      <c r="H1905" s="274"/>
      <c r="I1905" s="274"/>
      <c r="J1905" s="274"/>
      <c r="K1905" s="274"/>
      <c r="L1905" s="274"/>
      <c r="M1905" s="274"/>
      <c r="N1905" s="274"/>
      <c r="O1905" s="274"/>
      <c r="P1905" s="274"/>
      <c r="Q1905" s="274"/>
      <c r="R1905" s="274"/>
      <c r="S1905" s="274"/>
      <c r="T1905" s="274"/>
      <c r="U1905" s="274"/>
      <c r="V1905" s="274"/>
    </row>
    <row r="1906" spans="1:22" x14ac:dyDescent="0.25">
      <c r="A1906" s="247">
        <v>1904</v>
      </c>
      <c r="B1906" s="270"/>
      <c r="C1906" s="270"/>
      <c r="D1906" s="271"/>
      <c r="E1906" s="272"/>
      <c r="F1906" s="272"/>
      <c r="G1906" s="273"/>
      <c r="H1906" s="274"/>
      <c r="I1906" s="274"/>
      <c r="J1906" s="274"/>
      <c r="K1906" s="274"/>
      <c r="L1906" s="274"/>
      <c r="M1906" s="274"/>
      <c r="N1906" s="274"/>
      <c r="O1906" s="274"/>
      <c r="P1906" s="274"/>
      <c r="Q1906" s="274"/>
      <c r="R1906" s="274"/>
      <c r="S1906" s="274"/>
      <c r="T1906" s="274"/>
      <c r="U1906" s="274"/>
      <c r="V1906" s="274"/>
    </row>
    <row r="1907" spans="1:22" x14ac:dyDescent="0.25">
      <c r="A1907" s="247">
        <v>1905</v>
      </c>
      <c r="B1907" s="270"/>
      <c r="C1907" s="270"/>
      <c r="D1907" s="271"/>
      <c r="E1907" s="272"/>
      <c r="F1907" s="272"/>
      <c r="G1907" s="273"/>
      <c r="H1907" s="274"/>
      <c r="I1907" s="274"/>
      <c r="J1907" s="274"/>
      <c r="K1907" s="274"/>
      <c r="L1907" s="274"/>
      <c r="M1907" s="274"/>
      <c r="N1907" s="274"/>
      <c r="O1907" s="274"/>
      <c r="P1907" s="274"/>
      <c r="Q1907" s="274"/>
      <c r="R1907" s="274"/>
      <c r="S1907" s="274"/>
      <c r="T1907" s="274"/>
      <c r="U1907" s="274"/>
      <c r="V1907" s="274"/>
    </row>
    <row r="1908" spans="1:22" x14ac:dyDescent="0.25">
      <c r="A1908" s="247">
        <v>1906</v>
      </c>
      <c r="B1908" s="270"/>
      <c r="C1908" s="270"/>
      <c r="D1908" s="271"/>
      <c r="E1908" s="272"/>
      <c r="F1908" s="272"/>
      <c r="G1908" s="273"/>
      <c r="H1908" s="274"/>
      <c r="I1908" s="274"/>
      <c r="J1908" s="274"/>
      <c r="K1908" s="274"/>
      <c r="L1908" s="274"/>
      <c r="M1908" s="274"/>
      <c r="N1908" s="274"/>
      <c r="O1908" s="274"/>
      <c r="P1908" s="274"/>
      <c r="Q1908" s="274"/>
      <c r="R1908" s="274"/>
      <c r="S1908" s="274"/>
      <c r="T1908" s="274"/>
      <c r="U1908" s="274"/>
      <c r="V1908" s="274"/>
    </row>
    <row r="1909" spans="1:22" x14ac:dyDescent="0.25">
      <c r="A1909" s="247">
        <v>1907</v>
      </c>
      <c r="B1909" s="270"/>
      <c r="C1909" s="270"/>
      <c r="D1909" s="271"/>
      <c r="E1909" s="272"/>
      <c r="F1909" s="272"/>
      <c r="G1909" s="273"/>
      <c r="H1909" s="274"/>
      <c r="I1909" s="274"/>
      <c r="J1909" s="274"/>
      <c r="K1909" s="274"/>
      <c r="L1909" s="274"/>
      <c r="M1909" s="274"/>
      <c r="N1909" s="274"/>
      <c r="O1909" s="274"/>
      <c r="P1909" s="274"/>
      <c r="Q1909" s="274"/>
      <c r="R1909" s="274"/>
      <c r="S1909" s="274"/>
      <c r="T1909" s="274"/>
      <c r="U1909" s="274"/>
      <c r="V1909" s="274"/>
    </row>
    <row r="1910" spans="1:22" x14ac:dyDescent="0.25">
      <c r="A1910" s="247">
        <v>1908</v>
      </c>
      <c r="B1910" s="270"/>
      <c r="C1910" s="270"/>
      <c r="D1910" s="271"/>
      <c r="E1910" s="272"/>
      <c r="F1910" s="272"/>
      <c r="G1910" s="273"/>
      <c r="H1910" s="274"/>
      <c r="I1910" s="274"/>
      <c r="J1910" s="274"/>
      <c r="K1910" s="274"/>
      <c r="L1910" s="274"/>
      <c r="M1910" s="274"/>
      <c r="N1910" s="274"/>
      <c r="O1910" s="274"/>
      <c r="P1910" s="274"/>
      <c r="Q1910" s="274"/>
      <c r="R1910" s="274"/>
      <c r="S1910" s="274"/>
      <c r="T1910" s="274"/>
      <c r="U1910" s="274"/>
      <c r="V1910" s="274"/>
    </row>
    <row r="1911" spans="1:22" x14ac:dyDescent="0.25">
      <c r="A1911" s="247">
        <v>1909</v>
      </c>
      <c r="B1911" s="270"/>
      <c r="C1911" s="270"/>
      <c r="D1911" s="271"/>
      <c r="E1911" s="272"/>
      <c r="F1911" s="272"/>
      <c r="G1911" s="273"/>
      <c r="H1911" s="274"/>
      <c r="I1911" s="274"/>
      <c r="J1911" s="274"/>
      <c r="K1911" s="274"/>
      <c r="L1911" s="274"/>
      <c r="M1911" s="274"/>
      <c r="N1911" s="274"/>
      <c r="O1911" s="274"/>
      <c r="P1911" s="274"/>
      <c r="Q1911" s="274"/>
      <c r="R1911" s="274"/>
      <c r="S1911" s="274"/>
      <c r="T1911" s="274"/>
      <c r="U1911" s="274"/>
      <c r="V1911" s="274"/>
    </row>
    <row r="1912" spans="1:22" x14ac:dyDescent="0.25">
      <c r="A1912" s="247">
        <v>1910</v>
      </c>
      <c r="B1912" s="270"/>
      <c r="C1912" s="270"/>
      <c r="D1912" s="271"/>
      <c r="E1912" s="272"/>
      <c r="F1912" s="272"/>
      <c r="G1912" s="273"/>
      <c r="H1912" s="274"/>
      <c r="I1912" s="274"/>
      <c r="J1912" s="274"/>
      <c r="K1912" s="274"/>
      <c r="L1912" s="274"/>
      <c r="M1912" s="274"/>
      <c r="N1912" s="274"/>
      <c r="O1912" s="274"/>
      <c r="P1912" s="274"/>
      <c r="Q1912" s="274"/>
      <c r="R1912" s="274"/>
      <c r="S1912" s="274"/>
      <c r="T1912" s="274"/>
      <c r="U1912" s="274"/>
      <c r="V1912" s="274"/>
    </row>
    <row r="1913" spans="1:22" x14ac:dyDescent="0.25">
      <c r="A1913" s="247">
        <v>1911</v>
      </c>
      <c r="B1913" s="270"/>
      <c r="C1913" s="270"/>
      <c r="D1913" s="271"/>
      <c r="E1913" s="272"/>
      <c r="F1913" s="272"/>
      <c r="G1913" s="273"/>
      <c r="H1913" s="274"/>
      <c r="I1913" s="274"/>
      <c r="J1913" s="274"/>
      <c r="K1913" s="274"/>
      <c r="L1913" s="274"/>
      <c r="M1913" s="274"/>
      <c r="N1913" s="274"/>
      <c r="O1913" s="274"/>
      <c r="P1913" s="274"/>
      <c r="Q1913" s="274"/>
      <c r="R1913" s="274"/>
      <c r="S1913" s="274"/>
      <c r="T1913" s="274"/>
      <c r="U1913" s="274"/>
      <c r="V1913" s="274"/>
    </row>
    <row r="1914" spans="1:22" x14ac:dyDescent="0.25">
      <c r="A1914" s="247">
        <v>1912</v>
      </c>
      <c r="B1914" s="270"/>
      <c r="C1914" s="270"/>
      <c r="D1914" s="271"/>
      <c r="E1914" s="272"/>
      <c r="F1914" s="272"/>
      <c r="G1914" s="273"/>
      <c r="H1914" s="274"/>
      <c r="I1914" s="274"/>
      <c r="J1914" s="274"/>
      <c r="K1914" s="274"/>
      <c r="L1914" s="274"/>
      <c r="M1914" s="274"/>
      <c r="N1914" s="274"/>
      <c r="O1914" s="274"/>
      <c r="P1914" s="274"/>
      <c r="Q1914" s="274"/>
      <c r="R1914" s="274"/>
      <c r="S1914" s="274"/>
      <c r="T1914" s="274"/>
      <c r="U1914" s="274"/>
      <c r="V1914" s="274"/>
    </row>
    <row r="1915" spans="1:22" x14ac:dyDescent="0.25">
      <c r="A1915" s="247">
        <v>1913</v>
      </c>
      <c r="B1915" s="270"/>
      <c r="C1915" s="270"/>
      <c r="D1915" s="271"/>
      <c r="E1915" s="272"/>
      <c r="F1915" s="272"/>
      <c r="G1915" s="273"/>
      <c r="H1915" s="274"/>
      <c r="I1915" s="274"/>
      <c r="J1915" s="274"/>
      <c r="K1915" s="274"/>
      <c r="L1915" s="274"/>
      <c r="M1915" s="274"/>
      <c r="N1915" s="274"/>
      <c r="O1915" s="274"/>
      <c r="P1915" s="274"/>
      <c r="Q1915" s="274"/>
      <c r="R1915" s="274"/>
      <c r="S1915" s="274"/>
      <c r="T1915" s="274"/>
      <c r="U1915" s="274"/>
      <c r="V1915" s="274"/>
    </row>
    <row r="1916" spans="1:22" x14ac:dyDescent="0.25">
      <c r="A1916" s="247">
        <v>1914</v>
      </c>
      <c r="B1916" s="270"/>
      <c r="C1916" s="270"/>
      <c r="D1916" s="271"/>
      <c r="E1916" s="272"/>
      <c r="F1916" s="272"/>
      <c r="G1916" s="273"/>
      <c r="H1916" s="274"/>
      <c r="I1916" s="274"/>
      <c r="J1916" s="274"/>
      <c r="K1916" s="274"/>
      <c r="L1916" s="274"/>
      <c r="M1916" s="274"/>
      <c r="N1916" s="274"/>
      <c r="O1916" s="274"/>
      <c r="P1916" s="274"/>
      <c r="Q1916" s="274"/>
      <c r="R1916" s="274"/>
      <c r="S1916" s="274"/>
      <c r="T1916" s="274"/>
      <c r="U1916" s="274"/>
      <c r="V1916" s="274"/>
    </row>
    <row r="1917" spans="1:22" x14ac:dyDescent="0.25">
      <c r="A1917" s="247">
        <v>1915</v>
      </c>
      <c r="B1917" s="270"/>
      <c r="C1917" s="270"/>
      <c r="D1917" s="271"/>
      <c r="E1917" s="272"/>
      <c r="F1917" s="272"/>
      <c r="G1917" s="273"/>
      <c r="H1917" s="274"/>
      <c r="I1917" s="274"/>
      <c r="J1917" s="274"/>
      <c r="K1917" s="274"/>
      <c r="L1917" s="274"/>
      <c r="M1917" s="274"/>
      <c r="N1917" s="274"/>
      <c r="O1917" s="274"/>
      <c r="P1917" s="274"/>
      <c r="Q1917" s="274"/>
      <c r="R1917" s="274"/>
      <c r="S1917" s="274"/>
      <c r="T1917" s="274"/>
      <c r="U1917" s="274"/>
      <c r="V1917" s="274"/>
    </row>
    <row r="1918" spans="1:22" x14ac:dyDescent="0.25">
      <c r="A1918" s="247">
        <v>1916</v>
      </c>
      <c r="B1918" s="270"/>
      <c r="C1918" s="270"/>
      <c r="D1918" s="271"/>
      <c r="E1918" s="272"/>
      <c r="F1918" s="272"/>
      <c r="G1918" s="273"/>
      <c r="H1918" s="274"/>
      <c r="I1918" s="274"/>
      <c r="J1918" s="274"/>
      <c r="K1918" s="274"/>
      <c r="L1918" s="274"/>
      <c r="M1918" s="274"/>
      <c r="N1918" s="274"/>
      <c r="O1918" s="274"/>
      <c r="P1918" s="274"/>
      <c r="Q1918" s="274"/>
      <c r="R1918" s="274"/>
      <c r="S1918" s="274"/>
      <c r="T1918" s="274"/>
      <c r="U1918" s="274"/>
      <c r="V1918" s="274"/>
    </row>
    <row r="1919" spans="1:22" x14ac:dyDescent="0.25">
      <c r="A1919" s="247">
        <v>1917</v>
      </c>
      <c r="B1919" s="270"/>
      <c r="C1919" s="270"/>
      <c r="D1919" s="271"/>
      <c r="E1919" s="272"/>
      <c r="F1919" s="272"/>
      <c r="G1919" s="273"/>
      <c r="H1919" s="274"/>
      <c r="I1919" s="274"/>
      <c r="J1919" s="274"/>
      <c r="K1919" s="274"/>
      <c r="L1919" s="274"/>
      <c r="M1919" s="274"/>
      <c r="N1919" s="274"/>
      <c r="O1919" s="274"/>
      <c r="P1919" s="274"/>
      <c r="Q1919" s="274"/>
      <c r="R1919" s="274"/>
      <c r="S1919" s="274"/>
      <c r="T1919" s="274"/>
      <c r="U1919" s="274"/>
      <c r="V1919" s="274"/>
    </row>
    <row r="1920" spans="1:22" x14ac:dyDescent="0.25">
      <c r="A1920" s="247">
        <v>1918</v>
      </c>
      <c r="B1920" s="270"/>
      <c r="C1920" s="270"/>
      <c r="D1920" s="271"/>
      <c r="E1920" s="272"/>
      <c r="F1920" s="272"/>
      <c r="G1920" s="273"/>
      <c r="H1920" s="274"/>
      <c r="I1920" s="274"/>
      <c r="J1920" s="274"/>
      <c r="K1920" s="274"/>
      <c r="L1920" s="274"/>
      <c r="M1920" s="274"/>
      <c r="N1920" s="274"/>
      <c r="O1920" s="274"/>
      <c r="P1920" s="274"/>
      <c r="Q1920" s="274"/>
      <c r="R1920" s="274"/>
      <c r="S1920" s="274"/>
      <c r="T1920" s="274"/>
      <c r="U1920" s="274"/>
      <c r="V1920" s="274"/>
    </row>
    <row r="1921" spans="1:22" x14ac:dyDescent="0.25">
      <c r="A1921" s="247">
        <v>1919</v>
      </c>
      <c r="B1921" s="270"/>
      <c r="C1921" s="270"/>
      <c r="D1921" s="271"/>
      <c r="E1921" s="272"/>
      <c r="F1921" s="272"/>
      <c r="G1921" s="273"/>
      <c r="H1921" s="274"/>
      <c r="I1921" s="274"/>
      <c r="J1921" s="274"/>
      <c r="K1921" s="274"/>
      <c r="L1921" s="274"/>
      <c r="M1921" s="274"/>
      <c r="N1921" s="274"/>
      <c r="O1921" s="274"/>
      <c r="P1921" s="274"/>
      <c r="Q1921" s="274"/>
      <c r="R1921" s="274"/>
      <c r="S1921" s="274"/>
      <c r="T1921" s="274"/>
      <c r="U1921" s="274"/>
      <c r="V1921" s="274"/>
    </row>
    <row r="1922" spans="1:22" x14ac:dyDescent="0.25">
      <c r="A1922" s="247">
        <v>1920</v>
      </c>
      <c r="B1922" s="270"/>
      <c r="C1922" s="270"/>
      <c r="D1922" s="271"/>
      <c r="E1922" s="272"/>
      <c r="F1922" s="272"/>
      <c r="G1922" s="273"/>
      <c r="H1922" s="274"/>
      <c r="I1922" s="274"/>
      <c r="J1922" s="274"/>
      <c r="K1922" s="274"/>
      <c r="L1922" s="274"/>
      <c r="M1922" s="274"/>
      <c r="N1922" s="274"/>
      <c r="O1922" s="274"/>
      <c r="P1922" s="274"/>
      <c r="Q1922" s="274"/>
      <c r="R1922" s="274"/>
      <c r="S1922" s="274"/>
      <c r="T1922" s="274"/>
      <c r="U1922" s="274"/>
      <c r="V1922" s="274"/>
    </row>
    <row r="1923" spans="1:22" x14ac:dyDescent="0.25">
      <c r="A1923" s="247">
        <v>1921</v>
      </c>
      <c r="B1923" s="270"/>
      <c r="C1923" s="270"/>
      <c r="D1923" s="271"/>
      <c r="E1923" s="272"/>
      <c r="F1923" s="272"/>
      <c r="G1923" s="273"/>
      <c r="H1923" s="274"/>
      <c r="I1923" s="274"/>
      <c r="J1923" s="274"/>
      <c r="K1923" s="274"/>
      <c r="L1923" s="274"/>
      <c r="M1923" s="274"/>
      <c r="N1923" s="274"/>
      <c r="O1923" s="274"/>
      <c r="P1923" s="274"/>
      <c r="Q1923" s="274"/>
      <c r="R1923" s="274"/>
      <c r="S1923" s="274"/>
      <c r="T1923" s="274"/>
      <c r="U1923" s="274"/>
      <c r="V1923" s="274"/>
    </row>
    <row r="1924" spans="1:22" x14ac:dyDescent="0.25">
      <c r="A1924" s="247">
        <v>1922</v>
      </c>
      <c r="B1924" s="270"/>
      <c r="C1924" s="270"/>
      <c r="D1924" s="271"/>
      <c r="E1924" s="272"/>
      <c r="F1924" s="272"/>
      <c r="G1924" s="273"/>
      <c r="H1924" s="274"/>
      <c r="I1924" s="274"/>
      <c r="J1924" s="274"/>
      <c r="K1924" s="274"/>
      <c r="L1924" s="274"/>
      <c r="M1924" s="274"/>
      <c r="N1924" s="274"/>
      <c r="O1924" s="274"/>
      <c r="P1924" s="274"/>
      <c r="Q1924" s="274"/>
      <c r="R1924" s="274"/>
      <c r="S1924" s="274"/>
      <c r="T1924" s="274"/>
      <c r="U1924" s="274"/>
      <c r="V1924" s="274"/>
    </row>
    <row r="1925" spans="1:22" x14ac:dyDescent="0.25">
      <c r="A1925" s="247">
        <v>1923</v>
      </c>
      <c r="B1925" s="270"/>
      <c r="C1925" s="270"/>
      <c r="D1925" s="271"/>
      <c r="E1925" s="272"/>
      <c r="F1925" s="272"/>
      <c r="G1925" s="273"/>
      <c r="H1925" s="274"/>
      <c r="I1925" s="274"/>
      <c r="J1925" s="274"/>
      <c r="K1925" s="274"/>
      <c r="L1925" s="274"/>
      <c r="M1925" s="274"/>
      <c r="N1925" s="274"/>
      <c r="O1925" s="274"/>
      <c r="P1925" s="274"/>
      <c r="Q1925" s="274"/>
      <c r="R1925" s="274"/>
      <c r="S1925" s="274"/>
      <c r="T1925" s="274"/>
      <c r="U1925" s="274"/>
      <c r="V1925" s="274"/>
    </row>
    <row r="1926" spans="1:22" x14ac:dyDescent="0.25">
      <c r="A1926" s="247">
        <v>1924</v>
      </c>
      <c r="B1926" s="270"/>
      <c r="C1926" s="270"/>
      <c r="D1926" s="271"/>
      <c r="E1926" s="272"/>
      <c r="F1926" s="272"/>
      <c r="G1926" s="273"/>
      <c r="H1926" s="274"/>
      <c r="I1926" s="274"/>
      <c r="J1926" s="274"/>
      <c r="K1926" s="274"/>
      <c r="L1926" s="274"/>
      <c r="M1926" s="274"/>
      <c r="N1926" s="274"/>
      <c r="O1926" s="274"/>
      <c r="P1926" s="274"/>
      <c r="Q1926" s="274"/>
      <c r="R1926" s="274"/>
      <c r="S1926" s="274"/>
      <c r="T1926" s="274"/>
      <c r="U1926" s="274"/>
      <c r="V1926" s="274"/>
    </row>
    <row r="1927" spans="1:22" x14ac:dyDescent="0.25">
      <c r="A1927" s="247">
        <v>1925</v>
      </c>
      <c r="B1927" s="270"/>
      <c r="C1927" s="270"/>
      <c r="D1927" s="271"/>
      <c r="E1927" s="272"/>
      <c r="F1927" s="272"/>
      <c r="G1927" s="273"/>
      <c r="H1927" s="274"/>
      <c r="I1927" s="274"/>
      <c r="J1927" s="274"/>
      <c r="K1927" s="274"/>
      <c r="L1927" s="274"/>
      <c r="M1927" s="274"/>
      <c r="N1927" s="274"/>
      <c r="O1927" s="274"/>
      <c r="P1927" s="274"/>
      <c r="Q1927" s="274"/>
      <c r="R1927" s="274"/>
      <c r="S1927" s="274"/>
      <c r="T1927" s="274"/>
      <c r="U1927" s="274"/>
      <c r="V1927" s="274"/>
    </row>
    <row r="1928" spans="1:22" x14ac:dyDescent="0.25">
      <c r="A1928" s="247">
        <v>1926</v>
      </c>
      <c r="B1928" s="270"/>
      <c r="C1928" s="270"/>
      <c r="D1928" s="271"/>
      <c r="E1928" s="272"/>
      <c r="F1928" s="272"/>
      <c r="G1928" s="273"/>
      <c r="H1928" s="274"/>
      <c r="I1928" s="274"/>
      <c r="J1928" s="274"/>
      <c r="K1928" s="274"/>
      <c r="L1928" s="274"/>
      <c r="M1928" s="274"/>
      <c r="N1928" s="274"/>
      <c r="O1928" s="274"/>
      <c r="P1928" s="274"/>
      <c r="Q1928" s="274"/>
      <c r="R1928" s="274"/>
      <c r="S1928" s="274"/>
      <c r="T1928" s="274"/>
      <c r="U1928" s="274"/>
      <c r="V1928" s="274"/>
    </row>
    <row r="1929" spans="1:22" x14ac:dyDescent="0.25">
      <c r="A1929" s="247">
        <v>1927</v>
      </c>
      <c r="B1929" s="270"/>
      <c r="C1929" s="270"/>
      <c r="D1929" s="271"/>
      <c r="E1929" s="272"/>
      <c r="F1929" s="272"/>
      <c r="G1929" s="273"/>
      <c r="H1929" s="274"/>
      <c r="I1929" s="274"/>
      <c r="J1929" s="274"/>
      <c r="K1929" s="274"/>
      <c r="L1929" s="274"/>
      <c r="M1929" s="274"/>
      <c r="N1929" s="274"/>
      <c r="O1929" s="274"/>
      <c r="P1929" s="274"/>
      <c r="Q1929" s="274"/>
      <c r="R1929" s="274"/>
      <c r="S1929" s="274"/>
      <c r="T1929" s="274"/>
      <c r="U1929" s="274"/>
      <c r="V1929" s="274"/>
    </row>
    <row r="1930" spans="1:22" x14ac:dyDescent="0.25">
      <c r="A1930" s="247">
        <v>1928</v>
      </c>
      <c r="B1930" s="270"/>
      <c r="C1930" s="270"/>
      <c r="D1930" s="271"/>
      <c r="E1930" s="272"/>
      <c r="F1930" s="272"/>
      <c r="G1930" s="273"/>
      <c r="H1930" s="274"/>
      <c r="I1930" s="274"/>
      <c r="J1930" s="274"/>
      <c r="K1930" s="274"/>
      <c r="L1930" s="274"/>
      <c r="M1930" s="274"/>
      <c r="N1930" s="274"/>
      <c r="O1930" s="274"/>
      <c r="P1930" s="274"/>
      <c r="Q1930" s="274"/>
      <c r="R1930" s="274"/>
      <c r="S1930" s="274"/>
      <c r="T1930" s="274"/>
      <c r="U1930" s="274"/>
      <c r="V1930" s="274"/>
    </row>
    <row r="1931" spans="1:22" x14ac:dyDescent="0.25">
      <c r="A1931" s="247">
        <v>1929</v>
      </c>
      <c r="B1931" s="270"/>
      <c r="C1931" s="270"/>
      <c r="D1931" s="271"/>
      <c r="E1931" s="272"/>
      <c r="F1931" s="272"/>
      <c r="G1931" s="273"/>
      <c r="H1931" s="274"/>
      <c r="I1931" s="274"/>
      <c r="J1931" s="274"/>
      <c r="K1931" s="274"/>
      <c r="L1931" s="274"/>
      <c r="M1931" s="274"/>
      <c r="N1931" s="274"/>
      <c r="O1931" s="274"/>
      <c r="P1931" s="274"/>
      <c r="Q1931" s="274"/>
      <c r="R1931" s="274"/>
      <c r="S1931" s="274"/>
      <c r="T1931" s="274"/>
      <c r="U1931" s="274"/>
      <c r="V1931" s="274"/>
    </row>
    <row r="1932" spans="1:22" x14ac:dyDescent="0.25">
      <c r="A1932" s="247">
        <v>1930</v>
      </c>
      <c r="B1932" s="270"/>
      <c r="C1932" s="270"/>
      <c r="D1932" s="271"/>
      <c r="E1932" s="272"/>
      <c r="F1932" s="272"/>
      <c r="G1932" s="273"/>
      <c r="H1932" s="274"/>
      <c r="I1932" s="274"/>
      <c r="J1932" s="274"/>
      <c r="K1932" s="274"/>
      <c r="L1932" s="274"/>
      <c r="M1932" s="274"/>
      <c r="N1932" s="274"/>
      <c r="O1932" s="274"/>
      <c r="P1932" s="274"/>
      <c r="Q1932" s="274"/>
      <c r="R1932" s="274"/>
      <c r="S1932" s="274"/>
      <c r="T1932" s="274"/>
      <c r="U1932" s="274"/>
      <c r="V1932" s="274"/>
    </row>
    <row r="1933" spans="1:22" x14ac:dyDescent="0.25">
      <c r="A1933" s="247">
        <v>1931</v>
      </c>
      <c r="B1933" s="270"/>
      <c r="C1933" s="270"/>
      <c r="D1933" s="271"/>
      <c r="E1933" s="272"/>
      <c r="F1933" s="272"/>
      <c r="G1933" s="273"/>
      <c r="H1933" s="274"/>
      <c r="I1933" s="274"/>
      <c r="J1933" s="274"/>
      <c r="K1933" s="274"/>
      <c r="L1933" s="274"/>
      <c r="M1933" s="274"/>
      <c r="N1933" s="274"/>
      <c r="O1933" s="274"/>
      <c r="P1933" s="274"/>
      <c r="Q1933" s="274"/>
      <c r="R1933" s="274"/>
      <c r="S1933" s="274"/>
      <c r="T1933" s="274"/>
      <c r="U1933" s="274"/>
      <c r="V1933" s="274"/>
    </row>
    <row r="1934" spans="1:22" x14ac:dyDescent="0.25">
      <c r="A1934" s="247">
        <v>1932</v>
      </c>
      <c r="B1934" s="270"/>
      <c r="C1934" s="270"/>
      <c r="D1934" s="271"/>
      <c r="E1934" s="272"/>
      <c r="F1934" s="272"/>
      <c r="G1934" s="273"/>
      <c r="H1934" s="274"/>
      <c r="I1934" s="274"/>
      <c r="J1934" s="274"/>
      <c r="K1934" s="274"/>
      <c r="L1934" s="274"/>
      <c r="M1934" s="274"/>
      <c r="N1934" s="274"/>
      <c r="O1934" s="274"/>
      <c r="P1934" s="274"/>
      <c r="Q1934" s="274"/>
      <c r="R1934" s="274"/>
      <c r="S1934" s="274"/>
      <c r="T1934" s="274"/>
      <c r="U1934" s="274"/>
      <c r="V1934" s="274"/>
    </row>
    <row r="1935" spans="1:22" x14ac:dyDescent="0.25">
      <c r="A1935" s="247">
        <v>1933</v>
      </c>
      <c r="B1935" s="270"/>
      <c r="C1935" s="270"/>
      <c r="D1935" s="271"/>
      <c r="E1935" s="272"/>
      <c r="F1935" s="272"/>
      <c r="G1935" s="273"/>
      <c r="H1935" s="274"/>
      <c r="I1935" s="274"/>
      <c r="J1935" s="274"/>
      <c r="K1935" s="274"/>
      <c r="L1935" s="274"/>
      <c r="M1935" s="274"/>
      <c r="N1935" s="274"/>
      <c r="O1935" s="274"/>
      <c r="P1935" s="274"/>
      <c r="Q1935" s="274"/>
      <c r="R1935" s="274"/>
      <c r="S1935" s="274"/>
      <c r="T1935" s="274"/>
      <c r="U1935" s="274"/>
      <c r="V1935" s="274"/>
    </row>
    <row r="1936" spans="1:22" x14ac:dyDescent="0.25">
      <c r="A1936" s="247">
        <v>1934</v>
      </c>
      <c r="B1936" s="270"/>
      <c r="C1936" s="270"/>
      <c r="D1936" s="271"/>
      <c r="E1936" s="272"/>
      <c r="F1936" s="272"/>
      <c r="G1936" s="273"/>
      <c r="H1936" s="274"/>
      <c r="I1936" s="274"/>
      <c r="J1936" s="274"/>
      <c r="K1936" s="274"/>
      <c r="L1936" s="274"/>
      <c r="M1936" s="274"/>
      <c r="N1936" s="274"/>
      <c r="O1936" s="274"/>
      <c r="P1936" s="274"/>
      <c r="Q1936" s="274"/>
      <c r="R1936" s="274"/>
      <c r="S1936" s="274"/>
      <c r="T1936" s="274"/>
      <c r="U1936" s="274"/>
      <c r="V1936" s="274"/>
    </row>
    <row r="1937" spans="1:22" x14ac:dyDescent="0.25">
      <c r="A1937" s="247">
        <v>1935</v>
      </c>
      <c r="B1937" s="270"/>
      <c r="C1937" s="270"/>
      <c r="D1937" s="271"/>
      <c r="E1937" s="272"/>
      <c r="F1937" s="272"/>
      <c r="G1937" s="273"/>
      <c r="H1937" s="274"/>
      <c r="I1937" s="274"/>
      <c r="J1937" s="274"/>
      <c r="K1937" s="274"/>
      <c r="L1937" s="274"/>
      <c r="M1937" s="274"/>
      <c r="N1937" s="274"/>
      <c r="O1937" s="274"/>
      <c r="P1937" s="274"/>
      <c r="Q1937" s="274"/>
      <c r="R1937" s="274"/>
      <c r="S1937" s="274"/>
      <c r="T1937" s="274"/>
      <c r="U1937" s="274"/>
      <c r="V1937" s="274"/>
    </row>
    <row r="1938" spans="1:22" x14ac:dyDescent="0.25">
      <c r="A1938" s="247">
        <v>1936</v>
      </c>
      <c r="B1938" s="270"/>
      <c r="C1938" s="270"/>
      <c r="D1938" s="271"/>
      <c r="E1938" s="272"/>
      <c r="F1938" s="272"/>
      <c r="G1938" s="273"/>
      <c r="H1938" s="274"/>
      <c r="I1938" s="274"/>
      <c r="J1938" s="274"/>
      <c r="K1938" s="274"/>
      <c r="L1938" s="274"/>
      <c r="M1938" s="274"/>
      <c r="N1938" s="274"/>
      <c r="O1938" s="274"/>
      <c r="P1938" s="274"/>
      <c r="Q1938" s="274"/>
      <c r="R1938" s="274"/>
      <c r="S1938" s="274"/>
      <c r="T1938" s="274"/>
      <c r="U1938" s="274"/>
      <c r="V1938" s="274"/>
    </row>
    <row r="1939" spans="1:22" x14ac:dyDescent="0.25">
      <c r="A1939" s="247">
        <v>1937</v>
      </c>
      <c r="B1939" s="270"/>
      <c r="C1939" s="270"/>
      <c r="D1939" s="271"/>
      <c r="E1939" s="272"/>
      <c r="F1939" s="272"/>
      <c r="G1939" s="273"/>
      <c r="H1939" s="274"/>
      <c r="I1939" s="274"/>
      <c r="J1939" s="274"/>
      <c r="K1939" s="274"/>
      <c r="L1939" s="274"/>
      <c r="M1939" s="274"/>
      <c r="N1939" s="274"/>
      <c r="O1939" s="274"/>
      <c r="P1939" s="274"/>
      <c r="Q1939" s="274"/>
      <c r="R1939" s="274"/>
      <c r="S1939" s="274"/>
      <c r="T1939" s="274"/>
      <c r="U1939" s="274"/>
      <c r="V1939" s="274"/>
    </row>
    <row r="1940" spans="1:22" x14ac:dyDescent="0.25">
      <c r="A1940" s="247">
        <v>1938</v>
      </c>
      <c r="B1940" s="270"/>
      <c r="C1940" s="270"/>
      <c r="D1940" s="271"/>
      <c r="E1940" s="272"/>
      <c r="F1940" s="272"/>
      <c r="G1940" s="273"/>
      <c r="H1940" s="274"/>
      <c r="I1940" s="274"/>
      <c r="J1940" s="274"/>
      <c r="K1940" s="274"/>
      <c r="L1940" s="274"/>
      <c r="M1940" s="274"/>
      <c r="N1940" s="274"/>
      <c r="O1940" s="274"/>
      <c r="P1940" s="274"/>
      <c r="Q1940" s="274"/>
      <c r="R1940" s="274"/>
      <c r="S1940" s="274"/>
      <c r="T1940" s="274"/>
      <c r="U1940" s="274"/>
      <c r="V1940" s="274"/>
    </row>
    <row r="1941" spans="1:22" x14ac:dyDescent="0.25">
      <c r="A1941" s="247">
        <v>1939</v>
      </c>
      <c r="B1941" s="270"/>
      <c r="C1941" s="270"/>
      <c r="D1941" s="271"/>
      <c r="E1941" s="272"/>
      <c r="F1941" s="272"/>
      <c r="G1941" s="273"/>
      <c r="H1941" s="274"/>
      <c r="I1941" s="274"/>
      <c r="J1941" s="274"/>
      <c r="K1941" s="274"/>
      <c r="L1941" s="274"/>
      <c r="M1941" s="274"/>
      <c r="N1941" s="274"/>
      <c r="O1941" s="274"/>
      <c r="P1941" s="274"/>
      <c r="Q1941" s="274"/>
      <c r="R1941" s="274"/>
      <c r="S1941" s="274"/>
      <c r="T1941" s="274"/>
      <c r="U1941" s="274"/>
      <c r="V1941" s="274"/>
    </row>
    <row r="1942" spans="1:22" x14ac:dyDescent="0.25">
      <c r="A1942" s="247">
        <v>1940</v>
      </c>
      <c r="B1942" s="270"/>
      <c r="C1942" s="270"/>
      <c r="D1942" s="271"/>
      <c r="E1942" s="272"/>
      <c r="F1942" s="272"/>
      <c r="G1942" s="273"/>
      <c r="H1942" s="274"/>
      <c r="I1942" s="274"/>
      <c r="J1942" s="274"/>
      <c r="K1942" s="274"/>
      <c r="L1942" s="274"/>
      <c r="M1942" s="274"/>
      <c r="N1942" s="274"/>
      <c r="O1942" s="274"/>
      <c r="P1942" s="274"/>
      <c r="Q1942" s="274"/>
      <c r="R1942" s="274"/>
      <c r="S1942" s="274"/>
      <c r="T1942" s="274"/>
      <c r="U1942" s="274"/>
      <c r="V1942" s="274"/>
    </row>
    <row r="1943" spans="1:22" x14ac:dyDescent="0.25">
      <c r="A1943" s="247">
        <v>1941</v>
      </c>
      <c r="B1943" s="270"/>
      <c r="C1943" s="270"/>
      <c r="D1943" s="271"/>
      <c r="E1943" s="272"/>
      <c r="F1943" s="272"/>
      <c r="G1943" s="273"/>
      <c r="H1943" s="274"/>
      <c r="I1943" s="274"/>
      <c r="J1943" s="274"/>
      <c r="K1943" s="274"/>
      <c r="L1943" s="274"/>
      <c r="M1943" s="274"/>
      <c r="N1943" s="274"/>
      <c r="O1943" s="274"/>
      <c r="P1943" s="274"/>
      <c r="Q1943" s="274"/>
      <c r="R1943" s="274"/>
      <c r="S1943" s="274"/>
      <c r="T1943" s="274"/>
      <c r="U1943" s="274"/>
      <c r="V1943" s="274"/>
    </row>
    <row r="1944" spans="1:22" x14ac:dyDescent="0.25">
      <c r="A1944" s="247">
        <v>1942</v>
      </c>
      <c r="B1944" s="270"/>
      <c r="C1944" s="270"/>
      <c r="D1944" s="271"/>
      <c r="E1944" s="272"/>
      <c r="F1944" s="272"/>
      <c r="G1944" s="273"/>
      <c r="H1944" s="274"/>
      <c r="I1944" s="274"/>
      <c r="J1944" s="274"/>
      <c r="K1944" s="274"/>
      <c r="L1944" s="274"/>
      <c r="M1944" s="274"/>
      <c r="N1944" s="274"/>
      <c r="O1944" s="274"/>
      <c r="P1944" s="274"/>
      <c r="Q1944" s="274"/>
      <c r="R1944" s="274"/>
      <c r="S1944" s="274"/>
      <c r="T1944" s="274"/>
      <c r="U1944" s="274"/>
      <c r="V1944" s="274"/>
    </row>
    <row r="1945" spans="1:22" x14ac:dyDescent="0.25">
      <c r="A1945" s="247">
        <v>1943</v>
      </c>
      <c r="B1945" s="270"/>
      <c r="C1945" s="270"/>
      <c r="D1945" s="271"/>
      <c r="E1945" s="272"/>
      <c r="F1945" s="272"/>
      <c r="G1945" s="273"/>
      <c r="H1945" s="274"/>
      <c r="I1945" s="274"/>
      <c r="J1945" s="274"/>
      <c r="K1945" s="274"/>
      <c r="L1945" s="274"/>
      <c r="M1945" s="274"/>
      <c r="N1945" s="274"/>
      <c r="O1945" s="274"/>
      <c r="P1945" s="274"/>
      <c r="Q1945" s="274"/>
      <c r="R1945" s="274"/>
      <c r="S1945" s="274"/>
      <c r="T1945" s="274"/>
      <c r="U1945" s="274"/>
      <c r="V1945" s="274"/>
    </row>
    <row r="1946" spans="1:22" x14ac:dyDescent="0.25">
      <c r="A1946" s="247">
        <v>1944</v>
      </c>
      <c r="B1946" s="270"/>
      <c r="C1946" s="270"/>
      <c r="D1946" s="271"/>
      <c r="E1946" s="272"/>
      <c r="F1946" s="272"/>
      <c r="G1946" s="273"/>
      <c r="H1946" s="274"/>
      <c r="I1946" s="274"/>
      <c r="J1946" s="274"/>
      <c r="K1946" s="274"/>
      <c r="L1946" s="274"/>
      <c r="M1946" s="274"/>
      <c r="N1946" s="274"/>
      <c r="O1946" s="274"/>
      <c r="P1946" s="274"/>
      <c r="Q1946" s="274"/>
      <c r="R1946" s="274"/>
      <c r="S1946" s="274"/>
      <c r="T1946" s="274"/>
      <c r="U1946" s="274"/>
      <c r="V1946" s="274"/>
    </row>
    <row r="1947" spans="1:22" x14ac:dyDescent="0.25">
      <c r="A1947" s="247">
        <v>1945</v>
      </c>
      <c r="B1947" s="270"/>
      <c r="C1947" s="270"/>
      <c r="D1947" s="271"/>
      <c r="E1947" s="272"/>
      <c r="F1947" s="272"/>
      <c r="G1947" s="273"/>
      <c r="H1947" s="274"/>
      <c r="I1947" s="274"/>
      <c r="J1947" s="274"/>
      <c r="K1947" s="274"/>
      <c r="L1947" s="274"/>
      <c r="M1947" s="274"/>
      <c r="N1947" s="274"/>
      <c r="O1947" s="274"/>
      <c r="P1947" s="274"/>
      <c r="Q1947" s="274"/>
      <c r="R1947" s="274"/>
      <c r="S1947" s="274"/>
      <c r="T1947" s="274"/>
      <c r="U1947" s="274"/>
      <c r="V1947" s="274"/>
    </row>
    <row r="1948" spans="1:22" x14ac:dyDescent="0.25">
      <c r="A1948" s="247">
        <v>1946</v>
      </c>
      <c r="B1948" s="270"/>
      <c r="C1948" s="270"/>
      <c r="D1948" s="271"/>
      <c r="E1948" s="272"/>
      <c r="F1948" s="272"/>
      <c r="G1948" s="273"/>
      <c r="H1948" s="274"/>
      <c r="I1948" s="274"/>
      <c r="J1948" s="274"/>
      <c r="K1948" s="274"/>
      <c r="L1948" s="274"/>
      <c r="M1948" s="274"/>
      <c r="N1948" s="274"/>
      <c r="O1948" s="274"/>
      <c r="P1948" s="274"/>
      <c r="Q1948" s="274"/>
      <c r="R1948" s="274"/>
      <c r="S1948" s="274"/>
      <c r="T1948" s="274"/>
      <c r="U1948" s="274"/>
      <c r="V1948" s="274"/>
    </row>
    <row r="1949" spans="1:22" x14ac:dyDescent="0.25">
      <c r="A1949" s="247">
        <v>1947</v>
      </c>
      <c r="B1949" s="270"/>
      <c r="C1949" s="270"/>
      <c r="D1949" s="271"/>
      <c r="E1949" s="272"/>
      <c r="F1949" s="272"/>
      <c r="G1949" s="273"/>
      <c r="H1949" s="274"/>
      <c r="I1949" s="274"/>
      <c r="J1949" s="274"/>
      <c r="K1949" s="274"/>
      <c r="L1949" s="274"/>
      <c r="M1949" s="274"/>
      <c r="N1949" s="274"/>
      <c r="O1949" s="274"/>
      <c r="P1949" s="274"/>
      <c r="Q1949" s="274"/>
      <c r="R1949" s="274"/>
      <c r="S1949" s="274"/>
      <c r="T1949" s="274"/>
      <c r="U1949" s="274"/>
      <c r="V1949" s="274"/>
    </row>
    <row r="1950" spans="1:22" x14ac:dyDescent="0.25">
      <c r="A1950" s="247">
        <v>1948</v>
      </c>
      <c r="B1950" s="270"/>
      <c r="C1950" s="270"/>
      <c r="D1950" s="271"/>
      <c r="E1950" s="272"/>
      <c r="F1950" s="272"/>
      <c r="G1950" s="273"/>
      <c r="H1950" s="274"/>
      <c r="I1950" s="274"/>
      <c r="J1950" s="274"/>
      <c r="K1950" s="274"/>
      <c r="L1950" s="274"/>
      <c r="M1950" s="274"/>
      <c r="N1950" s="274"/>
      <c r="O1950" s="274"/>
      <c r="P1950" s="274"/>
      <c r="Q1950" s="274"/>
      <c r="R1950" s="274"/>
      <c r="S1950" s="274"/>
      <c r="T1950" s="274"/>
      <c r="U1950" s="274"/>
      <c r="V1950" s="274"/>
    </row>
    <row r="1951" spans="1:22" x14ac:dyDescent="0.25">
      <c r="A1951" s="247">
        <v>1949</v>
      </c>
      <c r="B1951" s="270"/>
      <c r="C1951" s="270"/>
      <c r="D1951" s="271"/>
      <c r="E1951" s="272"/>
      <c r="F1951" s="272"/>
      <c r="G1951" s="273"/>
      <c r="H1951" s="274"/>
      <c r="I1951" s="274"/>
      <c r="J1951" s="274"/>
      <c r="K1951" s="274"/>
      <c r="L1951" s="274"/>
      <c r="M1951" s="274"/>
      <c r="N1951" s="274"/>
      <c r="O1951" s="274"/>
      <c r="P1951" s="274"/>
      <c r="Q1951" s="274"/>
      <c r="R1951" s="274"/>
      <c r="S1951" s="274"/>
      <c r="T1951" s="274"/>
      <c r="U1951" s="274"/>
      <c r="V1951" s="274"/>
    </row>
    <row r="1952" spans="1:22" x14ac:dyDescent="0.25">
      <c r="A1952" s="247">
        <v>1950</v>
      </c>
      <c r="B1952" s="270"/>
      <c r="C1952" s="270"/>
      <c r="D1952" s="271"/>
      <c r="E1952" s="272"/>
      <c r="F1952" s="272"/>
      <c r="G1952" s="273"/>
      <c r="H1952" s="274"/>
      <c r="I1952" s="274"/>
      <c r="J1952" s="274"/>
      <c r="K1952" s="274"/>
      <c r="L1952" s="274"/>
      <c r="M1952" s="274"/>
      <c r="N1952" s="274"/>
      <c r="O1952" s="274"/>
      <c r="P1952" s="274"/>
      <c r="Q1952" s="274"/>
      <c r="R1952" s="274"/>
      <c r="S1952" s="274"/>
      <c r="T1952" s="274"/>
      <c r="U1952" s="274"/>
      <c r="V1952" s="274"/>
    </row>
    <row r="1953" spans="1:22" x14ac:dyDescent="0.25">
      <c r="A1953" s="247">
        <v>1951</v>
      </c>
      <c r="B1953" s="270"/>
      <c r="C1953" s="270"/>
      <c r="D1953" s="271"/>
      <c r="E1953" s="272"/>
      <c r="F1953" s="272"/>
      <c r="G1953" s="273"/>
      <c r="H1953" s="274"/>
      <c r="I1953" s="274"/>
      <c r="J1953" s="274"/>
      <c r="K1953" s="274"/>
      <c r="L1953" s="274"/>
      <c r="M1953" s="274"/>
      <c r="N1953" s="274"/>
      <c r="O1953" s="274"/>
      <c r="P1953" s="274"/>
      <c r="Q1953" s="274"/>
      <c r="R1953" s="274"/>
      <c r="S1953" s="274"/>
      <c r="T1953" s="274"/>
      <c r="U1953" s="274"/>
      <c r="V1953" s="274"/>
    </row>
    <row r="1954" spans="1:22" x14ac:dyDescent="0.25">
      <c r="A1954" s="247">
        <v>1952</v>
      </c>
      <c r="B1954" s="270"/>
      <c r="C1954" s="270"/>
      <c r="D1954" s="271"/>
      <c r="E1954" s="272"/>
      <c r="F1954" s="272"/>
      <c r="G1954" s="273"/>
      <c r="H1954" s="274"/>
      <c r="I1954" s="274"/>
      <c r="J1954" s="274"/>
      <c r="K1954" s="274"/>
      <c r="L1954" s="274"/>
      <c r="M1954" s="274"/>
      <c r="N1954" s="274"/>
      <c r="O1954" s="274"/>
      <c r="P1954" s="274"/>
      <c r="Q1954" s="274"/>
      <c r="R1954" s="274"/>
      <c r="S1954" s="274"/>
      <c r="T1954" s="274"/>
      <c r="U1954" s="274"/>
      <c r="V1954" s="274"/>
    </row>
    <row r="1955" spans="1:22" x14ac:dyDescent="0.25">
      <c r="A1955" s="247">
        <v>1953</v>
      </c>
      <c r="B1955" s="270"/>
      <c r="C1955" s="270"/>
      <c r="D1955" s="271"/>
      <c r="E1955" s="272"/>
      <c r="F1955" s="272"/>
      <c r="G1955" s="273"/>
      <c r="H1955" s="274"/>
      <c r="I1955" s="274"/>
      <c r="J1955" s="274"/>
      <c r="K1955" s="274"/>
      <c r="L1955" s="274"/>
      <c r="M1955" s="274"/>
      <c r="N1955" s="274"/>
      <c r="O1955" s="274"/>
      <c r="P1955" s="274"/>
      <c r="Q1955" s="274"/>
      <c r="R1955" s="274"/>
      <c r="S1955" s="274"/>
      <c r="T1955" s="274"/>
      <c r="U1955" s="274"/>
      <c r="V1955" s="274"/>
    </row>
    <row r="1956" spans="1:22" x14ac:dyDescent="0.25">
      <c r="A1956" s="247">
        <v>1954</v>
      </c>
      <c r="B1956" s="270"/>
      <c r="C1956" s="270"/>
      <c r="D1956" s="271"/>
      <c r="E1956" s="272"/>
      <c r="F1956" s="272"/>
      <c r="G1956" s="273"/>
      <c r="H1956" s="274"/>
      <c r="I1956" s="274"/>
      <c r="J1956" s="274"/>
      <c r="K1956" s="274"/>
      <c r="L1956" s="274"/>
      <c r="M1956" s="274"/>
      <c r="N1956" s="274"/>
      <c r="O1956" s="274"/>
      <c r="P1956" s="274"/>
      <c r="Q1956" s="274"/>
      <c r="R1956" s="274"/>
      <c r="S1956" s="274"/>
      <c r="T1956" s="274"/>
      <c r="U1956" s="274"/>
      <c r="V1956" s="274"/>
    </row>
    <row r="1957" spans="1:22" x14ac:dyDescent="0.25">
      <c r="A1957" s="247">
        <v>1955</v>
      </c>
      <c r="B1957" s="270"/>
      <c r="C1957" s="270"/>
      <c r="D1957" s="271"/>
      <c r="E1957" s="272"/>
      <c r="F1957" s="272"/>
      <c r="G1957" s="273"/>
      <c r="H1957" s="274"/>
      <c r="I1957" s="274"/>
      <c r="J1957" s="274"/>
      <c r="K1957" s="274"/>
      <c r="L1957" s="274"/>
      <c r="M1957" s="274"/>
      <c r="N1957" s="274"/>
      <c r="O1957" s="274"/>
      <c r="P1957" s="274"/>
      <c r="Q1957" s="274"/>
      <c r="R1957" s="274"/>
      <c r="S1957" s="274"/>
      <c r="T1957" s="274"/>
      <c r="U1957" s="274"/>
      <c r="V1957" s="274"/>
    </row>
    <row r="1958" spans="1:22" x14ac:dyDescent="0.25">
      <c r="A1958" s="247">
        <v>1956</v>
      </c>
      <c r="B1958" s="270"/>
      <c r="C1958" s="270"/>
      <c r="D1958" s="271"/>
      <c r="E1958" s="272"/>
      <c r="F1958" s="272"/>
      <c r="G1958" s="273"/>
      <c r="H1958" s="274"/>
      <c r="I1958" s="274"/>
      <c r="J1958" s="274"/>
      <c r="K1958" s="274"/>
      <c r="L1958" s="274"/>
      <c r="M1958" s="274"/>
      <c r="N1958" s="274"/>
      <c r="O1958" s="274"/>
      <c r="P1958" s="274"/>
      <c r="Q1958" s="274"/>
      <c r="R1958" s="274"/>
      <c r="S1958" s="274"/>
      <c r="T1958" s="274"/>
      <c r="U1958" s="274"/>
      <c r="V1958" s="274"/>
    </row>
    <row r="1959" spans="1:22" x14ac:dyDescent="0.25">
      <c r="A1959" s="247">
        <v>1957</v>
      </c>
      <c r="B1959" s="270"/>
      <c r="C1959" s="270"/>
      <c r="D1959" s="271"/>
      <c r="E1959" s="272"/>
      <c r="F1959" s="272"/>
      <c r="G1959" s="273"/>
      <c r="H1959" s="274"/>
      <c r="I1959" s="274"/>
      <c r="J1959" s="274"/>
      <c r="K1959" s="274"/>
      <c r="L1959" s="274"/>
      <c r="M1959" s="274"/>
      <c r="N1959" s="274"/>
      <c r="O1959" s="274"/>
      <c r="P1959" s="274"/>
      <c r="Q1959" s="274"/>
      <c r="R1959" s="274"/>
      <c r="S1959" s="274"/>
      <c r="T1959" s="274"/>
      <c r="U1959" s="274"/>
      <c r="V1959" s="274"/>
    </row>
    <row r="1960" spans="1:22" x14ac:dyDescent="0.25">
      <c r="A1960" s="247">
        <v>1958</v>
      </c>
      <c r="B1960" s="270"/>
      <c r="C1960" s="270"/>
      <c r="D1960" s="271"/>
      <c r="E1960" s="272"/>
      <c r="F1960" s="272"/>
      <c r="G1960" s="273"/>
      <c r="H1960" s="274"/>
      <c r="I1960" s="274"/>
      <c r="J1960" s="274"/>
      <c r="K1960" s="274"/>
      <c r="L1960" s="274"/>
      <c r="M1960" s="274"/>
      <c r="N1960" s="274"/>
      <c r="O1960" s="274"/>
      <c r="P1960" s="274"/>
      <c r="Q1960" s="274"/>
      <c r="R1960" s="274"/>
      <c r="S1960" s="274"/>
      <c r="T1960" s="274"/>
      <c r="U1960" s="274"/>
      <c r="V1960" s="274"/>
    </row>
    <row r="1961" spans="1:22" x14ac:dyDescent="0.25">
      <c r="A1961" s="247">
        <v>1959</v>
      </c>
      <c r="B1961" s="270"/>
      <c r="C1961" s="270"/>
      <c r="D1961" s="271"/>
      <c r="E1961" s="272"/>
      <c r="F1961" s="272"/>
      <c r="G1961" s="273"/>
      <c r="H1961" s="274"/>
      <c r="I1961" s="274"/>
      <c r="J1961" s="274"/>
      <c r="K1961" s="274"/>
      <c r="L1961" s="274"/>
      <c r="M1961" s="274"/>
      <c r="N1961" s="274"/>
      <c r="O1961" s="274"/>
      <c r="P1961" s="274"/>
      <c r="Q1961" s="274"/>
      <c r="R1961" s="274"/>
      <c r="S1961" s="274"/>
      <c r="T1961" s="274"/>
      <c r="U1961" s="274"/>
      <c r="V1961" s="274"/>
    </row>
    <row r="1962" spans="1:22" x14ac:dyDescent="0.25">
      <c r="A1962" s="247">
        <v>1960</v>
      </c>
      <c r="B1962" s="270"/>
      <c r="C1962" s="270"/>
      <c r="D1962" s="271"/>
      <c r="E1962" s="272"/>
      <c r="F1962" s="272"/>
      <c r="G1962" s="273"/>
      <c r="H1962" s="274"/>
      <c r="I1962" s="274"/>
      <c r="J1962" s="274"/>
      <c r="K1962" s="274"/>
      <c r="L1962" s="274"/>
      <c r="M1962" s="274"/>
      <c r="N1962" s="274"/>
      <c r="O1962" s="274"/>
      <c r="P1962" s="274"/>
      <c r="Q1962" s="274"/>
      <c r="R1962" s="274"/>
      <c r="S1962" s="274"/>
      <c r="T1962" s="274"/>
      <c r="U1962" s="274"/>
      <c r="V1962" s="274"/>
    </row>
    <row r="1963" spans="1:22" x14ac:dyDescent="0.25">
      <c r="A1963" s="247">
        <v>1961</v>
      </c>
      <c r="B1963" s="270"/>
      <c r="C1963" s="270"/>
      <c r="D1963" s="271"/>
      <c r="E1963" s="272"/>
      <c r="F1963" s="272"/>
      <c r="G1963" s="273"/>
      <c r="H1963" s="274"/>
      <c r="I1963" s="274"/>
      <c r="J1963" s="274"/>
      <c r="K1963" s="274"/>
      <c r="L1963" s="274"/>
      <c r="M1963" s="274"/>
      <c r="N1963" s="274"/>
      <c r="O1963" s="274"/>
      <c r="P1963" s="274"/>
      <c r="Q1963" s="274"/>
      <c r="R1963" s="274"/>
      <c r="S1963" s="274"/>
      <c r="T1963" s="274"/>
      <c r="U1963" s="274"/>
      <c r="V1963" s="274"/>
    </row>
    <row r="1964" spans="1:22" x14ac:dyDescent="0.25">
      <c r="A1964" s="247">
        <v>1962</v>
      </c>
      <c r="B1964" s="270"/>
      <c r="C1964" s="270"/>
      <c r="D1964" s="271"/>
      <c r="E1964" s="272"/>
      <c r="F1964" s="272"/>
      <c r="G1964" s="273"/>
      <c r="H1964" s="274"/>
      <c r="I1964" s="274"/>
      <c r="J1964" s="274"/>
      <c r="K1964" s="274"/>
      <c r="L1964" s="274"/>
      <c r="M1964" s="274"/>
      <c r="N1964" s="274"/>
      <c r="O1964" s="274"/>
      <c r="P1964" s="274"/>
      <c r="Q1964" s="274"/>
      <c r="R1964" s="274"/>
      <c r="S1964" s="274"/>
      <c r="T1964" s="274"/>
      <c r="U1964" s="274"/>
      <c r="V1964" s="274"/>
    </row>
    <row r="1965" spans="1:22" x14ac:dyDescent="0.25">
      <c r="A1965" s="247">
        <v>1963</v>
      </c>
      <c r="B1965" s="270"/>
      <c r="C1965" s="270"/>
      <c r="D1965" s="271"/>
      <c r="E1965" s="272"/>
      <c r="F1965" s="272"/>
      <c r="G1965" s="273"/>
      <c r="H1965" s="274"/>
      <c r="I1965" s="274"/>
      <c r="J1965" s="274"/>
      <c r="K1965" s="274"/>
      <c r="L1965" s="274"/>
      <c r="M1965" s="274"/>
      <c r="N1965" s="274"/>
      <c r="O1965" s="274"/>
      <c r="P1965" s="274"/>
      <c r="Q1965" s="274"/>
      <c r="R1965" s="274"/>
      <c r="S1965" s="274"/>
      <c r="T1965" s="274"/>
      <c r="U1965" s="274"/>
      <c r="V1965" s="274"/>
    </row>
    <row r="1966" spans="1:22" x14ac:dyDescent="0.25">
      <c r="A1966" s="247">
        <v>1964</v>
      </c>
      <c r="B1966" s="270"/>
      <c r="C1966" s="270"/>
      <c r="D1966" s="271"/>
      <c r="E1966" s="272"/>
      <c r="F1966" s="272"/>
      <c r="G1966" s="273"/>
      <c r="H1966" s="274"/>
      <c r="I1966" s="274"/>
      <c r="J1966" s="274"/>
      <c r="K1966" s="274"/>
      <c r="L1966" s="274"/>
      <c r="M1966" s="274"/>
      <c r="N1966" s="274"/>
      <c r="O1966" s="274"/>
      <c r="P1966" s="274"/>
      <c r="Q1966" s="274"/>
      <c r="R1966" s="274"/>
      <c r="S1966" s="274"/>
      <c r="T1966" s="274"/>
      <c r="U1966" s="274"/>
      <c r="V1966" s="274"/>
    </row>
    <row r="1967" spans="1:22" x14ac:dyDescent="0.25">
      <c r="A1967" s="247">
        <v>1965</v>
      </c>
      <c r="B1967" s="270"/>
      <c r="C1967" s="270"/>
      <c r="D1967" s="271"/>
      <c r="E1967" s="272"/>
      <c r="F1967" s="272"/>
      <c r="G1967" s="273"/>
      <c r="H1967" s="274"/>
      <c r="I1967" s="274"/>
      <c r="J1967" s="274"/>
      <c r="K1967" s="274"/>
      <c r="L1967" s="274"/>
      <c r="M1967" s="274"/>
      <c r="N1967" s="274"/>
      <c r="O1967" s="274"/>
      <c r="P1967" s="274"/>
      <c r="Q1967" s="274"/>
      <c r="R1967" s="274"/>
      <c r="S1967" s="274"/>
      <c r="T1967" s="274"/>
      <c r="U1967" s="274"/>
      <c r="V1967" s="274"/>
    </row>
    <row r="1968" spans="1:22" x14ac:dyDescent="0.25">
      <c r="A1968" s="247">
        <v>1966</v>
      </c>
      <c r="B1968" s="270"/>
      <c r="C1968" s="270"/>
      <c r="D1968" s="271"/>
      <c r="E1968" s="272"/>
      <c r="F1968" s="272"/>
      <c r="G1968" s="273"/>
      <c r="H1968" s="274"/>
      <c r="I1968" s="274"/>
      <c r="J1968" s="274"/>
      <c r="K1968" s="274"/>
      <c r="L1968" s="274"/>
      <c r="M1968" s="274"/>
      <c r="N1968" s="274"/>
      <c r="O1968" s="274"/>
      <c r="P1968" s="274"/>
      <c r="Q1968" s="274"/>
      <c r="R1968" s="274"/>
      <c r="S1968" s="274"/>
      <c r="T1968" s="274"/>
      <c r="U1968" s="274"/>
      <c r="V1968" s="274"/>
    </row>
    <row r="1969" spans="1:22" x14ac:dyDescent="0.25">
      <c r="A1969" s="247">
        <v>1967</v>
      </c>
      <c r="B1969" s="270"/>
      <c r="C1969" s="270"/>
      <c r="D1969" s="271"/>
      <c r="E1969" s="272"/>
      <c r="F1969" s="272"/>
      <c r="G1969" s="273"/>
      <c r="H1969" s="274"/>
      <c r="I1969" s="274"/>
      <c r="J1969" s="274"/>
      <c r="K1969" s="274"/>
      <c r="L1969" s="274"/>
      <c r="M1969" s="274"/>
      <c r="N1969" s="274"/>
      <c r="O1969" s="274"/>
      <c r="P1969" s="274"/>
      <c r="Q1969" s="274"/>
      <c r="R1969" s="274"/>
      <c r="S1969" s="274"/>
      <c r="T1969" s="274"/>
      <c r="U1969" s="274"/>
      <c r="V1969" s="274"/>
    </row>
    <row r="1970" spans="1:22" x14ac:dyDescent="0.25">
      <c r="A1970" s="247">
        <v>1968</v>
      </c>
      <c r="B1970" s="270"/>
      <c r="C1970" s="270"/>
      <c r="D1970" s="271"/>
      <c r="E1970" s="272"/>
      <c r="F1970" s="272"/>
      <c r="G1970" s="273"/>
      <c r="H1970" s="274"/>
      <c r="I1970" s="274"/>
      <c r="J1970" s="274"/>
      <c r="K1970" s="274"/>
      <c r="L1970" s="274"/>
      <c r="M1970" s="274"/>
      <c r="N1970" s="274"/>
      <c r="O1970" s="274"/>
      <c r="P1970" s="274"/>
      <c r="Q1970" s="274"/>
      <c r="R1970" s="274"/>
      <c r="S1970" s="274"/>
      <c r="T1970" s="274"/>
      <c r="U1970" s="274"/>
      <c r="V1970" s="274"/>
    </row>
    <row r="1971" spans="1:22" x14ac:dyDescent="0.25">
      <c r="A1971" s="247">
        <v>1969</v>
      </c>
      <c r="B1971" s="270"/>
      <c r="C1971" s="270"/>
      <c r="D1971" s="271"/>
      <c r="E1971" s="272"/>
      <c r="F1971" s="272"/>
      <c r="G1971" s="273"/>
      <c r="H1971" s="274"/>
      <c r="I1971" s="274"/>
      <c r="J1971" s="274"/>
      <c r="K1971" s="274"/>
      <c r="L1971" s="274"/>
      <c r="M1971" s="274"/>
      <c r="N1971" s="274"/>
      <c r="O1971" s="274"/>
      <c r="P1971" s="274"/>
      <c r="Q1971" s="274"/>
      <c r="R1971" s="274"/>
      <c r="S1971" s="274"/>
      <c r="T1971" s="274"/>
      <c r="U1971" s="274"/>
      <c r="V1971" s="274"/>
    </row>
    <row r="1972" spans="1:22" x14ac:dyDescent="0.25">
      <c r="A1972" s="247">
        <v>1970</v>
      </c>
      <c r="B1972" s="270"/>
      <c r="C1972" s="270"/>
      <c r="D1972" s="271"/>
      <c r="E1972" s="272"/>
      <c r="F1972" s="272"/>
      <c r="G1972" s="273"/>
      <c r="H1972" s="274"/>
      <c r="I1972" s="274"/>
      <c r="J1972" s="274"/>
      <c r="K1972" s="274"/>
      <c r="L1972" s="274"/>
      <c r="M1972" s="274"/>
      <c r="N1972" s="274"/>
      <c r="O1972" s="274"/>
      <c r="P1972" s="274"/>
      <c r="Q1972" s="274"/>
      <c r="R1972" s="274"/>
      <c r="S1972" s="274"/>
      <c r="T1972" s="274"/>
      <c r="U1972" s="274"/>
      <c r="V1972" s="274"/>
    </row>
    <row r="1973" spans="1:22" x14ac:dyDescent="0.25">
      <c r="A1973" s="247">
        <v>1971</v>
      </c>
      <c r="B1973" s="270"/>
      <c r="C1973" s="270"/>
      <c r="D1973" s="271"/>
      <c r="E1973" s="272"/>
      <c r="F1973" s="272"/>
      <c r="G1973" s="273"/>
      <c r="H1973" s="274"/>
      <c r="I1973" s="274"/>
      <c r="J1973" s="274"/>
      <c r="K1973" s="274"/>
      <c r="L1973" s="274"/>
      <c r="M1973" s="274"/>
      <c r="N1973" s="274"/>
      <c r="O1973" s="274"/>
      <c r="P1973" s="274"/>
      <c r="Q1973" s="274"/>
      <c r="R1973" s="274"/>
      <c r="S1973" s="274"/>
      <c r="T1973" s="274"/>
      <c r="U1973" s="274"/>
      <c r="V1973" s="274"/>
    </row>
    <row r="1974" spans="1:22" x14ac:dyDescent="0.25">
      <c r="A1974" s="247">
        <v>1972</v>
      </c>
      <c r="B1974" s="270"/>
      <c r="C1974" s="270"/>
      <c r="D1974" s="271"/>
      <c r="E1974" s="272"/>
      <c r="F1974" s="272"/>
      <c r="G1974" s="273"/>
      <c r="H1974" s="274"/>
      <c r="I1974" s="274"/>
      <c r="J1974" s="274"/>
      <c r="K1974" s="274"/>
      <c r="L1974" s="274"/>
      <c r="M1974" s="274"/>
      <c r="N1974" s="274"/>
      <c r="O1974" s="274"/>
      <c r="P1974" s="274"/>
      <c r="Q1974" s="274"/>
      <c r="R1974" s="274"/>
      <c r="S1974" s="274"/>
      <c r="T1974" s="274"/>
      <c r="U1974" s="274"/>
      <c r="V1974" s="274"/>
    </row>
    <row r="1975" spans="1:22" x14ac:dyDescent="0.25">
      <c r="A1975" s="247">
        <v>1973</v>
      </c>
      <c r="B1975" s="270"/>
      <c r="C1975" s="270"/>
      <c r="D1975" s="271"/>
      <c r="E1975" s="272"/>
      <c r="F1975" s="272"/>
      <c r="G1975" s="273"/>
      <c r="H1975" s="274"/>
      <c r="I1975" s="274"/>
      <c r="J1975" s="274"/>
      <c r="K1975" s="274"/>
      <c r="L1975" s="274"/>
      <c r="M1975" s="274"/>
      <c r="N1975" s="274"/>
      <c r="O1975" s="274"/>
      <c r="P1975" s="274"/>
      <c r="Q1975" s="274"/>
      <c r="R1975" s="274"/>
      <c r="S1975" s="274"/>
      <c r="T1975" s="274"/>
      <c r="U1975" s="274"/>
      <c r="V1975" s="274"/>
    </row>
    <row r="1976" spans="1:22" x14ac:dyDescent="0.25">
      <c r="A1976" s="247">
        <v>1974</v>
      </c>
      <c r="B1976" s="270"/>
      <c r="C1976" s="270"/>
      <c r="D1976" s="271"/>
      <c r="E1976" s="272"/>
      <c r="F1976" s="272"/>
      <c r="G1976" s="273"/>
      <c r="H1976" s="274"/>
      <c r="I1976" s="274"/>
      <c r="J1976" s="274"/>
      <c r="K1976" s="274"/>
      <c r="L1976" s="274"/>
      <c r="M1976" s="274"/>
      <c r="N1976" s="274"/>
      <c r="O1976" s="274"/>
      <c r="P1976" s="274"/>
      <c r="Q1976" s="274"/>
      <c r="R1976" s="274"/>
      <c r="S1976" s="274"/>
      <c r="T1976" s="274"/>
      <c r="U1976" s="274"/>
      <c r="V1976" s="274"/>
    </row>
    <row r="1977" spans="1:22" x14ac:dyDescent="0.25">
      <c r="A1977" s="247">
        <v>1975</v>
      </c>
      <c r="B1977" s="270"/>
      <c r="C1977" s="270"/>
      <c r="D1977" s="271"/>
      <c r="E1977" s="272"/>
      <c r="F1977" s="272"/>
      <c r="G1977" s="273"/>
      <c r="H1977" s="274"/>
      <c r="I1977" s="274"/>
      <c r="J1977" s="274"/>
      <c r="K1977" s="274"/>
      <c r="L1977" s="274"/>
      <c r="M1977" s="274"/>
      <c r="N1977" s="274"/>
      <c r="O1977" s="274"/>
      <c r="P1977" s="274"/>
      <c r="Q1977" s="274"/>
      <c r="R1977" s="274"/>
      <c r="S1977" s="274"/>
      <c r="T1977" s="274"/>
      <c r="U1977" s="274"/>
      <c r="V1977" s="274"/>
    </row>
    <row r="1978" spans="1:22" x14ac:dyDescent="0.25">
      <c r="A1978" s="247">
        <v>1976</v>
      </c>
      <c r="B1978" s="270"/>
      <c r="C1978" s="270"/>
      <c r="D1978" s="271"/>
      <c r="E1978" s="272"/>
      <c r="F1978" s="272"/>
      <c r="G1978" s="273"/>
      <c r="H1978" s="274"/>
      <c r="I1978" s="274"/>
      <c r="J1978" s="274"/>
      <c r="K1978" s="274"/>
      <c r="L1978" s="274"/>
      <c r="M1978" s="274"/>
      <c r="N1978" s="274"/>
      <c r="O1978" s="274"/>
      <c r="P1978" s="274"/>
      <c r="Q1978" s="274"/>
      <c r="R1978" s="274"/>
      <c r="S1978" s="274"/>
      <c r="T1978" s="274"/>
      <c r="U1978" s="274"/>
      <c r="V1978" s="274"/>
    </row>
    <row r="1979" spans="1:22" x14ac:dyDescent="0.25">
      <c r="A1979" s="247">
        <v>1977</v>
      </c>
      <c r="B1979" s="270"/>
      <c r="C1979" s="270"/>
      <c r="D1979" s="271"/>
      <c r="E1979" s="272"/>
      <c r="F1979" s="272"/>
      <c r="G1979" s="273"/>
      <c r="H1979" s="274"/>
      <c r="I1979" s="274"/>
      <c r="J1979" s="274"/>
      <c r="K1979" s="274"/>
      <c r="L1979" s="274"/>
      <c r="M1979" s="274"/>
      <c r="N1979" s="274"/>
      <c r="O1979" s="274"/>
      <c r="P1979" s="274"/>
      <c r="Q1979" s="274"/>
      <c r="R1979" s="274"/>
      <c r="S1979" s="274"/>
      <c r="T1979" s="274"/>
      <c r="U1979" s="274"/>
      <c r="V1979" s="274"/>
    </row>
    <row r="1980" spans="1:22" x14ac:dyDescent="0.25">
      <c r="A1980" s="247">
        <v>1978</v>
      </c>
      <c r="B1980" s="270"/>
      <c r="C1980" s="270"/>
      <c r="D1980" s="271"/>
      <c r="E1980" s="272"/>
      <c r="F1980" s="272"/>
      <c r="G1980" s="273"/>
      <c r="H1980" s="274"/>
      <c r="I1980" s="274"/>
      <c r="J1980" s="274"/>
      <c r="K1980" s="274"/>
      <c r="L1980" s="274"/>
      <c r="M1980" s="274"/>
      <c r="N1980" s="274"/>
      <c r="O1980" s="274"/>
      <c r="P1980" s="274"/>
      <c r="Q1980" s="274"/>
      <c r="R1980" s="274"/>
      <c r="S1980" s="274"/>
      <c r="T1980" s="274"/>
      <c r="U1980" s="274"/>
      <c r="V1980" s="274"/>
    </row>
    <row r="1981" spans="1:22" x14ac:dyDescent="0.25">
      <c r="A1981" s="247">
        <v>1979</v>
      </c>
      <c r="B1981" s="270"/>
      <c r="C1981" s="270"/>
      <c r="D1981" s="271"/>
      <c r="E1981" s="272"/>
      <c r="F1981" s="272"/>
      <c r="G1981" s="273"/>
      <c r="H1981" s="274"/>
      <c r="I1981" s="274"/>
      <c r="J1981" s="274"/>
      <c r="K1981" s="274"/>
      <c r="L1981" s="274"/>
      <c r="M1981" s="274"/>
      <c r="N1981" s="274"/>
      <c r="O1981" s="274"/>
      <c r="P1981" s="274"/>
      <c r="Q1981" s="274"/>
      <c r="R1981" s="274"/>
      <c r="S1981" s="274"/>
      <c r="T1981" s="274"/>
      <c r="U1981" s="274"/>
      <c r="V1981" s="274"/>
    </row>
    <row r="1982" spans="1:22" x14ac:dyDescent="0.25">
      <c r="A1982" s="247">
        <v>1980</v>
      </c>
      <c r="B1982" s="270"/>
      <c r="C1982" s="270"/>
      <c r="D1982" s="271"/>
      <c r="E1982" s="272"/>
      <c r="F1982" s="272"/>
      <c r="G1982" s="273"/>
      <c r="H1982" s="274"/>
      <c r="I1982" s="274"/>
      <c r="J1982" s="274"/>
      <c r="K1982" s="274"/>
      <c r="L1982" s="274"/>
      <c r="M1982" s="274"/>
      <c r="N1982" s="274"/>
      <c r="O1982" s="274"/>
      <c r="P1982" s="274"/>
      <c r="Q1982" s="274"/>
      <c r="R1982" s="274"/>
      <c r="S1982" s="274"/>
      <c r="T1982" s="274"/>
      <c r="U1982" s="274"/>
      <c r="V1982" s="274"/>
    </row>
    <row r="1983" spans="1:22" x14ac:dyDescent="0.25">
      <c r="A1983" s="247">
        <v>1981</v>
      </c>
      <c r="B1983" s="270"/>
      <c r="C1983" s="270"/>
      <c r="D1983" s="271"/>
      <c r="E1983" s="272"/>
      <c r="F1983" s="272"/>
      <c r="G1983" s="273"/>
      <c r="H1983" s="274"/>
      <c r="I1983" s="274"/>
      <c r="J1983" s="274"/>
      <c r="K1983" s="274"/>
      <c r="L1983" s="274"/>
      <c r="M1983" s="274"/>
      <c r="N1983" s="274"/>
      <c r="O1983" s="274"/>
      <c r="P1983" s="274"/>
      <c r="Q1983" s="274"/>
      <c r="R1983" s="274"/>
      <c r="S1983" s="274"/>
      <c r="T1983" s="274"/>
      <c r="U1983" s="274"/>
      <c r="V1983" s="274"/>
    </row>
    <row r="1984" spans="1:22" x14ac:dyDescent="0.25">
      <c r="A1984" s="247">
        <v>1982</v>
      </c>
      <c r="B1984" s="270"/>
      <c r="C1984" s="270"/>
      <c r="D1984" s="271"/>
      <c r="E1984" s="272"/>
      <c r="F1984" s="272"/>
      <c r="G1984" s="273"/>
      <c r="H1984" s="274"/>
      <c r="I1984" s="274"/>
      <c r="J1984" s="274"/>
      <c r="K1984" s="274"/>
      <c r="L1984" s="274"/>
      <c r="M1984" s="274"/>
      <c r="N1984" s="274"/>
      <c r="O1984" s="274"/>
      <c r="P1984" s="274"/>
      <c r="Q1984" s="274"/>
      <c r="R1984" s="274"/>
      <c r="S1984" s="274"/>
      <c r="T1984" s="274"/>
      <c r="U1984" s="274"/>
      <c r="V1984" s="274"/>
    </row>
    <row r="1985" spans="1:22" x14ac:dyDescent="0.25">
      <c r="A1985" s="247">
        <v>1983</v>
      </c>
      <c r="B1985" s="270"/>
      <c r="C1985" s="270"/>
      <c r="D1985" s="271"/>
      <c r="E1985" s="272"/>
      <c r="F1985" s="272"/>
      <c r="G1985" s="273"/>
      <c r="H1985" s="274"/>
      <c r="I1985" s="274"/>
      <c r="J1985" s="274"/>
      <c r="K1985" s="274"/>
      <c r="L1985" s="274"/>
      <c r="M1985" s="274"/>
      <c r="N1985" s="274"/>
      <c r="O1985" s="274"/>
      <c r="P1985" s="274"/>
      <c r="Q1985" s="274"/>
      <c r="R1985" s="274"/>
      <c r="S1985" s="274"/>
      <c r="T1985" s="274"/>
      <c r="U1985" s="274"/>
      <c r="V1985" s="274"/>
    </row>
    <row r="1986" spans="1:22" x14ac:dyDescent="0.25">
      <c r="A1986" s="247">
        <v>1984</v>
      </c>
      <c r="B1986" s="270"/>
      <c r="C1986" s="270"/>
      <c r="D1986" s="271"/>
      <c r="E1986" s="272"/>
      <c r="F1986" s="272"/>
      <c r="G1986" s="273"/>
      <c r="H1986" s="274"/>
      <c r="I1986" s="274"/>
      <c r="J1986" s="274"/>
      <c r="K1986" s="274"/>
      <c r="L1986" s="274"/>
      <c r="M1986" s="274"/>
      <c r="N1986" s="274"/>
      <c r="O1986" s="274"/>
      <c r="P1986" s="274"/>
      <c r="Q1986" s="274"/>
      <c r="R1986" s="274"/>
      <c r="S1986" s="274"/>
      <c r="T1986" s="274"/>
      <c r="U1986" s="274"/>
      <c r="V1986" s="274"/>
    </row>
    <row r="1987" spans="1:22" x14ac:dyDescent="0.25">
      <c r="A1987" s="247">
        <v>1985</v>
      </c>
      <c r="B1987" s="270"/>
      <c r="C1987" s="270"/>
      <c r="D1987" s="271"/>
      <c r="E1987" s="272"/>
      <c r="F1987" s="272"/>
      <c r="G1987" s="273"/>
      <c r="H1987" s="274"/>
      <c r="I1987" s="274"/>
      <c r="J1987" s="274"/>
      <c r="K1987" s="274"/>
      <c r="L1987" s="274"/>
      <c r="M1987" s="274"/>
      <c r="N1987" s="274"/>
      <c r="O1987" s="274"/>
      <c r="P1987" s="274"/>
      <c r="Q1987" s="274"/>
      <c r="R1987" s="274"/>
      <c r="S1987" s="274"/>
      <c r="T1987" s="274"/>
      <c r="U1987" s="274"/>
      <c r="V1987" s="274"/>
    </row>
    <row r="1988" spans="1:22" x14ac:dyDescent="0.25">
      <c r="A1988" s="247">
        <v>1986</v>
      </c>
      <c r="B1988" s="270"/>
      <c r="C1988" s="270"/>
      <c r="D1988" s="271"/>
      <c r="E1988" s="272"/>
      <c r="F1988" s="272"/>
      <c r="G1988" s="273"/>
      <c r="H1988" s="274"/>
      <c r="I1988" s="274"/>
      <c r="J1988" s="274"/>
      <c r="K1988" s="274"/>
      <c r="L1988" s="274"/>
      <c r="M1988" s="274"/>
      <c r="N1988" s="274"/>
      <c r="O1988" s="274"/>
      <c r="P1988" s="274"/>
      <c r="Q1988" s="274"/>
      <c r="R1988" s="274"/>
      <c r="S1988" s="274"/>
      <c r="T1988" s="274"/>
      <c r="U1988" s="274"/>
      <c r="V1988" s="274"/>
    </row>
    <row r="1989" spans="1:22" x14ac:dyDescent="0.25">
      <c r="A1989" s="247">
        <v>1987</v>
      </c>
      <c r="B1989" s="270"/>
      <c r="C1989" s="270"/>
      <c r="D1989" s="271"/>
      <c r="E1989" s="272"/>
      <c r="F1989" s="272"/>
      <c r="G1989" s="273"/>
      <c r="H1989" s="274"/>
      <c r="I1989" s="274"/>
      <c r="J1989" s="274"/>
      <c r="K1989" s="274"/>
      <c r="L1989" s="274"/>
      <c r="M1989" s="274"/>
      <c r="N1989" s="274"/>
      <c r="O1989" s="274"/>
      <c r="P1989" s="274"/>
      <c r="Q1989" s="274"/>
      <c r="R1989" s="274"/>
      <c r="S1989" s="274"/>
      <c r="T1989" s="274"/>
      <c r="U1989" s="274"/>
      <c r="V1989" s="274"/>
    </row>
    <row r="1990" spans="1:22" x14ac:dyDescent="0.25">
      <c r="A1990" s="247">
        <v>1988</v>
      </c>
      <c r="B1990" s="270"/>
      <c r="C1990" s="270"/>
      <c r="D1990" s="271"/>
      <c r="E1990" s="272"/>
      <c r="F1990" s="272"/>
      <c r="G1990" s="273"/>
      <c r="H1990" s="274"/>
      <c r="I1990" s="274"/>
      <c r="J1990" s="274"/>
      <c r="K1990" s="274"/>
      <c r="L1990" s="274"/>
      <c r="M1990" s="274"/>
      <c r="N1990" s="274"/>
      <c r="O1990" s="274"/>
      <c r="P1990" s="274"/>
      <c r="Q1990" s="274"/>
      <c r="R1990" s="274"/>
      <c r="S1990" s="274"/>
      <c r="T1990" s="274"/>
      <c r="U1990" s="274"/>
      <c r="V1990" s="274"/>
    </row>
    <row r="1991" spans="1:22" x14ac:dyDescent="0.25">
      <c r="A1991" s="247">
        <v>1989</v>
      </c>
      <c r="B1991" s="270"/>
      <c r="C1991" s="270"/>
      <c r="D1991" s="271"/>
      <c r="E1991" s="272"/>
      <c r="F1991" s="272"/>
      <c r="G1991" s="273"/>
      <c r="H1991" s="274"/>
      <c r="I1991" s="274"/>
      <c r="J1991" s="274"/>
      <c r="K1991" s="274"/>
      <c r="L1991" s="274"/>
      <c r="M1991" s="274"/>
      <c r="N1991" s="274"/>
      <c r="O1991" s="274"/>
      <c r="P1991" s="274"/>
      <c r="Q1991" s="274"/>
      <c r="R1991" s="274"/>
      <c r="S1991" s="274"/>
      <c r="T1991" s="274"/>
      <c r="U1991" s="274"/>
      <c r="V1991" s="274"/>
    </row>
    <row r="1992" spans="1:22" x14ac:dyDescent="0.25">
      <c r="A1992" s="247">
        <v>1990</v>
      </c>
      <c r="B1992" s="270"/>
      <c r="C1992" s="270"/>
      <c r="D1992" s="271"/>
      <c r="E1992" s="272"/>
      <c r="F1992" s="272"/>
      <c r="G1992" s="273"/>
      <c r="H1992" s="274"/>
      <c r="I1992" s="274"/>
      <c r="J1992" s="274"/>
      <c r="K1992" s="274"/>
      <c r="L1992" s="274"/>
      <c r="M1992" s="274"/>
      <c r="N1992" s="274"/>
      <c r="O1992" s="274"/>
      <c r="P1992" s="274"/>
      <c r="Q1992" s="274"/>
      <c r="R1992" s="274"/>
      <c r="S1992" s="274"/>
      <c r="T1992" s="274"/>
      <c r="U1992" s="274"/>
      <c r="V1992" s="274"/>
    </row>
    <row r="1993" spans="1:22" x14ac:dyDescent="0.25">
      <c r="A1993" s="247">
        <v>1991</v>
      </c>
      <c r="B1993" s="270"/>
      <c r="C1993" s="270"/>
      <c r="D1993" s="271"/>
      <c r="E1993" s="272"/>
      <c r="F1993" s="272"/>
      <c r="G1993" s="273"/>
      <c r="H1993" s="274"/>
      <c r="I1993" s="274"/>
      <c r="J1993" s="274"/>
      <c r="K1993" s="274"/>
      <c r="L1993" s="274"/>
      <c r="M1993" s="274"/>
      <c r="N1993" s="274"/>
      <c r="O1993" s="274"/>
      <c r="P1993" s="274"/>
      <c r="Q1993" s="274"/>
      <c r="R1993" s="274"/>
      <c r="S1993" s="274"/>
      <c r="T1993" s="274"/>
      <c r="U1993" s="274"/>
      <c r="V1993" s="274"/>
    </row>
    <row r="1994" spans="1:22" x14ac:dyDescent="0.25">
      <c r="A1994" s="247">
        <v>1992</v>
      </c>
      <c r="B1994" s="270"/>
      <c r="C1994" s="270"/>
      <c r="D1994" s="271"/>
      <c r="E1994" s="272"/>
      <c r="F1994" s="272"/>
      <c r="G1994" s="273"/>
      <c r="H1994" s="274"/>
      <c r="I1994" s="274"/>
      <c r="J1994" s="274"/>
      <c r="K1994" s="274"/>
      <c r="L1994" s="274"/>
      <c r="M1994" s="274"/>
      <c r="N1994" s="274"/>
      <c r="O1994" s="274"/>
      <c r="P1994" s="274"/>
      <c r="Q1994" s="274"/>
      <c r="R1994" s="274"/>
      <c r="S1994" s="274"/>
      <c r="T1994" s="274"/>
      <c r="U1994" s="274"/>
      <c r="V1994" s="274"/>
    </row>
    <row r="1995" spans="1:22" x14ac:dyDescent="0.25">
      <c r="A1995" s="247">
        <v>1993</v>
      </c>
      <c r="B1995" s="270"/>
      <c r="C1995" s="270"/>
      <c r="D1995" s="271"/>
      <c r="E1995" s="272"/>
      <c r="F1995" s="272"/>
      <c r="G1995" s="273"/>
      <c r="H1995" s="274"/>
      <c r="I1995" s="274"/>
      <c r="J1995" s="274"/>
      <c r="K1995" s="274"/>
      <c r="L1995" s="274"/>
      <c r="M1995" s="274"/>
      <c r="N1995" s="274"/>
      <c r="O1995" s="274"/>
      <c r="P1995" s="274"/>
      <c r="Q1995" s="274"/>
      <c r="R1995" s="274"/>
      <c r="S1995" s="274"/>
      <c r="T1995" s="274"/>
      <c r="U1995" s="274"/>
      <c r="V1995" s="274"/>
    </row>
    <row r="1996" spans="1:22" x14ac:dyDescent="0.25">
      <c r="A1996" s="247">
        <v>1994</v>
      </c>
      <c r="B1996" s="270"/>
      <c r="C1996" s="270"/>
      <c r="D1996" s="271"/>
      <c r="E1996" s="272"/>
      <c r="F1996" s="272"/>
      <c r="G1996" s="273"/>
      <c r="H1996" s="274"/>
      <c r="I1996" s="274"/>
      <c r="J1996" s="274"/>
      <c r="K1996" s="274"/>
      <c r="L1996" s="274"/>
      <c r="M1996" s="274"/>
      <c r="N1996" s="274"/>
      <c r="O1996" s="274"/>
      <c r="P1996" s="274"/>
      <c r="Q1996" s="274"/>
      <c r="R1996" s="274"/>
      <c r="S1996" s="274"/>
      <c r="T1996" s="274"/>
      <c r="U1996" s="274"/>
      <c r="V1996" s="274"/>
    </row>
    <row r="1997" spans="1:22" x14ac:dyDescent="0.25">
      <c r="A1997" s="247">
        <v>1995</v>
      </c>
      <c r="B1997" s="270"/>
      <c r="C1997" s="270"/>
      <c r="D1997" s="271"/>
      <c r="E1997" s="272"/>
      <c r="F1997" s="272"/>
      <c r="G1997" s="273"/>
      <c r="H1997" s="274"/>
      <c r="I1997" s="274"/>
      <c r="J1997" s="274"/>
      <c r="K1997" s="274"/>
      <c r="L1997" s="274"/>
      <c r="M1997" s="274"/>
      <c r="N1997" s="274"/>
      <c r="O1997" s="274"/>
      <c r="P1997" s="274"/>
      <c r="Q1997" s="274"/>
      <c r="R1997" s="274"/>
      <c r="S1997" s="274"/>
      <c r="T1997" s="274"/>
      <c r="U1997" s="274"/>
      <c r="V1997" s="274"/>
    </row>
    <row r="1998" spans="1:22" x14ac:dyDescent="0.25">
      <c r="A1998" s="247">
        <v>1996</v>
      </c>
      <c r="B1998" s="270"/>
      <c r="C1998" s="270"/>
      <c r="D1998" s="271"/>
      <c r="E1998" s="272"/>
      <c r="F1998" s="272"/>
      <c r="G1998" s="273"/>
      <c r="H1998" s="274"/>
      <c r="I1998" s="274"/>
      <c r="J1998" s="274"/>
      <c r="K1998" s="274"/>
      <c r="L1998" s="274"/>
      <c r="M1998" s="274"/>
      <c r="N1998" s="274"/>
      <c r="O1998" s="274"/>
      <c r="P1998" s="274"/>
      <c r="Q1998" s="274"/>
      <c r="R1998" s="274"/>
      <c r="S1998" s="274"/>
      <c r="T1998" s="274"/>
      <c r="U1998" s="274"/>
      <c r="V1998" s="274"/>
    </row>
    <row r="1999" spans="1:22" x14ac:dyDescent="0.25">
      <c r="A1999" s="247">
        <v>1997</v>
      </c>
      <c r="B1999" s="270"/>
      <c r="C1999" s="270"/>
      <c r="D1999" s="271"/>
      <c r="E1999" s="272"/>
      <c r="F1999" s="272"/>
      <c r="G1999" s="273"/>
      <c r="H1999" s="274"/>
      <c r="I1999" s="274"/>
      <c r="J1999" s="274"/>
      <c r="K1999" s="274"/>
      <c r="L1999" s="274"/>
      <c r="M1999" s="274"/>
      <c r="N1999" s="274"/>
      <c r="O1999" s="274"/>
      <c r="P1999" s="274"/>
      <c r="Q1999" s="274"/>
      <c r="R1999" s="274"/>
      <c r="S1999" s="274"/>
      <c r="T1999" s="274"/>
      <c r="U1999" s="274"/>
      <c r="V1999" s="274"/>
    </row>
    <row r="2000" spans="1:22" x14ac:dyDescent="0.25">
      <c r="A2000" s="247">
        <v>1998</v>
      </c>
      <c r="B2000" s="270"/>
      <c r="C2000" s="270"/>
      <c r="D2000" s="271"/>
      <c r="E2000" s="272"/>
      <c r="F2000" s="272"/>
      <c r="G2000" s="273"/>
      <c r="H2000" s="274"/>
      <c r="I2000" s="274"/>
      <c r="J2000" s="274"/>
      <c r="K2000" s="274"/>
      <c r="L2000" s="274"/>
      <c r="M2000" s="274"/>
      <c r="N2000" s="274"/>
      <c r="O2000" s="274"/>
      <c r="P2000" s="274"/>
      <c r="Q2000" s="274"/>
      <c r="R2000" s="274"/>
      <c r="S2000" s="274"/>
      <c r="T2000" s="274"/>
      <c r="U2000" s="274"/>
      <c r="V2000" s="274"/>
    </row>
    <row r="2001" spans="1:22" x14ac:dyDescent="0.25">
      <c r="A2001" s="247">
        <v>1999</v>
      </c>
      <c r="B2001" s="270"/>
      <c r="C2001" s="270"/>
      <c r="D2001" s="271"/>
      <c r="E2001" s="272"/>
      <c r="F2001" s="272"/>
      <c r="G2001" s="273"/>
      <c r="H2001" s="274"/>
      <c r="I2001" s="274"/>
      <c r="J2001" s="274"/>
      <c r="K2001" s="274"/>
      <c r="L2001" s="274"/>
      <c r="M2001" s="274"/>
      <c r="N2001" s="274"/>
      <c r="O2001" s="274"/>
      <c r="P2001" s="274"/>
      <c r="Q2001" s="274"/>
      <c r="R2001" s="274"/>
      <c r="S2001" s="274"/>
      <c r="T2001" s="274"/>
      <c r="U2001" s="274"/>
      <c r="V2001" s="274"/>
    </row>
    <row r="2002" spans="1:22" x14ac:dyDescent="0.25">
      <c r="A2002" s="247">
        <v>2000</v>
      </c>
      <c r="B2002" s="270"/>
      <c r="C2002" s="270"/>
      <c r="D2002" s="271"/>
      <c r="E2002" s="272"/>
      <c r="F2002" s="272"/>
      <c r="G2002" s="273"/>
      <c r="H2002" s="274"/>
      <c r="I2002" s="274"/>
      <c r="J2002" s="274"/>
      <c r="K2002" s="274"/>
      <c r="L2002" s="274"/>
      <c r="M2002" s="274"/>
      <c r="N2002" s="274"/>
      <c r="O2002" s="274"/>
      <c r="P2002" s="274"/>
      <c r="Q2002" s="274"/>
      <c r="R2002" s="274"/>
      <c r="S2002" s="274"/>
      <c r="T2002" s="274"/>
      <c r="U2002" s="274"/>
      <c r="V2002" s="274"/>
    </row>
    <row r="2003" spans="1:22" x14ac:dyDescent="0.25">
      <c r="A2003" s="247">
        <v>2001</v>
      </c>
      <c r="B2003" s="270"/>
      <c r="C2003" s="270"/>
      <c r="D2003" s="271"/>
      <c r="E2003" s="272"/>
      <c r="F2003" s="272"/>
      <c r="G2003" s="273"/>
      <c r="H2003" s="274"/>
      <c r="I2003" s="274"/>
      <c r="J2003" s="274"/>
      <c r="K2003" s="274"/>
      <c r="L2003" s="274"/>
      <c r="M2003" s="274"/>
      <c r="N2003" s="274"/>
      <c r="O2003" s="274"/>
      <c r="P2003" s="274"/>
      <c r="Q2003" s="274"/>
      <c r="R2003" s="274"/>
      <c r="S2003" s="274"/>
      <c r="T2003" s="274"/>
      <c r="U2003" s="274"/>
      <c r="V2003" s="274"/>
    </row>
    <row r="2004" spans="1:22" x14ac:dyDescent="0.25">
      <c r="A2004" s="247">
        <v>2002</v>
      </c>
      <c r="B2004" s="270"/>
      <c r="C2004" s="270"/>
      <c r="D2004" s="271"/>
      <c r="E2004" s="272"/>
      <c r="F2004" s="272"/>
      <c r="G2004" s="273"/>
      <c r="H2004" s="274"/>
      <c r="I2004" s="274"/>
      <c r="J2004" s="274"/>
      <c r="K2004" s="274"/>
      <c r="L2004" s="274"/>
      <c r="M2004" s="274"/>
      <c r="N2004" s="274"/>
      <c r="O2004" s="274"/>
      <c r="P2004" s="274"/>
      <c r="Q2004" s="274"/>
      <c r="R2004" s="274"/>
      <c r="S2004" s="274"/>
      <c r="T2004" s="274"/>
      <c r="U2004" s="274"/>
      <c r="V2004" s="274"/>
    </row>
    <row r="2005" spans="1:22" x14ac:dyDescent="0.25">
      <c r="A2005" s="247">
        <v>2003</v>
      </c>
      <c r="B2005" s="270"/>
      <c r="C2005" s="270"/>
      <c r="D2005" s="271"/>
      <c r="E2005" s="272"/>
      <c r="F2005" s="272"/>
      <c r="G2005" s="273"/>
      <c r="H2005" s="274"/>
      <c r="I2005" s="274"/>
      <c r="J2005" s="274"/>
      <c r="K2005" s="274"/>
      <c r="L2005" s="274"/>
      <c r="M2005" s="274"/>
      <c r="N2005" s="274"/>
      <c r="O2005" s="274"/>
      <c r="P2005" s="274"/>
      <c r="Q2005" s="274"/>
      <c r="R2005" s="274"/>
      <c r="S2005" s="274"/>
      <c r="T2005" s="274"/>
      <c r="U2005" s="274"/>
      <c r="V2005" s="274"/>
    </row>
    <row r="2006" spans="1:22" x14ac:dyDescent="0.25">
      <c r="A2006" s="247">
        <v>2004</v>
      </c>
      <c r="B2006" s="270"/>
      <c r="C2006" s="270"/>
      <c r="D2006" s="271"/>
      <c r="E2006" s="272"/>
      <c r="F2006" s="272"/>
      <c r="G2006" s="273"/>
      <c r="H2006" s="274"/>
      <c r="I2006" s="274"/>
      <c r="J2006" s="274"/>
      <c r="K2006" s="274"/>
      <c r="L2006" s="274"/>
      <c r="M2006" s="274"/>
      <c r="N2006" s="274"/>
      <c r="O2006" s="274"/>
      <c r="P2006" s="274"/>
      <c r="Q2006" s="274"/>
      <c r="R2006" s="274"/>
      <c r="S2006" s="274"/>
      <c r="T2006" s="274"/>
      <c r="U2006" s="274"/>
      <c r="V2006" s="274"/>
    </row>
    <row r="2007" spans="1:22" x14ac:dyDescent="0.25">
      <c r="A2007" s="247">
        <v>2005</v>
      </c>
      <c r="B2007" s="270"/>
      <c r="C2007" s="270"/>
      <c r="D2007" s="271"/>
      <c r="E2007" s="272"/>
      <c r="F2007" s="272"/>
      <c r="G2007" s="273"/>
      <c r="H2007" s="274"/>
      <c r="I2007" s="274"/>
      <c r="J2007" s="274"/>
      <c r="K2007" s="274"/>
      <c r="L2007" s="274"/>
      <c r="M2007" s="274"/>
      <c r="N2007" s="274"/>
      <c r="O2007" s="274"/>
      <c r="P2007" s="274"/>
      <c r="Q2007" s="274"/>
      <c r="R2007" s="274"/>
      <c r="S2007" s="274"/>
      <c r="T2007" s="274"/>
      <c r="U2007" s="274"/>
      <c r="V2007" s="274"/>
    </row>
    <row r="2008" spans="1:22" x14ac:dyDescent="0.25">
      <c r="A2008" s="247">
        <v>2006</v>
      </c>
      <c r="B2008" s="270"/>
      <c r="C2008" s="270"/>
      <c r="D2008" s="271"/>
      <c r="E2008" s="272"/>
      <c r="F2008" s="272"/>
      <c r="G2008" s="273"/>
      <c r="H2008" s="274"/>
      <c r="I2008" s="274"/>
      <c r="J2008" s="274"/>
      <c r="K2008" s="274"/>
      <c r="L2008" s="274"/>
      <c r="M2008" s="274"/>
      <c r="N2008" s="274"/>
      <c r="O2008" s="274"/>
      <c r="P2008" s="274"/>
      <c r="Q2008" s="274"/>
      <c r="R2008" s="274"/>
      <c r="S2008" s="274"/>
      <c r="T2008" s="274"/>
      <c r="U2008" s="274"/>
      <c r="V2008" s="274"/>
    </row>
    <row r="2009" spans="1:22" x14ac:dyDescent="0.25">
      <c r="A2009" s="247">
        <v>2007</v>
      </c>
      <c r="B2009" s="270"/>
      <c r="C2009" s="270"/>
      <c r="D2009" s="271"/>
      <c r="E2009" s="272"/>
      <c r="F2009" s="272"/>
      <c r="G2009" s="273"/>
      <c r="H2009" s="274"/>
      <c r="I2009" s="274"/>
      <c r="J2009" s="274"/>
      <c r="K2009" s="274"/>
      <c r="L2009" s="274"/>
      <c r="M2009" s="274"/>
      <c r="N2009" s="274"/>
      <c r="O2009" s="274"/>
      <c r="P2009" s="274"/>
      <c r="Q2009" s="274"/>
      <c r="R2009" s="274"/>
      <c r="S2009" s="274"/>
      <c r="T2009" s="274"/>
      <c r="U2009" s="274"/>
      <c r="V2009" s="274"/>
    </row>
    <row r="2010" spans="1:22" x14ac:dyDescent="0.25">
      <c r="A2010" s="247">
        <v>2008</v>
      </c>
      <c r="B2010" s="270"/>
      <c r="C2010" s="270"/>
      <c r="D2010" s="271"/>
      <c r="E2010" s="272"/>
      <c r="F2010" s="272"/>
      <c r="G2010" s="273"/>
      <c r="H2010" s="274"/>
      <c r="I2010" s="274"/>
      <c r="J2010" s="274"/>
      <c r="K2010" s="274"/>
      <c r="L2010" s="274"/>
      <c r="M2010" s="274"/>
      <c r="N2010" s="274"/>
      <c r="O2010" s="274"/>
      <c r="P2010" s="274"/>
      <c r="Q2010" s="274"/>
      <c r="R2010" s="274"/>
      <c r="S2010" s="274"/>
      <c r="T2010" s="274"/>
      <c r="U2010" s="274"/>
      <c r="V2010" s="274"/>
    </row>
    <row r="2011" spans="1:22" x14ac:dyDescent="0.25">
      <c r="A2011" s="247">
        <v>2009</v>
      </c>
      <c r="B2011" s="270"/>
      <c r="C2011" s="270"/>
      <c r="D2011" s="271"/>
      <c r="E2011" s="272"/>
      <c r="F2011" s="272"/>
      <c r="G2011" s="273"/>
      <c r="H2011" s="274"/>
      <c r="I2011" s="274"/>
      <c r="J2011" s="274"/>
      <c r="K2011" s="274"/>
      <c r="L2011" s="274"/>
      <c r="M2011" s="274"/>
      <c r="N2011" s="274"/>
      <c r="O2011" s="274"/>
      <c r="P2011" s="274"/>
      <c r="Q2011" s="274"/>
      <c r="R2011" s="274"/>
      <c r="S2011" s="274"/>
      <c r="T2011" s="274"/>
      <c r="U2011" s="274"/>
      <c r="V2011" s="274"/>
    </row>
    <row r="2012" spans="1:22" x14ac:dyDescent="0.25">
      <c r="A2012" s="247">
        <v>2010</v>
      </c>
      <c r="B2012" s="270"/>
      <c r="C2012" s="270"/>
      <c r="D2012" s="271"/>
      <c r="E2012" s="272"/>
      <c r="F2012" s="272"/>
      <c r="G2012" s="273"/>
      <c r="H2012" s="274"/>
      <c r="I2012" s="274"/>
      <c r="J2012" s="274"/>
      <c r="K2012" s="274"/>
      <c r="L2012" s="274"/>
      <c r="M2012" s="274"/>
      <c r="N2012" s="274"/>
      <c r="O2012" s="274"/>
      <c r="P2012" s="274"/>
      <c r="Q2012" s="274"/>
      <c r="R2012" s="274"/>
      <c r="S2012" s="274"/>
      <c r="T2012" s="274"/>
      <c r="U2012" s="274"/>
      <c r="V2012" s="274"/>
    </row>
    <row r="2013" spans="1:22" x14ac:dyDescent="0.25">
      <c r="A2013" s="247">
        <v>2011</v>
      </c>
      <c r="B2013" s="270"/>
      <c r="C2013" s="270"/>
      <c r="D2013" s="271"/>
      <c r="E2013" s="272"/>
      <c r="F2013" s="272"/>
      <c r="G2013" s="273"/>
      <c r="H2013" s="274"/>
      <c r="I2013" s="274"/>
      <c r="J2013" s="274"/>
      <c r="K2013" s="274"/>
      <c r="L2013" s="274"/>
      <c r="M2013" s="274"/>
      <c r="N2013" s="274"/>
      <c r="O2013" s="274"/>
      <c r="P2013" s="274"/>
      <c r="Q2013" s="274"/>
      <c r="R2013" s="274"/>
      <c r="S2013" s="274"/>
      <c r="T2013" s="274"/>
      <c r="U2013" s="274"/>
      <c r="V2013" s="274"/>
    </row>
    <row r="2014" spans="1:22" x14ac:dyDescent="0.25">
      <c r="A2014" s="247">
        <v>2012</v>
      </c>
      <c r="B2014" s="270"/>
      <c r="C2014" s="270"/>
      <c r="D2014" s="271"/>
      <c r="E2014" s="272"/>
      <c r="F2014" s="272"/>
      <c r="G2014" s="273"/>
      <c r="H2014" s="274"/>
      <c r="I2014" s="274"/>
      <c r="J2014" s="274"/>
      <c r="K2014" s="274"/>
      <c r="L2014" s="274"/>
      <c r="M2014" s="274"/>
      <c r="N2014" s="274"/>
      <c r="O2014" s="274"/>
      <c r="P2014" s="274"/>
      <c r="Q2014" s="274"/>
      <c r="R2014" s="274"/>
      <c r="S2014" s="274"/>
      <c r="T2014" s="274"/>
      <c r="U2014" s="274"/>
      <c r="V2014" s="274"/>
    </row>
    <row r="2015" spans="1:22" x14ac:dyDescent="0.25">
      <c r="A2015" s="247">
        <v>2013</v>
      </c>
      <c r="B2015" s="270"/>
      <c r="C2015" s="270"/>
      <c r="D2015" s="271"/>
      <c r="E2015" s="272"/>
      <c r="F2015" s="272"/>
      <c r="G2015" s="273"/>
      <c r="H2015" s="274"/>
      <c r="I2015" s="274"/>
      <c r="J2015" s="274"/>
      <c r="K2015" s="274"/>
      <c r="L2015" s="274"/>
      <c r="M2015" s="274"/>
      <c r="N2015" s="274"/>
      <c r="O2015" s="274"/>
      <c r="P2015" s="274"/>
      <c r="Q2015" s="274"/>
      <c r="R2015" s="274"/>
      <c r="S2015" s="274"/>
      <c r="T2015" s="274"/>
      <c r="U2015" s="274"/>
      <c r="V2015" s="274"/>
    </row>
    <row r="2016" spans="1:22" x14ac:dyDescent="0.25">
      <c r="A2016" s="247">
        <v>2014</v>
      </c>
      <c r="B2016" s="270"/>
      <c r="C2016" s="270"/>
      <c r="D2016" s="271"/>
      <c r="E2016" s="272"/>
      <c r="F2016" s="272"/>
      <c r="G2016" s="273"/>
      <c r="H2016" s="274"/>
      <c r="I2016" s="274"/>
      <c r="J2016" s="274"/>
      <c r="K2016" s="274"/>
      <c r="L2016" s="274"/>
      <c r="M2016" s="274"/>
      <c r="N2016" s="274"/>
      <c r="O2016" s="274"/>
      <c r="P2016" s="274"/>
      <c r="Q2016" s="274"/>
      <c r="R2016" s="274"/>
      <c r="S2016" s="274"/>
      <c r="T2016" s="274"/>
      <c r="U2016" s="274"/>
      <c r="V2016" s="274"/>
    </row>
    <row r="2017" spans="1:1" x14ac:dyDescent="0.25">
      <c r="A2017" s="247">
        <v>2015</v>
      </c>
    </row>
    <row r="2018" spans="1:1" x14ac:dyDescent="0.25">
      <c r="A2018" s="247">
        <v>2016</v>
      </c>
    </row>
    <row r="2019" spans="1:1" x14ac:dyDescent="0.25">
      <c r="A2019" s="247">
        <v>2017</v>
      </c>
    </row>
    <row r="2020" spans="1:1" x14ac:dyDescent="0.25">
      <c r="A2020" s="247">
        <v>2018</v>
      </c>
    </row>
    <row r="2021" spans="1:1" x14ac:dyDescent="0.25">
      <c r="A2021" s="247">
        <v>2019</v>
      </c>
    </row>
    <row r="2022" spans="1:1" x14ac:dyDescent="0.25">
      <c r="A2022" s="247">
        <v>2020</v>
      </c>
    </row>
    <row r="2023" spans="1:1" x14ac:dyDescent="0.25">
      <c r="A2023" s="247">
        <v>2021</v>
      </c>
    </row>
    <row r="2024" spans="1:1" x14ac:dyDescent="0.25">
      <c r="A2024" s="247">
        <v>2022</v>
      </c>
    </row>
    <row r="2025" spans="1:1" x14ac:dyDescent="0.25">
      <c r="A2025" s="247">
        <v>2023</v>
      </c>
    </row>
    <row r="2026" spans="1:1" x14ac:dyDescent="0.25">
      <c r="A2026" s="247">
        <v>2024</v>
      </c>
    </row>
    <row r="2027" spans="1:1" x14ac:dyDescent="0.25">
      <c r="A2027" s="247">
        <v>2025</v>
      </c>
    </row>
    <row r="2028" spans="1:1" x14ac:dyDescent="0.25">
      <c r="A2028" s="247">
        <v>2026</v>
      </c>
    </row>
    <row r="2029" spans="1:1" x14ac:dyDescent="0.25">
      <c r="A2029" s="247">
        <v>2027</v>
      </c>
    </row>
    <row r="2030" spans="1:1" x14ac:dyDescent="0.25">
      <c r="A2030" s="247">
        <v>2028</v>
      </c>
    </row>
    <row r="2031" spans="1:1" x14ac:dyDescent="0.25">
      <c r="A2031" s="247">
        <v>2029</v>
      </c>
    </row>
    <row r="2032" spans="1:1" x14ac:dyDescent="0.25">
      <c r="A2032" s="247">
        <v>2030</v>
      </c>
    </row>
    <row r="2033" spans="1:1" x14ac:dyDescent="0.25">
      <c r="A2033" s="247">
        <v>2031</v>
      </c>
    </row>
    <row r="2034" spans="1:1" x14ac:dyDescent="0.25">
      <c r="A2034" s="247">
        <v>2032</v>
      </c>
    </row>
    <row r="2035" spans="1:1" x14ac:dyDescent="0.25">
      <c r="A2035" s="247">
        <v>2033</v>
      </c>
    </row>
    <row r="2036" spans="1:1" x14ac:dyDescent="0.25">
      <c r="A2036" s="247">
        <v>2034</v>
      </c>
    </row>
    <row r="2037" spans="1:1" x14ac:dyDescent="0.25">
      <c r="A2037" s="247">
        <v>2035</v>
      </c>
    </row>
    <row r="2038" spans="1:1" x14ac:dyDescent="0.25">
      <c r="A2038" s="247">
        <v>2036</v>
      </c>
    </row>
    <row r="2039" spans="1:1" x14ac:dyDescent="0.25">
      <c r="A2039" s="247">
        <v>2037</v>
      </c>
    </row>
    <row r="2040" spans="1:1" x14ac:dyDescent="0.25">
      <c r="A2040" s="247">
        <v>2038</v>
      </c>
    </row>
    <row r="2041" spans="1:1" x14ac:dyDescent="0.25">
      <c r="A2041" s="247">
        <v>2039</v>
      </c>
    </row>
    <row r="2042" spans="1:1" x14ac:dyDescent="0.25">
      <c r="A2042" s="247">
        <v>2040</v>
      </c>
    </row>
    <row r="2043" spans="1:1" x14ac:dyDescent="0.25">
      <c r="A2043" s="247">
        <v>2041</v>
      </c>
    </row>
    <row r="2044" spans="1:1" x14ac:dyDescent="0.25">
      <c r="A2044" s="247">
        <v>2042</v>
      </c>
    </row>
    <row r="2045" spans="1:1" x14ac:dyDescent="0.25">
      <c r="A2045" s="247">
        <v>2043</v>
      </c>
    </row>
    <row r="2046" spans="1:1" x14ac:dyDescent="0.25">
      <c r="A2046" s="247">
        <v>2044</v>
      </c>
    </row>
    <row r="2047" spans="1:1" x14ac:dyDescent="0.25">
      <c r="A2047" s="247">
        <v>2045</v>
      </c>
    </row>
    <row r="2048" spans="1:1" x14ac:dyDescent="0.25">
      <c r="A2048" s="247">
        <v>2046</v>
      </c>
    </row>
    <row r="2049" spans="1:1" x14ac:dyDescent="0.25">
      <c r="A2049" s="247">
        <v>2047</v>
      </c>
    </row>
    <row r="2050" spans="1:1" x14ac:dyDescent="0.25">
      <c r="A2050" s="247">
        <v>2048</v>
      </c>
    </row>
    <row r="2051" spans="1:1" x14ac:dyDescent="0.25">
      <c r="A2051" s="247">
        <v>2049</v>
      </c>
    </row>
    <row r="2052" spans="1:1" x14ac:dyDescent="0.25">
      <c r="A2052" s="247">
        <v>2050</v>
      </c>
    </row>
    <row r="2053" spans="1:1" x14ac:dyDescent="0.25">
      <c r="A2053" s="247">
        <v>2051</v>
      </c>
    </row>
    <row r="2054" spans="1:1" x14ac:dyDescent="0.25">
      <c r="A2054" s="247">
        <v>2052</v>
      </c>
    </row>
    <row r="2055" spans="1:1" x14ac:dyDescent="0.25">
      <c r="A2055" s="247">
        <v>2053</v>
      </c>
    </row>
    <row r="2056" spans="1:1" x14ac:dyDescent="0.25">
      <c r="A2056" s="247">
        <v>2054</v>
      </c>
    </row>
    <row r="2057" spans="1:1" x14ac:dyDescent="0.25">
      <c r="A2057" s="247">
        <v>2055</v>
      </c>
    </row>
    <row r="2058" spans="1:1" x14ac:dyDescent="0.25">
      <c r="A2058" s="247">
        <v>2056</v>
      </c>
    </row>
    <row r="2059" spans="1:1" x14ac:dyDescent="0.25">
      <c r="A2059" s="247">
        <v>2057</v>
      </c>
    </row>
    <row r="2060" spans="1:1" x14ac:dyDescent="0.25">
      <c r="A2060" s="247">
        <v>2058</v>
      </c>
    </row>
    <row r="2061" spans="1:1" x14ac:dyDescent="0.25">
      <c r="A2061" s="247">
        <v>2059</v>
      </c>
    </row>
    <row r="2062" spans="1:1" x14ac:dyDescent="0.25">
      <c r="A2062" s="247">
        <v>2060</v>
      </c>
    </row>
    <row r="2063" spans="1:1" x14ac:dyDescent="0.25">
      <c r="A2063" s="247">
        <v>2061</v>
      </c>
    </row>
    <row r="2064" spans="1:1" x14ac:dyDescent="0.25">
      <c r="A2064" s="247">
        <v>2062</v>
      </c>
    </row>
    <row r="2065" spans="1:1" x14ac:dyDescent="0.25">
      <c r="A2065" s="247">
        <v>2063</v>
      </c>
    </row>
    <row r="2066" spans="1:1" x14ac:dyDescent="0.25">
      <c r="A2066" s="247">
        <v>2064</v>
      </c>
    </row>
    <row r="2067" spans="1:1" x14ac:dyDescent="0.25">
      <c r="A2067" s="247">
        <v>2065</v>
      </c>
    </row>
    <row r="2068" spans="1:1" x14ac:dyDescent="0.25">
      <c r="A2068" s="247">
        <v>2066</v>
      </c>
    </row>
    <row r="2069" spans="1:1" x14ac:dyDescent="0.25">
      <c r="A2069" s="247">
        <v>2067</v>
      </c>
    </row>
    <row r="2070" spans="1:1" x14ac:dyDescent="0.25">
      <c r="A2070" s="247">
        <v>2068</v>
      </c>
    </row>
    <row r="2071" spans="1:1" x14ac:dyDescent="0.25">
      <c r="A2071" s="247">
        <v>2069</v>
      </c>
    </row>
    <row r="2072" spans="1:1" x14ac:dyDescent="0.25">
      <c r="A2072" s="247">
        <v>2070</v>
      </c>
    </row>
    <row r="2073" spans="1:1" x14ac:dyDescent="0.25">
      <c r="A2073" s="247">
        <v>2071</v>
      </c>
    </row>
    <row r="2074" spans="1:1" x14ac:dyDescent="0.25">
      <c r="A2074" s="247">
        <v>2072</v>
      </c>
    </row>
    <row r="2075" spans="1:1" x14ac:dyDescent="0.25">
      <c r="A2075" s="247">
        <v>2073</v>
      </c>
    </row>
    <row r="2076" spans="1:1" x14ac:dyDescent="0.25">
      <c r="A2076" s="247">
        <v>2074</v>
      </c>
    </row>
    <row r="2077" spans="1:1" x14ac:dyDescent="0.25">
      <c r="A2077" s="247">
        <v>2075</v>
      </c>
    </row>
    <row r="2078" spans="1:1" x14ac:dyDescent="0.25">
      <c r="A2078" s="247">
        <v>2076</v>
      </c>
    </row>
    <row r="2079" spans="1:1" x14ac:dyDescent="0.25">
      <c r="A2079" s="247">
        <v>2077</v>
      </c>
    </row>
    <row r="2080" spans="1:1" x14ac:dyDescent="0.25">
      <c r="A2080" s="247">
        <v>2078</v>
      </c>
    </row>
    <row r="2081" spans="1:1" x14ac:dyDescent="0.25">
      <c r="A2081" s="247">
        <v>2079</v>
      </c>
    </row>
    <row r="2082" spans="1:1" x14ac:dyDescent="0.25">
      <c r="A2082" s="247">
        <v>2080</v>
      </c>
    </row>
    <row r="2083" spans="1:1" x14ac:dyDescent="0.25">
      <c r="A2083" s="247">
        <v>2081</v>
      </c>
    </row>
    <row r="2084" spans="1:1" x14ac:dyDescent="0.25">
      <c r="A2084" s="247">
        <v>2082</v>
      </c>
    </row>
    <row r="2085" spans="1:1" x14ac:dyDescent="0.25">
      <c r="A2085" s="247">
        <v>2083</v>
      </c>
    </row>
    <row r="2086" spans="1:1" x14ac:dyDescent="0.25">
      <c r="A2086" s="247">
        <v>2084</v>
      </c>
    </row>
    <row r="2087" spans="1:1" x14ac:dyDescent="0.25">
      <c r="A2087" s="247">
        <v>2085</v>
      </c>
    </row>
    <row r="2088" spans="1:1" x14ac:dyDescent="0.25">
      <c r="A2088" s="247">
        <v>2086</v>
      </c>
    </row>
    <row r="2089" spans="1:1" x14ac:dyDescent="0.25">
      <c r="A2089" s="247">
        <v>2087</v>
      </c>
    </row>
    <row r="2090" spans="1:1" x14ac:dyDescent="0.25">
      <c r="A2090" s="247">
        <v>2088</v>
      </c>
    </row>
    <row r="2091" spans="1:1" x14ac:dyDescent="0.25">
      <c r="A2091" s="247">
        <v>2089</v>
      </c>
    </row>
    <row r="2092" spans="1:1" x14ac:dyDescent="0.25">
      <c r="A2092" s="247">
        <v>2090</v>
      </c>
    </row>
    <row r="2093" spans="1:1" x14ac:dyDescent="0.25">
      <c r="A2093" s="247">
        <v>2091</v>
      </c>
    </row>
    <row r="2094" spans="1:1" x14ac:dyDescent="0.25">
      <c r="A2094" s="247">
        <v>2092</v>
      </c>
    </row>
    <row r="2095" spans="1:1" x14ac:dyDescent="0.25">
      <c r="A2095" s="247">
        <v>2093</v>
      </c>
    </row>
    <row r="2096" spans="1:1" x14ac:dyDescent="0.25">
      <c r="A2096" s="247">
        <v>2094</v>
      </c>
    </row>
    <row r="2097" spans="1:1" x14ac:dyDescent="0.25">
      <c r="A2097" s="247">
        <v>2095</v>
      </c>
    </row>
    <row r="2098" spans="1:1" x14ac:dyDescent="0.25">
      <c r="A2098" s="247">
        <v>2096</v>
      </c>
    </row>
    <row r="2099" spans="1:1" x14ac:dyDescent="0.25">
      <c r="A2099" s="247">
        <v>2097</v>
      </c>
    </row>
    <row r="2100" spans="1:1" x14ac:dyDescent="0.25">
      <c r="A2100" s="247">
        <v>2098</v>
      </c>
    </row>
    <row r="2101" spans="1:1" x14ac:dyDescent="0.25">
      <c r="A2101" s="247">
        <v>2099</v>
      </c>
    </row>
    <row r="2102" spans="1:1" x14ac:dyDescent="0.25">
      <c r="A2102" s="247">
        <v>2100</v>
      </c>
    </row>
    <row r="2103" spans="1:1" x14ac:dyDescent="0.25">
      <c r="A2103" s="247">
        <v>2101</v>
      </c>
    </row>
    <row r="2104" spans="1:1" x14ac:dyDescent="0.25">
      <c r="A2104" s="247">
        <v>2102</v>
      </c>
    </row>
    <row r="2105" spans="1:1" x14ac:dyDescent="0.25">
      <c r="A2105" s="247">
        <v>2103</v>
      </c>
    </row>
    <row r="2106" spans="1:1" x14ac:dyDescent="0.25">
      <c r="A2106" s="247">
        <v>2104</v>
      </c>
    </row>
    <row r="2107" spans="1:1" x14ac:dyDescent="0.25">
      <c r="A2107" s="247">
        <v>2105</v>
      </c>
    </row>
    <row r="2108" spans="1:1" x14ac:dyDescent="0.25">
      <c r="A2108" s="247">
        <v>2106</v>
      </c>
    </row>
    <row r="2109" spans="1:1" x14ac:dyDescent="0.25">
      <c r="A2109" s="247">
        <v>2107</v>
      </c>
    </row>
    <row r="2110" spans="1:1" x14ac:dyDescent="0.25">
      <c r="A2110" s="247">
        <v>2108</v>
      </c>
    </row>
    <row r="2111" spans="1:1" x14ac:dyDescent="0.25">
      <c r="A2111" s="247">
        <v>2109</v>
      </c>
    </row>
    <row r="2112" spans="1:1" x14ac:dyDescent="0.25">
      <c r="A2112" s="247">
        <v>2110</v>
      </c>
    </row>
    <row r="2113" spans="1:1" x14ac:dyDescent="0.25">
      <c r="A2113" s="247">
        <v>2111</v>
      </c>
    </row>
    <row r="2114" spans="1:1" x14ac:dyDescent="0.25">
      <c r="A2114" s="247">
        <v>2112</v>
      </c>
    </row>
    <row r="2115" spans="1:1" x14ac:dyDescent="0.25">
      <c r="A2115" s="247">
        <v>2113</v>
      </c>
    </row>
    <row r="2116" spans="1:1" x14ac:dyDescent="0.25">
      <c r="A2116" s="247">
        <v>2114</v>
      </c>
    </row>
    <row r="2117" spans="1:1" x14ac:dyDescent="0.25">
      <c r="A2117" s="247">
        <v>2115</v>
      </c>
    </row>
    <row r="2118" spans="1:1" x14ac:dyDescent="0.25">
      <c r="A2118" s="247">
        <v>2116</v>
      </c>
    </row>
    <row r="2119" spans="1:1" x14ac:dyDescent="0.25">
      <c r="A2119" s="247">
        <v>2117</v>
      </c>
    </row>
    <row r="2120" spans="1:1" x14ac:dyDescent="0.25">
      <c r="A2120" s="247">
        <v>2118</v>
      </c>
    </row>
    <row r="2121" spans="1:1" x14ac:dyDescent="0.25">
      <c r="A2121" s="247">
        <v>2119</v>
      </c>
    </row>
    <row r="2122" spans="1:1" x14ac:dyDescent="0.25">
      <c r="A2122" s="247">
        <v>2120</v>
      </c>
    </row>
    <row r="2123" spans="1:1" x14ac:dyDescent="0.25">
      <c r="A2123" s="247">
        <v>2121</v>
      </c>
    </row>
    <row r="2124" spans="1:1" x14ac:dyDescent="0.25">
      <c r="A2124" s="247">
        <v>2122</v>
      </c>
    </row>
    <row r="2125" spans="1:1" x14ac:dyDescent="0.25">
      <c r="A2125" s="247">
        <v>2123</v>
      </c>
    </row>
    <row r="2126" spans="1:1" x14ac:dyDescent="0.25">
      <c r="A2126" s="247">
        <v>2124</v>
      </c>
    </row>
    <row r="2127" spans="1:1" x14ac:dyDescent="0.25">
      <c r="A2127" s="247">
        <v>2125</v>
      </c>
    </row>
    <row r="2128" spans="1:1" x14ac:dyDescent="0.25">
      <c r="A2128" s="247">
        <v>2126</v>
      </c>
    </row>
    <row r="2129" spans="1:1" x14ac:dyDescent="0.25">
      <c r="A2129" s="247">
        <v>2127</v>
      </c>
    </row>
    <row r="2130" spans="1:1" x14ac:dyDescent="0.25">
      <c r="A2130" s="247">
        <v>2128</v>
      </c>
    </row>
    <row r="2131" spans="1:1" x14ac:dyDescent="0.25">
      <c r="A2131" s="247">
        <v>2129</v>
      </c>
    </row>
    <row r="2132" spans="1:1" x14ac:dyDescent="0.25">
      <c r="A2132" s="247">
        <v>2130</v>
      </c>
    </row>
    <row r="2133" spans="1:1" x14ac:dyDescent="0.25">
      <c r="A2133" s="247">
        <v>2131</v>
      </c>
    </row>
    <row r="2134" spans="1:1" x14ac:dyDescent="0.25">
      <c r="A2134" s="247">
        <v>2132</v>
      </c>
    </row>
    <row r="2135" spans="1:1" x14ac:dyDescent="0.25">
      <c r="A2135" s="247">
        <v>2133</v>
      </c>
    </row>
    <row r="2136" spans="1:1" x14ac:dyDescent="0.25">
      <c r="A2136" s="247">
        <v>2134</v>
      </c>
    </row>
    <row r="2137" spans="1:1" x14ac:dyDescent="0.25">
      <c r="A2137" s="247">
        <v>2135</v>
      </c>
    </row>
    <row r="2138" spans="1:1" x14ac:dyDescent="0.25">
      <c r="A2138" s="247">
        <v>2136</v>
      </c>
    </row>
    <row r="2139" spans="1:1" x14ac:dyDescent="0.25">
      <c r="A2139" s="247">
        <v>2137</v>
      </c>
    </row>
    <row r="2140" spans="1:1" x14ac:dyDescent="0.25">
      <c r="A2140" s="247">
        <v>2138</v>
      </c>
    </row>
    <row r="2141" spans="1:1" x14ac:dyDescent="0.25">
      <c r="A2141" s="247">
        <v>2139</v>
      </c>
    </row>
    <row r="2142" spans="1:1" x14ac:dyDescent="0.25">
      <c r="A2142" s="247">
        <v>2140</v>
      </c>
    </row>
    <row r="2143" spans="1:1" x14ac:dyDescent="0.25">
      <c r="A2143" s="247">
        <v>2141</v>
      </c>
    </row>
    <row r="2144" spans="1:1" x14ac:dyDescent="0.25">
      <c r="A2144" s="247">
        <v>2142</v>
      </c>
    </row>
    <row r="2145" spans="1:1" x14ac:dyDescent="0.25">
      <c r="A2145" s="247">
        <v>2143</v>
      </c>
    </row>
    <row r="2146" spans="1:1" x14ac:dyDescent="0.25">
      <c r="A2146" s="247">
        <v>2144</v>
      </c>
    </row>
    <row r="2147" spans="1:1" x14ac:dyDescent="0.25">
      <c r="A2147" s="247">
        <v>2145</v>
      </c>
    </row>
    <row r="2148" spans="1:1" x14ac:dyDescent="0.25">
      <c r="A2148" s="247">
        <v>2146</v>
      </c>
    </row>
    <row r="2149" spans="1:1" x14ac:dyDescent="0.25">
      <c r="A2149" s="247">
        <v>2147</v>
      </c>
    </row>
    <row r="2150" spans="1:1" x14ac:dyDescent="0.25">
      <c r="A2150" s="247">
        <v>2148</v>
      </c>
    </row>
    <row r="2151" spans="1:1" x14ac:dyDescent="0.25">
      <c r="A2151" s="247">
        <v>2149</v>
      </c>
    </row>
    <row r="2152" spans="1:1" x14ac:dyDescent="0.25">
      <c r="A2152" s="247">
        <v>2150</v>
      </c>
    </row>
    <row r="2153" spans="1:1" x14ac:dyDescent="0.25">
      <c r="A2153" s="247">
        <v>2151</v>
      </c>
    </row>
    <row r="2154" spans="1:1" x14ac:dyDescent="0.25">
      <c r="A2154" s="247">
        <v>2152</v>
      </c>
    </row>
    <row r="2155" spans="1:1" x14ac:dyDescent="0.25">
      <c r="A2155" s="247">
        <v>2153</v>
      </c>
    </row>
    <row r="2156" spans="1:1" x14ac:dyDescent="0.25">
      <c r="A2156" s="247">
        <v>2154</v>
      </c>
    </row>
    <row r="2157" spans="1:1" x14ac:dyDescent="0.25">
      <c r="A2157" s="247">
        <v>2155</v>
      </c>
    </row>
    <row r="2158" spans="1:1" x14ac:dyDescent="0.25">
      <c r="A2158" s="247">
        <v>2156</v>
      </c>
    </row>
    <row r="2159" spans="1:1" x14ac:dyDescent="0.25">
      <c r="A2159" s="247">
        <v>2157</v>
      </c>
    </row>
    <row r="2160" spans="1:1" x14ac:dyDescent="0.25">
      <c r="A2160" s="247">
        <v>2158</v>
      </c>
    </row>
    <row r="2161" spans="1:1" x14ac:dyDescent="0.25">
      <c r="A2161" s="247">
        <v>2159</v>
      </c>
    </row>
    <row r="2162" spans="1:1" x14ac:dyDescent="0.25">
      <c r="A2162" s="247">
        <v>2160</v>
      </c>
    </row>
    <row r="2163" spans="1:1" x14ac:dyDescent="0.25">
      <c r="A2163" s="247">
        <v>2161</v>
      </c>
    </row>
    <row r="2164" spans="1:1" x14ac:dyDescent="0.25">
      <c r="A2164" s="247">
        <v>2162</v>
      </c>
    </row>
    <row r="2165" spans="1:1" x14ac:dyDescent="0.25">
      <c r="A2165" s="247">
        <v>2163</v>
      </c>
    </row>
    <row r="2166" spans="1:1" x14ac:dyDescent="0.25">
      <c r="A2166" s="247">
        <v>2164</v>
      </c>
    </row>
    <row r="2167" spans="1:1" x14ac:dyDescent="0.25">
      <c r="A2167" s="247">
        <v>2165</v>
      </c>
    </row>
    <row r="2168" spans="1:1" x14ac:dyDescent="0.25">
      <c r="A2168" s="247">
        <v>2166</v>
      </c>
    </row>
    <row r="2169" spans="1:1" x14ac:dyDescent="0.25">
      <c r="A2169" s="247">
        <v>2167</v>
      </c>
    </row>
    <row r="2170" spans="1:1" x14ac:dyDescent="0.25">
      <c r="A2170" s="247">
        <v>2168</v>
      </c>
    </row>
    <row r="2171" spans="1:1" x14ac:dyDescent="0.25">
      <c r="A2171" s="247">
        <v>2169</v>
      </c>
    </row>
    <row r="2172" spans="1:1" x14ac:dyDescent="0.25">
      <c r="A2172" s="247">
        <v>2170</v>
      </c>
    </row>
    <row r="2173" spans="1:1" x14ac:dyDescent="0.25">
      <c r="A2173" s="247">
        <v>2171</v>
      </c>
    </row>
    <row r="2174" spans="1:1" x14ac:dyDescent="0.25">
      <c r="A2174" s="247">
        <v>2172</v>
      </c>
    </row>
    <row r="2175" spans="1:1" x14ac:dyDescent="0.25">
      <c r="A2175" s="247">
        <v>2173</v>
      </c>
    </row>
    <row r="2176" spans="1:1" x14ac:dyDescent="0.25">
      <c r="A2176" s="247">
        <v>2174</v>
      </c>
    </row>
    <row r="2177" spans="1:1" x14ac:dyDescent="0.25">
      <c r="A2177" s="247">
        <v>2175</v>
      </c>
    </row>
    <row r="2178" spans="1:1" x14ac:dyDescent="0.25">
      <c r="A2178" s="247">
        <v>2176</v>
      </c>
    </row>
    <row r="2179" spans="1:1" x14ac:dyDescent="0.25">
      <c r="A2179" s="247">
        <v>2177</v>
      </c>
    </row>
    <row r="2180" spans="1:1" x14ac:dyDescent="0.25">
      <c r="A2180" s="247">
        <v>2178</v>
      </c>
    </row>
    <row r="2181" spans="1:1" x14ac:dyDescent="0.25">
      <c r="A2181" s="247">
        <v>2179</v>
      </c>
    </row>
    <row r="2182" spans="1:1" x14ac:dyDescent="0.25">
      <c r="A2182" s="247">
        <v>2180</v>
      </c>
    </row>
    <row r="2183" spans="1:1" x14ac:dyDescent="0.25">
      <c r="A2183" s="247">
        <v>2181</v>
      </c>
    </row>
    <row r="2184" spans="1:1" x14ac:dyDescent="0.25">
      <c r="A2184" s="247">
        <v>2182</v>
      </c>
    </row>
    <row r="2185" spans="1:1" x14ac:dyDescent="0.25">
      <c r="A2185" s="247">
        <v>2183</v>
      </c>
    </row>
    <row r="2186" spans="1:1" x14ac:dyDescent="0.25">
      <c r="A2186" s="247">
        <v>2184</v>
      </c>
    </row>
    <row r="2187" spans="1:1" x14ac:dyDescent="0.25">
      <c r="A2187" s="247">
        <v>2185</v>
      </c>
    </row>
    <row r="2188" spans="1:1" x14ac:dyDescent="0.25">
      <c r="A2188" s="247">
        <v>2186</v>
      </c>
    </row>
    <row r="2189" spans="1:1" x14ac:dyDescent="0.25">
      <c r="A2189" s="247">
        <v>2187</v>
      </c>
    </row>
    <row r="2190" spans="1:1" x14ac:dyDescent="0.25">
      <c r="A2190" s="247">
        <v>2188</v>
      </c>
    </row>
    <row r="2191" spans="1:1" x14ac:dyDescent="0.25">
      <c r="A2191" s="247">
        <v>2189</v>
      </c>
    </row>
    <row r="2192" spans="1:1" x14ac:dyDescent="0.25">
      <c r="A2192" s="247">
        <v>2190</v>
      </c>
    </row>
    <row r="2193" spans="1:1" x14ac:dyDescent="0.25">
      <c r="A2193" s="247">
        <v>2191</v>
      </c>
    </row>
    <row r="2194" spans="1:1" x14ac:dyDescent="0.25">
      <c r="A2194" s="247">
        <v>2192</v>
      </c>
    </row>
    <row r="2195" spans="1:1" x14ac:dyDescent="0.25">
      <c r="A2195" s="247">
        <v>2193</v>
      </c>
    </row>
    <row r="2196" spans="1:1" x14ac:dyDescent="0.25">
      <c r="A2196" s="247">
        <v>2194</v>
      </c>
    </row>
    <row r="2197" spans="1:1" x14ac:dyDescent="0.25">
      <c r="A2197" s="247">
        <v>2195</v>
      </c>
    </row>
    <row r="2198" spans="1:1" x14ac:dyDescent="0.25">
      <c r="A2198" s="247">
        <v>2196</v>
      </c>
    </row>
    <row r="2199" spans="1:1" x14ac:dyDescent="0.25">
      <c r="A2199" s="247">
        <v>2197</v>
      </c>
    </row>
    <row r="2200" spans="1:1" x14ac:dyDescent="0.25">
      <c r="A2200" s="247">
        <v>2198</v>
      </c>
    </row>
    <row r="2201" spans="1:1" x14ac:dyDescent="0.25">
      <c r="A2201" s="247">
        <v>2199</v>
      </c>
    </row>
    <row r="2202" spans="1:1" x14ac:dyDescent="0.25">
      <c r="A2202" s="247">
        <v>2200</v>
      </c>
    </row>
    <row r="2203" spans="1:1" x14ac:dyDescent="0.25">
      <c r="A2203" s="247">
        <v>2201</v>
      </c>
    </row>
    <row r="2204" spans="1:1" x14ac:dyDescent="0.25">
      <c r="A2204" s="247">
        <v>2202</v>
      </c>
    </row>
    <row r="2205" spans="1:1" x14ac:dyDescent="0.25">
      <c r="A2205" s="247">
        <v>2203</v>
      </c>
    </row>
    <row r="2206" spans="1:1" x14ac:dyDescent="0.25">
      <c r="A2206" s="247">
        <v>2204</v>
      </c>
    </row>
    <row r="2207" spans="1:1" x14ac:dyDescent="0.25">
      <c r="A2207" s="247">
        <v>2205</v>
      </c>
    </row>
    <row r="2208" spans="1:1" x14ac:dyDescent="0.25">
      <c r="A2208" s="247">
        <v>2206</v>
      </c>
    </row>
    <row r="2209" spans="1:1" x14ac:dyDescent="0.25">
      <c r="A2209" s="247">
        <v>2207</v>
      </c>
    </row>
    <row r="2210" spans="1:1" x14ac:dyDescent="0.25">
      <c r="A2210" s="247">
        <v>2208</v>
      </c>
    </row>
    <row r="2211" spans="1:1" x14ac:dyDescent="0.25">
      <c r="A2211" s="247">
        <v>2209</v>
      </c>
    </row>
    <row r="2212" spans="1:1" x14ac:dyDescent="0.25">
      <c r="A2212" s="247">
        <v>2210</v>
      </c>
    </row>
    <row r="2213" spans="1:1" x14ac:dyDescent="0.25">
      <c r="A2213" s="247">
        <v>2211</v>
      </c>
    </row>
    <row r="2214" spans="1:1" x14ac:dyDescent="0.25">
      <c r="A2214" s="247">
        <v>2212</v>
      </c>
    </row>
    <row r="2215" spans="1:1" x14ac:dyDescent="0.25">
      <c r="A2215" s="247">
        <v>2213</v>
      </c>
    </row>
    <row r="2216" spans="1:1" x14ac:dyDescent="0.25">
      <c r="A2216" s="247">
        <v>2214</v>
      </c>
    </row>
    <row r="2217" spans="1:1" x14ac:dyDescent="0.25">
      <c r="A2217" s="247">
        <v>2215</v>
      </c>
    </row>
    <row r="2218" spans="1:1" x14ac:dyDescent="0.25">
      <c r="A2218" s="247">
        <v>2216</v>
      </c>
    </row>
    <row r="2219" spans="1:1" x14ac:dyDescent="0.25">
      <c r="A2219" s="247">
        <v>2217</v>
      </c>
    </row>
    <row r="2220" spans="1:1" x14ac:dyDescent="0.25">
      <c r="A2220" s="247">
        <v>2218</v>
      </c>
    </row>
    <row r="2221" spans="1:1" x14ac:dyDescent="0.25">
      <c r="A2221" s="247">
        <v>2219</v>
      </c>
    </row>
    <row r="2222" spans="1:1" x14ac:dyDescent="0.25">
      <c r="A2222" s="247">
        <v>2220</v>
      </c>
    </row>
    <row r="2223" spans="1:1" x14ac:dyDescent="0.25">
      <c r="A2223" s="247">
        <v>2221</v>
      </c>
    </row>
    <row r="2224" spans="1:1" x14ac:dyDescent="0.25">
      <c r="A2224" s="247">
        <v>2222</v>
      </c>
    </row>
    <row r="2225" spans="1:1" x14ac:dyDescent="0.25">
      <c r="A2225" s="247">
        <v>2223</v>
      </c>
    </row>
    <row r="2226" spans="1:1" x14ac:dyDescent="0.25">
      <c r="A2226" s="247">
        <v>2224</v>
      </c>
    </row>
    <row r="2227" spans="1:1" x14ac:dyDescent="0.25">
      <c r="A2227" s="247">
        <v>2225</v>
      </c>
    </row>
    <row r="2228" spans="1:1" x14ac:dyDescent="0.25">
      <c r="A2228" s="247">
        <v>2226</v>
      </c>
    </row>
    <row r="2229" spans="1:1" x14ac:dyDescent="0.25">
      <c r="A2229" s="247">
        <v>2227</v>
      </c>
    </row>
    <row r="2230" spans="1:1" x14ac:dyDescent="0.25">
      <c r="A2230" s="247">
        <v>2228</v>
      </c>
    </row>
    <row r="2231" spans="1:1" x14ac:dyDescent="0.25">
      <c r="A2231" s="247">
        <v>2229</v>
      </c>
    </row>
    <row r="2232" spans="1:1" x14ac:dyDescent="0.25">
      <c r="A2232" s="247">
        <v>2230</v>
      </c>
    </row>
    <row r="2233" spans="1:1" x14ac:dyDescent="0.25">
      <c r="A2233" s="247">
        <v>2231</v>
      </c>
    </row>
    <row r="2234" spans="1:1" x14ac:dyDescent="0.25">
      <c r="A2234" s="247">
        <v>2232</v>
      </c>
    </row>
    <row r="2235" spans="1:1" x14ac:dyDescent="0.25">
      <c r="A2235" s="247">
        <v>2233</v>
      </c>
    </row>
    <row r="2236" spans="1:1" x14ac:dyDescent="0.25">
      <c r="A2236" s="247">
        <v>2234</v>
      </c>
    </row>
    <row r="2237" spans="1:1" x14ac:dyDescent="0.25">
      <c r="A2237" s="247">
        <v>2235</v>
      </c>
    </row>
    <row r="2238" spans="1:1" x14ac:dyDescent="0.25">
      <c r="A2238" s="247">
        <v>2236</v>
      </c>
    </row>
    <row r="2239" spans="1:1" x14ac:dyDescent="0.25">
      <c r="A2239" s="247">
        <v>2237</v>
      </c>
    </row>
    <row r="2240" spans="1:1" x14ac:dyDescent="0.25">
      <c r="A2240" s="247">
        <v>2238</v>
      </c>
    </row>
    <row r="2241" spans="1:1" x14ac:dyDescent="0.25">
      <c r="A2241" s="247">
        <v>2239</v>
      </c>
    </row>
    <row r="2242" spans="1:1" x14ac:dyDescent="0.25">
      <c r="A2242" s="247">
        <v>2240</v>
      </c>
    </row>
    <row r="2243" spans="1:1" x14ac:dyDescent="0.25">
      <c r="A2243" s="247">
        <v>2241</v>
      </c>
    </row>
    <row r="2244" spans="1:1" x14ac:dyDescent="0.25">
      <c r="A2244" s="247">
        <v>2242</v>
      </c>
    </row>
    <row r="2245" spans="1:1" x14ac:dyDescent="0.25">
      <c r="A2245" s="247">
        <v>2243</v>
      </c>
    </row>
    <row r="2246" spans="1:1" x14ac:dyDescent="0.25">
      <c r="A2246" s="247">
        <v>2244</v>
      </c>
    </row>
    <row r="2247" spans="1:1" x14ac:dyDescent="0.25">
      <c r="A2247" s="247">
        <v>2245</v>
      </c>
    </row>
    <row r="2248" spans="1:1" x14ac:dyDescent="0.25">
      <c r="A2248" s="247">
        <v>2246</v>
      </c>
    </row>
    <row r="2249" spans="1:1" x14ac:dyDescent="0.25">
      <c r="A2249" s="247">
        <v>2247</v>
      </c>
    </row>
    <row r="2250" spans="1:1" x14ac:dyDescent="0.25">
      <c r="A2250" s="247">
        <v>2248</v>
      </c>
    </row>
    <row r="2251" spans="1:1" x14ac:dyDescent="0.25">
      <c r="A2251" s="247">
        <v>2249</v>
      </c>
    </row>
    <row r="2252" spans="1:1" x14ac:dyDescent="0.25">
      <c r="A2252" s="247">
        <v>2250</v>
      </c>
    </row>
    <row r="2253" spans="1:1" x14ac:dyDescent="0.25">
      <c r="A2253" s="247">
        <v>2251</v>
      </c>
    </row>
    <row r="2254" spans="1:1" x14ac:dyDescent="0.25">
      <c r="A2254" s="247">
        <v>2252</v>
      </c>
    </row>
    <row r="2255" spans="1:1" x14ac:dyDescent="0.25">
      <c r="A2255" s="247">
        <v>2253</v>
      </c>
    </row>
    <row r="2256" spans="1:1" x14ac:dyDescent="0.25">
      <c r="A2256" s="247">
        <v>2254</v>
      </c>
    </row>
    <row r="2257" spans="1:1" x14ac:dyDescent="0.25">
      <c r="A2257" s="247">
        <v>2255</v>
      </c>
    </row>
    <row r="2258" spans="1:1" x14ac:dyDescent="0.25">
      <c r="A2258" s="247">
        <v>2256</v>
      </c>
    </row>
    <row r="2259" spans="1:1" x14ac:dyDescent="0.25">
      <c r="A2259" s="247">
        <v>2257</v>
      </c>
    </row>
    <row r="2260" spans="1:1" x14ac:dyDescent="0.25">
      <c r="A2260" s="247">
        <v>2258</v>
      </c>
    </row>
    <row r="2261" spans="1:1" x14ac:dyDescent="0.25">
      <c r="A2261" s="247">
        <v>2259</v>
      </c>
    </row>
    <row r="2262" spans="1:1" x14ac:dyDescent="0.25">
      <c r="A2262" s="247">
        <v>2260</v>
      </c>
    </row>
    <row r="2263" spans="1:1" x14ac:dyDescent="0.25">
      <c r="A2263" s="247">
        <v>2261</v>
      </c>
    </row>
    <row r="2264" spans="1:1" x14ac:dyDescent="0.25">
      <c r="A2264" s="247">
        <v>2262</v>
      </c>
    </row>
    <row r="2265" spans="1:1" x14ac:dyDescent="0.25">
      <c r="A2265" s="247">
        <v>2263</v>
      </c>
    </row>
    <row r="2266" spans="1:1" x14ac:dyDescent="0.25">
      <c r="A2266" s="247">
        <v>2264</v>
      </c>
    </row>
    <row r="2267" spans="1:1" x14ac:dyDescent="0.25">
      <c r="A2267" s="247">
        <v>2265</v>
      </c>
    </row>
    <row r="2268" spans="1:1" x14ac:dyDescent="0.25">
      <c r="A2268" s="247">
        <v>2266</v>
      </c>
    </row>
    <row r="2269" spans="1:1" x14ac:dyDescent="0.25">
      <c r="A2269" s="247">
        <v>2267</v>
      </c>
    </row>
    <row r="2270" spans="1:1" x14ac:dyDescent="0.25">
      <c r="A2270" s="247">
        <v>2268</v>
      </c>
    </row>
    <row r="2271" spans="1:1" x14ac:dyDescent="0.25">
      <c r="A2271" s="247">
        <v>2269</v>
      </c>
    </row>
    <row r="2272" spans="1:1" x14ac:dyDescent="0.25">
      <c r="A2272" s="247">
        <v>2270</v>
      </c>
    </row>
    <row r="2273" spans="1:1" x14ac:dyDescent="0.25">
      <c r="A2273" s="247">
        <v>2271</v>
      </c>
    </row>
    <row r="2274" spans="1:1" x14ac:dyDescent="0.25">
      <c r="A2274" s="247">
        <v>2272</v>
      </c>
    </row>
    <row r="2275" spans="1:1" x14ac:dyDescent="0.25">
      <c r="A2275" s="247">
        <v>2273</v>
      </c>
    </row>
    <row r="2276" spans="1:1" x14ac:dyDescent="0.25">
      <c r="A2276" s="247">
        <v>2274</v>
      </c>
    </row>
    <row r="2277" spans="1:1" x14ac:dyDescent="0.25">
      <c r="A2277" s="247">
        <v>2275</v>
      </c>
    </row>
    <row r="2278" spans="1:1" x14ac:dyDescent="0.25">
      <c r="A2278" s="247">
        <v>2276</v>
      </c>
    </row>
    <row r="2279" spans="1:1" x14ac:dyDescent="0.25">
      <c r="A2279" s="247">
        <v>2277</v>
      </c>
    </row>
    <row r="2280" spans="1:1" x14ac:dyDescent="0.25">
      <c r="A2280" s="247">
        <v>2278</v>
      </c>
    </row>
    <row r="2281" spans="1:1" x14ac:dyDescent="0.25">
      <c r="A2281" s="247">
        <v>2279</v>
      </c>
    </row>
    <row r="2282" spans="1:1" x14ac:dyDescent="0.25">
      <c r="A2282" s="247">
        <v>2280</v>
      </c>
    </row>
    <row r="2283" spans="1:1" x14ac:dyDescent="0.25">
      <c r="A2283" s="247">
        <v>2281</v>
      </c>
    </row>
    <row r="2284" spans="1:1" x14ac:dyDescent="0.25">
      <c r="A2284" s="247">
        <v>2282</v>
      </c>
    </row>
    <row r="2285" spans="1:1" x14ac:dyDescent="0.25">
      <c r="A2285" s="247">
        <v>2283</v>
      </c>
    </row>
    <row r="2286" spans="1:1" x14ac:dyDescent="0.25">
      <c r="A2286" s="247">
        <v>2284</v>
      </c>
    </row>
    <row r="2287" spans="1:1" x14ac:dyDescent="0.25">
      <c r="A2287" s="247">
        <v>2285</v>
      </c>
    </row>
    <row r="2288" spans="1:1" x14ac:dyDescent="0.25">
      <c r="A2288" s="247">
        <v>2286</v>
      </c>
    </row>
    <row r="2289" spans="1:1" x14ac:dyDescent="0.25">
      <c r="A2289" s="247">
        <v>2287</v>
      </c>
    </row>
    <row r="2290" spans="1:1" x14ac:dyDescent="0.25">
      <c r="A2290" s="247">
        <v>2288</v>
      </c>
    </row>
    <row r="2291" spans="1:1" x14ac:dyDescent="0.25">
      <c r="A2291" s="247">
        <v>2289</v>
      </c>
    </row>
    <row r="2292" spans="1:1" x14ac:dyDescent="0.25">
      <c r="A2292" s="247">
        <v>2290</v>
      </c>
    </row>
    <row r="2293" spans="1:1" x14ac:dyDescent="0.25">
      <c r="A2293" s="247">
        <v>2291</v>
      </c>
    </row>
    <row r="2294" spans="1:1" x14ac:dyDescent="0.25">
      <c r="A2294" s="247">
        <v>2292</v>
      </c>
    </row>
    <row r="2295" spans="1:1" x14ac:dyDescent="0.25">
      <c r="A2295" s="247">
        <v>2293</v>
      </c>
    </row>
    <row r="2296" spans="1:1" x14ac:dyDescent="0.25">
      <c r="A2296" s="247">
        <v>2294</v>
      </c>
    </row>
    <row r="2297" spans="1:1" x14ac:dyDescent="0.25">
      <c r="A2297" s="247">
        <v>2295</v>
      </c>
    </row>
    <row r="2298" spans="1:1" x14ac:dyDescent="0.25">
      <c r="A2298" s="247">
        <v>2296</v>
      </c>
    </row>
    <row r="2299" spans="1:1" x14ac:dyDescent="0.25">
      <c r="A2299" s="247">
        <v>2297</v>
      </c>
    </row>
    <row r="2300" spans="1:1" x14ac:dyDescent="0.25">
      <c r="A2300" s="247">
        <v>2298</v>
      </c>
    </row>
    <row r="2301" spans="1:1" x14ac:dyDescent="0.25">
      <c r="A2301" s="247">
        <v>2299</v>
      </c>
    </row>
    <row r="2302" spans="1:1" x14ac:dyDescent="0.25">
      <c r="A2302" s="247">
        <v>2300</v>
      </c>
    </row>
    <row r="2303" spans="1:1" x14ac:dyDescent="0.25">
      <c r="A2303" s="247">
        <v>2301</v>
      </c>
    </row>
    <row r="2304" spans="1:1" x14ac:dyDescent="0.25">
      <c r="A2304" s="247">
        <v>2302</v>
      </c>
    </row>
    <row r="2305" spans="1:1" x14ac:dyDescent="0.25">
      <c r="A2305" s="247">
        <v>2303</v>
      </c>
    </row>
    <row r="2306" spans="1:1" x14ac:dyDescent="0.25">
      <c r="A2306" s="247">
        <v>2304</v>
      </c>
    </row>
    <row r="2307" spans="1:1" x14ac:dyDescent="0.25">
      <c r="A2307" s="247">
        <v>2305</v>
      </c>
    </row>
    <row r="2308" spans="1:1" x14ac:dyDescent="0.25">
      <c r="A2308" s="247">
        <v>2306</v>
      </c>
    </row>
    <row r="2309" spans="1:1" x14ac:dyDescent="0.25">
      <c r="A2309" s="247">
        <v>2307</v>
      </c>
    </row>
    <row r="2310" spans="1:1" x14ac:dyDescent="0.25">
      <c r="A2310" s="247">
        <v>2308</v>
      </c>
    </row>
    <row r="2311" spans="1:1" x14ac:dyDescent="0.25">
      <c r="A2311" s="247">
        <v>2309</v>
      </c>
    </row>
    <row r="2312" spans="1:1" x14ac:dyDescent="0.25">
      <c r="A2312" s="247">
        <v>2310</v>
      </c>
    </row>
    <row r="2313" spans="1:1" x14ac:dyDescent="0.25">
      <c r="A2313" s="247">
        <v>2311</v>
      </c>
    </row>
    <row r="2314" spans="1:1" x14ac:dyDescent="0.25">
      <c r="A2314" s="247">
        <v>2312</v>
      </c>
    </row>
    <row r="2315" spans="1:1" x14ac:dyDescent="0.25">
      <c r="A2315" s="247">
        <v>2313</v>
      </c>
    </row>
    <row r="2316" spans="1:1" x14ac:dyDescent="0.25">
      <c r="A2316" s="247">
        <v>2314</v>
      </c>
    </row>
    <row r="2317" spans="1:1" x14ac:dyDescent="0.25">
      <c r="A2317" s="247">
        <v>2315</v>
      </c>
    </row>
    <row r="2318" spans="1:1" x14ac:dyDescent="0.25">
      <c r="A2318" s="247">
        <v>2316</v>
      </c>
    </row>
    <row r="2319" spans="1:1" x14ac:dyDescent="0.25">
      <c r="A2319" s="247">
        <v>2317</v>
      </c>
    </row>
    <row r="2320" spans="1:1" x14ac:dyDescent="0.25">
      <c r="A2320" s="247">
        <v>2318</v>
      </c>
    </row>
    <row r="2321" spans="1:1" x14ac:dyDescent="0.25">
      <c r="A2321" s="247">
        <v>2319</v>
      </c>
    </row>
    <row r="2322" spans="1:1" x14ac:dyDescent="0.25">
      <c r="A2322" s="247">
        <v>2320</v>
      </c>
    </row>
    <row r="2323" spans="1:1" x14ac:dyDescent="0.25">
      <c r="A2323" s="247">
        <v>2321</v>
      </c>
    </row>
    <row r="2324" spans="1:1" x14ac:dyDescent="0.25">
      <c r="A2324" s="247">
        <v>2322</v>
      </c>
    </row>
    <row r="2325" spans="1:1" x14ac:dyDescent="0.25">
      <c r="A2325" s="247">
        <v>2323</v>
      </c>
    </row>
    <row r="2326" spans="1:1" x14ac:dyDescent="0.25">
      <c r="A2326" s="247">
        <v>2324</v>
      </c>
    </row>
    <row r="2327" spans="1:1" x14ac:dyDescent="0.25">
      <c r="A2327" s="247">
        <v>2325</v>
      </c>
    </row>
    <row r="2328" spans="1:1" x14ac:dyDescent="0.25">
      <c r="A2328" s="247">
        <v>2326</v>
      </c>
    </row>
    <row r="2329" spans="1:1" x14ac:dyDescent="0.25">
      <c r="A2329" s="247">
        <v>2327</v>
      </c>
    </row>
    <row r="2330" spans="1:1" x14ac:dyDescent="0.25">
      <c r="A2330" s="247">
        <v>2328</v>
      </c>
    </row>
    <row r="2331" spans="1:1" x14ac:dyDescent="0.25">
      <c r="A2331" s="247">
        <v>2329</v>
      </c>
    </row>
    <row r="2332" spans="1:1" x14ac:dyDescent="0.25">
      <c r="A2332" s="247">
        <v>2330</v>
      </c>
    </row>
    <row r="2333" spans="1:1" x14ac:dyDescent="0.25">
      <c r="A2333" s="247">
        <v>2331</v>
      </c>
    </row>
    <row r="2334" spans="1:1" x14ac:dyDescent="0.25">
      <c r="A2334" s="247">
        <v>2332</v>
      </c>
    </row>
    <row r="2335" spans="1:1" x14ac:dyDescent="0.25">
      <c r="A2335" s="247">
        <v>2333</v>
      </c>
    </row>
    <row r="2336" spans="1:1" x14ac:dyDescent="0.25">
      <c r="A2336" s="247">
        <v>2334</v>
      </c>
    </row>
    <row r="2337" spans="1:1" x14ac:dyDescent="0.25">
      <c r="A2337" s="247">
        <v>2335</v>
      </c>
    </row>
    <row r="2338" spans="1:1" x14ac:dyDescent="0.25">
      <c r="A2338" s="247">
        <v>2336</v>
      </c>
    </row>
    <row r="2339" spans="1:1" x14ac:dyDescent="0.25">
      <c r="A2339" s="247">
        <v>2337</v>
      </c>
    </row>
    <row r="2340" spans="1:1" x14ac:dyDescent="0.25">
      <c r="A2340" s="247">
        <v>2338</v>
      </c>
    </row>
    <row r="2341" spans="1:1" x14ac:dyDescent="0.25">
      <c r="A2341" s="247">
        <v>2339</v>
      </c>
    </row>
    <row r="2342" spans="1:1" x14ac:dyDescent="0.25">
      <c r="A2342" s="247">
        <v>2340</v>
      </c>
    </row>
    <row r="2343" spans="1:1" x14ac:dyDescent="0.25">
      <c r="A2343" s="247">
        <v>2341</v>
      </c>
    </row>
    <row r="2344" spans="1:1" x14ac:dyDescent="0.25">
      <c r="A2344" s="247">
        <v>2342</v>
      </c>
    </row>
    <row r="2345" spans="1:1" x14ac:dyDescent="0.25">
      <c r="A2345" s="247">
        <v>2343</v>
      </c>
    </row>
    <row r="2346" spans="1:1" x14ac:dyDescent="0.25">
      <c r="A2346" s="247">
        <v>2344</v>
      </c>
    </row>
    <row r="2347" spans="1:1" x14ac:dyDescent="0.25">
      <c r="A2347" s="247">
        <v>2345</v>
      </c>
    </row>
    <row r="2348" spans="1:1" x14ac:dyDescent="0.25">
      <c r="A2348" s="247">
        <v>2346</v>
      </c>
    </row>
    <row r="2349" spans="1:1" x14ac:dyDescent="0.25">
      <c r="A2349" s="247">
        <v>2347</v>
      </c>
    </row>
    <row r="2350" spans="1:1" x14ac:dyDescent="0.25">
      <c r="A2350" s="247">
        <v>2348</v>
      </c>
    </row>
    <row r="2351" spans="1:1" x14ac:dyDescent="0.25">
      <c r="A2351" s="247">
        <v>2349</v>
      </c>
    </row>
    <row r="2352" spans="1:1" x14ac:dyDescent="0.25">
      <c r="A2352" s="247">
        <v>2350</v>
      </c>
    </row>
    <row r="2353" spans="1:1" x14ac:dyDescent="0.25">
      <c r="A2353" s="247">
        <v>2351</v>
      </c>
    </row>
    <row r="2354" spans="1:1" x14ac:dyDescent="0.25">
      <c r="A2354" s="247">
        <v>2352</v>
      </c>
    </row>
    <row r="2355" spans="1:1" x14ac:dyDescent="0.25">
      <c r="A2355" s="247">
        <v>2353</v>
      </c>
    </row>
    <row r="2356" spans="1:1" x14ac:dyDescent="0.25">
      <c r="A2356" s="247">
        <v>2354</v>
      </c>
    </row>
    <row r="2357" spans="1:1" x14ac:dyDescent="0.25">
      <c r="A2357" s="247">
        <v>2355</v>
      </c>
    </row>
    <row r="2358" spans="1:1" x14ac:dyDescent="0.25">
      <c r="A2358" s="247">
        <v>2356</v>
      </c>
    </row>
    <row r="2359" spans="1:1" x14ac:dyDescent="0.25">
      <c r="A2359" s="247">
        <v>2357</v>
      </c>
    </row>
    <row r="2360" spans="1:1" x14ac:dyDescent="0.25">
      <c r="A2360" s="247">
        <v>2358</v>
      </c>
    </row>
    <row r="2361" spans="1:1" x14ac:dyDescent="0.25">
      <c r="A2361" s="247">
        <v>2359</v>
      </c>
    </row>
    <row r="2362" spans="1:1" x14ac:dyDescent="0.25">
      <c r="A2362" s="247">
        <v>2360</v>
      </c>
    </row>
    <row r="2363" spans="1:1" x14ac:dyDescent="0.25">
      <c r="A2363" s="247">
        <v>2361</v>
      </c>
    </row>
    <row r="2364" spans="1:1" x14ac:dyDescent="0.25">
      <c r="A2364" s="247">
        <v>2362</v>
      </c>
    </row>
    <row r="2365" spans="1:1" x14ac:dyDescent="0.25">
      <c r="A2365" s="247">
        <v>2363</v>
      </c>
    </row>
    <row r="2366" spans="1:1" x14ac:dyDescent="0.25">
      <c r="A2366" s="247">
        <v>2364</v>
      </c>
    </row>
    <row r="2367" spans="1:1" x14ac:dyDescent="0.25">
      <c r="A2367" s="247">
        <v>2365</v>
      </c>
    </row>
    <row r="2368" spans="1:1" x14ac:dyDescent="0.25">
      <c r="A2368" s="247">
        <v>2366</v>
      </c>
    </row>
    <row r="2369" spans="1:1" x14ac:dyDescent="0.25">
      <c r="A2369" s="247">
        <v>2367</v>
      </c>
    </row>
    <row r="2370" spans="1:1" x14ac:dyDescent="0.25">
      <c r="A2370" s="247">
        <v>2368</v>
      </c>
    </row>
    <row r="2371" spans="1:1" x14ac:dyDescent="0.25">
      <c r="A2371" s="247">
        <v>2369</v>
      </c>
    </row>
    <row r="2372" spans="1:1" x14ac:dyDescent="0.25">
      <c r="A2372" s="247">
        <v>2370</v>
      </c>
    </row>
    <row r="2373" spans="1:1" x14ac:dyDescent="0.25">
      <c r="A2373" s="247">
        <v>2371</v>
      </c>
    </row>
    <row r="2374" spans="1:1" x14ac:dyDescent="0.25">
      <c r="A2374" s="247">
        <v>2372</v>
      </c>
    </row>
    <row r="2375" spans="1:1" x14ac:dyDescent="0.25">
      <c r="A2375" s="247">
        <v>2373</v>
      </c>
    </row>
    <row r="2376" spans="1:1" x14ac:dyDescent="0.25">
      <c r="A2376" s="247">
        <v>2374</v>
      </c>
    </row>
    <row r="2377" spans="1:1" x14ac:dyDescent="0.25">
      <c r="A2377" s="247">
        <v>2375</v>
      </c>
    </row>
    <row r="2378" spans="1:1" x14ac:dyDescent="0.25">
      <c r="A2378" s="247">
        <v>2376</v>
      </c>
    </row>
    <row r="2379" spans="1:1" x14ac:dyDescent="0.25">
      <c r="A2379" s="247">
        <v>2377</v>
      </c>
    </row>
    <row r="2380" spans="1:1" x14ac:dyDescent="0.25">
      <c r="A2380" s="247">
        <v>2378</v>
      </c>
    </row>
    <row r="2381" spans="1:1" x14ac:dyDescent="0.25">
      <c r="A2381" s="247">
        <v>2379</v>
      </c>
    </row>
    <row r="2382" spans="1:1" x14ac:dyDescent="0.25">
      <c r="A2382" s="247">
        <v>2380</v>
      </c>
    </row>
    <row r="2383" spans="1:1" x14ac:dyDescent="0.25">
      <c r="A2383" s="247">
        <v>2381</v>
      </c>
    </row>
    <row r="2384" spans="1:1" x14ac:dyDescent="0.25">
      <c r="A2384" s="247">
        <v>2382</v>
      </c>
    </row>
    <row r="2385" spans="1:1" x14ac:dyDescent="0.25">
      <c r="A2385" s="247">
        <v>2383</v>
      </c>
    </row>
    <row r="2386" spans="1:1" x14ac:dyDescent="0.25">
      <c r="A2386" s="247">
        <v>2384</v>
      </c>
    </row>
    <row r="2387" spans="1:1" x14ac:dyDescent="0.25">
      <c r="A2387" s="247">
        <v>2385</v>
      </c>
    </row>
    <row r="2388" spans="1:1" x14ac:dyDescent="0.25">
      <c r="A2388" s="247">
        <v>2386</v>
      </c>
    </row>
    <row r="2389" spans="1:1" x14ac:dyDescent="0.25">
      <c r="A2389" s="247">
        <v>2387</v>
      </c>
    </row>
    <row r="2390" spans="1:1" x14ac:dyDescent="0.25">
      <c r="A2390" s="247">
        <v>2388</v>
      </c>
    </row>
    <row r="2391" spans="1:1" x14ac:dyDescent="0.25">
      <c r="A2391" s="247">
        <v>2389</v>
      </c>
    </row>
    <row r="2392" spans="1:1" x14ac:dyDescent="0.25">
      <c r="A2392" s="247">
        <v>2390</v>
      </c>
    </row>
    <row r="2393" spans="1:1" x14ac:dyDescent="0.25">
      <c r="A2393" s="247">
        <v>2391</v>
      </c>
    </row>
    <row r="2394" spans="1:1" x14ac:dyDescent="0.25">
      <c r="A2394" s="247">
        <v>2392</v>
      </c>
    </row>
    <row r="2395" spans="1:1" x14ac:dyDescent="0.25">
      <c r="A2395" s="247">
        <v>2393</v>
      </c>
    </row>
    <row r="2396" spans="1:1" x14ac:dyDescent="0.25">
      <c r="A2396" s="247">
        <v>2394</v>
      </c>
    </row>
    <row r="2397" spans="1:1" x14ac:dyDescent="0.25">
      <c r="A2397" s="247">
        <v>2395</v>
      </c>
    </row>
    <row r="2398" spans="1:1" x14ac:dyDescent="0.25">
      <c r="A2398" s="247">
        <v>2396</v>
      </c>
    </row>
    <row r="2399" spans="1:1" x14ac:dyDescent="0.25">
      <c r="A2399" s="247">
        <v>2397</v>
      </c>
    </row>
    <row r="2400" spans="1:1" x14ac:dyDescent="0.25">
      <c r="A2400" s="247">
        <v>2398</v>
      </c>
    </row>
    <row r="2401" spans="1:1" x14ac:dyDescent="0.25">
      <c r="A2401" s="247">
        <v>2399</v>
      </c>
    </row>
    <row r="2402" spans="1:1" x14ac:dyDescent="0.25">
      <c r="A2402" s="247">
        <v>2400</v>
      </c>
    </row>
    <row r="2403" spans="1:1" x14ac:dyDescent="0.25">
      <c r="A2403" s="247">
        <v>2401</v>
      </c>
    </row>
    <row r="2404" spans="1:1" x14ac:dyDescent="0.25">
      <c r="A2404" s="247">
        <v>2402</v>
      </c>
    </row>
    <row r="2405" spans="1:1" x14ac:dyDescent="0.25">
      <c r="A2405" s="247">
        <v>2403</v>
      </c>
    </row>
    <row r="2406" spans="1:1" x14ac:dyDescent="0.25">
      <c r="A2406" s="247">
        <v>2404</v>
      </c>
    </row>
    <row r="2407" spans="1:1" x14ac:dyDescent="0.25">
      <c r="A2407" s="247">
        <v>2405</v>
      </c>
    </row>
    <row r="2408" spans="1:1" x14ac:dyDescent="0.25">
      <c r="A2408" s="247">
        <v>2406</v>
      </c>
    </row>
    <row r="2409" spans="1:1" x14ac:dyDescent="0.25">
      <c r="A2409" s="247">
        <v>2407</v>
      </c>
    </row>
    <row r="2410" spans="1:1" x14ac:dyDescent="0.25">
      <c r="A2410" s="247">
        <v>2408</v>
      </c>
    </row>
    <row r="2411" spans="1:1" x14ac:dyDescent="0.25">
      <c r="A2411" s="247">
        <v>2409</v>
      </c>
    </row>
    <row r="2412" spans="1:1" x14ac:dyDescent="0.25">
      <c r="A2412" s="247">
        <v>2410</v>
      </c>
    </row>
    <row r="2413" spans="1:1" x14ac:dyDescent="0.25">
      <c r="A2413" s="247">
        <v>2411</v>
      </c>
    </row>
    <row r="2414" spans="1:1" x14ac:dyDescent="0.25">
      <c r="A2414" s="247">
        <v>2412</v>
      </c>
    </row>
    <row r="2415" spans="1:1" x14ac:dyDescent="0.25">
      <c r="A2415" s="247">
        <v>2413</v>
      </c>
    </row>
    <row r="2416" spans="1:1" x14ac:dyDescent="0.25">
      <c r="A2416" s="247">
        <v>2414</v>
      </c>
    </row>
    <row r="2417" spans="1:1" x14ac:dyDescent="0.25">
      <c r="A2417" s="247">
        <v>2415</v>
      </c>
    </row>
    <row r="2418" spans="1:1" x14ac:dyDescent="0.25">
      <c r="A2418" s="247">
        <v>2416</v>
      </c>
    </row>
    <row r="2419" spans="1:1" x14ac:dyDescent="0.25">
      <c r="A2419" s="247">
        <v>2417</v>
      </c>
    </row>
    <row r="2420" spans="1:1" x14ac:dyDescent="0.25">
      <c r="A2420" s="247">
        <v>2418</v>
      </c>
    </row>
    <row r="2421" spans="1:1" x14ac:dyDescent="0.25">
      <c r="A2421" s="247">
        <v>2419</v>
      </c>
    </row>
    <row r="2422" spans="1:1" x14ac:dyDescent="0.25">
      <c r="A2422" s="247">
        <v>2420</v>
      </c>
    </row>
    <row r="2423" spans="1:1" x14ac:dyDescent="0.25">
      <c r="A2423" s="247">
        <v>2421</v>
      </c>
    </row>
    <row r="2424" spans="1:1" x14ac:dyDescent="0.25">
      <c r="A2424" s="247">
        <v>2422</v>
      </c>
    </row>
    <row r="2425" spans="1:1" x14ac:dyDescent="0.25">
      <c r="A2425" s="247">
        <v>2423</v>
      </c>
    </row>
    <row r="2426" spans="1:1" x14ac:dyDescent="0.25">
      <c r="A2426" s="247">
        <v>2424</v>
      </c>
    </row>
    <row r="2427" spans="1:1" x14ac:dyDescent="0.25">
      <c r="A2427" s="247">
        <v>2425</v>
      </c>
    </row>
    <row r="2428" spans="1:1" x14ac:dyDescent="0.25">
      <c r="A2428" s="247">
        <v>2426</v>
      </c>
    </row>
    <row r="2429" spans="1:1" x14ac:dyDescent="0.25">
      <c r="A2429" s="247">
        <v>2427</v>
      </c>
    </row>
    <row r="2430" spans="1:1" x14ac:dyDescent="0.25">
      <c r="A2430" s="247">
        <v>2428</v>
      </c>
    </row>
    <row r="2431" spans="1:1" x14ac:dyDescent="0.25">
      <c r="A2431" s="247">
        <v>2429</v>
      </c>
    </row>
    <row r="2432" spans="1:1" x14ac:dyDescent="0.25">
      <c r="A2432" s="247">
        <v>2430</v>
      </c>
    </row>
    <row r="2433" spans="1:1" x14ac:dyDescent="0.25">
      <c r="A2433" s="247">
        <v>2431</v>
      </c>
    </row>
    <row r="2434" spans="1:1" x14ac:dyDescent="0.25">
      <c r="A2434" s="247">
        <v>2432</v>
      </c>
    </row>
    <row r="2435" spans="1:1" x14ac:dyDescent="0.25">
      <c r="A2435" s="247">
        <v>2433</v>
      </c>
    </row>
    <row r="2436" spans="1:1" x14ac:dyDescent="0.25">
      <c r="A2436" s="247">
        <v>2434</v>
      </c>
    </row>
    <row r="2437" spans="1:1" x14ac:dyDescent="0.25">
      <c r="A2437" s="247">
        <v>2435</v>
      </c>
    </row>
    <row r="2438" spans="1:1" x14ac:dyDescent="0.25">
      <c r="A2438" s="247">
        <v>2436</v>
      </c>
    </row>
    <row r="2439" spans="1:1" x14ac:dyDescent="0.25">
      <c r="A2439" s="247">
        <v>2437</v>
      </c>
    </row>
    <row r="2440" spans="1:1" x14ac:dyDescent="0.25">
      <c r="A2440" s="247">
        <v>2438</v>
      </c>
    </row>
    <row r="2441" spans="1:1" x14ac:dyDescent="0.25">
      <c r="A2441" s="247">
        <v>2439</v>
      </c>
    </row>
    <row r="2442" spans="1:1" x14ac:dyDescent="0.25">
      <c r="A2442" s="247">
        <v>2440</v>
      </c>
    </row>
    <row r="2443" spans="1:1" x14ac:dyDescent="0.25">
      <c r="A2443" s="247">
        <v>2441</v>
      </c>
    </row>
    <row r="2444" spans="1:1" x14ac:dyDescent="0.25">
      <c r="A2444" s="247">
        <v>2442</v>
      </c>
    </row>
    <row r="2445" spans="1:1" x14ac:dyDescent="0.25">
      <c r="A2445" s="247">
        <v>2443</v>
      </c>
    </row>
    <row r="2446" spans="1:1" x14ac:dyDescent="0.25">
      <c r="A2446" s="247">
        <v>2444</v>
      </c>
    </row>
    <row r="2447" spans="1:1" x14ac:dyDescent="0.25">
      <c r="A2447" s="247">
        <v>2445</v>
      </c>
    </row>
    <row r="2448" spans="1:1" x14ac:dyDescent="0.25">
      <c r="A2448" s="247">
        <v>2446</v>
      </c>
    </row>
    <row r="2449" spans="1:1" x14ac:dyDescent="0.25">
      <c r="A2449" s="247">
        <v>2447</v>
      </c>
    </row>
    <row r="2450" spans="1:1" x14ac:dyDescent="0.25">
      <c r="A2450" s="247">
        <v>2448</v>
      </c>
    </row>
    <row r="2451" spans="1:1" x14ac:dyDescent="0.25">
      <c r="A2451" s="247">
        <v>2449</v>
      </c>
    </row>
    <row r="2452" spans="1:1" x14ac:dyDescent="0.25">
      <c r="A2452" s="247">
        <v>2450</v>
      </c>
    </row>
    <row r="2453" spans="1:1" x14ac:dyDescent="0.25">
      <c r="A2453" s="247">
        <v>2451</v>
      </c>
    </row>
    <row r="2454" spans="1:1" x14ac:dyDescent="0.25">
      <c r="A2454" s="247">
        <v>2452</v>
      </c>
    </row>
    <row r="2455" spans="1:1" x14ac:dyDescent="0.25">
      <c r="A2455" s="247">
        <v>2453</v>
      </c>
    </row>
    <row r="2456" spans="1:1" x14ac:dyDescent="0.25">
      <c r="A2456" s="247">
        <v>2454</v>
      </c>
    </row>
    <row r="2457" spans="1:1" x14ac:dyDescent="0.25">
      <c r="A2457" s="247">
        <v>2455</v>
      </c>
    </row>
    <row r="2458" spans="1:1" x14ac:dyDescent="0.25">
      <c r="A2458" s="247">
        <v>2456</v>
      </c>
    </row>
    <row r="2459" spans="1:1" x14ac:dyDescent="0.25">
      <c r="A2459" s="247">
        <v>2457</v>
      </c>
    </row>
    <row r="2460" spans="1:1" x14ac:dyDescent="0.25">
      <c r="A2460" s="247">
        <v>2458</v>
      </c>
    </row>
    <row r="2461" spans="1:1" x14ac:dyDescent="0.25">
      <c r="A2461" s="247">
        <v>2459</v>
      </c>
    </row>
    <row r="2462" spans="1:1" x14ac:dyDescent="0.25">
      <c r="A2462" s="247">
        <v>2460</v>
      </c>
    </row>
    <row r="2463" spans="1:1" x14ac:dyDescent="0.25">
      <c r="A2463" s="247">
        <v>2461</v>
      </c>
    </row>
    <row r="2464" spans="1:1" x14ac:dyDescent="0.25">
      <c r="A2464" s="247">
        <v>2462</v>
      </c>
    </row>
    <row r="2465" spans="1:1" x14ac:dyDescent="0.25">
      <c r="A2465" s="247">
        <v>2463</v>
      </c>
    </row>
    <row r="2466" spans="1:1" x14ac:dyDescent="0.25">
      <c r="A2466" s="247">
        <v>2464</v>
      </c>
    </row>
    <row r="2467" spans="1:1" x14ac:dyDescent="0.25">
      <c r="A2467" s="247">
        <v>2465</v>
      </c>
    </row>
    <row r="2468" spans="1:1" x14ac:dyDescent="0.25">
      <c r="A2468" s="247">
        <v>2466</v>
      </c>
    </row>
    <row r="2469" spans="1:1" x14ac:dyDescent="0.25">
      <c r="A2469" s="247">
        <v>2467</v>
      </c>
    </row>
    <row r="2470" spans="1:1" x14ac:dyDescent="0.25">
      <c r="A2470" s="247">
        <v>2468</v>
      </c>
    </row>
    <row r="2471" spans="1:1" x14ac:dyDescent="0.25">
      <c r="A2471" s="247">
        <v>2469</v>
      </c>
    </row>
    <row r="2472" spans="1:1" x14ac:dyDescent="0.25">
      <c r="A2472" s="247">
        <v>2470</v>
      </c>
    </row>
    <row r="2473" spans="1:1" x14ac:dyDescent="0.25">
      <c r="A2473" s="247">
        <v>2471</v>
      </c>
    </row>
    <row r="2474" spans="1:1" x14ac:dyDescent="0.25">
      <c r="A2474" s="247">
        <v>2472</v>
      </c>
    </row>
    <row r="2475" spans="1:1" x14ac:dyDescent="0.25">
      <c r="A2475" s="247">
        <v>2473</v>
      </c>
    </row>
    <row r="2476" spans="1:1" x14ac:dyDescent="0.25">
      <c r="A2476" s="247">
        <v>2474</v>
      </c>
    </row>
    <row r="2477" spans="1:1" x14ac:dyDescent="0.25">
      <c r="A2477" s="247">
        <v>2475</v>
      </c>
    </row>
    <row r="2478" spans="1:1" x14ac:dyDescent="0.25">
      <c r="A2478" s="247">
        <v>2476</v>
      </c>
    </row>
    <row r="2479" spans="1:1" x14ac:dyDescent="0.25">
      <c r="A2479" s="247">
        <v>2477</v>
      </c>
    </row>
    <row r="2480" spans="1:1" x14ac:dyDescent="0.25">
      <c r="A2480" s="247">
        <v>2478</v>
      </c>
    </row>
    <row r="2481" spans="1:1" x14ac:dyDescent="0.25">
      <c r="A2481" s="247">
        <v>2479</v>
      </c>
    </row>
    <row r="2482" spans="1:1" x14ac:dyDescent="0.25">
      <c r="A2482" s="247">
        <v>2480</v>
      </c>
    </row>
    <row r="2483" spans="1:1" x14ac:dyDescent="0.25">
      <c r="A2483" s="247">
        <v>2481</v>
      </c>
    </row>
    <row r="2484" spans="1:1" x14ac:dyDescent="0.25">
      <c r="A2484" s="247">
        <v>2482</v>
      </c>
    </row>
    <row r="2485" spans="1:1" x14ac:dyDescent="0.25">
      <c r="A2485" s="247">
        <v>2483</v>
      </c>
    </row>
    <row r="2486" spans="1:1" x14ac:dyDescent="0.25">
      <c r="A2486" s="247">
        <v>2484</v>
      </c>
    </row>
    <row r="2487" spans="1:1" x14ac:dyDescent="0.25">
      <c r="A2487" s="247">
        <v>2485</v>
      </c>
    </row>
    <row r="2488" spans="1:1" x14ac:dyDescent="0.25">
      <c r="A2488" s="247">
        <v>2486</v>
      </c>
    </row>
    <row r="2489" spans="1:1" x14ac:dyDescent="0.25">
      <c r="A2489" s="247">
        <v>2487</v>
      </c>
    </row>
    <row r="2490" spans="1:1" x14ac:dyDescent="0.25">
      <c r="A2490" s="247">
        <v>2488</v>
      </c>
    </row>
    <row r="2491" spans="1:1" x14ac:dyDescent="0.25">
      <c r="A2491" s="247">
        <v>2489</v>
      </c>
    </row>
    <row r="2492" spans="1:1" x14ac:dyDescent="0.25">
      <c r="A2492" s="247">
        <v>2490</v>
      </c>
    </row>
    <row r="2493" spans="1:1" x14ac:dyDescent="0.25">
      <c r="A2493" s="247">
        <v>2491</v>
      </c>
    </row>
    <row r="2494" spans="1:1" x14ac:dyDescent="0.25">
      <c r="A2494" s="247">
        <v>2492</v>
      </c>
    </row>
    <row r="2495" spans="1:1" x14ac:dyDescent="0.25">
      <c r="A2495" s="247">
        <v>2493</v>
      </c>
    </row>
    <row r="2496" spans="1:1" x14ac:dyDescent="0.25">
      <c r="A2496" s="247">
        <v>2494</v>
      </c>
    </row>
    <row r="2497" spans="1:1" x14ac:dyDescent="0.25">
      <c r="A2497" s="247">
        <v>2495</v>
      </c>
    </row>
    <row r="2498" spans="1:1" x14ac:dyDescent="0.25">
      <c r="A2498" s="247">
        <v>2496</v>
      </c>
    </row>
    <row r="2499" spans="1:1" x14ac:dyDescent="0.25">
      <c r="A2499" s="247">
        <v>2497</v>
      </c>
    </row>
    <row r="2500" spans="1:1" x14ac:dyDescent="0.25">
      <c r="A2500" s="247">
        <v>2498</v>
      </c>
    </row>
    <row r="2501" spans="1:1" x14ac:dyDescent="0.25">
      <c r="A2501" s="247">
        <v>2499</v>
      </c>
    </row>
    <row r="2502" spans="1:1" x14ac:dyDescent="0.25">
      <c r="A2502" s="247">
        <v>2500</v>
      </c>
    </row>
    <row r="2503" spans="1:1" x14ac:dyDescent="0.25">
      <c r="A2503" s="247">
        <v>2501</v>
      </c>
    </row>
    <row r="2504" spans="1:1" x14ac:dyDescent="0.25">
      <c r="A2504" s="247">
        <v>2502</v>
      </c>
    </row>
    <row r="2505" spans="1:1" x14ac:dyDescent="0.25">
      <c r="A2505" s="247">
        <v>2503</v>
      </c>
    </row>
    <row r="2506" spans="1:1" x14ac:dyDescent="0.25">
      <c r="A2506" s="247">
        <v>2504</v>
      </c>
    </row>
    <row r="2507" spans="1:1" x14ac:dyDescent="0.25">
      <c r="A2507" s="247">
        <v>2505</v>
      </c>
    </row>
    <row r="2508" spans="1:1" x14ac:dyDescent="0.25">
      <c r="A2508" s="247">
        <v>2506</v>
      </c>
    </row>
    <row r="2509" spans="1:1" x14ac:dyDescent="0.25">
      <c r="A2509" s="247">
        <v>2507</v>
      </c>
    </row>
    <row r="2510" spans="1:1" x14ac:dyDescent="0.25">
      <c r="A2510" s="247">
        <v>2508</v>
      </c>
    </row>
    <row r="2511" spans="1:1" x14ac:dyDescent="0.25">
      <c r="A2511" s="247">
        <v>2509</v>
      </c>
    </row>
    <row r="2512" spans="1:1" x14ac:dyDescent="0.25">
      <c r="A2512" s="247">
        <v>2510</v>
      </c>
    </row>
    <row r="2513" spans="1:1" x14ac:dyDescent="0.25">
      <c r="A2513" s="247">
        <v>2511</v>
      </c>
    </row>
    <row r="2514" spans="1:1" x14ac:dyDescent="0.25">
      <c r="A2514" s="247">
        <v>2512</v>
      </c>
    </row>
    <row r="2515" spans="1:1" x14ac:dyDescent="0.25">
      <c r="A2515" s="247">
        <v>2513</v>
      </c>
    </row>
    <row r="2516" spans="1:1" x14ac:dyDescent="0.25">
      <c r="A2516" s="247">
        <v>2514</v>
      </c>
    </row>
    <row r="2517" spans="1:1" x14ac:dyDescent="0.25">
      <c r="A2517" s="247">
        <v>2515</v>
      </c>
    </row>
    <row r="2518" spans="1:1" x14ac:dyDescent="0.25">
      <c r="A2518" s="247">
        <v>2516</v>
      </c>
    </row>
    <row r="2519" spans="1:1" x14ac:dyDescent="0.25">
      <c r="A2519" s="247">
        <v>2517</v>
      </c>
    </row>
    <row r="2520" spans="1:1" x14ac:dyDescent="0.25">
      <c r="A2520" s="247">
        <v>2518</v>
      </c>
    </row>
    <row r="2521" spans="1:1" x14ac:dyDescent="0.25">
      <c r="A2521" s="247">
        <v>2519</v>
      </c>
    </row>
    <row r="2522" spans="1:1" x14ac:dyDescent="0.25">
      <c r="A2522" s="247">
        <v>2520</v>
      </c>
    </row>
    <row r="2523" spans="1:1" x14ac:dyDescent="0.25">
      <c r="A2523" s="247">
        <v>2521</v>
      </c>
    </row>
    <row r="2524" spans="1:1" x14ac:dyDescent="0.25">
      <c r="A2524" s="247">
        <v>2522</v>
      </c>
    </row>
    <row r="2525" spans="1:1" x14ac:dyDescent="0.25">
      <c r="A2525" s="247">
        <v>2523</v>
      </c>
    </row>
    <row r="2526" spans="1:1" x14ac:dyDescent="0.25">
      <c r="A2526" s="247">
        <v>2524</v>
      </c>
    </row>
    <row r="2527" spans="1:1" x14ac:dyDescent="0.25">
      <c r="A2527" s="247">
        <v>2525</v>
      </c>
    </row>
    <row r="2528" spans="1:1" x14ac:dyDescent="0.25">
      <c r="A2528" s="247">
        <v>2526</v>
      </c>
    </row>
    <row r="2529" spans="1:1" x14ac:dyDescent="0.25">
      <c r="A2529" s="247">
        <v>2527</v>
      </c>
    </row>
    <row r="2530" spans="1:1" x14ac:dyDescent="0.25">
      <c r="A2530" s="247">
        <v>2528</v>
      </c>
    </row>
    <row r="2531" spans="1:1" x14ac:dyDescent="0.25">
      <c r="A2531" s="247">
        <v>2529</v>
      </c>
    </row>
    <row r="2532" spans="1:1" x14ac:dyDescent="0.25">
      <c r="A2532" s="247">
        <v>2530</v>
      </c>
    </row>
    <row r="2533" spans="1:1" x14ac:dyDescent="0.25">
      <c r="A2533" s="247">
        <v>2531</v>
      </c>
    </row>
    <row r="2534" spans="1:1" x14ac:dyDescent="0.25">
      <c r="A2534" s="247">
        <v>2532</v>
      </c>
    </row>
    <row r="2535" spans="1:1" x14ac:dyDescent="0.25">
      <c r="A2535" s="247">
        <v>2533</v>
      </c>
    </row>
    <row r="2536" spans="1:1" x14ac:dyDescent="0.25">
      <c r="A2536" s="247">
        <v>2534</v>
      </c>
    </row>
    <row r="2537" spans="1:1" x14ac:dyDescent="0.25">
      <c r="A2537" s="247">
        <v>2535</v>
      </c>
    </row>
    <row r="2538" spans="1:1" x14ac:dyDescent="0.25">
      <c r="A2538" s="247">
        <v>2536</v>
      </c>
    </row>
    <row r="2539" spans="1:1" x14ac:dyDescent="0.25">
      <c r="A2539" s="247">
        <v>2537</v>
      </c>
    </row>
    <row r="2540" spans="1:1" x14ac:dyDescent="0.25">
      <c r="A2540" s="247">
        <v>2538</v>
      </c>
    </row>
    <row r="2541" spans="1:1" x14ac:dyDescent="0.25">
      <c r="A2541" s="247">
        <v>2539</v>
      </c>
    </row>
    <row r="2542" spans="1:1" x14ac:dyDescent="0.25">
      <c r="A2542" s="247">
        <v>2540</v>
      </c>
    </row>
    <row r="2543" spans="1:1" x14ac:dyDescent="0.25">
      <c r="A2543" s="247">
        <v>2541</v>
      </c>
    </row>
    <row r="2544" spans="1:1" x14ac:dyDescent="0.25">
      <c r="A2544" s="247">
        <v>2542</v>
      </c>
    </row>
    <row r="2545" spans="1:1" x14ac:dyDescent="0.25">
      <c r="A2545" s="247">
        <v>2543</v>
      </c>
    </row>
    <row r="2546" spans="1:1" x14ac:dyDescent="0.25">
      <c r="A2546" s="247">
        <v>2544</v>
      </c>
    </row>
    <row r="2547" spans="1:1" x14ac:dyDescent="0.25">
      <c r="A2547" s="247">
        <v>2545</v>
      </c>
    </row>
    <row r="2548" spans="1:1" x14ac:dyDescent="0.25">
      <c r="A2548" s="247">
        <v>2546</v>
      </c>
    </row>
    <row r="2549" spans="1:1" x14ac:dyDescent="0.25">
      <c r="A2549" s="247">
        <v>2547</v>
      </c>
    </row>
    <row r="2550" spans="1:1" x14ac:dyDescent="0.25">
      <c r="A2550" s="247">
        <v>2548</v>
      </c>
    </row>
    <row r="2551" spans="1:1" x14ac:dyDescent="0.25">
      <c r="A2551" s="247">
        <v>2549</v>
      </c>
    </row>
    <row r="2552" spans="1:1" x14ac:dyDescent="0.25">
      <c r="A2552" s="247">
        <v>2550</v>
      </c>
    </row>
    <row r="2553" spans="1:1" x14ac:dyDescent="0.25">
      <c r="A2553" s="247">
        <v>2551</v>
      </c>
    </row>
    <row r="2554" spans="1:1" x14ac:dyDescent="0.25">
      <c r="A2554" s="247">
        <v>2552</v>
      </c>
    </row>
    <row r="2555" spans="1:1" x14ac:dyDescent="0.25">
      <c r="A2555" s="247">
        <v>2553</v>
      </c>
    </row>
    <row r="2556" spans="1:1" x14ac:dyDescent="0.25">
      <c r="A2556" s="247">
        <v>2554</v>
      </c>
    </row>
    <row r="2557" spans="1:1" x14ac:dyDescent="0.25">
      <c r="A2557" s="247">
        <v>2555</v>
      </c>
    </row>
    <row r="2558" spans="1:1" x14ac:dyDescent="0.25">
      <c r="A2558" s="247">
        <v>2556</v>
      </c>
    </row>
    <row r="2559" spans="1:1" x14ac:dyDescent="0.25">
      <c r="A2559" s="247">
        <v>2557</v>
      </c>
    </row>
    <row r="2560" spans="1:1" x14ac:dyDescent="0.25">
      <c r="A2560" s="247">
        <v>2558</v>
      </c>
    </row>
    <row r="2561" spans="1:1" x14ac:dyDescent="0.25">
      <c r="A2561" s="247">
        <v>2559</v>
      </c>
    </row>
    <row r="2562" spans="1:1" x14ac:dyDescent="0.25">
      <c r="A2562" s="247">
        <v>2560</v>
      </c>
    </row>
    <row r="2563" spans="1:1" x14ac:dyDescent="0.25">
      <c r="A2563" s="247">
        <v>2561</v>
      </c>
    </row>
    <row r="2564" spans="1:1" x14ac:dyDescent="0.25">
      <c r="A2564" s="247">
        <v>2562</v>
      </c>
    </row>
    <row r="2565" spans="1:1" x14ac:dyDescent="0.25">
      <c r="A2565" s="247">
        <v>2563</v>
      </c>
    </row>
    <row r="2566" spans="1:1" x14ac:dyDescent="0.25">
      <c r="A2566" s="247">
        <v>2564</v>
      </c>
    </row>
    <row r="2567" spans="1:1" x14ac:dyDescent="0.25">
      <c r="A2567" s="247">
        <v>2565</v>
      </c>
    </row>
    <row r="2568" spans="1:1" x14ac:dyDescent="0.25">
      <c r="A2568" s="247">
        <v>2566</v>
      </c>
    </row>
    <row r="2569" spans="1:1" x14ac:dyDescent="0.25">
      <c r="A2569" s="247">
        <v>2567</v>
      </c>
    </row>
    <row r="2570" spans="1:1" x14ac:dyDescent="0.25">
      <c r="A2570" s="247">
        <v>2568</v>
      </c>
    </row>
    <row r="2571" spans="1:1" x14ac:dyDescent="0.25">
      <c r="A2571" s="247">
        <v>2569</v>
      </c>
    </row>
    <row r="2572" spans="1:1" x14ac:dyDescent="0.25">
      <c r="A2572" s="247">
        <v>2570</v>
      </c>
    </row>
    <row r="2573" spans="1:1" x14ac:dyDescent="0.25">
      <c r="A2573" s="247">
        <v>2571</v>
      </c>
    </row>
    <row r="2574" spans="1:1" x14ac:dyDescent="0.25">
      <c r="A2574" s="247">
        <v>2572</v>
      </c>
    </row>
    <row r="2575" spans="1:1" x14ac:dyDescent="0.25">
      <c r="A2575" s="247">
        <v>2573</v>
      </c>
    </row>
    <row r="2576" spans="1:1" x14ac:dyDescent="0.25">
      <c r="A2576" s="247">
        <v>2574</v>
      </c>
    </row>
    <row r="2577" spans="1:1" x14ac:dyDescent="0.25">
      <c r="A2577" s="247">
        <v>2575</v>
      </c>
    </row>
    <row r="2578" spans="1:1" x14ac:dyDescent="0.25">
      <c r="A2578" s="247">
        <v>2576</v>
      </c>
    </row>
    <row r="2579" spans="1:1" x14ac:dyDescent="0.25">
      <c r="A2579" s="247">
        <v>2577</v>
      </c>
    </row>
    <row r="2580" spans="1:1" x14ac:dyDescent="0.25">
      <c r="A2580" s="247">
        <v>2578</v>
      </c>
    </row>
    <row r="2581" spans="1:1" x14ac:dyDescent="0.25">
      <c r="A2581" s="247">
        <v>2579</v>
      </c>
    </row>
    <row r="2582" spans="1:1" x14ac:dyDescent="0.25">
      <c r="A2582" s="247">
        <v>2580</v>
      </c>
    </row>
    <row r="2583" spans="1:1" x14ac:dyDescent="0.25">
      <c r="A2583" s="247">
        <v>2581</v>
      </c>
    </row>
    <row r="2584" spans="1:1" x14ac:dyDescent="0.25">
      <c r="A2584" s="247">
        <v>2582</v>
      </c>
    </row>
    <row r="2585" spans="1:1" x14ac:dyDescent="0.25">
      <c r="A2585" s="247">
        <v>2583</v>
      </c>
    </row>
    <row r="2586" spans="1:1" x14ac:dyDescent="0.25">
      <c r="A2586" s="247">
        <v>2584</v>
      </c>
    </row>
    <row r="2587" spans="1:1" x14ac:dyDescent="0.25">
      <c r="A2587" s="247">
        <v>2585</v>
      </c>
    </row>
    <row r="2588" spans="1:1" x14ac:dyDescent="0.25">
      <c r="A2588" s="247">
        <v>2586</v>
      </c>
    </row>
    <row r="2589" spans="1:1" x14ac:dyDescent="0.25">
      <c r="A2589" s="247">
        <v>2587</v>
      </c>
    </row>
    <row r="2590" spans="1:1" x14ac:dyDescent="0.25">
      <c r="A2590" s="247">
        <v>2588</v>
      </c>
    </row>
    <row r="2591" spans="1:1" x14ac:dyDescent="0.25">
      <c r="A2591" s="247">
        <v>2589</v>
      </c>
    </row>
    <row r="2592" spans="1:1" x14ac:dyDescent="0.25">
      <c r="A2592" s="247">
        <v>2590</v>
      </c>
    </row>
    <row r="2593" spans="1:1" x14ac:dyDescent="0.25">
      <c r="A2593" s="247">
        <v>2591</v>
      </c>
    </row>
    <row r="2594" spans="1:1" x14ac:dyDescent="0.25">
      <c r="A2594" s="247">
        <v>2592</v>
      </c>
    </row>
    <row r="2595" spans="1:1" x14ac:dyDescent="0.25">
      <c r="A2595" s="247">
        <v>2593</v>
      </c>
    </row>
    <row r="2596" spans="1:1" x14ac:dyDescent="0.25">
      <c r="A2596" s="247">
        <v>2594</v>
      </c>
    </row>
    <row r="2597" spans="1:1" x14ac:dyDescent="0.25">
      <c r="A2597" s="247">
        <v>2595</v>
      </c>
    </row>
    <row r="2598" spans="1:1" x14ac:dyDescent="0.25">
      <c r="A2598" s="247">
        <v>2596</v>
      </c>
    </row>
    <row r="2599" spans="1:1" x14ac:dyDescent="0.25">
      <c r="A2599" s="247">
        <v>2597</v>
      </c>
    </row>
    <row r="2600" spans="1:1" x14ac:dyDescent="0.25">
      <c r="A2600" s="247">
        <v>2598</v>
      </c>
    </row>
    <row r="2601" spans="1:1" x14ac:dyDescent="0.25">
      <c r="A2601" s="247">
        <v>2599</v>
      </c>
    </row>
    <row r="2602" spans="1:1" x14ac:dyDescent="0.25">
      <c r="A2602" s="247">
        <v>2600</v>
      </c>
    </row>
    <row r="2603" spans="1:1" x14ac:dyDescent="0.25">
      <c r="A2603" s="247">
        <v>2601</v>
      </c>
    </row>
    <row r="2604" spans="1:1" x14ac:dyDescent="0.25">
      <c r="A2604" s="247">
        <v>2602</v>
      </c>
    </row>
    <row r="2605" spans="1:1" x14ac:dyDescent="0.25">
      <c r="A2605" s="247">
        <v>2603</v>
      </c>
    </row>
    <row r="2606" spans="1:1" x14ac:dyDescent="0.25">
      <c r="A2606" s="247">
        <v>2604</v>
      </c>
    </row>
    <row r="2607" spans="1:1" x14ac:dyDescent="0.25">
      <c r="A2607" s="247">
        <v>2605</v>
      </c>
    </row>
    <row r="2608" spans="1:1" x14ac:dyDescent="0.25">
      <c r="A2608" s="247">
        <v>2606</v>
      </c>
    </row>
    <row r="2609" spans="1:1" x14ac:dyDescent="0.25">
      <c r="A2609" s="247">
        <v>2607</v>
      </c>
    </row>
    <row r="2610" spans="1:1" x14ac:dyDescent="0.25">
      <c r="A2610" s="247">
        <v>2608</v>
      </c>
    </row>
    <row r="2611" spans="1:1" x14ac:dyDescent="0.25">
      <c r="A2611" s="247">
        <v>2609</v>
      </c>
    </row>
    <row r="2612" spans="1:1" x14ac:dyDescent="0.25">
      <c r="A2612" s="247">
        <v>2610</v>
      </c>
    </row>
    <row r="2613" spans="1:1" x14ac:dyDescent="0.25">
      <c r="A2613" s="247">
        <v>2611</v>
      </c>
    </row>
    <row r="2614" spans="1:1" x14ac:dyDescent="0.25">
      <c r="A2614" s="247">
        <v>2612</v>
      </c>
    </row>
    <row r="2615" spans="1:1" x14ac:dyDescent="0.25">
      <c r="A2615" s="247">
        <v>2613</v>
      </c>
    </row>
    <row r="2616" spans="1:1" x14ac:dyDescent="0.25">
      <c r="A2616" s="247">
        <v>2614</v>
      </c>
    </row>
    <row r="2617" spans="1:1" x14ac:dyDescent="0.25">
      <c r="A2617" s="247">
        <v>2615</v>
      </c>
    </row>
    <row r="2618" spans="1:1" x14ac:dyDescent="0.25">
      <c r="A2618" s="247">
        <v>2616</v>
      </c>
    </row>
    <row r="2619" spans="1:1" x14ac:dyDescent="0.25">
      <c r="A2619" s="247">
        <v>2617</v>
      </c>
    </row>
    <row r="2620" spans="1:1" x14ac:dyDescent="0.25">
      <c r="A2620" s="247">
        <v>2618</v>
      </c>
    </row>
    <row r="2621" spans="1:1" x14ac:dyDescent="0.25">
      <c r="A2621" s="247">
        <v>2619</v>
      </c>
    </row>
    <row r="2622" spans="1:1" x14ac:dyDescent="0.25">
      <c r="A2622" s="247">
        <v>2620</v>
      </c>
    </row>
    <row r="2623" spans="1:1" x14ac:dyDescent="0.25">
      <c r="A2623" s="247">
        <v>2621</v>
      </c>
    </row>
    <row r="2624" spans="1:1" x14ac:dyDescent="0.25">
      <c r="A2624" s="247">
        <v>2622</v>
      </c>
    </row>
    <row r="2625" spans="1:1" x14ac:dyDescent="0.25">
      <c r="A2625" s="247">
        <v>2623</v>
      </c>
    </row>
    <row r="2626" spans="1:1" x14ac:dyDescent="0.25">
      <c r="A2626" s="247">
        <v>2624</v>
      </c>
    </row>
    <row r="2627" spans="1:1" x14ac:dyDescent="0.25">
      <c r="A2627" s="247">
        <v>2625</v>
      </c>
    </row>
    <row r="2628" spans="1:1" x14ac:dyDescent="0.25">
      <c r="A2628" s="247">
        <v>2626</v>
      </c>
    </row>
    <row r="2629" spans="1:1" x14ac:dyDescent="0.25">
      <c r="A2629" s="247">
        <v>2627</v>
      </c>
    </row>
    <row r="2630" spans="1:1" x14ac:dyDescent="0.25">
      <c r="A2630" s="247">
        <v>2628</v>
      </c>
    </row>
    <row r="2631" spans="1:1" x14ac:dyDescent="0.25">
      <c r="A2631" s="247">
        <v>2629</v>
      </c>
    </row>
    <row r="2632" spans="1:1" x14ac:dyDescent="0.25">
      <c r="A2632" s="247">
        <v>2630</v>
      </c>
    </row>
    <row r="2633" spans="1:1" x14ac:dyDescent="0.25">
      <c r="A2633" s="247">
        <v>2631</v>
      </c>
    </row>
    <row r="2634" spans="1:1" x14ac:dyDescent="0.25">
      <c r="A2634" s="247">
        <v>2632</v>
      </c>
    </row>
    <row r="2635" spans="1:1" x14ac:dyDescent="0.25">
      <c r="A2635" s="247">
        <v>2633</v>
      </c>
    </row>
    <row r="2636" spans="1:1" x14ac:dyDescent="0.25">
      <c r="A2636" s="247">
        <v>2634</v>
      </c>
    </row>
    <row r="2637" spans="1:1" x14ac:dyDescent="0.25">
      <c r="A2637" s="247">
        <v>2635</v>
      </c>
    </row>
    <row r="2638" spans="1:1" x14ac:dyDescent="0.25">
      <c r="A2638" s="247">
        <v>2636</v>
      </c>
    </row>
    <row r="2639" spans="1:1" x14ac:dyDescent="0.25">
      <c r="A2639" s="247">
        <v>2637</v>
      </c>
    </row>
    <row r="2640" spans="1:1" x14ac:dyDescent="0.25">
      <c r="A2640" s="247">
        <v>2638</v>
      </c>
    </row>
    <row r="2641" spans="1:1" x14ac:dyDescent="0.25">
      <c r="A2641" s="247">
        <v>2639</v>
      </c>
    </row>
    <row r="2642" spans="1:1" x14ac:dyDescent="0.25">
      <c r="A2642" s="247">
        <v>2640</v>
      </c>
    </row>
    <row r="2643" spans="1:1" x14ac:dyDescent="0.25">
      <c r="A2643" s="247">
        <v>2641</v>
      </c>
    </row>
    <row r="2644" spans="1:1" x14ac:dyDescent="0.25">
      <c r="A2644" s="247">
        <v>2642</v>
      </c>
    </row>
    <row r="2645" spans="1:1" x14ac:dyDescent="0.25">
      <c r="A2645" s="247">
        <v>2643</v>
      </c>
    </row>
    <row r="2646" spans="1:1" x14ac:dyDescent="0.25">
      <c r="A2646" s="247">
        <v>2644</v>
      </c>
    </row>
    <row r="2647" spans="1:1" x14ac:dyDescent="0.25">
      <c r="A2647" s="247">
        <v>2645</v>
      </c>
    </row>
    <row r="2648" spans="1:1" x14ac:dyDescent="0.25">
      <c r="A2648" s="247">
        <v>2646</v>
      </c>
    </row>
    <row r="2649" spans="1:1" x14ac:dyDescent="0.25">
      <c r="A2649" s="247">
        <v>2647</v>
      </c>
    </row>
    <row r="2650" spans="1:1" x14ac:dyDescent="0.25">
      <c r="A2650" s="247">
        <v>2648</v>
      </c>
    </row>
    <row r="2651" spans="1:1" x14ac:dyDescent="0.25">
      <c r="A2651" s="247">
        <v>2649</v>
      </c>
    </row>
    <row r="2652" spans="1:1" x14ac:dyDescent="0.25">
      <c r="A2652" s="247">
        <v>2650</v>
      </c>
    </row>
    <row r="2653" spans="1:1" x14ac:dyDescent="0.25">
      <c r="A2653" s="247">
        <v>2651</v>
      </c>
    </row>
    <row r="2654" spans="1:1" x14ac:dyDescent="0.25">
      <c r="A2654" s="247">
        <v>2652</v>
      </c>
    </row>
    <row r="2655" spans="1:1" x14ac:dyDescent="0.25">
      <c r="A2655" s="247">
        <v>2653</v>
      </c>
    </row>
    <row r="2656" spans="1:1" x14ac:dyDescent="0.25">
      <c r="A2656" s="247">
        <v>2654</v>
      </c>
    </row>
    <row r="2657" spans="1:1" x14ac:dyDescent="0.25">
      <c r="A2657" s="247">
        <v>2655</v>
      </c>
    </row>
    <row r="2658" spans="1:1" x14ac:dyDescent="0.25">
      <c r="A2658" s="247">
        <v>2656</v>
      </c>
    </row>
    <row r="2659" spans="1:1" x14ac:dyDescent="0.25">
      <c r="A2659" s="247">
        <v>2657</v>
      </c>
    </row>
    <row r="2660" spans="1:1" x14ac:dyDescent="0.25">
      <c r="A2660" s="247">
        <v>2658</v>
      </c>
    </row>
    <row r="2661" spans="1:1" x14ac:dyDescent="0.25">
      <c r="A2661" s="247">
        <v>2659</v>
      </c>
    </row>
    <row r="2662" spans="1:1" x14ac:dyDescent="0.25">
      <c r="A2662" s="247">
        <v>2660</v>
      </c>
    </row>
    <row r="2663" spans="1:1" x14ac:dyDescent="0.25">
      <c r="A2663" s="247">
        <v>2661</v>
      </c>
    </row>
    <row r="2664" spans="1:1" x14ac:dyDescent="0.25">
      <c r="A2664" s="247">
        <v>2662</v>
      </c>
    </row>
    <row r="2665" spans="1:1" x14ac:dyDescent="0.25">
      <c r="A2665" s="247">
        <v>2663</v>
      </c>
    </row>
    <row r="2666" spans="1:1" x14ac:dyDescent="0.25">
      <c r="A2666" s="247">
        <v>2664</v>
      </c>
    </row>
    <row r="2667" spans="1:1" x14ac:dyDescent="0.25">
      <c r="A2667" s="247">
        <v>2665</v>
      </c>
    </row>
    <row r="2668" spans="1:1" x14ac:dyDescent="0.25">
      <c r="A2668" s="247">
        <v>2666</v>
      </c>
    </row>
    <row r="2669" spans="1:1" x14ac:dyDescent="0.25">
      <c r="A2669" s="247">
        <v>2667</v>
      </c>
    </row>
    <row r="2670" spans="1:1" x14ac:dyDescent="0.25">
      <c r="A2670" s="247">
        <v>2668</v>
      </c>
    </row>
    <row r="2671" spans="1:1" x14ac:dyDescent="0.25">
      <c r="A2671" s="247">
        <v>2669</v>
      </c>
    </row>
    <row r="2672" spans="1:1" x14ac:dyDescent="0.25">
      <c r="A2672" s="247">
        <v>2670</v>
      </c>
    </row>
    <row r="2673" spans="1:1" x14ac:dyDescent="0.25">
      <c r="A2673" s="247">
        <v>2671</v>
      </c>
    </row>
    <row r="2674" spans="1:1" x14ac:dyDescent="0.25">
      <c r="A2674" s="247">
        <v>2672</v>
      </c>
    </row>
    <row r="2675" spans="1:1" x14ac:dyDescent="0.25">
      <c r="A2675" s="247">
        <v>2673</v>
      </c>
    </row>
    <row r="2676" spans="1:1" x14ac:dyDescent="0.25">
      <c r="A2676" s="247">
        <v>2674</v>
      </c>
    </row>
    <row r="2677" spans="1:1" x14ac:dyDescent="0.25">
      <c r="A2677" s="247">
        <v>2675</v>
      </c>
    </row>
    <row r="2678" spans="1:1" x14ac:dyDescent="0.25">
      <c r="A2678" s="247">
        <v>2676</v>
      </c>
    </row>
    <row r="2679" spans="1:1" x14ac:dyDescent="0.25">
      <c r="A2679" s="247">
        <v>2677</v>
      </c>
    </row>
    <row r="2680" spans="1:1" x14ac:dyDescent="0.25">
      <c r="A2680" s="247">
        <v>2678</v>
      </c>
    </row>
    <row r="2681" spans="1:1" x14ac:dyDescent="0.25">
      <c r="A2681" s="247">
        <v>2679</v>
      </c>
    </row>
    <row r="2682" spans="1:1" x14ac:dyDescent="0.25">
      <c r="A2682" s="247">
        <v>2680</v>
      </c>
    </row>
    <row r="2683" spans="1:1" x14ac:dyDescent="0.25">
      <c r="A2683" s="247">
        <v>2681</v>
      </c>
    </row>
    <row r="2684" spans="1:1" x14ac:dyDescent="0.25">
      <c r="A2684" s="247">
        <v>2682</v>
      </c>
    </row>
    <row r="2685" spans="1:1" x14ac:dyDescent="0.25">
      <c r="A2685" s="247">
        <v>2683</v>
      </c>
    </row>
    <row r="2686" spans="1:1" x14ac:dyDescent="0.25">
      <c r="A2686" s="247">
        <v>2684</v>
      </c>
    </row>
    <row r="2687" spans="1:1" x14ac:dyDescent="0.25">
      <c r="A2687" s="247">
        <v>2685</v>
      </c>
    </row>
    <row r="2688" spans="1:1" x14ac:dyDescent="0.25">
      <c r="A2688" s="247">
        <v>2686</v>
      </c>
    </row>
    <row r="2689" spans="1:1" x14ac:dyDescent="0.25">
      <c r="A2689" s="247">
        <v>2687</v>
      </c>
    </row>
    <row r="2690" spans="1:1" x14ac:dyDescent="0.25">
      <c r="A2690" s="247">
        <v>2688</v>
      </c>
    </row>
    <row r="2691" spans="1:1" x14ac:dyDescent="0.25">
      <c r="A2691" s="247">
        <v>2689</v>
      </c>
    </row>
    <row r="2692" spans="1:1" x14ac:dyDescent="0.25">
      <c r="A2692" s="247">
        <v>2690</v>
      </c>
    </row>
    <row r="2693" spans="1:1" x14ac:dyDescent="0.25">
      <c r="A2693" s="247">
        <v>2691</v>
      </c>
    </row>
    <row r="2694" spans="1:1" x14ac:dyDescent="0.25">
      <c r="A2694" s="247">
        <v>2692</v>
      </c>
    </row>
    <row r="2695" spans="1:1" x14ac:dyDescent="0.25">
      <c r="A2695" s="247">
        <v>2693</v>
      </c>
    </row>
    <row r="2696" spans="1:1" x14ac:dyDescent="0.25">
      <c r="A2696" s="247">
        <v>2694</v>
      </c>
    </row>
    <row r="2697" spans="1:1" x14ac:dyDescent="0.25">
      <c r="A2697" s="247">
        <v>2695</v>
      </c>
    </row>
    <row r="2698" spans="1:1" x14ac:dyDescent="0.25">
      <c r="A2698" s="247">
        <v>2696</v>
      </c>
    </row>
    <row r="2699" spans="1:1" x14ac:dyDescent="0.25">
      <c r="A2699" s="247">
        <v>2697</v>
      </c>
    </row>
    <row r="2700" spans="1:1" x14ac:dyDescent="0.25">
      <c r="A2700" s="247">
        <v>2698</v>
      </c>
    </row>
    <row r="2701" spans="1:1" x14ac:dyDescent="0.25">
      <c r="A2701" s="247">
        <v>2699</v>
      </c>
    </row>
    <row r="2702" spans="1:1" x14ac:dyDescent="0.25">
      <c r="A2702" s="247">
        <v>2700</v>
      </c>
    </row>
    <row r="2703" spans="1:1" x14ac:dyDescent="0.25">
      <c r="A2703" s="247">
        <v>2701</v>
      </c>
    </row>
    <row r="2704" spans="1:1" x14ac:dyDescent="0.25">
      <c r="A2704" s="247">
        <v>2702</v>
      </c>
    </row>
    <row r="2705" spans="1:1" x14ac:dyDescent="0.25">
      <c r="A2705" s="247">
        <v>2703</v>
      </c>
    </row>
    <row r="2706" spans="1:1" x14ac:dyDescent="0.25">
      <c r="A2706" s="247">
        <v>2704</v>
      </c>
    </row>
    <row r="2707" spans="1:1" x14ac:dyDescent="0.25">
      <c r="A2707" s="247">
        <v>2705</v>
      </c>
    </row>
    <row r="2708" spans="1:1" x14ac:dyDescent="0.25">
      <c r="A2708" s="247">
        <v>2706</v>
      </c>
    </row>
    <row r="2709" spans="1:1" x14ac:dyDescent="0.25">
      <c r="A2709" s="247">
        <v>2707</v>
      </c>
    </row>
    <row r="2710" spans="1:1" x14ac:dyDescent="0.25">
      <c r="A2710" s="247">
        <v>2708</v>
      </c>
    </row>
    <row r="2711" spans="1:1" x14ac:dyDescent="0.25">
      <c r="A2711" s="247">
        <v>2709</v>
      </c>
    </row>
    <row r="2712" spans="1:1" x14ac:dyDescent="0.25">
      <c r="A2712" s="247">
        <v>2710</v>
      </c>
    </row>
    <row r="2713" spans="1:1" x14ac:dyDescent="0.25">
      <c r="A2713" s="247">
        <v>2711</v>
      </c>
    </row>
    <row r="2714" spans="1:1" x14ac:dyDescent="0.25">
      <c r="A2714" s="247">
        <v>2712</v>
      </c>
    </row>
    <row r="2715" spans="1:1" x14ac:dyDescent="0.25">
      <c r="A2715" s="247">
        <v>2713</v>
      </c>
    </row>
    <row r="2716" spans="1:1" x14ac:dyDescent="0.25">
      <c r="A2716" s="247">
        <v>2714</v>
      </c>
    </row>
    <row r="2717" spans="1:1" x14ac:dyDescent="0.25">
      <c r="A2717" s="247">
        <v>2715</v>
      </c>
    </row>
    <row r="2718" spans="1:1" x14ac:dyDescent="0.25">
      <c r="A2718" s="247">
        <v>2716</v>
      </c>
    </row>
    <row r="2719" spans="1:1" x14ac:dyDescent="0.25">
      <c r="A2719" s="247">
        <v>2717</v>
      </c>
    </row>
    <row r="2720" spans="1:1" x14ac:dyDescent="0.25">
      <c r="A2720" s="247">
        <v>2718</v>
      </c>
    </row>
    <row r="2721" spans="1:1" x14ac:dyDescent="0.25">
      <c r="A2721" s="247">
        <v>2719</v>
      </c>
    </row>
    <row r="2722" spans="1:1" x14ac:dyDescent="0.25">
      <c r="A2722" s="247">
        <v>2720</v>
      </c>
    </row>
    <row r="2723" spans="1:1" x14ac:dyDescent="0.25">
      <c r="A2723" s="247">
        <v>2721</v>
      </c>
    </row>
    <row r="2724" spans="1:1" x14ac:dyDescent="0.25">
      <c r="A2724" s="247">
        <v>2722</v>
      </c>
    </row>
    <row r="2725" spans="1:1" x14ac:dyDescent="0.25">
      <c r="A2725" s="247">
        <v>2723</v>
      </c>
    </row>
    <row r="2726" spans="1:1" x14ac:dyDescent="0.25">
      <c r="A2726" s="247">
        <v>2724</v>
      </c>
    </row>
    <row r="2727" spans="1:1" x14ac:dyDescent="0.25">
      <c r="A2727" s="247">
        <v>2725</v>
      </c>
    </row>
    <row r="2728" spans="1:1" x14ac:dyDescent="0.25">
      <c r="A2728" s="247">
        <v>2726</v>
      </c>
    </row>
    <row r="2729" spans="1:1" x14ac:dyDescent="0.25">
      <c r="A2729" s="247">
        <v>2727</v>
      </c>
    </row>
    <row r="2730" spans="1:1" x14ac:dyDescent="0.25">
      <c r="A2730" s="247">
        <v>2728</v>
      </c>
    </row>
    <row r="2731" spans="1:1" x14ac:dyDescent="0.25">
      <c r="A2731" s="247">
        <v>2729</v>
      </c>
    </row>
    <row r="2732" spans="1:1" x14ac:dyDescent="0.25">
      <c r="A2732" s="247">
        <v>2730</v>
      </c>
    </row>
    <row r="2733" spans="1:1" x14ac:dyDescent="0.25">
      <c r="A2733" s="247">
        <v>2731</v>
      </c>
    </row>
    <row r="2734" spans="1:1" x14ac:dyDescent="0.25">
      <c r="A2734" s="247">
        <v>2732</v>
      </c>
    </row>
    <row r="2735" spans="1:1" x14ac:dyDescent="0.25">
      <c r="A2735" s="247">
        <v>2733</v>
      </c>
    </row>
    <row r="2736" spans="1:1" x14ac:dyDescent="0.25">
      <c r="A2736" s="247">
        <v>2734</v>
      </c>
    </row>
    <row r="2737" spans="1:1" x14ac:dyDescent="0.25">
      <c r="A2737" s="247">
        <v>2735</v>
      </c>
    </row>
    <row r="2738" spans="1:1" x14ac:dyDescent="0.25">
      <c r="A2738" s="247">
        <v>2736</v>
      </c>
    </row>
    <row r="2739" spans="1:1" x14ac:dyDescent="0.25">
      <c r="A2739" s="247">
        <v>2737</v>
      </c>
    </row>
    <row r="2740" spans="1:1" x14ac:dyDescent="0.25">
      <c r="A2740" s="247">
        <v>2738</v>
      </c>
    </row>
    <row r="2741" spans="1:1" x14ac:dyDescent="0.25">
      <c r="A2741" s="247">
        <v>2739</v>
      </c>
    </row>
    <row r="2742" spans="1:1" x14ac:dyDescent="0.25">
      <c r="A2742" s="247">
        <v>2740</v>
      </c>
    </row>
    <row r="2743" spans="1:1" x14ac:dyDescent="0.25">
      <c r="A2743" s="247">
        <v>2741</v>
      </c>
    </row>
    <row r="2744" spans="1:1" x14ac:dyDescent="0.25">
      <c r="A2744" s="247">
        <v>2742</v>
      </c>
    </row>
    <row r="2745" spans="1:1" x14ac:dyDescent="0.25">
      <c r="A2745" s="247">
        <v>2743</v>
      </c>
    </row>
    <row r="2746" spans="1:1" x14ac:dyDescent="0.25">
      <c r="A2746" s="247">
        <v>2744</v>
      </c>
    </row>
    <row r="2747" spans="1:1" x14ac:dyDescent="0.25">
      <c r="A2747" s="247">
        <v>2745</v>
      </c>
    </row>
    <row r="2748" spans="1:1" x14ac:dyDescent="0.25">
      <c r="A2748" s="247">
        <v>2746</v>
      </c>
    </row>
    <row r="2749" spans="1:1" x14ac:dyDescent="0.25">
      <c r="A2749" s="247">
        <v>2747</v>
      </c>
    </row>
    <row r="2750" spans="1:1" x14ac:dyDescent="0.25">
      <c r="A2750" s="247">
        <v>2748</v>
      </c>
    </row>
    <row r="2751" spans="1:1" x14ac:dyDescent="0.25">
      <c r="A2751" s="247">
        <v>2749</v>
      </c>
    </row>
    <row r="2752" spans="1:1" x14ac:dyDescent="0.25">
      <c r="A2752" s="247">
        <v>2750</v>
      </c>
    </row>
    <row r="2753" spans="1:1" x14ac:dyDescent="0.25">
      <c r="A2753" s="247">
        <v>2751</v>
      </c>
    </row>
    <row r="2754" spans="1:1" x14ac:dyDescent="0.25">
      <c r="A2754" s="247">
        <v>2752</v>
      </c>
    </row>
    <row r="2755" spans="1:1" x14ac:dyDescent="0.25">
      <c r="A2755" s="247">
        <v>2753</v>
      </c>
    </row>
    <row r="2756" spans="1:1" x14ac:dyDescent="0.25">
      <c r="A2756" s="247">
        <v>2754</v>
      </c>
    </row>
    <row r="2757" spans="1:1" x14ac:dyDescent="0.25">
      <c r="A2757" s="247">
        <v>2755</v>
      </c>
    </row>
    <row r="2758" spans="1:1" x14ac:dyDescent="0.25">
      <c r="A2758" s="247">
        <v>2756</v>
      </c>
    </row>
    <row r="2759" spans="1:1" x14ac:dyDescent="0.25">
      <c r="A2759" s="247">
        <v>2757</v>
      </c>
    </row>
    <row r="2760" spans="1:1" x14ac:dyDescent="0.25">
      <c r="A2760" s="247">
        <v>2758</v>
      </c>
    </row>
    <row r="2761" spans="1:1" x14ac:dyDescent="0.25">
      <c r="A2761" s="247">
        <v>2759</v>
      </c>
    </row>
    <row r="2762" spans="1:1" x14ac:dyDescent="0.25">
      <c r="A2762" s="247">
        <v>2760</v>
      </c>
    </row>
    <row r="2763" spans="1:1" x14ac:dyDescent="0.25">
      <c r="A2763" s="247">
        <v>2761</v>
      </c>
    </row>
    <row r="2764" spans="1:1" x14ac:dyDescent="0.25">
      <c r="A2764" s="247">
        <v>2762</v>
      </c>
    </row>
    <row r="2765" spans="1:1" x14ac:dyDescent="0.25">
      <c r="A2765" s="247">
        <v>2763</v>
      </c>
    </row>
    <row r="2766" spans="1:1" x14ac:dyDescent="0.25">
      <c r="A2766" s="247">
        <v>2764</v>
      </c>
    </row>
    <row r="2767" spans="1:1" x14ac:dyDescent="0.25">
      <c r="A2767" s="247">
        <v>2765</v>
      </c>
    </row>
    <row r="2768" spans="1:1" x14ac:dyDescent="0.25">
      <c r="A2768" s="247">
        <v>2766</v>
      </c>
    </row>
    <row r="2769" spans="1:1" x14ac:dyDescent="0.25">
      <c r="A2769" s="247">
        <v>2767</v>
      </c>
    </row>
    <row r="2770" spans="1:1" x14ac:dyDescent="0.25">
      <c r="A2770" s="247">
        <v>2768</v>
      </c>
    </row>
    <row r="2771" spans="1:1" x14ac:dyDescent="0.25">
      <c r="A2771" s="247">
        <v>2769</v>
      </c>
    </row>
    <row r="2772" spans="1:1" x14ac:dyDescent="0.25">
      <c r="A2772" s="247">
        <v>2770</v>
      </c>
    </row>
    <row r="2773" spans="1:1" x14ac:dyDescent="0.25">
      <c r="A2773" s="247">
        <v>2771</v>
      </c>
    </row>
    <row r="2774" spans="1:1" x14ac:dyDescent="0.25">
      <c r="A2774" s="247">
        <v>2772</v>
      </c>
    </row>
    <row r="2775" spans="1:1" x14ac:dyDescent="0.25">
      <c r="A2775" s="247">
        <v>2773</v>
      </c>
    </row>
    <row r="2776" spans="1:1" x14ac:dyDescent="0.25">
      <c r="A2776" s="247">
        <v>2774</v>
      </c>
    </row>
    <row r="2777" spans="1:1" x14ac:dyDescent="0.25">
      <c r="A2777" s="247">
        <v>2775</v>
      </c>
    </row>
    <row r="2778" spans="1:1" x14ac:dyDescent="0.25">
      <c r="A2778" s="247">
        <v>2776</v>
      </c>
    </row>
    <row r="2779" spans="1:1" x14ac:dyDescent="0.25">
      <c r="A2779" s="247">
        <v>2777</v>
      </c>
    </row>
    <row r="2780" spans="1:1" x14ac:dyDescent="0.25">
      <c r="A2780" s="247">
        <v>2778</v>
      </c>
    </row>
    <row r="2781" spans="1:1" x14ac:dyDescent="0.25">
      <c r="A2781" s="247">
        <v>2779</v>
      </c>
    </row>
    <row r="2782" spans="1:1" x14ac:dyDescent="0.25">
      <c r="A2782" s="247">
        <v>2780</v>
      </c>
    </row>
    <row r="2783" spans="1:1" x14ac:dyDescent="0.25">
      <c r="A2783" s="247">
        <v>2781</v>
      </c>
    </row>
    <row r="2784" spans="1:1" x14ac:dyDescent="0.25">
      <c r="A2784" s="247">
        <v>2782</v>
      </c>
    </row>
    <row r="2785" spans="1:1" x14ac:dyDescent="0.25">
      <c r="A2785" s="247">
        <v>2783</v>
      </c>
    </row>
    <row r="2786" spans="1:1" x14ac:dyDescent="0.25">
      <c r="A2786" s="247">
        <v>2784</v>
      </c>
    </row>
    <row r="2787" spans="1:1" x14ac:dyDescent="0.25">
      <c r="A2787" s="247">
        <v>2785</v>
      </c>
    </row>
    <row r="2788" spans="1:1" x14ac:dyDescent="0.25">
      <c r="A2788" s="247">
        <v>2786</v>
      </c>
    </row>
    <row r="2789" spans="1:1" x14ac:dyDescent="0.25">
      <c r="A2789" s="247">
        <v>2787</v>
      </c>
    </row>
    <row r="2790" spans="1:1" x14ac:dyDescent="0.25">
      <c r="A2790" s="247">
        <v>2788</v>
      </c>
    </row>
    <row r="2791" spans="1:1" x14ac:dyDescent="0.25">
      <c r="A2791" s="247">
        <v>2789</v>
      </c>
    </row>
    <row r="2792" spans="1:1" x14ac:dyDescent="0.25">
      <c r="A2792" s="247">
        <v>2790</v>
      </c>
    </row>
    <row r="2793" spans="1:1" x14ac:dyDescent="0.25">
      <c r="A2793" s="247">
        <v>2791</v>
      </c>
    </row>
    <row r="2794" spans="1:1" x14ac:dyDescent="0.25">
      <c r="A2794" s="247">
        <v>2792</v>
      </c>
    </row>
    <row r="2795" spans="1:1" x14ac:dyDescent="0.25">
      <c r="A2795" s="247">
        <v>2793</v>
      </c>
    </row>
    <row r="2796" spans="1:1" x14ac:dyDescent="0.25">
      <c r="A2796" s="247">
        <v>2794</v>
      </c>
    </row>
    <row r="2797" spans="1:1" x14ac:dyDescent="0.25">
      <c r="A2797" s="247">
        <v>2795</v>
      </c>
    </row>
    <row r="2798" spans="1:1" x14ac:dyDescent="0.25">
      <c r="A2798" s="247">
        <v>2796</v>
      </c>
    </row>
    <row r="2799" spans="1:1" x14ac:dyDescent="0.25">
      <c r="A2799" s="247">
        <v>2797</v>
      </c>
    </row>
    <row r="2800" spans="1:1" x14ac:dyDescent="0.25">
      <c r="A2800" s="247">
        <v>2798</v>
      </c>
    </row>
    <row r="2801" spans="1:1" x14ac:dyDescent="0.25">
      <c r="A2801" s="247">
        <v>2799</v>
      </c>
    </row>
    <row r="2802" spans="1:1" x14ac:dyDescent="0.25">
      <c r="A2802" s="247">
        <v>2800</v>
      </c>
    </row>
    <row r="2803" spans="1:1" x14ac:dyDescent="0.25">
      <c r="A2803" s="247">
        <v>2801</v>
      </c>
    </row>
    <row r="2804" spans="1:1" x14ac:dyDescent="0.25">
      <c r="A2804" s="247">
        <v>2802</v>
      </c>
    </row>
    <row r="2805" spans="1:1" x14ac:dyDescent="0.25">
      <c r="A2805" s="247">
        <v>2803</v>
      </c>
    </row>
    <row r="2806" spans="1:1" x14ac:dyDescent="0.25">
      <c r="A2806" s="247">
        <v>2804</v>
      </c>
    </row>
    <row r="2807" spans="1:1" x14ac:dyDescent="0.25">
      <c r="A2807" s="247">
        <v>2805</v>
      </c>
    </row>
    <row r="2808" spans="1:1" x14ac:dyDescent="0.25">
      <c r="A2808" s="247">
        <v>2806</v>
      </c>
    </row>
    <row r="2809" spans="1:1" x14ac:dyDescent="0.25">
      <c r="A2809" s="247">
        <v>2807</v>
      </c>
    </row>
    <row r="2810" spans="1:1" x14ac:dyDescent="0.25">
      <c r="A2810" s="247">
        <v>2808</v>
      </c>
    </row>
    <row r="2811" spans="1:1" x14ac:dyDescent="0.25">
      <c r="A2811" s="247">
        <v>2809</v>
      </c>
    </row>
    <row r="2812" spans="1:1" x14ac:dyDescent="0.25">
      <c r="A2812" s="247">
        <v>2810</v>
      </c>
    </row>
    <row r="2813" spans="1:1" x14ac:dyDescent="0.25">
      <c r="A2813" s="247">
        <v>2811</v>
      </c>
    </row>
    <row r="2814" spans="1:1" x14ac:dyDescent="0.25">
      <c r="A2814" s="247">
        <v>2812</v>
      </c>
    </row>
    <row r="2815" spans="1:1" x14ac:dyDescent="0.25">
      <c r="A2815" s="247">
        <v>2813</v>
      </c>
    </row>
    <row r="2816" spans="1:1" x14ac:dyDescent="0.25">
      <c r="A2816" s="247">
        <v>2814</v>
      </c>
    </row>
    <row r="2817" spans="1:1" x14ac:dyDescent="0.25">
      <c r="A2817" s="247">
        <v>2815</v>
      </c>
    </row>
    <row r="2818" spans="1:1" x14ac:dyDescent="0.25">
      <c r="A2818" s="247">
        <v>2816</v>
      </c>
    </row>
    <row r="2819" spans="1:1" x14ac:dyDescent="0.25">
      <c r="A2819" s="247">
        <v>2817</v>
      </c>
    </row>
    <row r="2820" spans="1:1" x14ac:dyDescent="0.25">
      <c r="A2820" s="247">
        <v>2818</v>
      </c>
    </row>
    <row r="2821" spans="1:1" x14ac:dyDescent="0.25">
      <c r="A2821" s="247">
        <v>2819</v>
      </c>
    </row>
    <row r="2822" spans="1:1" x14ac:dyDescent="0.25">
      <c r="A2822" s="247">
        <v>2820</v>
      </c>
    </row>
    <row r="2823" spans="1:1" x14ac:dyDescent="0.25">
      <c r="A2823" s="247">
        <v>2821</v>
      </c>
    </row>
    <row r="2824" spans="1:1" x14ac:dyDescent="0.25">
      <c r="A2824" s="247">
        <v>2822</v>
      </c>
    </row>
    <row r="2825" spans="1:1" x14ac:dyDescent="0.25">
      <c r="A2825" s="247">
        <v>2823</v>
      </c>
    </row>
    <row r="2826" spans="1:1" x14ac:dyDescent="0.25">
      <c r="A2826" s="247">
        <v>2824</v>
      </c>
    </row>
    <row r="2827" spans="1:1" x14ac:dyDescent="0.25">
      <c r="A2827" s="247">
        <v>2825</v>
      </c>
    </row>
    <row r="2828" spans="1:1" x14ac:dyDescent="0.25">
      <c r="A2828" s="247">
        <v>2826</v>
      </c>
    </row>
    <row r="2829" spans="1:1" x14ac:dyDescent="0.25">
      <c r="A2829" s="247">
        <v>2827</v>
      </c>
    </row>
    <row r="2830" spans="1:1" x14ac:dyDescent="0.25">
      <c r="A2830" s="247">
        <v>2828</v>
      </c>
    </row>
    <row r="2831" spans="1:1" x14ac:dyDescent="0.25">
      <c r="A2831" s="247">
        <v>2829</v>
      </c>
    </row>
    <row r="2832" spans="1:1" x14ac:dyDescent="0.25">
      <c r="A2832" s="247">
        <v>2830</v>
      </c>
    </row>
    <row r="2833" spans="1:1" x14ac:dyDescent="0.25">
      <c r="A2833" s="247">
        <v>2831</v>
      </c>
    </row>
    <row r="2834" spans="1:1" x14ac:dyDescent="0.25">
      <c r="A2834" s="247">
        <v>2832</v>
      </c>
    </row>
    <row r="2835" spans="1:1" x14ac:dyDescent="0.25">
      <c r="A2835" s="247">
        <v>2833</v>
      </c>
    </row>
    <row r="2836" spans="1:1" x14ac:dyDescent="0.25">
      <c r="A2836" s="247">
        <v>2834</v>
      </c>
    </row>
    <row r="2837" spans="1:1" x14ac:dyDescent="0.25">
      <c r="A2837" s="247">
        <v>2835</v>
      </c>
    </row>
    <row r="2838" spans="1:1" x14ac:dyDescent="0.25">
      <c r="A2838" s="247">
        <v>2836</v>
      </c>
    </row>
    <row r="2839" spans="1:1" x14ac:dyDescent="0.25">
      <c r="A2839" s="247">
        <v>2837</v>
      </c>
    </row>
    <row r="2840" spans="1:1" x14ac:dyDescent="0.25">
      <c r="A2840" s="247">
        <v>2838</v>
      </c>
    </row>
    <row r="2841" spans="1:1" x14ac:dyDescent="0.25">
      <c r="A2841" s="247">
        <v>2839</v>
      </c>
    </row>
    <row r="2842" spans="1:1" x14ac:dyDescent="0.25">
      <c r="A2842" s="247">
        <v>2840</v>
      </c>
    </row>
    <row r="2843" spans="1:1" x14ac:dyDescent="0.25">
      <c r="A2843" s="247">
        <v>2841</v>
      </c>
    </row>
    <row r="2844" spans="1:1" x14ac:dyDescent="0.25">
      <c r="A2844" s="247">
        <v>2842</v>
      </c>
    </row>
    <row r="2845" spans="1:1" x14ac:dyDescent="0.25">
      <c r="A2845" s="247">
        <v>2843</v>
      </c>
    </row>
    <row r="2846" spans="1:1" x14ac:dyDescent="0.25">
      <c r="A2846" s="247">
        <v>2844</v>
      </c>
    </row>
    <row r="2847" spans="1:1" x14ac:dyDescent="0.25">
      <c r="A2847" s="247">
        <v>2845</v>
      </c>
    </row>
    <row r="2848" spans="1:1" x14ac:dyDescent="0.25">
      <c r="A2848" s="247">
        <v>2846</v>
      </c>
    </row>
    <row r="2849" spans="1:1" x14ac:dyDescent="0.25">
      <c r="A2849" s="247">
        <v>2847</v>
      </c>
    </row>
    <row r="2850" spans="1:1" x14ac:dyDescent="0.25">
      <c r="A2850" s="247">
        <v>2848</v>
      </c>
    </row>
    <row r="2851" spans="1:1" x14ac:dyDescent="0.25">
      <c r="A2851" s="247">
        <v>2849</v>
      </c>
    </row>
    <row r="2852" spans="1:1" x14ac:dyDescent="0.25">
      <c r="A2852" s="247">
        <v>2850</v>
      </c>
    </row>
    <row r="2853" spans="1:1" x14ac:dyDescent="0.25">
      <c r="A2853" s="247">
        <v>2851</v>
      </c>
    </row>
    <row r="2854" spans="1:1" x14ac:dyDescent="0.25">
      <c r="A2854" s="247">
        <v>2852</v>
      </c>
    </row>
    <row r="2855" spans="1:1" x14ac:dyDescent="0.25">
      <c r="A2855" s="247">
        <v>2853</v>
      </c>
    </row>
    <row r="2856" spans="1:1" x14ac:dyDescent="0.25">
      <c r="A2856" s="247">
        <v>2854</v>
      </c>
    </row>
    <row r="2857" spans="1:1" x14ac:dyDescent="0.25">
      <c r="A2857" s="247">
        <v>2855</v>
      </c>
    </row>
    <row r="2858" spans="1:1" x14ac:dyDescent="0.25">
      <c r="A2858" s="247">
        <v>2856</v>
      </c>
    </row>
    <row r="2859" spans="1:1" x14ac:dyDescent="0.25">
      <c r="A2859" s="247">
        <v>2857</v>
      </c>
    </row>
    <row r="2860" spans="1:1" x14ac:dyDescent="0.25">
      <c r="A2860" s="247">
        <v>2858</v>
      </c>
    </row>
    <row r="2861" spans="1:1" x14ac:dyDescent="0.25">
      <c r="A2861" s="247">
        <v>2859</v>
      </c>
    </row>
    <row r="2862" spans="1:1" x14ac:dyDescent="0.25">
      <c r="A2862" s="247">
        <v>2860</v>
      </c>
    </row>
    <row r="2863" spans="1:1" x14ac:dyDescent="0.25">
      <c r="A2863" s="247">
        <v>2861</v>
      </c>
    </row>
    <row r="2864" spans="1:1" x14ac:dyDescent="0.25">
      <c r="A2864" s="247">
        <v>2862</v>
      </c>
    </row>
    <row r="2865" spans="1:1" x14ac:dyDescent="0.25">
      <c r="A2865" s="247">
        <v>2863</v>
      </c>
    </row>
    <row r="2866" spans="1:1" x14ac:dyDescent="0.25">
      <c r="A2866" s="247">
        <v>2864</v>
      </c>
    </row>
    <row r="2867" spans="1:1" x14ac:dyDescent="0.25">
      <c r="A2867" s="247">
        <v>2865</v>
      </c>
    </row>
    <row r="2868" spans="1:1" x14ac:dyDescent="0.25">
      <c r="A2868" s="247">
        <v>2866</v>
      </c>
    </row>
    <row r="2869" spans="1:1" x14ac:dyDescent="0.25">
      <c r="A2869" s="247">
        <v>2867</v>
      </c>
    </row>
    <row r="2870" spans="1:1" x14ac:dyDescent="0.25">
      <c r="A2870" s="247">
        <v>2868</v>
      </c>
    </row>
    <row r="2871" spans="1:1" x14ac:dyDescent="0.25">
      <c r="A2871" s="247">
        <v>2869</v>
      </c>
    </row>
    <row r="2872" spans="1:1" x14ac:dyDescent="0.25">
      <c r="A2872" s="247">
        <v>2870</v>
      </c>
    </row>
    <row r="2873" spans="1:1" x14ac:dyDescent="0.25">
      <c r="A2873" s="247">
        <v>2871</v>
      </c>
    </row>
    <row r="2874" spans="1:1" x14ac:dyDescent="0.25">
      <c r="A2874" s="247">
        <v>2872</v>
      </c>
    </row>
    <row r="2875" spans="1:1" x14ac:dyDescent="0.25">
      <c r="A2875" s="247">
        <v>2873</v>
      </c>
    </row>
    <row r="2876" spans="1:1" x14ac:dyDescent="0.25">
      <c r="A2876" s="247">
        <v>2874</v>
      </c>
    </row>
    <row r="2877" spans="1:1" x14ac:dyDescent="0.25">
      <c r="A2877" s="247">
        <v>2875</v>
      </c>
    </row>
    <row r="2878" spans="1:1" x14ac:dyDescent="0.25">
      <c r="A2878" s="247">
        <v>2876</v>
      </c>
    </row>
    <row r="2879" spans="1:1" x14ac:dyDescent="0.25">
      <c r="A2879" s="247">
        <v>2877</v>
      </c>
    </row>
    <row r="2880" spans="1:1" x14ac:dyDescent="0.25">
      <c r="A2880" s="247">
        <v>2878</v>
      </c>
    </row>
    <row r="2881" spans="1:1" x14ac:dyDescent="0.25">
      <c r="A2881" s="247">
        <v>2879</v>
      </c>
    </row>
    <row r="2882" spans="1:1" x14ac:dyDescent="0.25">
      <c r="A2882" s="247">
        <v>2880</v>
      </c>
    </row>
    <row r="2883" spans="1:1" x14ac:dyDescent="0.25">
      <c r="A2883" s="247">
        <v>2881</v>
      </c>
    </row>
    <row r="2884" spans="1:1" x14ac:dyDescent="0.25">
      <c r="A2884" s="247">
        <v>2882</v>
      </c>
    </row>
    <row r="2885" spans="1:1" x14ac:dyDescent="0.25">
      <c r="A2885" s="247">
        <v>2883</v>
      </c>
    </row>
    <row r="2886" spans="1:1" x14ac:dyDescent="0.25">
      <c r="A2886" s="247">
        <v>2884</v>
      </c>
    </row>
    <row r="2887" spans="1:1" x14ac:dyDescent="0.25">
      <c r="A2887" s="247">
        <v>2885</v>
      </c>
    </row>
    <row r="2888" spans="1:1" x14ac:dyDescent="0.25">
      <c r="A2888" s="247">
        <v>2886</v>
      </c>
    </row>
    <row r="2889" spans="1:1" x14ac:dyDescent="0.25">
      <c r="A2889" s="247">
        <v>2887</v>
      </c>
    </row>
    <row r="2890" spans="1:1" x14ac:dyDescent="0.25">
      <c r="A2890" s="247">
        <v>2888</v>
      </c>
    </row>
    <row r="2891" spans="1:1" x14ac:dyDescent="0.25">
      <c r="A2891" s="247">
        <v>2889</v>
      </c>
    </row>
    <row r="2892" spans="1:1" x14ac:dyDescent="0.25">
      <c r="A2892" s="247">
        <v>2890</v>
      </c>
    </row>
    <row r="2893" spans="1:1" x14ac:dyDescent="0.25">
      <c r="A2893" s="247">
        <v>2891</v>
      </c>
    </row>
    <row r="2894" spans="1:1" x14ac:dyDescent="0.25">
      <c r="A2894" s="247">
        <v>2892</v>
      </c>
    </row>
    <row r="2895" spans="1:1" x14ac:dyDescent="0.25">
      <c r="A2895" s="247">
        <v>2893</v>
      </c>
    </row>
    <row r="2896" spans="1:1" x14ac:dyDescent="0.25">
      <c r="A2896" s="247">
        <v>2894</v>
      </c>
    </row>
    <row r="2897" spans="1:1" x14ac:dyDescent="0.25">
      <c r="A2897" s="247">
        <v>2895</v>
      </c>
    </row>
    <row r="2898" spans="1:1" x14ac:dyDescent="0.25">
      <c r="A2898" s="247">
        <v>2896</v>
      </c>
    </row>
    <row r="2899" spans="1:1" x14ac:dyDescent="0.25">
      <c r="A2899" s="247">
        <v>2897</v>
      </c>
    </row>
    <row r="2900" spans="1:1" x14ac:dyDescent="0.25">
      <c r="A2900" s="247">
        <v>2898</v>
      </c>
    </row>
    <row r="2901" spans="1:1" x14ac:dyDescent="0.25">
      <c r="A2901" s="247">
        <v>2899</v>
      </c>
    </row>
    <row r="2902" spans="1:1" x14ac:dyDescent="0.25">
      <c r="A2902" s="247">
        <v>2900</v>
      </c>
    </row>
    <row r="2903" spans="1:1" x14ac:dyDescent="0.25">
      <c r="A2903" s="247">
        <v>2901</v>
      </c>
    </row>
    <row r="2904" spans="1:1" x14ac:dyDescent="0.25">
      <c r="A2904" s="247">
        <v>2902</v>
      </c>
    </row>
    <row r="2905" spans="1:1" x14ac:dyDescent="0.25">
      <c r="A2905" s="247">
        <v>2903</v>
      </c>
    </row>
    <row r="2906" spans="1:1" x14ac:dyDescent="0.25">
      <c r="A2906" s="247">
        <v>2904</v>
      </c>
    </row>
    <row r="2907" spans="1:1" x14ac:dyDescent="0.25">
      <c r="A2907" s="247">
        <v>2905</v>
      </c>
    </row>
    <row r="2908" spans="1:1" x14ac:dyDescent="0.25">
      <c r="A2908" s="247">
        <v>2906</v>
      </c>
    </row>
    <row r="2909" spans="1:1" x14ac:dyDescent="0.25">
      <c r="A2909" s="247">
        <v>2907</v>
      </c>
    </row>
    <row r="2910" spans="1:1" x14ac:dyDescent="0.25">
      <c r="A2910" s="247">
        <v>2908</v>
      </c>
    </row>
    <row r="2911" spans="1:1" x14ac:dyDescent="0.25">
      <c r="A2911" s="247">
        <v>2909</v>
      </c>
    </row>
    <row r="2912" spans="1:1" x14ac:dyDescent="0.25">
      <c r="A2912" s="247">
        <v>2910</v>
      </c>
    </row>
    <row r="2913" spans="1:1" x14ac:dyDescent="0.25">
      <c r="A2913" s="247">
        <v>2911</v>
      </c>
    </row>
    <row r="2914" spans="1:1" x14ac:dyDescent="0.25">
      <c r="A2914" s="247">
        <v>2912</v>
      </c>
    </row>
    <row r="2915" spans="1:1" x14ac:dyDescent="0.25">
      <c r="A2915" s="247">
        <v>2913</v>
      </c>
    </row>
    <row r="2916" spans="1:1" x14ac:dyDescent="0.25">
      <c r="A2916" s="247">
        <v>2914</v>
      </c>
    </row>
    <row r="2917" spans="1:1" x14ac:dyDescent="0.25">
      <c r="A2917" s="247">
        <v>2915</v>
      </c>
    </row>
    <row r="2918" spans="1:1" x14ac:dyDescent="0.25">
      <c r="A2918" s="247">
        <v>2916</v>
      </c>
    </row>
    <row r="2919" spans="1:1" x14ac:dyDescent="0.25">
      <c r="A2919" s="247">
        <v>2917</v>
      </c>
    </row>
    <row r="2920" spans="1:1" x14ac:dyDescent="0.25">
      <c r="A2920" s="247">
        <v>2918</v>
      </c>
    </row>
    <row r="2921" spans="1:1" x14ac:dyDescent="0.25">
      <c r="A2921" s="247">
        <v>2919</v>
      </c>
    </row>
    <row r="2922" spans="1:1" x14ac:dyDescent="0.25">
      <c r="A2922" s="247">
        <v>2920</v>
      </c>
    </row>
    <row r="2923" spans="1:1" x14ac:dyDescent="0.25">
      <c r="A2923" s="247">
        <v>2921</v>
      </c>
    </row>
    <row r="2924" spans="1:1" x14ac:dyDescent="0.25">
      <c r="A2924" s="247">
        <v>2922</v>
      </c>
    </row>
    <row r="2925" spans="1:1" x14ac:dyDescent="0.25">
      <c r="A2925" s="247">
        <v>2923</v>
      </c>
    </row>
    <row r="2926" spans="1:1" x14ac:dyDescent="0.25">
      <c r="A2926" s="247">
        <v>2924</v>
      </c>
    </row>
    <row r="2927" spans="1:1" x14ac:dyDescent="0.25">
      <c r="A2927" s="247">
        <v>2925</v>
      </c>
    </row>
    <row r="2928" spans="1:1" x14ac:dyDescent="0.25">
      <c r="A2928" s="247">
        <v>2926</v>
      </c>
    </row>
    <row r="2929" spans="1:1" x14ac:dyDescent="0.25">
      <c r="A2929" s="247">
        <v>2927</v>
      </c>
    </row>
    <row r="2930" spans="1:1" x14ac:dyDescent="0.25">
      <c r="A2930" s="247">
        <v>2928</v>
      </c>
    </row>
    <row r="2931" spans="1:1" x14ac:dyDescent="0.25">
      <c r="A2931" s="247">
        <v>2929</v>
      </c>
    </row>
    <row r="2932" spans="1:1" x14ac:dyDescent="0.25">
      <c r="A2932" s="247">
        <v>2930</v>
      </c>
    </row>
    <row r="2933" spans="1:1" x14ac:dyDescent="0.25">
      <c r="A2933" s="247">
        <v>2931</v>
      </c>
    </row>
    <row r="2934" spans="1:1" x14ac:dyDescent="0.25">
      <c r="A2934" s="247">
        <v>2932</v>
      </c>
    </row>
    <row r="2935" spans="1:1" x14ac:dyDescent="0.25">
      <c r="A2935" s="247">
        <v>2933</v>
      </c>
    </row>
    <row r="2936" spans="1:1" x14ac:dyDescent="0.25">
      <c r="A2936" s="247">
        <v>2934</v>
      </c>
    </row>
    <row r="2937" spans="1:1" x14ac:dyDescent="0.25">
      <c r="A2937" s="247">
        <v>2935</v>
      </c>
    </row>
    <row r="2938" spans="1:1" x14ac:dyDescent="0.25">
      <c r="A2938" s="247">
        <v>2936</v>
      </c>
    </row>
    <row r="2939" spans="1:1" x14ac:dyDescent="0.25">
      <c r="A2939" s="247">
        <v>2937</v>
      </c>
    </row>
    <row r="2940" spans="1:1" x14ac:dyDescent="0.25">
      <c r="A2940" s="247">
        <v>2938</v>
      </c>
    </row>
    <row r="2941" spans="1:1" x14ac:dyDescent="0.25">
      <c r="A2941" s="247">
        <v>2939</v>
      </c>
    </row>
    <row r="2942" spans="1:1" x14ac:dyDescent="0.25">
      <c r="A2942" s="247">
        <v>2940</v>
      </c>
    </row>
    <row r="2943" spans="1:1" x14ac:dyDescent="0.25">
      <c r="A2943" s="247">
        <v>2941</v>
      </c>
    </row>
    <row r="2944" spans="1:1" x14ac:dyDescent="0.25">
      <c r="A2944" s="247">
        <v>2942</v>
      </c>
    </row>
    <row r="2945" spans="1:1" x14ac:dyDescent="0.25">
      <c r="A2945" s="247">
        <v>2943</v>
      </c>
    </row>
    <row r="2946" spans="1:1" x14ac:dyDescent="0.25">
      <c r="A2946" s="247">
        <v>2944</v>
      </c>
    </row>
    <row r="2947" spans="1:1" x14ac:dyDescent="0.25">
      <c r="A2947" s="247">
        <v>2945</v>
      </c>
    </row>
    <row r="2948" spans="1:1" x14ac:dyDescent="0.25">
      <c r="A2948" s="247">
        <v>2946</v>
      </c>
    </row>
    <row r="2949" spans="1:1" x14ac:dyDescent="0.25">
      <c r="A2949" s="247">
        <v>2947</v>
      </c>
    </row>
    <row r="2950" spans="1:1" x14ac:dyDescent="0.25">
      <c r="A2950" s="247">
        <v>2948</v>
      </c>
    </row>
    <row r="2951" spans="1:1" x14ac:dyDescent="0.25">
      <c r="A2951" s="247">
        <v>2949</v>
      </c>
    </row>
    <row r="2952" spans="1:1" x14ac:dyDescent="0.25">
      <c r="A2952" s="247">
        <v>2950</v>
      </c>
    </row>
    <row r="2953" spans="1:1" x14ac:dyDescent="0.25">
      <c r="A2953" s="247">
        <v>2951</v>
      </c>
    </row>
    <row r="2954" spans="1:1" x14ac:dyDescent="0.25">
      <c r="A2954" s="247">
        <v>2952</v>
      </c>
    </row>
    <row r="2955" spans="1:1" x14ac:dyDescent="0.25">
      <c r="A2955" s="247">
        <v>2953</v>
      </c>
    </row>
    <row r="2956" spans="1:1" x14ac:dyDescent="0.25">
      <c r="A2956" s="247">
        <v>2954</v>
      </c>
    </row>
    <row r="2957" spans="1:1" x14ac:dyDescent="0.25">
      <c r="A2957" s="247">
        <v>2955</v>
      </c>
    </row>
    <row r="2958" spans="1:1" x14ac:dyDescent="0.25">
      <c r="A2958" s="247">
        <v>2956</v>
      </c>
    </row>
    <row r="2959" spans="1:1" x14ac:dyDescent="0.25">
      <c r="A2959" s="247">
        <v>2957</v>
      </c>
    </row>
    <row r="2960" spans="1:1" x14ac:dyDescent="0.25">
      <c r="A2960" s="247">
        <v>2958</v>
      </c>
    </row>
    <row r="2961" spans="1:1" x14ac:dyDescent="0.25">
      <c r="A2961" s="247">
        <v>2959</v>
      </c>
    </row>
    <row r="2962" spans="1:1" x14ac:dyDescent="0.25">
      <c r="A2962" s="247">
        <v>2960</v>
      </c>
    </row>
    <row r="2963" spans="1:1" x14ac:dyDescent="0.25">
      <c r="A2963" s="247">
        <v>2961</v>
      </c>
    </row>
    <row r="2964" spans="1:1" x14ac:dyDescent="0.25">
      <c r="A2964" s="247">
        <v>2962</v>
      </c>
    </row>
    <row r="2965" spans="1:1" x14ac:dyDescent="0.25">
      <c r="A2965" s="247">
        <v>2963</v>
      </c>
    </row>
    <row r="2966" spans="1:1" x14ac:dyDescent="0.25">
      <c r="A2966" s="247">
        <v>2964</v>
      </c>
    </row>
    <row r="2967" spans="1:1" x14ac:dyDescent="0.25">
      <c r="A2967" s="247">
        <v>2965</v>
      </c>
    </row>
    <row r="2968" spans="1:1" x14ac:dyDescent="0.25">
      <c r="A2968" s="247">
        <v>2966</v>
      </c>
    </row>
    <row r="2969" spans="1:1" x14ac:dyDescent="0.25">
      <c r="A2969" s="247">
        <v>2967</v>
      </c>
    </row>
    <row r="2970" spans="1:1" x14ac:dyDescent="0.25">
      <c r="A2970" s="247">
        <v>2968</v>
      </c>
    </row>
    <row r="2971" spans="1:1" x14ac:dyDescent="0.25">
      <c r="A2971" s="247">
        <v>2969</v>
      </c>
    </row>
    <row r="2972" spans="1:1" x14ac:dyDescent="0.25">
      <c r="A2972" s="247">
        <v>2970</v>
      </c>
    </row>
    <row r="2973" spans="1:1" x14ac:dyDescent="0.25">
      <c r="A2973" s="247">
        <v>2971</v>
      </c>
    </row>
    <row r="2974" spans="1:1" x14ac:dyDescent="0.25">
      <c r="A2974" s="247">
        <v>2972</v>
      </c>
    </row>
    <row r="2975" spans="1:1" x14ac:dyDescent="0.25">
      <c r="A2975" s="247">
        <v>2973</v>
      </c>
    </row>
    <row r="2976" spans="1:1" x14ac:dyDescent="0.25">
      <c r="A2976" s="247">
        <v>2974</v>
      </c>
    </row>
    <row r="2977" spans="1:1" x14ac:dyDescent="0.25">
      <c r="A2977" s="247">
        <v>2975</v>
      </c>
    </row>
    <row r="2978" spans="1:1" x14ac:dyDescent="0.25">
      <c r="A2978" s="247">
        <v>2976</v>
      </c>
    </row>
    <row r="2979" spans="1:1" x14ac:dyDescent="0.25">
      <c r="A2979" s="247">
        <v>2977</v>
      </c>
    </row>
    <row r="2980" spans="1:1" x14ac:dyDescent="0.25">
      <c r="A2980" s="247">
        <v>2978</v>
      </c>
    </row>
    <row r="2981" spans="1:1" x14ac:dyDescent="0.25">
      <c r="A2981" s="247">
        <v>2979</v>
      </c>
    </row>
    <row r="2982" spans="1:1" x14ac:dyDescent="0.25">
      <c r="A2982" s="247">
        <v>2980</v>
      </c>
    </row>
    <row r="2983" spans="1:1" x14ac:dyDescent="0.25">
      <c r="A2983" s="247">
        <v>2981</v>
      </c>
    </row>
    <row r="2984" spans="1:1" x14ac:dyDescent="0.25">
      <c r="A2984" s="247">
        <v>2982</v>
      </c>
    </row>
    <row r="2985" spans="1:1" x14ac:dyDescent="0.25">
      <c r="A2985" s="247">
        <v>2983</v>
      </c>
    </row>
    <row r="2986" spans="1:1" x14ac:dyDescent="0.25">
      <c r="A2986" s="247">
        <v>2984</v>
      </c>
    </row>
    <row r="2987" spans="1:1" x14ac:dyDescent="0.25">
      <c r="A2987" s="247">
        <v>2985</v>
      </c>
    </row>
    <row r="2988" spans="1:1" x14ac:dyDescent="0.25">
      <c r="A2988" s="247">
        <v>2986</v>
      </c>
    </row>
    <row r="2989" spans="1:1" x14ac:dyDescent="0.25">
      <c r="A2989" s="247">
        <v>2987</v>
      </c>
    </row>
    <row r="2990" spans="1:1" x14ac:dyDescent="0.25">
      <c r="A2990" s="247">
        <v>2988</v>
      </c>
    </row>
    <row r="2991" spans="1:1" x14ac:dyDescent="0.25">
      <c r="A2991" s="247">
        <v>2989</v>
      </c>
    </row>
    <row r="2992" spans="1:1" x14ac:dyDescent="0.25">
      <c r="A2992" s="247">
        <v>2990</v>
      </c>
    </row>
    <row r="2993" spans="1:1" x14ac:dyDescent="0.25">
      <c r="A2993" s="247">
        <v>2991</v>
      </c>
    </row>
    <row r="2994" spans="1:1" x14ac:dyDescent="0.25">
      <c r="A2994" s="247">
        <v>2992</v>
      </c>
    </row>
    <row r="2995" spans="1:1" x14ac:dyDescent="0.25">
      <c r="A2995" s="247">
        <v>2993</v>
      </c>
    </row>
    <row r="2996" spans="1:1" x14ac:dyDescent="0.25">
      <c r="A2996" s="247">
        <v>2994</v>
      </c>
    </row>
    <row r="2997" spans="1:1" x14ac:dyDescent="0.25">
      <c r="A2997" s="247">
        <v>2995</v>
      </c>
    </row>
    <row r="2998" spans="1:1" x14ac:dyDescent="0.25">
      <c r="A2998" s="247">
        <v>2996</v>
      </c>
    </row>
    <row r="2999" spans="1:1" x14ac:dyDescent="0.25">
      <c r="A2999" s="247">
        <v>2997</v>
      </c>
    </row>
    <row r="3000" spans="1:1" x14ac:dyDescent="0.25">
      <c r="A3000" s="247">
        <v>2998</v>
      </c>
    </row>
    <row r="3001" spans="1:1" x14ac:dyDescent="0.25">
      <c r="A3001" s="247">
        <v>2999</v>
      </c>
    </row>
    <row r="3002" spans="1:1" x14ac:dyDescent="0.25">
      <c r="A3002" s="247">
        <v>3000</v>
      </c>
    </row>
    <row r="3003" spans="1:1" x14ac:dyDescent="0.25">
      <c r="A3003" s="247">
        <v>3001</v>
      </c>
    </row>
    <row r="3004" spans="1:1" x14ac:dyDescent="0.25">
      <c r="A3004" s="247">
        <v>3002</v>
      </c>
    </row>
    <row r="3005" spans="1:1" x14ac:dyDescent="0.25">
      <c r="A3005" s="247">
        <v>3003</v>
      </c>
    </row>
    <row r="3006" spans="1:1" x14ac:dyDescent="0.25">
      <c r="A3006" s="247">
        <v>3004</v>
      </c>
    </row>
    <row r="3007" spans="1:1" x14ac:dyDescent="0.25">
      <c r="A3007" s="247">
        <v>3005</v>
      </c>
    </row>
    <row r="3008" spans="1:1" x14ac:dyDescent="0.25">
      <c r="A3008" s="247">
        <v>3006</v>
      </c>
    </row>
    <row r="3009" spans="1:1" x14ac:dyDescent="0.25">
      <c r="A3009" s="247">
        <v>3007</v>
      </c>
    </row>
    <row r="3010" spans="1:1" x14ac:dyDescent="0.25">
      <c r="A3010" s="247">
        <v>3008</v>
      </c>
    </row>
    <row r="3011" spans="1:1" x14ac:dyDescent="0.25">
      <c r="A3011" s="247">
        <v>3009</v>
      </c>
    </row>
    <row r="3012" spans="1:1" x14ac:dyDescent="0.25">
      <c r="A3012" s="247">
        <v>3010</v>
      </c>
    </row>
    <row r="3013" spans="1:1" x14ac:dyDescent="0.25">
      <c r="A3013" s="247">
        <v>3011</v>
      </c>
    </row>
    <row r="3014" spans="1:1" x14ac:dyDescent="0.25">
      <c r="A3014" s="247">
        <v>3012</v>
      </c>
    </row>
    <row r="3015" spans="1:1" x14ac:dyDescent="0.25">
      <c r="A3015" s="247">
        <v>3013</v>
      </c>
    </row>
    <row r="3016" spans="1:1" x14ac:dyDescent="0.25">
      <c r="A3016" s="247">
        <v>3014</v>
      </c>
    </row>
    <row r="3017" spans="1:1" x14ac:dyDescent="0.25">
      <c r="A3017" s="247">
        <v>3015</v>
      </c>
    </row>
    <row r="3018" spans="1:1" x14ac:dyDescent="0.25">
      <c r="A3018" s="247">
        <v>3016</v>
      </c>
    </row>
    <row r="3019" spans="1:1" x14ac:dyDescent="0.25">
      <c r="A3019" s="247">
        <v>3017</v>
      </c>
    </row>
    <row r="3020" spans="1:1" x14ac:dyDescent="0.25">
      <c r="A3020" s="247">
        <v>3018</v>
      </c>
    </row>
    <row r="3021" spans="1:1" x14ac:dyDescent="0.25">
      <c r="A3021" s="247">
        <v>3019</v>
      </c>
    </row>
    <row r="3022" spans="1:1" x14ac:dyDescent="0.25">
      <c r="A3022" s="247">
        <v>3020</v>
      </c>
    </row>
    <row r="3023" spans="1:1" x14ac:dyDescent="0.25">
      <c r="A3023" s="247">
        <v>3021</v>
      </c>
    </row>
    <row r="3024" spans="1:1" x14ac:dyDescent="0.25">
      <c r="A3024" s="247">
        <v>3022</v>
      </c>
    </row>
    <row r="3025" spans="1:1" x14ac:dyDescent="0.25">
      <c r="A3025" s="247">
        <v>3023</v>
      </c>
    </row>
    <row r="3026" spans="1:1" x14ac:dyDescent="0.25">
      <c r="A3026" s="247">
        <v>3024</v>
      </c>
    </row>
    <row r="3027" spans="1:1" x14ac:dyDescent="0.25">
      <c r="A3027" s="247">
        <v>3025</v>
      </c>
    </row>
    <row r="3028" spans="1:1" x14ac:dyDescent="0.25">
      <c r="A3028" s="247">
        <v>3026</v>
      </c>
    </row>
    <row r="3029" spans="1:1" x14ac:dyDescent="0.25">
      <c r="A3029" s="247">
        <v>3027</v>
      </c>
    </row>
    <row r="3030" spans="1:1" x14ac:dyDescent="0.25">
      <c r="A3030" s="247">
        <v>3028</v>
      </c>
    </row>
    <row r="3031" spans="1:1" x14ac:dyDescent="0.25">
      <c r="A3031" s="247">
        <v>3029</v>
      </c>
    </row>
    <row r="3032" spans="1:1" x14ac:dyDescent="0.25">
      <c r="A3032" s="247">
        <v>3030</v>
      </c>
    </row>
    <row r="3033" spans="1:1" x14ac:dyDescent="0.25">
      <c r="A3033" s="247">
        <v>3031</v>
      </c>
    </row>
    <row r="3034" spans="1:1" x14ac:dyDescent="0.25">
      <c r="A3034" s="247">
        <v>3032</v>
      </c>
    </row>
    <row r="3035" spans="1:1" x14ac:dyDescent="0.25">
      <c r="A3035" s="247">
        <v>3033</v>
      </c>
    </row>
    <row r="3036" spans="1:1" x14ac:dyDescent="0.25">
      <c r="A3036" s="247">
        <v>3034</v>
      </c>
    </row>
    <row r="3037" spans="1:1" x14ac:dyDescent="0.25">
      <c r="A3037" s="247">
        <v>3035</v>
      </c>
    </row>
    <row r="3038" spans="1:1" x14ac:dyDescent="0.25">
      <c r="A3038" s="247">
        <v>3036</v>
      </c>
    </row>
    <row r="3039" spans="1:1" x14ac:dyDescent="0.25">
      <c r="A3039" s="247">
        <v>3037</v>
      </c>
    </row>
    <row r="3040" spans="1:1" x14ac:dyDescent="0.25">
      <c r="A3040" s="247">
        <v>3038</v>
      </c>
    </row>
    <row r="3041" spans="1:1" x14ac:dyDescent="0.25">
      <c r="A3041" s="247">
        <v>3039</v>
      </c>
    </row>
    <row r="3042" spans="1:1" x14ac:dyDescent="0.25">
      <c r="A3042" s="247">
        <v>3040</v>
      </c>
    </row>
    <row r="3043" spans="1:1" x14ac:dyDescent="0.25">
      <c r="A3043" s="247">
        <v>3041</v>
      </c>
    </row>
    <row r="3044" spans="1:1" x14ac:dyDescent="0.25">
      <c r="A3044" s="247">
        <v>3042</v>
      </c>
    </row>
    <row r="3045" spans="1:1" x14ac:dyDescent="0.25">
      <c r="A3045" s="247">
        <v>3043</v>
      </c>
    </row>
    <row r="3046" spans="1:1" x14ac:dyDescent="0.25">
      <c r="A3046" s="247">
        <v>3044</v>
      </c>
    </row>
    <row r="3047" spans="1:1" x14ac:dyDescent="0.25">
      <c r="A3047" s="247">
        <v>3045</v>
      </c>
    </row>
    <row r="3048" spans="1:1" x14ac:dyDescent="0.25">
      <c r="A3048" s="247">
        <v>3046</v>
      </c>
    </row>
    <row r="3049" spans="1:1" x14ac:dyDescent="0.25">
      <c r="A3049" s="247">
        <v>3047</v>
      </c>
    </row>
    <row r="3050" spans="1:1" x14ac:dyDescent="0.25">
      <c r="A3050" s="247">
        <v>3048</v>
      </c>
    </row>
    <row r="3051" spans="1:1" x14ac:dyDescent="0.25">
      <c r="A3051" s="247">
        <v>3049</v>
      </c>
    </row>
    <row r="3052" spans="1:1" x14ac:dyDescent="0.25">
      <c r="A3052" s="247">
        <v>3050</v>
      </c>
    </row>
    <row r="3053" spans="1:1" x14ac:dyDescent="0.25">
      <c r="A3053" s="247">
        <v>3051</v>
      </c>
    </row>
    <row r="3054" spans="1:1" x14ac:dyDescent="0.25">
      <c r="A3054" s="247">
        <v>3052</v>
      </c>
    </row>
    <row r="3055" spans="1:1" x14ac:dyDescent="0.25">
      <c r="A3055" s="247">
        <v>3053</v>
      </c>
    </row>
    <row r="3056" spans="1:1" x14ac:dyDescent="0.25">
      <c r="A3056" s="247">
        <v>3054</v>
      </c>
    </row>
    <row r="3057" spans="1:1" x14ac:dyDescent="0.25">
      <c r="A3057" s="247">
        <v>3055</v>
      </c>
    </row>
    <row r="3058" spans="1:1" x14ac:dyDescent="0.25">
      <c r="A3058" s="247">
        <v>3056</v>
      </c>
    </row>
    <row r="3059" spans="1:1" x14ac:dyDescent="0.25">
      <c r="A3059" s="247">
        <v>3057</v>
      </c>
    </row>
    <row r="3060" spans="1:1" x14ac:dyDescent="0.25">
      <c r="A3060" s="247">
        <v>3058</v>
      </c>
    </row>
    <row r="3061" spans="1:1" x14ac:dyDescent="0.25">
      <c r="A3061" s="247">
        <v>3059</v>
      </c>
    </row>
    <row r="3062" spans="1:1" x14ac:dyDescent="0.25">
      <c r="A3062" s="247">
        <v>3060</v>
      </c>
    </row>
    <row r="3063" spans="1:1" x14ac:dyDescent="0.25">
      <c r="A3063" s="247">
        <v>3061</v>
      </c>
    </row>
    <row r="3064" spans="1:1" x14ac:dyDescent="0.25">
      <c r="A3064" s="247">
        <v>3062</v>
      </c>
    </row>
    <row r="3065" spans="1:1" x14ac:dyDescent="0.25">
      <c r="A3065" s="247">
        <v>3063</v>
      </c>
    </row>
    <row r="3066" spans="1:1" x14ac:dyDescent="0.25">
      <c r="A3066" s="247">
        <v>3064</v>
      </c>
    </row>
    <row r="3067" spans="1:1" x14ac:dyDescent="0.25">
      <c r="A3067" s="247">
        <v>3065</v>
      </c>
    </row>
    <row r="3068" spans="1:1" x14ac:dyDescent="0.25">
      <c r="A3068" s="247">
        <v>3066</v>
      </c>
    </row>
    <row r="3069" spans="1:1" x14ac:dyDescent="0.25">
      <c r="A3069" s="247">
        <v>3067</v>
      </c>
    </row>
    <row r="3070" spans="1:1" x14ac:dyDescent="0.25">
      <c r="A3070" s="247">
        <v>3068</v>
      </c>
    </row>
    <row r="3071" spans="1:1" x14ac:dyDescent="0.25">
      <c r="A3071" s="247">
        <v>3069</v>
      </c>
    </row>
    <row r="3072" spans="1:1" x14ac:dyDescent="0.25">
      <c r="A3072" s="247">
        <v>3070</v>
      </c>
    </row>
    <row r="3073" spans="1:1" x14ac:dyDescent="0.25">
      <c r="A3073" s="247">
        <v>3071</v>
      </c>
    </row>
    <row r="3074" spans="1:1" x14ac:dyDescent="0.25">
      <c r="A3074" s="247">
        <v>3072</v>
      </c>
    </row>
    <row r="3075" spans="1:1" x14ac:dyDescent="0.25">
      <c r="A3075" s="247">
        <v>3073</v>
      </c>
    </row>
    <row r="3076" spans="1:1" x14ac:dyDescent="0.25">
      <c r="A3076" s="247">
        <v>3074</v>
      </c>
    </row>
    <row r="3077" spans="1:1" x14ac:dyDescent="0.25">
      <c r="A3077" s="247">
        <v>3075</v>
      </c>
    </row>
    <row r="3078" spans="1:1" x14ac:dyDescent="0.25">
      <c r="A3078" s="247">
        <v>3076</v>
      </c>
    </row>
    <row r="3079" spans="1:1" x14ac:dyDescent="0.25">
      <c r="A3079" s="247">
        <v>3077</v>
      </c>
    </row>
    <row r="3080" spans="1:1" x14ac:dyDescent="0.25">
      <c r="A3080" s="247">
        <v>3078</v>
      </c>
    </row>
    <row r="3081" spans="1:1" x14ac:dyDescent="0.25">
      <c r="A3081" s="247">
        <v>3079</v>
      </c>
    </row>
    <row r="3082" spans="1:1" x14ac:dyDescent="0.25">
      <c r="A3082" s="247">
        <v>3080</v>
      </c>
    </row>
    <row r="3083" spans="1:1" x14ac:dyDescent="0.25">
      <c r="A3083" s="247">
        <v>3081</v>
      </c>
    </row>
    <row r="3084" spans="1:1" x14ac:dyDescent="0.25">
      <c r="A3084" s="247">
        <v>3082</v>
      </c>
    </row>
    <row r="3085" spans="1:1" x14ac:dyDescent="0.25">
      <c r="A3085" s="247">
        <v>3083</v>
      </c>
    </row>
    <row r="3086" spans="1:1" x14ac:dyDescent="0.25">
      <c r="A3086" s="247">
        <v>3084</v>
      </c>
    </row>
    <row r="3087" spans="1:1" x14ac:dyDescent="0.25">
      <c r="A3087" s="247">
        <v>3085</v>
      </c>
    </row>
    <row r="3088" spans="1:1" x14ac:dyDescent="0.25">
      <c r="A3088" s="247">
        <v>3086</v>
      </c>
    </row>
    <row r="3089" spans="1:1" x14ac:dyDescent="0.25">
      <c r="A3089" s="247">
        <v>3087</v>
      </c>
    </row>
    <row r="3090" spans="1:1" x14ac:dyDescent="0.25">
      <c r="A3090" s="247">
        <v>3088</v>
      </c>
    </row>
    <row r="3091" spans="1:1" x14ac:dyDescent="0.25">
      <c r="A3091" s="247">
        <v>3089</v>
      </c>
    </row>
    <row r="3092" spans="1:1" x14ac:dyDescent="0.25">
      <c r="A3092" s="247">
        <v>3090</v>
      </c>
    </row>
    <row r="3093" spans="1:1" x14ac:dyDescent="0.25">
      <c r="A3093" s="247">
        <v>3091</v>
      </c>
    </row>
    <row r="3094" spans="1:1" x14ac:dyDescent="0.25">
      <c r="A3094" s="247">
        <v>3092</v>
      </c>
    </row>
    <row r="3095" spans="1:1" x14ac:dyDescent="0.25">
      <c r="A3095" s="247">
        <v>3093</v>
      </c>
    </row>
    <row r="3096" spans="1:1" x14ac:dyDescent="0.25">
      <c r="A3096" s="247">
        <v>3094</v>
      </c>
    </row>
    <row r="3097" spans="1:1" x14ac:dyDescent="0.25">
      <c r="A3097" s="247">
        <v>3095</v>
      </c>
    </row>
    <row r="3098" spans="1:1" x14ac:dyDescent="0.25">
      <c r="A3098" s="247">
        <v>3096</v>
      </c>
    </row>
    <row r="3099" spans="1:1" x14ac:dyDescent="0.25">
      <c r="A3099" s="247">
        <v>3097</v>
      </c>
    </row>
    <row r="3100" spans="1:1" x14ac:dyDescent="0.25">
      <c r="A3100" s="247">
        <v>3098</v>
      </c>
    </row>
    <row r="3101" spans="1:1" x14ac:dyDescent="0.25">
      <c r="A3101" s="247">
        <v>3099</v>
      </c>
    </row>
    <row r="3102" spans="1:1" x14ac:dyDescent="0.25">
      <c r="A3102" s="247">
        <v>3100</v>
      </c>
    </row>
    <row r="3103" spans="1:1" x14ac:dyDescent="0.25">
      <c r="A3103" s="247">
        <v>3101</v>
      </c>
    </row>
    <row r="3104" spans="1:1" x14ac:dyDescent="0.25">
      <c r="A3104" s="247">
        <v>3102</v>
      </c>
    </row>
    <row r="3105" spans="1:1" x14ac:dyDescent="0.25">
      <c r="A3105" s="247">
        <v>3103</v>
      </c>
    </row>
    <row r="3106" spans="1:1" x14ac:dyDescent="0.25">
      <c r="A3106" s="247">
        <v>3104</v>
      </c>
    </row>
    <row r="3107" spans="1:1" x14ac:dyDescent="0.25">
      <c r="A3107" s="247">
        <v>3105</v>
      </c>
    </row>
    <row r="3108" spans="1:1" x14ac:dyDescent="0.25">
      <c r="A3108" s="247">
        <v>3106</v>
      </c>
    </row>
    <row r="3109" spans="1:1" x14ac:dyDescent="0.25">
      <c r="A3109" s="247">
        <v>3107</v>
      </c>
    </row>
    <row r="3110" spans="1:1" x14ac:dyDescent="0.25">
      <c r="A3110" s="247">
        <v>3108</v>
      </c>
    </row>
    <row r="3111" spans="1:1" x14ac:dyDescent="0.25">
      <c r="A3111" s="247">
        <v>3109</v>
      </c>
    </row>
    <row r="3112" spans="1:1" x14ac:dyDescent="0.25">
      <c r="A3112" s="247">
        <v>3110</v>
      </c>
    </row>
    <row r="3113" spans="1:1" x14ac:dyDescent="0.25">
      <c r="A3113" s="247">
        <v>3111</v>
      </c>
    </row>
    <row r="3114" spans="1:1" x14ac:dyDescent="0.25">
      <c r="A3114" s="247">
        <v>3112</v>
      </c>
    </row>
    <row r="3115" spans="1:1" x14ac:dyDescent="0.25">
      <c r="A3115" s="247">
        <v>3113</v>
      </c>
    </row>
    <row r="3116" spans="1:1" x14ac:dyDescent="0.25">
      <c r="A3116" s="247">
        <v>3114</v>
      </c>
    </row>
    <row r="3117" spans="1:1" x14ac:dyDescent="0.25">
      <c r="A3117" s="247">
        <v>3115</v>
      </c>
    </row>
    <row r="3118" spans="1:1" x14ac:dyDescent="0.25">
      <c r="A3118" s="247">
        <v>3116</v>
      </c>
    </row>
    <row r="3119" spans="1:1" x14ac:dyDescent="0.25">
      <c r="A3119" s="247">
        <v>3117</v>
      </c>
    </row>
    <row r="3120" spans="1:1" x14ac:dyDescent="0.25">
      <c r="A3120" s="247">
        <v>3118</v>
      </c>
    </row>
    <row r="3121" spans="1:1" x14ac:dyDescent="0.25">
      <c r="A3121" s="247">
        <v>3119</v>
      </c>
    </row>
    <row r="3122" spans="1:1" x14ac:dyDescent="0.25">
      <c r="A3122" s="247">
        <v>3120</v>
      </c>
    </row>
    <row r="3123" spans="1:1" x14ac:dyDescent="0.25">
      <c r="A3123" s="247">
        <v>3121</v>
      </c>
    </row>
    <row r="3124" spans="1:1" x14ac:dyDescent="0.25">
      <c r="A3124" s="247">
        <v>3122</v>
      </c>
    </row>
    <row r="3125" spans="1:1" x14ac:dyDescent="0.25">
      <c r="A3125" s="247">
        <v>3123</v>
      </c>
    </row>
    <row r="3126" spans="1:1" x14ac:dyDescent="0.25">
      <c r="A3126" s="247">
        <v>3124</v>
      </c>
    </row>
    <row r="3127" spans="1:1" x14ac:dyDescent="0.25">
      <c r="A3127" s="247">
        <v>3125</v>
      </c>
    </row>
    <row r="3128" spans="1:1" x14ac:dyDescent="0.25">
      <c r="A3128" s="247">
        <v>3126</v>
      </c>
    </row>
    <row r="3129" spans="1:1" x14ac:dyDescent="0.25">
      <c r="A3129" s="247">
        <v>3127</v>
      </c>
    </row>
    <row r="3130" spans="1:1" x14ac:dyDescent="0.25">
      <c r="A3130" s="247">
        <v>3128</v>
      </c>
    </row>
    <row r="3131" spans="1:1" x14ac:dyDescent="0.25">
      <c r="A3131" s="247">
        <v>3129</v>
      </c>
    </row>
    <row r="3132" spans="1:1" x14ac:dyDescent="0.25">
      <c r="A3132" s="247">
        <v>3130</v>
      </c>
    </row>
    <row r="3133" spans="1:1" x14ac:dyDescent="0.25">
      <c r="A3133" s="247">
        <v>3131</v>
      </c>
    </row>
    <row r="3134" spans="1:1" x14ac:dyDescent="0.25">
      <c r="A3134" s="247">
        <v>3132</v>
      </c>
    </row>
    <row r="3135" spans="1:1" x14ac:dyDescent="0.25">
      <c r="A3135" s="247">
        <v>3133</v>
      </c>
    </row>
    <row r="3136" spans="1:1" x14ac:dyDescent="0.25">
      <c r="A3136" s="247">
        <v>3134</v>
      </c>
    </row>
    <row r="3137" spans="1:1" x14ac:dyDescent="0.25">
      <c r="A3137" s="247">
        <v>3135</v>
      </c>
    </row>
    <row r="3138" spans="1:1" x14ac:dyDescent="0.25">
      <c r="A3138" s="247">
        <v>3136</v>
      </c>
    </row>
    <row r="3139" spans="1:1" x14ac:dyDescent="0.25">
      <c r="A3139" s="247">
        <v>3137</v>
      </c>
    </row>
    <row r="3140" spans="1:1" x14ac:dyDescent="0.25">
      <c r="A3140" s="247">
        <v>3138</v>
      </c>
    </row>
    <row r="3141" spans="1:1" x14ac:dyDescent="0.25">
      <c r="A3141" s="247">
        <v>3139</v>
      </c>
    </row>
    <row r="3142" spans="1:1" x14ac:dyDescent="0.25">
      <c r="A3142" s="247">
        <v>3140</v>
      </c>
    </row>
    <row r="3143" spans="1:1" x14ac:dyDescent="0.25">
      <c r="A3143" s="247">
        <v>3141</v>
      </c>
    </row>
    <row r="3144" spans="1:1" x14ac:dyDescent="0.25">
      <c r="A3144" s="247">
        <v>3142</v>
      </c>
    </row>
    <row r="3145" spans="1:1" x14ac:dyDescent="0.25">
      <c r="A3145" s="247">
        <v>3143</v>
      </c>
    </row>
    <row r="3146" spans="1:1" x14ac:dyDescent="0.25">
      <c r="A3146" s="247">
        <v>3144</v>
      </c>
    </row>
    <row r="3147" spans="1:1" x14ac:dyDescent="0.25">
      <c r="A3147" s="247">
        <v>3145</v>
      </c>
    </row>
    <row r="3148" spans="1:1" x14ac:dyDescent="0.25">
      <c r="A3148" s="247">
        <v>3146</v>
      </c>
    </row>
    <row r="3149" spans="1:1" x14ac:dyDescent="0.25">
      <c r="A3149" s="247">
        <v>3147</v>
      </c>
    </row>
    <row r="3150" spans="1:1" x14ac:dyDescent="0.25">
      <c r="A3150" s="247">
        <v>3148</v>
      </c>
    </row>
    <row r="3151" spans="1:1" x14ac:dyDescent="0.25">
      <c r="A3151" s="247">
        <v>3149</v>
      </c>
    </row>
    <row r="3152" spans="1:1" x14ac:dyDescent="0.25">
      <c r="A3152" s="247">
        <v>3150</v>
      </c>
    </row>
    <row r="3153" spans="1:1" x14ac:dyDescent="0.25">
      <c r="A3153" s="247">
        <v>3151</v>
      </c>
    </row>
    <row r="3154" spans="1:1" x14ac:dyDescent="0.25">
      <c r="A3154" s="247">
        <v>3152</v>
      </c>
    </row>
    <row r="3155" spans="1:1" x14ac:dyDescent="0.25">
      <c r="A3155" s="247">
        <v>3153</v>
      </c>
    </row>
    <row r="3156" spans="1:1" x14ac:dyDescent="0.25">
      <c r="A3156" s="247">
        <v>3154</v>
      </c>
    </row>
    <row r="3157" spans="1:1" x14ac:dyDescent="0.25">
      <c r="A3157" s="247">
        <v>3155</v>
      </c>
    </row>
    <row r="3158" spans="1:1" x14ac:dyDescent="0.25">
      <c r="A3158" s="247">
        <v>3156</v>
      </c>
    </row>
    <row r="3159" spans="1:1" x14ac:dyDescent="0.25">
      <c r="A3159" s="247">
        <v>3157</v>
      </c>
    </row>
    <row r="3160" spans="1:1" x14ac:dyDescent="0.25">
      <c r="A3160" s="247">
        <v>3158</v>
      </c>
    </row>
    <row r="3161" spans="1:1" x14ac:dyDescent="0.25">
      <c r="A3161" s="247">
        <v>3159</v>
      </c>
    </row>
    <row r="3162" spans="1:1" x14ac:dyDescent="0.25">
      <c r="A3162" s="247">
        <v>3160</v>
      </c>
    </row>
    <row r="3163" spans="1:1" x14ac:dyDescent="0.25">
      <c r="A3163" s="247">
        <v>3161</v>
      </c>
    </row>
    <row r="3164" spans="1:1" x14ac:dyDescent="0.25">
      <c r="A3164" s="247">
        <v>3162</v>
      </c>
    </row>
    <row r="3165" spans="1:1" x14ac:dyDescent="0.25">
      <c r="A3165" s="247">
        <v>3163</v>
      </c>
    </row>
    <row r="3166" spans="1:1" x14ac:dyDescent="0.25">
      <c r="A3166" s="247">
        <v>3164</v>
      </c>
    </row>
    <row r="3167" spans="1:1" x14ac:dyDescent="0.25">
      <c r="A3167" s="247">
        <v>3165</v>
      </c>
    </row>
    <row r="3168" spans="1:1" x14ac:dyDescent="0.25">
      <c r="A3168" s="247">
        <v>3166</v>
      </c>
    </row>
    <row r="3169" spans="1:1" x14ac:dyDescent="0.25">
      <c r="A3169" s="247">
        <v>3167</v>
      </c>
    </row>
    <row r="3170" spans="1:1" x14ac:dyDescent="0.25">
      <c r="A3170" s="247">
        <v>3168</v>
      </c>
    </row>
    <row r="3171" spans="1:1" x14ac:dyDescent="0.25">
      <c r="A3171" s="247">
        <v>3169</v>
      </c>
    </row>
    <row r="3172" spans="1:1" x14ac:dyDescent="0.25">
      <c r="A3172" s="247">
        <v>3170</v>
      </c>
    </row>
    <row r="3173" spans="1:1" x14ac:dyDescent="0.25">
      <c r="A3173" s="247">
        <v>3171</v>
      </c>
    </row>
    <row r="3174" spans="1:1" x14ac:dyDescent="0.25">
      <c r="A3174" s="247">
        <v>3172</v>
      </c>
    </row>
    <row r="3175" spans="1:1" x14ac:dyDescent="0.25">
      <c r="A3175" s="247">
        <v>3173</v>
      </c>
    </row>
    <row r="3176" spans="1:1" x14ac:dyDescent="0.25">
      <c r="A3176" s="247">
        <v>3174</v>
      </c>
    </row>
    <row r="3177" spans="1:1" x14ac:dyDescent="0.25">
      <c r="A3177" s="247">
        <v>3175</v>
      </c>
    </row>
    <row r="3178" spans="1:1" x14ac:dyDescent="0.25">
      <c r="A3178" s="247">
        <v>3176</v>
      </c>
    </row>
    <row r="3179" spans="1:1" x14ac:dyDescent="0.25">
      <c r="A3179" s="247">
        <v>3177</v>
      </c>
    </row>
    <row r="3180" spans="1:1" x14ac:dyDescent="0.25">
      <c r="A3180" s="247">
        <v>3178</v>
      </c>
    </row>
    <row r="3181" spans="1:1" x14ac:dyDescent="0.25">
      <c r="A3181" s="247">
        <v>3179</v>
      </c>
    </row>
    <row r="3182" spans="1:1" x14ac:dyDescent="0.25">
      <c r="A3182" s="247">
        <v>3180</v>
      </c>
    </row>
    <row r="3183" spans="1:1" x14ac:dyDescent="0.25">
      <c r="A3183" s="247">
        <v>3181</v>
      </c>
    </row>
    <row r="3184" spans="1:1" x14ac:dyDescent="0.25">
      <c r="A3184" s="247">
        <v>3182</v>
      </c>
    </row>
    <row r="3185" spans="1:1" x14ac:dyDescent="0.25">
      <c r="A3185" s="247">
        <v>3183</v>
      </c>
    </row>
    <row r="3186" spans="1:1" x14ac:dyDescent="0.25">
      <c r="A3186" s="247">
        <v>3184</v>
      </c>
    </row>
    <row r="3187" spans="1:1" x14ac:dyDescent="0.25">
      <c r="A3187" s="247">
        <v>3185</v>
      </c>
    </row>
    <row r="3188" spans="1:1" x14ac:dyDescent="0.25">
      <c r="A3188" s="247">
        <v>3186</v>
      </c>
    </row>
    <row r="3189" spans="1:1" x14ac:dyDescent="0.25">
      <c r="A3189" s="247">
        <v>3187</v>
      </c>
    </row>
    <row r="3190" spans="1:1" x14ac:dyDescent="0.25">
      <c r="A3190" s="247">
        <v>3188</v>
      </c>
    </row>
    <row r="3191" spans="1:1" x14ac:dyDescent="0.25">
      <c r="A3191" s="247">
        <v>3189</v>
      </c>
    </row>
    <row r="3192" spans="1:1" x14ac:dyDescent="0.25">
      <c r="A3192" s="247">
        <v>3190</v>
      </c>
    </row>
    <row r="3193" spans="1:1" x14ac:dyDescent="0.25">
      <c r="A3193" s="247">
        <v>3191</v>
      </c>
    </row>
    <row r="3194" spans="1:1" x14ac:dyDescent="0.25">
      <c r="A3194" s="247">
        <v>3192</v>
      </c>
    </row>
    <row r="3195" spans="1:1" x14ac:dyDescent="0.25">
      <c r="A3195" s="247">
        <v>3193</v>
      </c>
    </row>
    <row r="3196" spans="1:1" x14ac:dyDescent="0.25">
      <c r="A3196" s="247">
        <v>3194</v>
      </c>
    </row>
    <row r="3197" spans="1:1" x14ac:dyDescent="0.25">
      <c r="A3197" s="247">
        <v>3195</v>
      </c>
    </row>
    <row r="3198" spans="1:1" x14ac:dyDescent="0.25">
      <c r="A3198" s="247">
        <v>3196</v>
      </c>
    </row>
    <row r="3199" spans="1:1" x14ac:dyDescent="0.25">
      <c r="A3199" s="247">
        <v>3197</v>
      </c>
    </row>
    <row r="3200" spans="1:1" x14ac:dyDescent="0.25">
      <c r="A3200" s="247">
        <v>3198</v>
      </c>
    </row>
    <row r="3201" spans="1:1" x14ac:dyDescent="0.25">
      <c r="A3201" s="247">
        <v>3199</v>
      </c>
    </row>
    <row r="3202" spans="1:1" x14ac:dyDescent="0.25">
      <c r="A3202" s="247">
        <v>3200</v>
      </c>
    </row>
    <row r="3203" spans="1:1" x14ac:dyDescent="0.25">
      <c r="A3203" s="247">
        <v>3201</v>
      </c>
    </row>
    <row r="3204" spans="1:1" x14ac:dyDescent="0.25">
      <c r="A3204" s="247">
        <v>3202</v>
      </c>
    </row>
    <row r="3205" spans="1:1" x14ac:dyDescent="0.25">
      <c r="A3205" s="247">
        <v>3203</v>
      </c>
    </row>
    <row r="3206" spans="1:1" x14ac:dyDescent="0.25">
      <c r="A3206" s="247">
        <v>3204</v>
      </c>
    </row>
    <row r="3207" spans="1:1" x14ac:dyDescent="0.25">
      <c r="A3207" s="247">
        <v>3205</v>
      </c>
    </row>
    <row r="3208" spans="1:1" x14ac:dyDescent="0.25">
      <c r="A3208" s="247">
        <v>3206</v>
      </c>
    </row>
    <row r="3209" spans="1:1" x14ac:dyDescent="0.25">
      <c r="A3209" s="247">
        <v>3207</v>
      </c>
    </row>
    <row r="3210" spans="1:1" x14ac:dyDescent="0.25">
      <c r="A3210" s="247">
        <v>3208</v>
      </c>
    </row>
    <row r="3211" spans="1:1" x14ac:dyDescent="0.25">
      <c r="A3211" s="247">
        <v>3209</v>
      </c>
    </row>
    <row r="3212" spans="1:1" x14ac:dyDescent="0.25">
      <c r="A3212" s="247">
        <v>3210</v>
      </c>
    </row>
    <row r="3213" spans="1:1" x14ac:dyDescent="0.25">
      <c r="A3213" s="247">
        <v>3211</v>
      </c>
    </row>
    <row r="3214" spans="1:1" x14ac:dyDescent="0.25">
      <c r="A3214" s="247">
        <v>3212</v>
      </c>
    </row>
    <row r="3215" spans="1:1" x14ac:dyDescent="0.25">
      <c r="A3215" s="247">
        <v>3213</v>
      </c>
    </row>
    <row r="3216" spans="1:1" x14ac:dyDescent="0.25">
      <c r="A3216" s="247">
        <v>3214</v>
      </c>
    </row>
    <row r="3217" spans="1:1" x14ac:dyDescent="0.25">
      <c r="A3217" s="247">
        <v>3215</v>
      </c>
    </row>
    <row r="3218" spans="1:1" x14ac:dyDescent="0.25">
      <c r="A3218" s="247">
        <v>3216</v>
      </c>
    </row>
    <row r="3219" spans="1:1" x14ac:dyDescent="0.25">
      <c r="A3219" s="247">
        <v>3217</v>
      </c>
    </row>
    <row r="3220" spans="1:1" x14ac:dyDescent="0.25">
      <c r="A3220" s="247">
        <v>3218</v>
      </c>
    </row>
    <row r="3221" spans="1:1" x14ac:dyDescent="0.25">
      <c r="A3221" s="247">
        <v>3219</v>
      </c>
    </row>
    <row r="3222" spans="1:1" x14ac:dyDescent="0.25">
      <c r="A3222" s="247">
        <v>3220</v>
      </c>
    </row>
    <row r="3223" spans="1:1" x14ac:dyDescent="0.25">
      <c r="A3223" s="247">
        <v>3221</v>
      </c>
    </row>
    <row r="3224" spans="1:1" x14ac:dyDescent="0.25">
      <c r="A3224" s="247">
        <v>3222</v>
      </c>
    </row>
    <row r="3225" spans="1:1" x14ac:dyDescent="0.25">
      <c r="A3225" s="247">
        <v>3223</v>
      </c>
    </row>
    <row r="3226" spans="1:1" x14ac:dyDescent="0.25">
      <c r="A3226" s="247">
        <v>3224</v>
      </c>
    </row>
    <row r="3227" spans="1:1" x14ac:dyDescent="0.25">
      <c r="A3227" s="247">
        <v>3225</v>
      </c>
    </row>
    <row r="3228" spans="1:1" x14ac:dyDescent="0.25">
      <c r="A3228" s="247">
        <v>3226</v>
      </c>
    </row>
    <row r="3229" spans="1:1" x14ac:dyDescent="0.25">
      <c r="A3229" s="247">
        <v>3227</v>
      </c>
    </row>
    <row r="3230" spans="1:1" x14ac:dyDescent="0.25">
      <c r="A3230" s="247">
        <v>3228</v>
      </c>
    </row>
    <row r="3231" spans="1:1" x14ac:dyDescent="0.25">
      <c r="A3231" s="247">
        <v>3229</v>
      </c>
    </row>
    <row r="3232" spans="1:1" x14ac:dyDescent="0.25">
      <c r="A3232" s="247">
        <v>3230</v>
      </c>
    </row>
    <row r="3233" spans="1:1" x14ac:dyDescent="0.25">
      <c r="A3233" s="247">
        <v>3231</v>
      </c>
    </row>
    <row r="3234" spans="1:1" x14ac:dyDescent="0.25">
      <c r="A3234" s="247">
        <v>3232</v>
      </c>
    </row>
    <row r="3235" spans="1:1" x14ac:dyDescent="0.25">
      <c r="A3235" s="247">
        <v>3233</v>
      </c>
    </row>
    <row r="3236" spans="1:1" x14ac:dyDescent="0.25">
      <c r="A3236" s="247">
        <v>3234</v>
      </c>
    </row>
    <row r="3237" spans="1:1" x14ac:dyDescent="0.25">
      <c r="A3237" s="247">
        <v>3235</v>
      </c>
    </row>
    <row r="3238" spans="1:1" x14ac:dyDescent="0.25">
      <c r="A3238" s="247">
        <v>3236</v>
      </c>
    </row>
    <row r="3239" spans="1:1" x14ac:dyDescent="0.25">
      <c r="A3239" s="247">
        <v>3237</v>
      </c>
    </row>
    <row r="3240" spans="1:1" x14ac:dyDescent="0.25">
      <c r="A3240" s="247">
        <v>3238</v>
      </c>
    </row>
    <row r="3241" spans="1:1" x14ac:dyDescent="0.25">
      <c r="A3241" s="247">
        <v>3239</v>
      </c>
    </row>
    <row r="3242" spans="1:1" x14ac:dyDescent="0.25">
      <c r="A3242" s="247">
        <v>3240</v>
      </c>
    </row>
    <row r="3243" spans="1:1" x14ac:dyDescent="0.25">
      <c r="A3243" s="247">
        <v>3241</v>
      </c>
    </row>
    <row r="3244" spans="1:1" x14ac:dyDescent="0.25">
      <c r="A3244" s="247">
        <v>3242</v>
      </c>
    </row>
    <row r="3245" spans="1:1" x14ac:dyDescent="0.25">
      <c r="A3245" s="247">
        <v>3243</v>
      </c>
    </row>
    <row r="3246" spans="1:1" x14ac:dyDescent="0.25">
      <c r="A3246" s="247">
        <v>3244</v>
      </c>
    </row>
    <row r="3247" spans="1:1" x14ac:dyDescent="0.25">
      <c r="A3247" s="247">
        <v>3245</v>
      </c>
    </row>
    <row r="3248" spans="1:1" x14ac:dyDescent="0.25">
      <c r="A3248" s="247">
        <v>3246</v>
      </c>
    </row>
    <row r="3249" spans="1:1" x14ac:dyDescent="0.25">
      <c r="A3249" s="247">
        <v>3247</v>
      </c>
    </row>
    <row r="3250" spans="1:1" x14ac:dyDescent="0.25">
      <c r="A3250" s="247">
        <v>3248</v>
      </c>
    </row>
    <row r="3251" spans="1:1" x14ac:dyDescent="0.25">
      <c r="A3251" s="247">
        <v>3249</v>
      </c>
    </row>
    <row r="3252" spans="1:1" x14ac:dyDescent="0.25">
      <c r="A3252" s="247">
        <v>3250</v>
      </c>
    </row>
    <row r="3253" spans="1:1" x14ac:dyDescent="0.25">
      <c r="A3253" s="247">
        <v>3251</v>
      </c>
    </row>
    <row r="3254" spans="1:1" x14ac:dyDescent="0.25">
      <c r="A3254" s="247">
        <v>3252</v>
      </c>
    </row>
    <row r="3255" spans="1:1" x14ac:dyDescent="0.25">
      <c r="A3255" s="247">
        <v>3253</v>
      </c>
    </row>
    <row r="3256" spans="1:1" x14ac:dyDescent="0.25">
      <c r="A3256" s="247">
        <v>3254</v>
      </c>
    </row>
    <row r="3257" spans="1:1" x14ac:dyDescent="0.25">
      <c r="A3257" s="247">
        <v>3255</v>
      </c>
    </row>
    <row r="3258" spans="1:1" x14ac:dyDescent="0.25">
      <c r="A3258" s="247">
        <v>3256</v>
      </c>
    </row>
    <row r="3259" spans="1:1" x14ac:dyDescent="0.25">
      <c r="A3259" s="247">
        <v>3257</v>
      </c>
    </row>
    <row r="3260" spans="1:1" x14ac:dyDescent="0.25">
      <c r="A3260" s="247">
        <v>3258</v>
      </c>
    </row>
    <row r="3261" spans="1:1" x14ac:dyDescent="0.25">
      <c r="A3261" s="247">
        <v>3259</v>
      </c>
    </row>
    <row r="3262" spans="1:1" x14ac:dyDescent="0.25">
      <c r="A3262" s="247">
        <v>3260</v>
      </c>
    </row>
    <row r="3263" spans="1:1" x14ac:dyDescent="0.25">
      <c r="A3263" s="247">
        <v>3261</v>
      </c>
    </row>
    <row r="3264" spans="1:1" x14ac:dyDescent="0.25">
      <c r="A3264" s="247">
        <v>3262</v>
      </c>
    </row>
    <row r="3265" spans="1:1" x14ac:dyDescent="0.25">
      <c r="A3265" s="247">
        <v>3263</v>
      </c>
    </row>
    <row r="3266" spans="1:1" x14ac:dyDescent="0.25">
      <c r="A3266" s="247">
        <v>3264</v>
      </c>
    </row>
    <row r="3267" spans="1:1" x14ac:dyDescent="0.25">
      <c r="A3267" s="247">
        <v>3265</v>
      </c>
    </row>
    <row r="3268" spans="1:1" x14ac:dyDescent="0.25">
      <c r="A3268" s="247">
        <v>3266</v>
      </c>
    </row>
    <row r="3269" spans="1:1" x14ac:dyDescent="0.25">
      <c r="A3269" s="247">
        <v>3267</v>
      </c>
    </row>
    <row r="3270" spans="1:1" x14ac:dyDescent="0.25">
      <c r="A3270" s="247">
        <v>3268</v>
      </c>
    </row>
    <row r="3271" spans="1:1" x14ac:dyDescent="0.25">
      <c r="A3271" s="247">
        <v>3269</v>
      </c>
    </row>
    <row r="3272" spans="1:1" x14ac:dyDescent="0.25">
      <c r="A3272" s="247">
        <v>3270</v>
      </c>
    </row>
    <row r="3273" spans="1:1" x14ac:dyDescent="0.25">
      <c r="A3273" s="247">
        <v>3271</v>
      </c>
    </row>
    <row r="3274" spans="1:1" x14ac:dyDescent="0.25">
      <c r="A3274" s="247">
        <v>3272</v>
      </c>
    </row>
    <row r="3275" spans="1:1" x14ac:dyDescent="0.25">
      <c r="A3275" s="247">
        <v>3273</v>
      </c>
    </row>
    <row r="3276" spans="1:1" x14ac:dyDescent="0.25">
      <c r="A3276" s="247">
        <v>3274</v>
      </c>
    </row>
    <row r="3277" spans="1:1" x14ac:dyDescent="0.25">
      <c r="A3277" s="247">
        <v>3275</v>
      </c>
    </row>
    <row r="3278" spans="1:1" x14ac:dyDescent="0.25">
      <c r="A3278" s="247">
        <v>3276</v>
      </c>
    </row>
    <row r="3279" spans="1:1" x14ac:dyDescent="0.25">
      <c r="A3279" s="247">
        <v>3277</v>
      </c>
    </row>
    <row r="3280" spans="1:1" x14ac:dyDescent="0.25">
      <c r="A3280" s="247">
        <v>3278</v>
      </c>
    </row>
    <row r="3281" spans="1:1" x14ac:dyDescent="0.25">
      <c r="A3281" s="247">
        <v>3279</v>
      </c>
    </row>
    <row r="3282" spans="1:1" x14ac:dyDescent="0.25">
      <c r="A3282" s="247">
        <v>3280</v>
      </c>
    </row>
    <row r="3283" spans="1:1" x14ac:dyDescent="0.25">
      <c r="A3283" s="247">
        <v>3281</v>
      </c>
    </row>
    <row r="3284" spans="1:1" x14ac:dyDescent="0.25">
      <c r="A3284" s="247">
        <v>3282</v>
      </c>
    </row>
    <row r="3285" spans="1:1" x14ac:dyDescent="0.25">
      <c r="A3285" s="247">
        <v>3283</v>
      </c>
    </row>
    <row r="3286" spans="1:1" x14ac:dyDescent="0.25">
      <c r="A3286" s="247">
        <v>3284</v>
      </c>
    </row>
    <row r="3287" spans="1:1" x14ac:dyDescent="0.25">
      <c r="A3287" s="247">
        <v>3285</v>
      </c>
    </row>
    <row r="3288" spans="1:1" x14ac:dyDescent="0.25">
      <c r="A3288" s="247">
        <v>3286</v>
      </c>
    </row>
    <row r="3289" spans="1:1" x14ac:dyDescent="0.25">
      <c r="A3289" s="247">
        <v>3287</v>
      </c>
    </row>
    <row r="3290" spans="1:1" x14ac:dyDescent="0.25">
      <c r="A3290" s="247">
        <v>3288</v>
      </c>
    </row>
    <row r="3291" spans="1:1" x14ac:dyDescent="0.25">
      <c r="A3291" s="247">
        <v>3289</v>
      </c>
    </row>
    <row r="3292" spans="1:1" x14ac:dyDescent="0.25">
      <c r="A3292" s="247">
        <v>3290</v>
      </c>
    </row>
    <row r="3293" spans="1:1" x14ac:dyDescent="0.25">
      <c r="A3293" s="247">
        <v>3291</v>
      </c>
    </row>
    <row r="3294" spans="1:1" x14ac:dyDescent="0.25">
      <c r="A3294" s="247">
        <v>3292</v>
      </c>
    </row>
    <row r="3295" spans="1:1" x14ac:dyDescent="0.25">
      <c r="A3295" s="247">
        <v>3293</v>
      </c>
    </row>
    <row r="3296" spans="1:1" x14ac:dyDescent="0.25">
      <c r="A3296" s="247">
        <v>3294</v>
      </c>
    </row>
    <row r="3297" spans="1:1" x14ac:dyDescent="0.25">
      <c r="A3297" s="247">
        <v>3295</v>
      </c>
    </row>
    <row r="3298" spans="1:1" x14ac:dyDescent="0.25">
      <c r="A3298" s="247">
        <v>3296</v>
      </c>
    </row>
    <row r="3299" spans="1:1" x14ac:dyDescent="0.25">
      <c r="A3299" s="247">
        <v>3297</v>
      </c>
    </row>
    <row r="3300" spans="1:1" x14ac:dyDescent="0.25">
      <c r="A3300" s="247">
        <v>3298</v>
      </c>
    </row>
    <row r="3301" spans="1:1" x14ac:dyDescent="0.25">
      <c r="A3301" s="247">
        <v>3299</v>
      </c>
    </row>
    <row r="3302" spans="1:1" x14ac:dyDescent="0.25">
      <c r="A3302" s="247">
        <v>3300</v>
      </c>
    </row>
    <row r="3303" spans="1:1" x14ac:dyDescent="0.25">
      <c r="A3303" s="247">
        <v>3301</v>
      </c>
    </row>
    <row r="3304" spans="1:1" x14ac:dyDescent="0.25">
      <c r="A3304" s="247">
        <v>3302</v>
      </c>
    </row>
    <row r="3305" spans="1:1" x14ac:dyDescent="0.25">
      <c r="A3305" s="247">
        <v>3303</v>
      </c>
    </row>
    <row r="3306" spans="1:1" x14ac:dyDescent="0.25">
      <c r="A3306" s="247">
        <v>3304</v>
      </c>
    </row>
    <row r="3307" spans="1:1" x14ac:dyDescent="0.25">
      <c r="A3307" s="247">
        <v>3305</v>
      </c>
    </row>
    <row r="3308" spans="1:1" x14ac:dyDescent="0.25">
      <c r="A3308" s="247">
        <v>3306</v>
      </c>
    </row>
    <row r="3309" spans="1:1" x14ac:dyDescent="0.25">
      <c r="A3309" s="247">
        <v>3307</v>
      </c>
    </row>
    <row r="3310" spans="1:1" x14ac:dyDescent="0.25">
      <c r="A3310" s="247">
        <v>3308</v>
      </c>
    </row>
    <row r="3311" spans="1:1" x14ac:dyDescent="0.25">
      <c r="A3311" s="247">
        <v>3309</v>
      </c>
    </row>
    <row r="3312" spans="1:1" x14ac:dyDescent="0.25">
      <c r="A3312" s="247">
        <v>3310</v>
      </c>
    </row>
    <row r="3313" spans="1:1" x14ac:dyDescent="0.25">
      <c r="A3313" s="247">
        <v>3311</v>
      </c>
    </row>
    <row r="3314" spans="1:1" x14ac:dyDescent="0.25">
      <c r="A3314" s="247">
        <v>3312</v>
      </c>
    </row>
    <row r="3315" spans="1:1" x14ac:dyDescent="0.25">
      <c r="A3315" s="247">
        <v>3313</v>
      </c>
    </row>
    <row r="3316" spans="1:1" x14ac:dyDescent="0.25">
      <c r="A3316" s="247">
        <v>3314</v>
      </c>
    </row>
    <row r="3317" spans="1:1" x14ac:dyDescent="0.25">
      <c r="A3317" s="247">
        <v>3315</v>
      </c>
    </row>
    <row r="3318" spans="1:1" x14ac:dyDescent="0.25">
      <c r="A3318" s="247">
        <v>3316</v>
      </c>
    </row>
    <row r="3319" spans="1:1" x14ac:dyDescent="0.25">
      <c r="A3319" s="247">
        <v>3317</v>
      </c>
    </row>
    <row r="3320" spans="1:1" x14ac:dyDescent="0.25">
      <c r="A3320" s="247">
        <v>3318</v>
      </c>
    </row>
    <row r="3321" spans="1:1" x14ac:dyDescent="0.25">
      <c r="A3321" s="247">
        <v>3319</v>
      </c>
    </row>
    <row r="3322" spans="1:1" x14ac:dyDescent="0.25">
      <c r="A3322" s="247">
        <v>3320</v>
      </c>
    </row>
    <row r="3323" spans="1:1" x14ac:dyDescent="0.25">
      <c r="A3323" s="247">
        <v>3321</v>
      </c>
    </row>
    <row r="3324" spans="1:1" x14ac:dyDescent="0.25">
      <c r="A3324" s="247">
        <v>3322</v>
      </c>
    </row>
    <row r="3325" spans="1:1" x14ac:dyDescent="0.25">
      <c r="A3325" s="247">
        <v>3323</v>
      </c>
    </row>
    <row r="3326" spans="1:1" x14ac:dyDescent="0.25">
      <c r="A3326" s="247">
        <v>3324</v>
      </c>
    </row>
    <row r="3327" spans="1:1" x14ac:dyDescent="0.25">
      <c r="A3327" s="247">
        <v>3325</v>
      </c>
    </row>
    <row r="3328" spans="1:1" x14ac:dyDescent="0.25">
      <c r="A3328" s="247">
        <v>3326</v>
      </c>
    </row>
    <row r="3329" spans="1:1" x14ac:dyDescent="0.25">
      <c r="A3329" s="247">
        <v>3327</v>
      </c>
    </row>
    <row r="3330" spans="1:1" x14ac:dyDescent="0.25">
      <c r="A3330" s="247">
        <v>3328</v>
      </c>
    </row>
    <row r="3331" spans="1:1" x14ac:dyDescent="0.25">
      <c r="A3331" s="247">
        <v>3329</v>
      </c>
    </row>
    <row r="3332" spans="1:1" x14ac:dyDescent="0.25">
      <c r="A3332" s="247">
        <v>3330</v>
      </c>
    </row>
    <row r="3333" spans="1:1" x14ac:dyDescent="0.25">
      <c r="A3333" s="247">
        <v>3331</v>
      </c>
    </row>
    <row r="3334" spans="1:1" x14ac:dyDescent="0.25">
      <c r="A3334" s="247">
        <v>3332</v>
      </c>
    </row>
    <row r="3335" spans="1:1" x14ac:dyDescent="0.25">
      <c r="A3335" s="247">
        <v>3333</v>
      </c>
    </row>
    <row r="3336" spans="1:1" x14ac:dyDescent="0.25">
      <c r="A3336" s="247">
        <v>3334</v>
      </c>
    </row>
    <row r="3337" spans="1:1" x14ac:dyDescent="0.25">
      <c r="A3337" s="247">
        <v>3335</v>
      </c>
    </row>
    <row r="3338" spans="1:1" x14ac:dyDescent="0.25">
      <c r="A3338" s="247">
        <v>3336</v>
      </c>
    </row>
    <row r="3339" spans="1:1" x14ac:dyDescent="0.25">
      <c r="A3339" s="247">
        <v>3337</v>
      </c>
    </row>
    <row r="3340" spans="1:1" x14ac:dyDescent="0.25">
      <c r="A3340" s="247">
        <v>3338</v>
      </c>
    </row>
    <row r="3341" spans="1:1" x14ac:dyDescent="0.25">
      <c r="A3341" s="247">
        <v>3339</v>
      </c>
    </row>
    <row r="3342" spans="1:1" x14ac:dyDescent="0.25">
      <c r="A3342" s="247">
        <v>3340</v>
      </c>
    </row>
    <row r="3343" spans="1:1" x14ac:dyDescent="0.25">
      <c r="A3343" s="247">
        <v>3341</v>
      </c>
    </row>
    <row r="3344" spans="1:1" x14ac:dyDescent="0.25">
      <c r="A3344" s="247">
        <v>3342</v>
      </c>
    </row>
    <row r="3345" spans="1:1" x14ac:dyDescent="0.25">
      <c r="A3345" s="247">
        <v>3343</v>
      </c>
    </row>
    <row r="3346" spans="1:1" x14ac:dyDescent="0.25">
      <c r="A3346" s="247">
        <v>3344</v>
      </c>
    </row>
    <row r="3347" spans="1:1" x14ac:dyDescent="0.25">
      <c r="A3347" s="247">
        <v>3345</v>
      </c>
    </row>
    <row r="3348" spans="1:1" x14ac:dyDescent="0.25">
      <c r="A3348" s="247">
        <v>3346</v>
      </c>
    </row>
    <row r="3349" spans="1:1" x14ac:dyDescent="0.25">
      <c r="A3349" s="247">
        <v>3347</v>
      </c>
    </row>
    <row r="3350" spans="1:1" x14ac:dyDescent="0.25">
      <c r="A3350" s="247">
        <v>3348</v>
      </c>
    </row>
    <row r="3351" spans="1:1" x14ac:dyDescent="0.25">
      <c r="A3351" s="247">
        <v>3349</v>
      </c>
    </row>
    <row r="3352" spans="1:1" x14ac:dyDescent="0.25">
      <c r="A3352" s="247">
        <v>3350</v>
      </c>
    </row>
    <row r="3353" spans="1:1" x14ac:dyDescent="0.25">
      <c r="A3353" s="247">
        <v>3351</v>
      </c>
    </row>
    <row r="3354" spans="1:1" x14ac:dyDescent="0.25">
      <c r="A3354" s="247">
        <v>3352</v>
      </c>
    </row>
    <row r="3355" spans="1:1" x14ac:dyDescent="0.25">
      <c r="A3355" s="247">
        <v>3353</v>
      </c>
    </row>
    <row r="3356" spans="1:1" x14ac:dyDescent="0.25">
      <c r="A3356" s="247">
        <v>3354</v>
      </c>
    </row>
    <row r="3357" spans="1:1" x14ac:dyDescent="0.25">
      <c r="A3357" s="247">
        <v>3355</v>
      </c>
    </row>
    <row r="3358" spans="1:1" x14ac:dyDescent="0.25">
      <c r="A3358" s="247">
        <v>3356</v>
      </c>
    </row>
    <row r="3359" spans="1:1" x14ac:dyDescent="0.25">
      <c r="A3359" s="247">
        <v>3357</v>
      </c>
    </row>
    <row r="3360" spans="1:1" x14ac:dyDescent="0.25">
      <c r="A3360" s="247">
        <v>3358</v>
      </c>
    </row>
    <row r="3361" spans="1:1" x14ac:dyDescent="0.25">
      <c r="A3361" s="247">
        <v>3359</v>
      </c>
    </row>
    <row r="3362" spans="1:1" x14ac:dyDescent="0.25">
      <c r="A3362" s="247">
        <v>3360</v>
      </c>
    </row>
    <row r="3363" spans="1:1" x14ac:dyDescent="0.25">
      <c r="A3363" s="247">
        <v>3361</v>
      </c>
    </row>
    <row r="3364" spans="1:1" x14ac:dyDescent="0.25">
      <c r="A3364" s="247">
        <v>3362</v>
      </c>
    </row>
    <row r="3365" spans="1:1" x14ac:dyDescent="0.25">
      <c r="A3365" s="247">
        <v>3363</v>
      </c>
    </row>
    <row r="3366" spans="1:1" x14ac:dyDescent="0.25">
      <c r="A3366" s="247">
        <v>3364</v>
      </c>
    </row>
    <row r="3367" spans="1:1" x14ac:dyDescent="0.25">
      <c r="A3367" s="247">
        <v>3365</v>
      </c>
    </row>
    <row r="3368" spans="1:1" x14ac:dyDescent="0.25">
      <c r="A3368" s="247">
        <v>3366</v>
      </c>
    </row>
    <row r="3369" spans="1:1" x14ac:dyDescent="0.25">
      <c r="A3369" s="247">
        <v>3367</v>
      </c>
    </row>
    <row r="3370" spans="1:1" x14ac:dyDescent="0.25">
      <c r="A3370" s="247">
        <v>3368</v>
      </c>
    </row>
    <row r="3371" spans="1:1" x14ac:dyDescent="0.25">
      <c r="A3371" s="247">
        <v>3369</v>
      </c>
    </row>
    <row r="3372" spans="1:1" x14ac:dyDescent="0.25">
      <c r="A3372" s="247">
        <v>3370</v>
      </c>
    </row>
    <row r="3373" spans="1:1" x14ac:dyDescent="0.25">
      <c r="A3373" s="247">
        <v>3371</v>
      </c>
    </row>
    <row r="3374" spans="1:1" x14ac:dyDescent="0.25">
      <c r="A3374" s="247">
        <v>3372</v>
      </c>
    </row>
    <row r="3375" spans="1:1" x14ac:dyDescent="0.25">
      <c r="A3375" s="247">
        <v>3373</v>
      </c>
    </row>
    <row r="3376" spans="1:1" x14ac:dyDescent="0.25">
      <c r="A3376" s="247">
        <v>3374</v>
      </c>
    </row>
    <row r="3377" spans="1:1" x14ac:dyDescent="0.25">
      <c r="A3377" s="247">
        <v>3375</v>
      </c>
    </row>
    <row r="3378" spans="1:1" x14ac:dyDescent="0.25">
      <c r="A3378" s="247">
        <v>3376</v>
      </c>
    </row>
    <row r="3379" spans="1:1" x14ac:dyDescent="0.25">
      <c r="A3379" s="247">
        <v>3377</v>
      </c>
    </row>
    <row r="3380" spans="1:1" x14ac:dyDescent="0.25">
      <c r="A3380" s="247">
        <v>3378</v>
      </c>
    </row>
    <row r="3381" spans="1:1" x14ac:dyDescent="0.25">
      <c r="A3381" s="247">
        <v>3379</v>
      </c>
    </row>
    <row r="3382" spans="1:1" x14ac:dyDescent="0.25">
      <c r="A3382" s="247">
        <v>3380</v>
      </c>
    </row>
    <row r="3383" spans="1:1" x14ac:dyDescent="0.25">
      <c r="A3383" s="247">
        <v>3381</v>
      </c>
    </row>
    <row r="3384" spans="1:1" x14ac:dyDescent="0.25">
      <c r="A3384" s="247">
        <v>3382</v>
      </c>
    </row>
    <row r="3385" spans="1:1" x14ac:dyDescent="0.25">
      <c r="A3385" s="247">
        <v>3383</v>
      </c>
    </row>
    <row r="3386" spans="1:1" x14ac:dyDescent="0.25">
      <c r="A3386" s="247">
        <v>3384</v>
      </c>
    </row>
    <row r="3387" spans="1:1" x14ac:dyDescent="0.25">
      <c r="A3387" s="247">
        <v>3385</v>
      </c>
    </row>
    <row r="3388" spans="1:1" x14ac:dyDescent="0.25">
      <c r="A3388" s="247">
        <v>3386</v>
      </c>
    </row>
    <row r="3389" spans="1:1" x14ac:dyDescent="0.25">
      <c r="A3389" s="247">
        <v>3387</v>
      </c>
    </row>
    <row r="3390" spans="1:1" x14ac:dyDescent="0.25">
      <c r="A3390" s="247">
        <v>3388</v>
      </c>
    </row>
    <row r="3391" spans="1:1" x14ac:dyDescent="0.25">
      <c r="A3391" s="247">
        <v>3389</v>
      </c>
    </row>
    <row r="3392" spans="1:1" x14ac:dyDescent="0.25">
      <c r="A3392" s="247">
        <v>3390</v>
      </c>
    </row>
    <row r="3393" spans="1:1" x14ac:dyDescent="0.25">
      <c r="A3393" s="247">
        <v>3391</v>
      </c>
    </row>
    <row r="3394" spans="1:1" x14ac:dyDescent="0.25">
      <c r="A3394" s="247">
        <v>3392</v>
      </c>
    </row>
    <row r="3395" spans="1:1" x14ac:dyDescent="0.25">
      <c r="A3395" s="247">
        <v>3393</v>
      </c>
    </row>
    <row r="3396" spans="1:1" x14ac:dyDescent="0.25">
      <c r="A3396" s="247">
        <v>3394</v>
      </c>
    </row>
    <row r="3397" spans="1:1" x14ac:dyDescent="0.25">
      <c r="A3397" s="247">
        <v>3395</v>
      </c>
    </row>
    <row r="3398" spans="1:1" x14ac:dyDescent="0.25">
      <c r="A3398" s="247">
        <v>3396</v>
      </c>
    </row>
    <row r="3399" spans="1:1" x14ac:dyDescent="0.25">
      <c r="A3399" s="247">
        <v>3397</v>
      </c>
    </row>
    <row r="3400" spans="1:1" x14ac:dyDescent="0.25">
      <c r="A3400" s="247">
        <v>3398</v>
      </c>
    </row>
    <row r="3401" spans="1:1" x14ac:dyDescent="0.25">
      <c r="A3401" s="247">
        <v>3399</v>
      </c>
    </row>
    <row r="3402" spans="1:1" x14ac:dyDescent="0.25">
      <c r="A3402" s="247">
        <v>3400</v>
      </c>
    </row>
    <row r="3403" spans="1:1" x14ac:dyDescent="0.25">
      <c r="A3403" s="247">
        <v>3401</v>
      </c>
    </row>
    <row r="3404" spans="1:1" x14ac:dyDescent="0.25">
      <c r="A3404" s="247">
        <v>3402</v>
      </c>
    </row>
    <row r="3405" spans="1:1" x14ac:dyDescent="0.25">
      <c r="A3405" s="247">
        <v>3403</v>
      </c>
    </row>
    <row r="3406" spans="1:1" x14ac:dyDescent="0.25">
      <c r="A3406" s="247">
        <v>3404</v>
      </c>
    </row>
    <row r="3407" spans="1:1" x14ac:dyDescent="0.25">
      <c r="A3407" s="247">
        <v>3405</v>
      </c>
    </row>
    <row r="3408" spans="1:1" x14ac:dyDescent="0.25">
      <c r="A3408" s="247">
        <v>3406</v>
      </c>
    </row>
    <row r="3409" spans="1:1" x14ac:dyDescent="0.25">
      <c r="A3409" s="247">
        <v>3407</v>
      </c>
    </row>
    <row r="3410" spans="1:1" x14ac:dyDescent="0.25">
      <c r="A3410" s="247">
        <v>3408</v>
      </c>
    </row>
    <row r="3411" spans="1:1" x14ac:dyDescent="0.25">
      <c r="A3411" s="247">
        <v>3409</v>
      </c>
    </row>
    <row r="3412" spans="1:1" x14ac:dyDescent="0.25">
      <c r="A3412" s="247">
        <v>3410</v>
      </c>
    </row>
    <row r="3413" spans="1:1" x14ac:dyDescent="0.25">
      <c r="A3413" s="247">
        <v>3411</v>
      </c>
    </row>
    <row r="3414" spans="1:1" x14ac:dyDescent="0.25">
      <c r="A3414" s="247">
        <v>3412</v>
      </c>
    </row>
    <row r="3415" spans="1:1" x14ac:dyDescent="0.25">
      <c r="A3415" s="247">
        <v>3413</v>
      </c>
    </row>
    <row r="3416" spans="1:1" x14ac:dyDescent="0.25">
      <c r="A3416" s="247">
        <v>3414</v>
      </c>
    </row>
    <row r="3417" spans="1:1" x14ac:dyDescent="0.25">
      <c r="A3417" s="247">
        <v>3415</v>
      </c>
    </row>
    <row r="3418" spans="1:1" x14ac:dyDescent="0.25">
      <c r="A3418" s="247">
        <v>3416</v>
      </c>
    </row>
    <row r="3419" spans="1:1" x14ac:dyDescent="0.25">
      <c r="A3419" s="247">
        <v>3417</v>
      </c>
    </row>
    <row r="3420" spans="1:1" x14ac:dyDescent="0.25">
      <c r="A3420" s="247">
        <v>3418</v>
      </c>
    </row>
    <row r="3421" spans="1:1" x14ac:dyDescent="0.25">
      <c r="A3421" s="247">
        <v>3419</v>
      </c>
    </row>
    <row r="3422" spans="1:1" x14ac:dyDescent="0.25">
      <c r="A3422" s="247">
        <v>3420</v>
      </c>
    </row>
    <row r="3423" spans="1:1" x14ac:dyDescent="0.25">
      <c r="A3423" s="247">
        <v>3421</v>
      </c>
    </row>
    <row r="3424" spans="1:1" x14ac:dyDescent="0.25">
      <c r="A3424" s="247">
        <v>3422</v>
      </c>
    </row>
    <row r="3425" spans="1:1" x14ac:dyDescent="0.25">
      <c r="A3425" s="247">
        <v>3423</v>
      </c>
    </row>
    <row r="3426" spans="1:1" x14ac:dyDescent="0.25">
      <c r="A3426" s="247">
        <v>3424</v>
      </c>
    </row>
    <row r="3427" spans="1:1" x14ac:dyDescent="0.25">
      <c r="A3427" s="247">
        <v>3425</v>
      </c>
    </row>
    <row r="3428" spans="1:1" x14ac:dyDescent="0.25">
      <c r="A3428" s="247">
        <v>3426</v>
      </c>
    </row>
    <row r="3429" spans="1:1" x14ac:dyDescent="0.25">
      <c r="A3429" s="247">
        <v>3427</v>
      </c>
    </row>
    <row r="3430" spans="1:1" x14ac:dyDescent="0.25">
      <c r="A3430" s="247">
        <v>3428</v>
      </c>
    </row>
    <row r="3431" spans="1:1" x14ac:dyDescent="0.25">
      <c r="A3431" s="247">
        <v>3429</v>
      </c>
    </row>
    <row r="3432" spans="1:1" x14ac:dyDescent="0.25">
      <c r="A3432" s="247">
        <v>3430</v>
      </c>
    </row>
    <row r="3433" spans="1:1" x14ac:dyDescent="0.25">
      <c r="A3433" s="247">
        <v>3431</v>
      </c>
    </row>
    <row r="3434" spans="1:1" x14ac:dyDescent="0.25">
      <c r="A3434" s="247">
        <v>3432</v>
      </c>
    </row>
    <row r="3435" spans="1:1" x14ac:dyDescent="0.25">
      <c r="A3435" s="247">
        <v>3433</v>
      </c>
    </row>
    <row r="3436" spans="1:1" x14ac:dyDescent="0.25">
      <c r="A3436" s="247">
        <v>3434</v>
      </c>
    </row>
    <row r="3437" spans="1:1" x14ac:dyDescent="0.25">
      <c r="A3437" s="247">
        <v>3435</v>
      </c>
    </row>
    <row r="3438" spans="1:1" x14ac:dyDescent="0.25">
      <c r="A3438" s="247">
        <v>3436</v>
      </c>
    </row>
    <row r="3439" spans="1:1" x14ac:dyDescent="0.25">
      <c r="A3439" s="247">
        <v>3437</v>
      </c>
    </row>
    <row r="3440" spans="1:1" x14ac:dyDescent="0.25">
      <c r="A3440" s="247">
        <v>3438</v>
      </c>
    </row>
    <row r="3441" spans="1:1" x14ac:dyDescent="0.25">
      <c r="A3441" s="247">
        <v>3439</v>
      </c>
    </row>
    <row r="3442" spans="1:1" x14ac:dyDescent="0.25">
      <c r="A3442" s="247">
        <v>3440</v>
      </c>
    </row>
    <row r="3443" spans="1:1" x14ac:dyDescent="0.25">
      <c r="A3443" s="247">
        <v>3441</v>
      </c>
    </row>
    <row r="3444" spans="1:1" x14ac:dyDescent="0.25">
      <c r="A3444" s="247">
        <v>3442</v>
      </c>
    </row>
    <row r="3445" spans="1:1" x14ac:dyDescent="0.25">
      <c r="A3445" s="247">
        <v>3443</v>
      </c>
    </row>
    <row r="3446" spans="1:1" x14ac:dyDescent="0.25">
      <c r="A3446" s="247">
        <v>3444</v>
      </c>
    </row>
    <row r="3447" spans="1:1" x14ac:dyDescent="0.25">
      <c r="A3447" s="247">
        <v>3445</v>
      </c>
    </row>
    <row r="3448" spans="1:1" x14ac:dyDescent="0.25">
      <c r="A3448" s="247">
        <v>3446</v>
      </c>
    </row>
    <row r="3449" spans="1:1" x14ac:dyDescent="0.25">
      <c r="A3449" s="247">
        <v>3447</v>
      </c>
    </row>
    <row r="3450" spans="1:1" x14ac:dyDescent="0.25">
      <c r="A3450" s="247">
        <v>3448</v>
      </c>
    </row>
    <row r="3451" spans="1:1" x14ac:dyDescent="0.25">
      <c r="A3451" s="247">
        <v>3449</v>
      </c>
    </row>
    <row r="3452" spans="1:1" x14ac:dyDescent="0.25">
      <c r="A3452" s="247">
        <v>3450</v>
      </c>
    </row>
    <row r="3453" spans="1:1" x14ac:dyDescent="0.25">
      <c r="A3453" s="247">
        <v>3451</v>
      </c>
    </row>
    <row r="3454" spans="1:1" x14ac:dyDescent="0.25">
      <c r="A3454" s="247">
        <v>3452</v>
      </c>
    </row>
    <row r="3455" spans="1:1" x14ac:dyDescent="0.25">
      <c r="A3455" s="247">
        <v>3453</v>
      </c>
    </row>
    <row r="3456" spans="1:1" x14ac:dyDescent="0.25">
      <c r="A3456" s="247">
        <v>3454</v>
      </c>
    </row>
    <row r="3457" spans="1:1" x14ac:dyDescent="0.25">
      <c r="A3457" s="247">
        <v>3455</v>
      </c>
    </row>
    <row r="3458" spans="1:1" x14ac:dyDescent="0.25">
      <c r="A3458" s="247">
        <v>3456</v>
      </c>
    </row>
    <row r="3459" spans="1:1" x14ac:dyDescent="0.25">
      <c r="A3459" s="247">
        <v>3457</v>
      </c>
    </row>
    <row r="3460" spans="1:1" x14ac:dyDescent="0.25">
      <c r="A3460" s="247">
        <v>3458</v>
      </c>
    </row>
    <row r="3461" spans="1:1" x14ac:dyDescent="0.25">
      <c r="A3461" s="247">
        <v>3459</v>
      </c>
    </row>
    <row r="3462" spans="1:1" x14ac:dyDescent="0.25">
      <c r="A3462" s="247">
        <v>3460</v>
      </c>
    </row>
    <row r="3463" spans="1:1" x14ac:dyDescent="0.25">
      <c r="A3463" s="247">
        <v>3461</v>
      </c>
    </row>
    <row r="3464" spans="1:1" x14ac:dyDescent="0.25">
      <c r="A3464" s="247">
        <v>3462</v>
      </c>
    </row>
    <row r="3465" spans="1:1" x14ac:dyDescent="0.25">
      <c r="A3465" s="247">
        <v>3463</v>
      </c>
    </row>
    <row r="3466" spans="1:1" x14ac:dyDescent="0.25">
      <c r="A3466" s="247">
        <v>3464</v>
      </c>
    </row>
    <row r="3467" spans="1:1" x14ac:dyDescent="0.25">
      <c r="A3467" s="247">
        <v>3465</v>
      </c>
    </row>
    <row r="3468" spans="1:1" x14ac:dyDescent="0.25">
      <c r="A3468" s="247">
        <v>3466</v>
      </c>
    </row>
    <row r="3469" spans="1:1" x14ac:dyDescent="0.25">
      <c r="A3469" s="247">
        <v>3467</v>
      </c>
    </row>
    <row r="3470" spans="1:1" x14ac:dyDescent="0.25">
      <c r="A3470" s="247">
        <v>3468</v>
      </c>
    </row>
    <row r="3471" spans="1:1" x14ac:dyDescent="0.25">
      <c r="A3471" s="247">
        <v>3469</v>
      </c>
    </row>
    <row r="3472" spans="1:1" x14ac:dyDescent="0.25">
      <c r="A3472" s="247">
        <v>3470</v>
      </c>
    </row>
    <row r="3473" spans="1:1" x14ac:dyDescent="0.25">
      <c r="A3473" s="247">
        <v>3471</v>
      </c>
    </row>
    <row r="3474" spans="1:1" x14ac:dyDescent="0.25">
      <c r="A3474" s="247">
        <v>3472</v>
      </c>
    </row>
    <row r="3475" spans="1:1" x14ac:dyDescent="0.25">
      <c r="A3475" s="247">
        <v>3473</v>
      </c>
    </row>
    <row r="3476" spans="1:1" x14ac:dyDescent="0.25">
      <c r="A3476" s="247">
        <v>3474</v>
      </c>
    </row>
    <row r="3477" spans="1:1" x14ac:dyDescent="0.25">
      <c r="A3477" s="247">
        <v>3475</v>
      </c>
    </row>
    <row r="3478" spans="1:1" x14ac:dyDescent="0.25">
      <c r="A3478" s="247">
        <v>3476</v>
      </c>
    </row>
    <row r="3479" spans="1:1" x14ac:dyDescent="0.25">
      <c r="A3479" s="247">
        <v>3477</v>
      </c>
    </row>
    <row r="3480" spans="1:1" x14ac:dyDescent="0.25">
      <c r="A3480" s="247">
        <v>3478</v>
      </c>
    </row>
    <row r="3481" spans="1:1" x14ac:dyDescent="0.25">
      <c r="A3481" s="247">
        <v>3479</v>
      </c>
    </row>
    <row r="3482" spans="1:1" x14ac:dyDescent="0.25">
      <c r="A3482" s="247">
        <v>3480</v>
      </c>
    </row>
    <row r="3483" spans="1:1" x14ac:dyDescent="0.25">
      <c r="A3483" s="247">
        <v>3481</v>
      </c>
    </row>
    <row r="3484" spans="1:1" x14ac:dyDescent="0.25">
      <c r="A3484" s="247">
        <v>3482</v>
      </c>
    </row>
    <row r="3485" spans="1:1" x14ac:dyDescent="0.25">
      <c r="A3485" s="247">
        <v>3483</v>
      </c>
    </row>
    <row r="3486" spans="1:1" x14ac:dyDescent="0.25">
      <c r="A3486" s="247">
        <v>3484</v>
      </c>
    </row>
    <row r="3487" spans="1:1" x14ac:dyDescent="0.25">
      <c r="A3487" s="247">
        <v>3485</v>
      </c>
    </row>
    <row r="3488" spans="1:1" x14ac:dyDescent="0.25">
      <c r="A3488" s="247">
        <v>3486</v>
      </c>
    </row>
    <row r="3489" spans="1:1" x14ac:dyDescent="0.25">
      <c r="A3489" s="247">
        <v>3487</v>
      </c>
    </row>
    <row r="3490" spans="1:1" x14ac:dyDescent="0.25">
      <c r="A3490" s="247">
        <v>3488</v>
      </c>
    </row>
    <row r="3491" spans="1:1" x14ac:dyDescent="0.25">
      <c r="A3491" s="247">
        <v>3489</v>
      </c>
    </row>
    <row r="3492" spans="1:1" x14ac:dyDescent="0.25">
      <c r="A3492" s="247">
        <v>3490</v>
      </c>
    </row>
    <row r="3493" spans="1:1" x14ac:dyDescent="0.25">
      <c r="A3493" s="247">
        <v>3491</v>
      </c>
    </row>
    <row r="3494" spans="1:1" x14ac:dyDescent="0.25">
      <c r="A3494" s="247">
        <v>3492</v>
      </c>
    </row>
    <row r="3495" spans="1:1" x14ac:dyDescent="0.25">
      <c r="A3495" s="247">
        <v>3493</v>
      </c>
    </row>
    <row r="3496" spans="1:1" x14ac:dyDescent="0.25">
      <c r="A3496" s="247">
        <v>3494</v>
      </c>
    </row>
    <row r="3497" spans="1:1" x14ac:dyDescent="0.25">
      <c r="A3497" s="247">
        <v>3495</v>
      </c>
    </row>
    <row r="3498" spans="1:1" x14ac:dyDescent="0.25">
      <c r="A3498" s="247">
        <v>3496</v>
      </c>
    </row>
    <row r="3499" spans="1:1" x14ac:dyDescent="0.25">
      <c r="A3499" s="247">
        <v>3497</v>
      </c>
    </row>
    <row r="3500" spans="1:1" x14ac:dyDescent="0.25">
      <c r="A3500" s="247">
        <v>3498</v>
      </c>
    </row>
    <row r="3501" spans="1:1" x14ac:dyDescent="0.25">
      <c r="A3501" s="247">
        <v>3499</v>
      </c>
    </row>
    <row r="3502" spans="1:1" x14ac:dyDescent="0.25">
      <c r="A3502" s="247">
        <v>3500</v>
      </c>
    </row>
    <row r="3503" spans="1:1" x14ac:dyDescent="0.25">
      <c r="A3503" s="247">
        <v>3501</v>
      </c>
    </row>
    <row r="3504" spans="1:1" x14ac:dyDescent="0.25">
      <c r="A3504" s="247">
        <v>3502</v>
      </c>
    </row>
    <row r="3505" spans="1:1" x14ac:dyDescent="0.25">
      <c r="A3505" s="247">
        <v>3503</v>
      </c>
    </row>
    <row r="3506" spans="1:1" x14ac:dyDescent="0.25">
      <c r="A3506" s="247">
        <v>3504</v>
      </c>
    </row>
    <row r="3507" spans="1:1" x14ac:dyDescent="0.25">
      <c r="A3507" s="247">
        <v>3505</v>
      </c>
    </row>
    <row r="3508" spans="1:1" x14ac:dyDescent="0.25">
      <c r="A3508" s="247">
        <v>3506</v>
      </c>
    </row>
    <row r="3509" spans="1:1" x14ac:dyDescent="0.25">
      <c r="A3509" s="247">
        <v>3507</v>
      </c>
    </row>
    <row r="3510" spans="1:1" x14ac:dyDescent="0.25">
      <c r="A3510" s="247">
        <v>3508</v>
      </c>
    </row>
    <row r="3511" spans="1:1" x14ac:dyDescent="0.25">
      <c r="A3511" s="247">
        <v>3509</v>
      </c>
    </row>
    <row r="3512" spans="1:1" x14ac:dyDescent="0.25">
      <c r="A3512" s="247">
        <v>3510</v>
      </c>
    </row>
    <row r="3513" spans="1:1" x14ac:dyDescent="0.25">
      <c r="A3513" s="247">
        <v>3511</v>
      </c>
    </row>
    <row r="3514" spans="1:1" x14ac:dyDescent="0.25">
      <c r="A3514" s="247">
        <v>3512</v>
      </c>
    </row>
    <row r="3515" spans="1:1" x14ac:dyDescent="0.25">
      <c r="A3515" s="247">
        <v>3513</v>
      </c>
    </row>
    <row r="3516" spans="1:1" x14ac:dyDescent="0.25">
      <c r="A3516" s="247">
        <v>3514</v>
      </c>
    </row>
    <row r="3517" spans="1:1" x14ac:dyDescent="0.25">
      <c r="A3517" s="247">
        <v>3515</v>
      </c>
    </row>
    <row r="3518" spans="1:1" x14ac:dyDescent="0.25">
      <c r="A3518" s="247">
        <v>3516</v>
      </c>
    </row>
    <row r="3519" spans="1:1" x14ac:dyDescent="0.25">
      <c r="A3519" s="247">
        <v>3517</v>
      </c>
    </row>
    <row r="3520" spans="1:1" x14ac:dyDescent="0.25">
      <c r="A3520" s="247">
        <v>3518</v>
      </c>
    </row>
    <row r="3521" spans="1:1" x14ac:dyDescent="0.25">
      <c r="A3521" s="247">
        <v>3519</v>
      </c>
    </row>
    <row r="3522" spans="1:1" x14ac:dyDescent="0.25">
      <c r="A3522" s="247">
        <v>3520</v>
      </c>
    </row>
    <row r="3523" spans="1:1" x14ac:dyDescent="0.25">
      <c r="A3523" s="247">
        <v>3521</v>
      </c>
    </row>
    <row r="3524" spans="1:1" x14ac:dyDescent="0.25">
      <c r="A3524" s="247">
        <v>3522</v>
      </c>
    </row>
    <row r="3525" spans="1:1" x14ac:dyDescent="0.25">
      <c r="A3525" s="247">
        <v>3523</v>
      </c>
    </row>
    <row r="3526" spans="1:1" x14ac:dyDescent="0.25">
      <c r="A3526" s="247">
        <v>3524</v>
      </c>
    </row>
    <row r="3527" spans="1:1" x14ac:dyDescent="0.25">
      <c r="A3527" s="247">
        <v>3525</v>
      </c>
    </row>
    <row r="3528" spans="1:1" x14ac:dyDescent="0.25">
      <c r="A3528" s="247">
        <v>3526</v>
      </c>
    </row>
    <row r="3529" spans="1:1" x14ac:dyDescent="0.25">
      <c r="A3529" s="247">
        <v>3527</v>
      </c>
    </row>
    <row r="3530" spans="1:1" x14ac:dyDescent="0.25">
      <c r="A3530" s="247">
        <v>3528</v>
      </c>
    </row>
    <row r="3531" spans="1:1" x14ac:dyDescent="0.25">
      <c r="A3531" s="247">
        <v>3529</v>
      </c>
    </row>
    <row r="3532" spans="1:1" x14ac:dyDescent="0.25">
      <c r="A3532" s="247">
        <v>3530</v>
      </c>
    </row>
    <row r="3533" spans="1:1" x14ac:dyDescent="0.25">
      <c r="A3533" s="247">
        <v>3531</v>
      </c>
    </row>
    <row r="3534" spans="1:1" x14ac:dyDescent="0.25">
      <c r="A3534" s="247">
        <v>3532</v>
      </c>
    </row>
    <row r="3535" spans="1:1" x14ac:dyDescent="0.25">
      <c r="A3535" s="247">
        <v>3533</v>
      </c>
    </row>
    <row r="3536" spans="1:1" x14ac:dyDescent="0.25">
      <c r="A3536" s="247">
        <v>3534</v>
      </c>
    </row>
    <row r="3537" spans="1:1" x14ac:dyDescent="0.25">
      <c r="A3537" s="247">
        <v>3535</v>
      </c>
    </row>
    <row r="3538" spans="1:1" x14ac:dyDescent="0.25">
      <c r="A3538" s="247">
        <v>3536</v>
      </c>
    </row>
    <row r="3539" spans="1:1" x14ac:dyDescent="0.25">
      <c r="A3539" s="247">
        <v>3537</v>
      </c>
    </row>
    <row r="3540" spans="1:1" x14ac:dyDescent="0.25">
      <c r="A3540" s="247">
        <v>3538</v>
      </c>
    </row>
    <row r="3541" spans="1:1" x14ac:dyDescent="0.25">
      <c r="A3541" s="247">
        <v>3539</v>
      </c>
    </row>
    <row r="3542" spans="1:1" x14ac:dyDescent="0.25">
      <c r="A3542" s="247">
        <v>3540</v>
      </c>
    </row>
    <row r="3543" spans="1:1" x14ac:dyDescent="0.25">
      <c r="A3543" s="247">
        <v>3541</v>
      </c>
    </row>
    <row r="3544" spans="1:1" x14ac:dyDescent="0.25">
      <c r="A3544" s="247">
        <v>3542</v>
      </c>
    </row>
    <row r="3545" spans="1:1" x14ac:dyDescent="0.25">
      <c r="A3545" s="247">
        <v>3543</v>
      </c>
    </row>
    <row r="3546" spans="1:1" x14ac:dyDescent="0.25">
      <c r="A3546" s="247">
        <v>3544</v>
      </c>
    </row>
    <row r="3547" spans="1:1" x14ac:dyDescent="0.25">
      <c r="A3547" s="247">
        <v>3545</v>
      </c>
    </row>
    <row r="3548" spans="1:1" x14ac:dyDescent="0.25">
      <c r="A3548" s="247">
        <v>3546</v>
      </c>
    </row>
    <row r="3549" spans="1:1" x14ac:dyDescent="0.25">
      <c r="A3549" s="247">
        <v>3547</v>
      </c>
    </row>
    <row r="3550" spans="1:1" x14ac:dyDescent="0.25">
      <c r="A3550" s="247">
        <v>3548</v>
      </c>
    </row>
    <row r="3551" spans="1:1" x14ac:dyDescent="0.25">
      <c r="A3551" s="247">
        <v>3549</v>
      </c>
    </row>
    <row r="3552" spans="1:1" x14ac:dyDescent="0.25">
      <c r="A3552" s="247">
        <v>3550</v>
      </c>
    </row>
    <row r="3553" spans="1:1" x14ac:dyDescent="0.25">
      <c r="A3553" s="247">
        <v>3551</v>
      </c>
    </row>
    <row r="3554" spans="1:1" x14ac:dyDescent="0.25">
      <c r="A3554" s="247">
        <v>3552</v>
      </c>
    </row>
    <row r="3555" spans="1:1" x14ac:dyDescent="0.25">
      <c r="A3555" s="247">
        <v>3553</v>
      </c>
    </row>
    <row r="3556" spans="1:1" x14ac:dyDescent="0.25">
      <c r="A3556" s="247">
        <v>3554</v>
      </c>
    </row>
    <row r="3557" spans="1:1" x14ac:dyDescent="0.25">
      <c r="A3557" s="247">
        <v>3555</v>
      </c>
    </row>
    <row r="3558" spans="1:1" x14ac:dyDescent="0.25">
      <c r="A3558" s="247">
        <v>3556</v>
      </c>
    </row>
    <row r="3559" spans="1:1" x14ac:dyDescent="0.25">
      <c r="A3559" s="247">
        <v>3557</v>
      </c>
    </row>
    <row r="3560" spans="1:1" x14ac:dyDescent="0.25">
      <c r="A3560" s="247">
        <v>3558</v>
      </c>
    </row>
    <row r="3561" spans="1:1" x14ac:dyDescent="0.25">
      <c r="A3561" s="247">
        <v>3559</v>
      </c>
    </row>
    <row r="3562" spans="1:1" x14ac:dyDescent="0.25">
      <c r="A3562" s="247">
        <v>3560</v>
      </c>
    </row>
    <row r="3563" spans="1:1" x14ac:dyDescent="0.25">
      <c r="A3563" s="247">
        <v>3561</v>
      </c>
    </row>
    <row r="3564" spans="1:1" x14ac:dyDescent="0.25">
      <c r="A3564" s="247">
        <v>3562</v>
      </c>
    </row>
    <row r="3565" spans="1:1" x14ac:dyDescent="0.25">
      <c r="A3565" s="247">
        <v>3563</v>
      </c>
    </row>
    <row r="3566" spans="1:1" x14ac:dyDescent="0.25">
      <c r="A3566" s="247">
        <v>3564</v>
      </c>
    </row>
    <row r="3567" spans="1:1" x14ac:dyDescent="0.25">
      <c r="A3567" s="247">
        <v>3565</v>
      </c>
    </row>
    <row r="3568" spans="1:1" x14ac:dyDescent="0.25">
      <c r="A3568" s="247">
        <v>3566</v>
      </c>
    </row>
    <row r="3569" spans="1:1" x14ac:dyDescent="0.25">
      <c r="A3569" s="247">
        <v>3567</v>
      </c>
    </row>
    <row r="3570" spans="1:1" x14ac:dyDescent="0.25">
      <c r="A3570" s="247">
        <v>3568</v>
      </c>
    </row>
    <row r="3571" spans="1:1" x14ac:dyDescent="0.25">
      <c r="A3571" s="247">
        <v>3569</v>
      </c>
    </row>
    <row r="3572" spans="1:1" x14ac:dyDescent="0.25">
      <c r="A3572" s="247">
        <v>3570</v>
      </c>
    </row>
    <row r="3573" spans="1:1" x14ac:dyDescent="0.25">
      <c r="A3573" s="247">
        <v>3571</v>
      </c>
    </row>
    <row r="3574" spans="1:1" x14ac:dyDescent="0.25">
      <c r="A3574" s="247">
        <v>3572</v>
      </c>
    </row>
    <row r="3575" spans="1:1" x14ac:dyDescent="0.25">
      <c r="A3575" s="247">
        <v>3573</v>
      </c>
    </row>
    <row r="3576" spans="1:1" x14ac:dyDescent="0.25">
      <c r="A3576" s="247">
        <v>3574</v>
      </c>
    </row>
    <row r="3577" spans="1:1" x14ac:dyDescent="0.25">
      <c r="A3577" s="247">
        <v>3575</v>
      </c>
    </row>
    <row r="3578" spans="1:1" x14ac:dyDescent="0.25">
      <c r="A3578" s="247">
        <v>3576</v>
      </c>
    </row>
    <row r="3579" spans="1:1" x14ac:dyDescent="0.25">
      <c r="A3579" s="247">
        <v>3577</v>
      </c>
    </row>
    <row r="3580" spans="1:1" x14ac:dyDescent="0.25">
      <c r="A3580" s="247">
        <v>3578</v>
      </c>
    </row>
    <row r="3581" spans="1:1" x14ac:dyDescent="0.25">
      <c r="A3581" s="247">
        <v>3579</v>
      </c>
    </row>
    <row r="3582" spans="1:1" x14ac:dyDescent="0.25">
      <c r="A3582" s="247">
        <v>3580</v>
      </c>
    </row>
    <row r="3583" spans="1:1" x14ac:dyDescent="0.25">
      <c r="A3583" s="247">
        <v>3581</v>
      </c>
    </row>
    <row r="3584" spans="1:1" x14ac:dyDescent="0.25">
      <c r="A3584" s="247">
        <v>3582</v>
      </c>
    </row>
    <row r="3585" spans="1:1" x14ac:dyDescent="0.25">
      <c r="A3585" s="247">
        <v>3583</v>
      </c>
    </row>
    <row r="3586" spans="1:1" x14ac:dyDescent="0.25">
      <c r="A3586" s="247">
        <v>3584</v>
      </c>
    </row>
    <row r="3587" spans="1:1" x14ac:dyDescent="0.25">
      <c r="A3587" s="247">
        <v>3585</v>
      </c>
    </row>
    <row r="3588" spans="1:1" x14ac:dyDescent="0.25">
      <c r="A3588" s="247">
        <v>3586</v>
      </c>
    </row>
    <row r="3589" spans="1:1" x14ac:dyDescent="0.25">
      <c r="A3589" s="247">
        <v>3587</v>
      </c>
    </row>
    <row r="3590" spans="1:1" x14ac:dyDescent="0.25">
      <c r="A3590" s="247">
        <v>3588</v>
      </c>
    </row>
    <row r="3591" spans="1:1" x14ac:dyDescent="0.25">
      <c r="A3591" s="247">
        <v>3589</v>
      </c>
    </row>
    <row r="3592" spans="1:1" x14ac:dyDescent="0.25">
      <c r="A3592" s="247">
        <v>3590</v>
      </c>
    </row>
    <row r="3593" spans="1:1" x14ac:dyDescent="0.25">
      <c r="A3593" s="247">
        <v>3591</v>
      </c>
    </row>
    <row r="3594" spans="1:1" x14ac:dyDescent="0.25">
      <c r="A3594" s="247">
        <v>3592</v>
      </c>
    </row>
    <row r="3595" spans="1:1" x14ac:dyDescent="0.25">
      <c r="A3595" s="247">
        <v>3593</v>
      </c>
    </row>
    <row r="3596" spans="1:1" x14ac:dyDescent="0.25">
      <c r="A3596" s="247">
        <v>3594</v>
      </c>
    </row>
    <row r="3597" spans="1:1" x14ac:dyDescent="0.25">
      <c r="A3597" s="247">
        <v>3595</v>
      </c>
    </row>
    <row r="3598" spans="1:1" x14ac:dyDescent="0.25">
      <c r="A3598" s="247">
        <v>3596</v>
      </c>
    </row>
    <row r="3599" spans="1:1" x14ac:dyDescent="0.25">
      <c r="A3599" s="247">
        <v>3597</v>
      </c>
    </row>
    <row r="3600" spans="1:1" x14ac:dyDescent="0.25">
      <c r="A3600" s="247">
        <v>3598</v>
      </c>
    </row>
    <row r="3601" spans="1:1" x14ac:dyDescent="0.25">
      <c r="A3601" s="247">
        <v>3599</v>
      </c>
    </row>
    <row r="3602" spans="1:1" x14ac:dyDescent="0.25">
      <c r="A3602" s="247">
        <v>3600</v>
      </c>
    </row>
    <row r="3603" spans="1:1" x14ac:dyDescent="0.25">
      <c r="A3603" s="247">
        <v>3601</v>
      </c>
    </row>
    <row r="3604" spans="1:1" x14ac:dyDescent="0.25">
      <c r="A3604" s="247">
        <v>3602</v>
      </c>
    </row>
    <row r="3605" spans="1:1" x14ac:dyDescent="0.25">
      <c r="A3605" s="247">
        <v>3603</v>
      </c>
    </row>
    <row r="3606" spans="1:1" x14ac:dyDescent="0.25">
      <c r="A3606" s="247">
        <v>3604</v>
      </c>
    </row>
    <row r="3607" spans="1:1" x14ac:dyDescent="0.25">
      <c r="A3607" s="247">
        <v>3605</v>
      </c>
    </row>
    <row r="3608" spans="1:1" x14ac:dyDescent="0.25">
      <c r="A3608" s="247">
        <v>3606</v>
      </c>
    </row>
    <row r="3609" spans="1:1" x14ac:dyDescent="0.25">
      <c r="A3609" s="247">
        <v>3607</v>
      </c>
    </row>
    <row r="3610" spans="1:1" x14ac:dyDescent="0.25">
      <c r="A3610" s="247">
        <v>3608</v>
      </c>
    </row>
    <row r="3611" spans="1:1" x14ac:dyDescent="0.25">
      <c r="A3611" s="247">
        <v>3609</v>
      </c>
    </row>
    <row r="3612" spans="1:1" x14ac:dyDescent="0.25">
      <c r="A3612" s="247">
        <v>3610</v>
      </c>
    </row>
    <row r="3613" spans="1:1" x14ac:dyDescent="0.25">
      <c r="A3613" s="247">
        <v>3611</v>
      </c>
    </row>
    <row r="3614" spans="1:1" x14ac:dyDescent="0.25">
      <c r="A3614" s="247">
        <v>3612</v>
      </c>
    </row>
    <row r="3615" spans="1:1" x14ac:dyDescent="0.25">
      <c r="A3615" s="247">
        <v>3613</v>
      </c>
    </row>
    <row r="3616" spans="1:1" x14ac:dyDescent="0.25">
      <c r="A3616" s="247">
        <v>3614</v>
      </c>
    </row>
    <row r="3617" spans="1:1" x14ac:dyDescent="0.25">
      <c r="A3617" s="247">
        <v>3615</v>
      </c>
    </row>
    <row r="3618" spans="1:1" x14ac:dyDescent="0.25">
      <c r="A3618" s="247">
        <v>3616</v>
      </c>
    </row>
    <row r="3619" spans="1:1" x14ac:dyDescent="0.25">
      <c r="A3619" s="247">
        <v>3617</v>
      </c>
    </row>
    <row r="3620" spans="1:1" x14ac:dyDescent="0.25">
      <c r="A3620" s="247">
        <v>3618</v>
      </c>
    </row>
    <row r="3621" spans="1:1" x14ac:dyDescent="0.25">
      <c r="A3621" s="247">
        <v>3619</v>
      </c>
    </row>
    <row r="3622" spans="1:1" x14ac:dyDescent="0.25">
      <c r="A3622" s="247">
        <v>3620</v>
      </c>
    </row>
    <row r="3623" spans="1:1" x14ac:dyDescent="0.25">
      <c r="A3623" s="247">
        <v>3621</v>
      </c>
    </row>
    <row r="3624" spans="1:1" x14ac:dyDescent="0.25">
      <c r="A3624" s="247">
        <v>3622</v>
      </c>
    </row>
    <row r="3625" spans="1:1" x14ac:dyDescent="0.25">
      <c r="A3625" s="247">
        <v>3623</v>
      </c>
    </row>
    <row r="3626" spans="1:1" x14ac:dyDescent="0.25">
      <c r="A3626" s="247">
        <v>3624</v>
      </c>
    </row>
    <row r="3627" spans="1:1" x14ac:dyDescent="0.25">
      <c r="A3627" s="247">
        <v>3625</v>
      </c>
    </row>
    <row r="3628" spans="1:1" x14ac:dyDescent="0.25">
      <c r="A3628" s="247">
        <v>3626</v>
      </c>
    </row>
    <row r="3629" spans="1:1" x14ac:dyDescent="0.25">
      <c r="A3629" s="247">
        <v>3627</v>
      </c>
    </row>
    <row r="3630" spans="1:1" x14ac:dyDescent="0.25">
      <c r="A3630" s="247">
        <v>3628</v>
      </c>
    </row>
    <row r="3631" spans="1:1" x14ac:dyDescent="0.25">
      <c r="A3631" s="247">
        <v>3629</v>
      </c>
    </row>
    <row r="3632" spans="1:1" x14ac:dyDescent="0.25">
      <c r="A3632" s="247">
        <v>3630</v>
      </c>
    </row>
    <row r="3633" spans="1:1" x14ac:dyDescent="0.25">
      <c r="A3633" s="247">
        <v>3631</v>
      </c>
    </row>
    <row r="3634" spans="1:1" x14ac:dyDescent="0.25">
      <c r="A3634" s="247">
        <v>3632</v>
      </c>
    </row>
    <row r="3635" spans="1:1" x14ac:dyDescent="0.25">
      <c r="A3635" s="247">
        <v>3633</v>
      </c>
    </row>
    <row r="3636" spans="1:1" x14ac:dyDescent="0.25">
      <c r="A3636" s="247">
        <v>3634</v>
      </c>
    </row>
    <row r="3637" spans="1:1" x14ac:dyDescent="0.25">
      <c r="A3637" s="247">
        <v>3635</v>
      </c>
    </row>
    <row r="3638" spans="1:1" x14ac:dyDescent="0.25">
      <c r="A3638" s="247">
        <v>3636</v>
      </c>
    </row>
    <row r="3639" spans="1:1" x14ac:dyDescent="0.25">
      <c r="A3639" s="247">
        <v>3637</v>
      </c>
    </row>
    <row r="3640" spans="1:1" x14ac:dyDescent="0.25">
      <c r="A3640" s="247">
        <v>3638</v>
      </c>
    </row>
    <row r="3641" spans="1:1" x14ac:dyDescent="0.25">
      <c r="A3641" s="247">
        <v>3639</v>
      </c>
    </row>
    <row r="3642" spans="1:1" x14ac:dyDescent="0.25">
      <c r="A3642" s="247">
        <v>3640</v>
      </c>
    </row>
    <row r="3643" spans="1:1" x14ac:dyDescent="0.25">
      <c r="A3643" s="247">
        <v>3641</v>
      </c>
    </row>
    <row r="3644" spans="1:1" x14ac:dyDescent="0.25">
      <c r="A3644" s="247">
        <v>3642</v>
      </c>
    </row>
    <row r="3645" spans="1:1" x14ac:dyDescent="0.25">
      <c r="A3645" s="247">
        <v>3643</v>
      </c>
    </row>
    <row r="3646" spans="1:1" x14ac:dyDescent="0.25">
      <c r="A3646" s="247">
        <v>3644</v>
      </c>
    </row>
    <row r="3647" spans="1:1" x14ac:dyDescent="0.25">
      <c r="A3647" s="247">
        <v>3645</v>
      </c>
    </row>
    <row r="3648" spans="1:1" x14ac:dyDescent="0.25">
      <c r="A3648" s="247">
        <v>3646</v>
      </c>
    </row>
    <row r="3649" spans="1:1" x14ac:dyDescent="0.25">
      <c r="A3649" s="247">
        <v>3647</v>
      </c>
    </row>
    <row r="3650" spans="1:1" x14ac:dyDescent="0.25">
      <c r="A3650" s="247">
        <v>3648</v>
      </c>
    </row>
    <row r="3651" spans="1:1" x14ac:dyDescent="0.25">
      <c r="A3651" s="247">
        <v>3649</v>
      </c>
    </row>
    <row r="3652" spans="1:1" x14ac:dyDescent="0.25">
      <c r="A3652" s="247">
        <v>3650</v>
      </c>
    </row>
    <row r="3653" spans="1:1" x14ac:dyDescent="0.25">
      <c r="A3653" s="247">
        <v>3651</v>
      </c>
    </row>
    <row r="3654" spans="1:1" x14ac:dyDescent="0.25">
      <c r="A3654" s="247">
        <v>3652</v>
      </c>
    </row>
    <row r="3655" spans="1:1" x14ac:dyDescent="0.25">
      <c r="A3655" s="247">
        <v>3653</v>
      </c>
    </row>
    <row r="3656" spans="1:1" x14ac:dyDescent="0.25">
      <c r="A3656" s="247">
        <v>3654</v>
      </c>
    </row>
    <row r="3657" spans="1:1" x14ac:dyDescent="0.25">
      <c r="A3657" s="247">
        <v>3655</v>
      </c>
    </row>
    <row r="3658" spans="1:1" x14ac:dyDescent="0.25">
      <c r="A3658" s="247">
        <v>3656</v>
      </c>
    </row>
    <row r="3659" spans="1:1" x14ac:dyDescent="0.25">
      <c r="A3659" s="247">
        <v>3657</v>
      </c>
    </row>
    <row r="3660" spans="1:1" x14ac:dyDescent="0.25">
      <c r="A3660" s="247">
        <v>3658</v>
      </c>
    </row>
    <row r="3661" spans="1:1" x14ac:dyDescent="0.25">
      <c r="A3661" s="247">
        <v>3659</v>
      </c>
    </row>
    <row r="3662" spans="1:1" x14ac:dyDescent="0.25">
      <c r="A3662" s="247">
        <v>3660</v>
      </c>
    </row>
    <row r="3663" spans="1:1" x14ac:dyDescent="0.25">
      <c r="A3663" s="247">
        <v>3661</v>
      </c>
    </row>
    <row r="3664" spans="1:1" x14ac:dyDescent="0.25">
      <c r="A3664" s="247">
        <v>3662</v>
      </c>
    </row>
    <row r="3665" spans="1:1" x14ac:dyDescent="0.25">
      <c r="A3665" s="247">
        <v>3663</v>
      </c>
    </row>
    <row r="3666" spans="1:1" x14ac:dyDescent="0.25">
      <c r="A3666" s="247">
        <v>3664</v>
      </c>
    </row>
    <row r="3667" spans="1:1" x14ac:dyDescent="0.25">
      <c r="A3667" s="247">
        <v>3665</v>
      </c>
    </row>
    <row r="3668" spans="1:1" x14ac:dyDescent="0.25">
      <c r="A3668" s="247">
        <v>3666</v>
      </c>
    </row>
    <row r="3669" spans="1:1" x14ac:dyDescent="0.25">
      <c r="A3669" s="247">
        <v>3667</v>
      </c>
    </row>
    <row r="3670" spans="1:1" x14ac:dyDescent="0.25">
      <c r="A3670" s="247">
        <v>3668</v>
      </c>
    </row>
    <row r="3671" spans="1:1" x14ac:dyDescent="0.25">
      <c r="A3671" s="247">
        <v>3669</v>
      </c>
    </row>
    <row r="3672" spans="1:1" x14ac:dyDescent="0.25">
      <c r="A3672" s="247">
        <v>3670</v>
      </c>
    </row>
    <row r="3673" spans="1:1" x14ac:dyDescent="0.25">
      <c r="A3673" s="247">
        <v>3671</v>
      </c>
    </row>
    <row r="3674" spans="1:1" x14ac:dyDescent="0.25">
      <c r="A3674" s="247">
        <v>3672</v>
      </c>
    </row>
    <row r="3675" spans="1:1" x14ac:dyDescent="0.25">
      <c r="A3675" s="247">
        <v>3673</v>
      </c>
    </row>
    <row r="3676" spans="1:1" x14ac:dyDescent="0.25">
      <c r="A3676" s="247">
        <v>3674</v>
      </c>
    </row>
    <row r="3677" spans="1:1" x14ac:dyDescent="0.25">
      <c r="A3677" s="247">
        <v>3675</v>
      </c>
    </row>
    <row r="3678" spans="1:1" x14ac:dyDescent="0.25">
      <c r="A3678" s="247">
        <v>3676</v>
      </c>
    </row>
    <row r="3679" spans="1:1" x14ac:dyDescent="0.25">
      <c r="A3679" s="247">
        <v>3677</v>
      </c>
    </row>
    <row r="3680" spans="1:1" x14ac:dyDescent="0.25">
      <c r="A3680" s="247">
        <v>3678</v>
      </c>
    </row>
    <row r="3681" spans="1:1" x14ac:dyDescent="0.25">
      <c r="A3681" s="247">
        <v>3679</v>
      </c>
    </row>
    <row r="3682" spans="1:1" x14ac:dyDescent="0.25">
      <c r="A3682" s="247">
        <v>3680</v>
      </c>
    </row>
    <row r="3683" spans="1:1" x14ac:dyDescent="0.25">
      <c r="A3683" s="247">
        <v>3681</v>
      </c>
    </row>
    <row r="3684" spans="1:1" x14ac:dyDescent="0.25">
      <c r="A3684" s="247">
        <v>3682</v>
      </c>
    </row>
    <row r="3685" spans="1:1" x14ac:dyDescent="0.25">
      <c r="A3685" s="247">
        <v>3683</v>
      </c>
    </row>
    <row r="3686" spans="1:1" x14ac:dyDescent="0.25">
      <c r="A3686" s="247">
        <v>3684</v>
      </c>
    </row>
    <row r="3687" spans="1:1" x14ac:dyDescent="0.25">
      <c r="A3687" s="247">
        <v>3685</v>
      </c>
    </row>
    <row r="3688" spans="1:1" x14ac:dyDescent="0.25">
      <c r="A3688" s="247">
        <v>3686</v>
      </c>
    </row>
    <row r="3689" spans="1:1" x14ac:dyDescent="0.25">
      <c r="A3689" s="247">
        <v>3687</v>
      </c>
    </row>
    <row r="3690" spans="1:1" x14ac:dyDescent="0.25">
      <c r="A3690" s="247">
        <v>3688</v>
      </c>
    </row>
    <row r="3691" spans="1:1" x14ac:dyDescent="0.25">
      <c r="A3691" s="247">
        <v>3689</v>
      </c>
    </row>
    <row r="3692" spans="1:1" x14ac:dyDescent="0.25">
      <c r="A3692" s="247">
        <v>3690</v>
      </c>
    </row>
    <row r="3693" spans="1:1" x14ac:dyDescent="0.25">
      <c r="A3693" s="247">
        <v>3691</v>
      </c>
    </row>
    <row r="3694" spans="1:1" x14ac:dyDescent="0.25">
      <c r="A3694" s="247">
        <v>3692</v>
      </c>
    </row>
    <row r="3695" spans="1:1" x14ac:dyDescent="0.25">
      <c r="A3695" s="247">
        <v>3693</v>
      </c>
    </row>
    <row r="3696" spans="1:1" x14ac:dyDescent="0.25">
      <c r="A3696" s="247">
        <v>3694</v>
      </c>
    </row>
    <row r="3697" spans="1:1" x14ac:dyDescent="0.25">
      <c r="A3697" s="247">
        <v>3695</v>
      </c>
    </row>
    <row r="3698" spans="1:1" x14ac:dyDescent="0.25">
      <c r="A3698" s="247">
        <v>3696</v>
      </c>
    </row>
    <row r="3699" spans="1:1" x14ac:dyDescent="0.25">
      <c r="A3699" s="247">
        <v>3697</v>
      </c>
    </row>
    <row r="3700" spans="1:1" x14ac:dyDescent="0.25">
      <c r="A3700" s="247">
        <v>3698</v>
      </c>
    </row>
    <row r="3701" spans="1:1" x14ac:dyDescent="0.25">
      <c r="A3701" s="247">
        <v>3699</v>
      </c>
    </row>
    <row r="3702" spans="1:1" x14ac:dyDescent="0.25">
      <c r="A3702" s="247">
        <v>3700</v>
      </c>
    </row>
    <row r="3703" spans="1:1" x14ac:dyDescent="0.25">
      <c r="A3703" s="247">
        <v>3701</v>
      </c>
    </row>
    <row r="3704" spans="1:1" x14ac:dyDescent="0.25">
      <c r="A3704" s="247">
        <v>3702</v>
      </c>
    </row>
    <row r="3705" spans="1:1" x14ac:dyDescent="0.25">
      <c r="A3705" s="247">
        <v>3703</v>
      </c>
    </row>
    <row r="3706" spans="1:1" x14ac:dyDescent="0.25">
      <c r="A3706" s="247">
        <v>3704</v>
      </c>
    </row>
    <row r="3707" spans="1:1" x14ac:dyDescent="0.25">
      <c r="A3707" s="247">
        <v>3705</v>
      </c>
    </row>
    <row r="3708" spans="1:1" x14ac:dyDescent="0.25">
      <c r="A3708" s="247">
        <v>3706</v>
      </c>
    </row>
    <row r="3709" spans="1:1" x14ac:dyDescent="0.25">
      <c r="A3709" s="247">
        <v>3707</v>
      </c>
    </row>
    <row r="3710" spans="1:1" x14ac:dyDescent="0.25">
      <c r="A3710" s="247">
        <v>3708</v>
      </c>
    </row>
    <row r="3711" spans="1:1" x14ac:dyDescent="0.25">
      <c r="A3711" s="247">
        <v>3709</v>
      </c>
    </row>
    <row r="3712" spans="1:1" x14ac:dyDescent="0.25">
      <c r="A3712" s="247">
        <v>3710</v>
      </c>
    </row>
    <row r="3713" spans="1:1" x14ac:dyDescent="0.25">
      <c r="A3713" s="247">
        <v>3711</v>
      </c>
    </row>
    <row r="3714" spans="1:1" x14ac:dyDescent="0.25">
      <c r="A3714" s="247">
        <v>3712</v>
      </c>
    </row>
    <row r="3715" spans="1:1" x14ac:dyDescent="0.25">
      <c r="A3715" s="247">
        <v>3713</v>
      </c>
    </row>
    <row r="3716" spans="1:1" x14ac:dyDescent="0.25">
      <c r="A3716" s="247">
        <v>3714</v>
      </c>
    </row>
    <row r="3717" spans="1:1" x14ac:dyDescent="0.25">
      <c r="A3717" s="247">
        <v>3715</v>
      </c>
    </row>
    <row r="3718" spans="1:1" x14ac:dyDescent="0.25">
      <c r="A3718" s="247">
        <v>3716</v>
      </c>
    </row>
    <row r="3719" spans="1:1" x14ac:dyDescent="0.25">
      <c r="A3719" s="247">
        <v>3717</v>
      </c>
    </row>
    <row r="3720" spans="1:1" x14ac:dyDescent="0.25">
      <c r="A3720" s="247">
        <v>3718</v>
      </c>
    </row>
    <row r="3721" spans="1:1" x14ac:dyDescent="0.25">
      <c r="A3721" s="247">
        <v>3719</v>
      </c>
    </row>
    <row r="3722" spans="1:1" x14ac:dyDescent="0.25">
      <c r="A3722" s="247">
        <v>3720</v>
      </c>
    </row>
    <row r="3723" spans="1:1" x14ac:dyDescent="0.25">
      <c r="A3723" s="247">
        <v>3721</v>
      </c>
    </row>
    <row r="3724" spans="1:1" x14ac:dyDescent="0.25">
      <c r="A3724" s="247">
        <v>3722</v>
      </c>
    </row>
    <row r="3725" spans="1:1" x14ac:dyDescent="0.25">
      <c r="A3725" s="247">
        <v>3723</v>
      </c>
    </row>
    <row r="3726" spans="1:1" x14ac:dyDescent="0.25">
      <c r="A3726" s="247">
        <v>3724</v>
      </c>
    </row>
    <row r="3727" spans="1:1" x14ac:dyDescent="0.25">
      <c r="A3727" s="247">
        <v>3725</v>
      </c>
    </row>
    <row r="3728" spans="1:1" x14ac:dyDescent="0.25">
      <c r="A3728" s="247">
        <v>3726</v>
      </c>
    </row>
    <row r="3729" spans="1:1" x14ac:dyDescent="0.25">
      <c r="A3729" s="247">
        <v>3727</v>
      </c>
    </row>
    <row r="3730" spans="1:1" x14ac:dyDescent="0.25">
      <c r="A3730" s="247">
        <v>3728</v>
      </c>
    </row>
    <row r="3731" spans="1:1" x14ac:dyDescent="0.25">
      <c r="A3731" s="247">
        <v>3729</v>
      </c>
    </row>
    <row r="3732" spans="1:1" x14ac:dyDescent="0.25">
      <c r="A3732" s="247">
        <v>3730</v>
      </c>
    </row>
    <row r="3733" spans="1:1" x14ac:dyDescent="0.25">
      <c r="A3733" s="247">
        <v>3731</v>
      </c>
    </row>
    <row r="3734" spans="1:1" x14ac:dyDescent="0.25">
      <c r="A3734" s="247">
        <v>3732</v>
      </c>
    </row>
    <row r="3735" spans="1:1" x14ac:dyDescent="0.25">
      <c r="A3735" s="247">
        <v>3733</v>
      </c>
    </row>
    <row r="3736" spans="1:1" x14ac:dyDescent="0.25">
      <c r="A3736" s="247">
        <v>3734</v>
      </c>
    </row>
    <row r="3737" spans="1:1" x14ac:dyDescent="0.25">
      <c r="A3737" s="247">
        <v>3735</v>
      </c>
    </row>
    <row r="3738" spans="1:1" x14ac:dyDescent="0.25">
      <c r="A3738" s="247">
        <v>3736</v>
      </c>
    </row>
    <row r="3739" spans="1:1" x14ac:dyDescent="0.25">
      <c r="A3739" s="247">
        <v>3737</v>
      </c>
    </row>
    <row r="3740" spans="1:1" x14ac:dyDescent="0.25">
      <c r="A3740" s="247">
        <v>3738</v>
      </c>
    </row>
    <row r="3741" spans="1:1" x14ac:dyDescent="0.25">
      <c r="A3741" s="247">
        <v>3739</v>
      </c>
    </row>
    <row r="3742" spans="1:1" x14ac:dyDescent="0.25">
      <c r="A3742" s="247">
        <v>3740</v>
      </c>
    </row>
    <row r="3743" spans="1:1" x14ac:dyDescent="0.25">
      <c r="A3743" s="247">
        <v>3741</v>
      </c>
    </row>
    <row r="3744" spans="1:1" x14ac:dyDescent="0.25">
      <c r="A3744" s="247">
        <v>3742</v>
      </c>
    </row>
    <row r="3745" spans="1:1" x14ac:dyDescent="0.25">
      <c r="A3745" s="247">
        <v>3743</v>
      </c>
    </row>
    <row r="3746" spans="1:1" x14ac:dyDescent="0.25">
      <c r="A3746" s="247">
        <v>3744</v>
      </c>
    </row>
    <row r="3747" spans="1:1" x14ac:dyDescent="0.25">
      <c r="A3747" s="247">
        <v>3745</v>
      </c>
    </row>
    <row r="3748" spans="1:1" x14ac:dyDescent="0.25">
      <c r="A3748" s="247">
        <v>3746</v>
      </c>
    </row>
    <row r="3749" spans="1:1" x14ac:dyDescent="0.25">
      <c r="A3749" s="247">
        <v>3747</v>
      </c>
    </row>
    <row r="3750" spans="1:1" x14ac:dyDescent="0.25">
      <c r="A3750" s="247">
        <v>3748</v>
      </c>
    </row>
    <row r="3751" spans="1:1" x14ac:dyDescent="0.25">
      <c r="A3751" s="247">
        <v>3749</v>
      </c>
    </row>
    <row r="3752" spans="1:1" x14ac:dyDescent="0.25">
      <c r="A3752" s="247">
        <v>3750</v>
      </c>
    </row>
    <row r="3753" spans="1:1" x14ac:dyDescent="0.25">
      <c r="A3753" s="247">
        <v>3751</v>
      </c>
    </row>
    <row r="3754" spans="1:1" x14ac:dyDescent="0.25">
      <c r="A3754" s="247">
        <v>3752</v>
      </c>
    </row>
    <row r="3755" spans="1:1" x14ac:dyDescent="0.25">
      <c r="A3755" s="247">
        <v>3753</v>
      </c>
    </row>
    <row r="3756" spans="1:1" x14ac:dyDescent="0.25">
      <c r="A3756" s="247">
        <v>3754</v>
      </c>
    </row>
    <row r="3757" spans="1:1" x14ac:dyDescent="0.25">
      <c r="A3757" s="247">
        <v>3755</v>
      </c>
    </row>
    <row r="3758" spans="1:1" x14ac:dyDescent="0.25">
      <c r="A3758" s="247">
        <v>3756</v>
      </c>
    </row>
    <row r="3759" spans="1:1" x14ac:dyDescent="0.25">
      <c r="A3759" s="247">
        <v>3757</v>
      </c>
    </row>
    <row r="3760" spans="1:1" x14ac:dyDescent="0.25">
      <c r="A3760" s="247">
        <v>3758</v>
      </c>
    </row>
    <row r="3761" spans="1:1" x14ac:dyDescent="0.25">
      <c r="A3761" s="247">
        <v>3759</v>
      </c>
    </row>
    <row r="3762" spans="1:1" x14ac:dyDescent="0.25">
      <c r="A3762" s="247">
        <v>3760</v>
      </c>
    </row>
    <row r="3763" spans="1:1" x14ac:dyDescent="0.25">
      <c r="A3763" s="247">
        <v>3761</v>
      </c>
    </row>
    <row r="3764" spans="1:1" x14ac:dyDescent="0.25">
      <c r="A3764" s="247">
        <v>3762</v>
      </c>
    </row>
    <row r="3765" spans="1:1" x14ac:dyDescent="0.25">
      <c r="A3765" s="247">
        <v>3763</v>
      </c>
    </row>
    <row r="3766" spans="1:1" x14ac:dyDescent="0.25">
      <c r="A3766" s="247">
        <v>3764</v>
      </c>
    </row>
    <row r="3767" spans="1:1" x14ac:dyDescent="0.25">
      <c r="A3767" s="247">
        <v>3765</v>
      </c>
    </row>
    <row r="3768" spans="1:1" x14ac:dyDescent="0.25">
      <c r="A3768" s="247">
        <v>3766</v>
      </c>
    </row>
    <row r="3769" spans="1:1" x14ac:dyDescent="0.25">
      <c r="A3769" s="247">
        <v>3767</v>
      </c>
    </row>
    <row r="3770" spans="1:1" x14ac:dyDescent="0.25">
      <c r="A3770" s="247">
        <v>3768</v>
      </c>
    </row>
    <row r="3771" spans="1:1" x14ac:dyDescent="0.25">
      <c r="A3771" s="247">
        <v>3769</v>
      </c>
    </row>
    <row r="3772" spans="1:1" x14ac:dyDescent="0.25">
      <c r="A3772" s="247">
        <v>3770</v>
      </c>
    </row>
    <row r="3773" spans="1:1" x14ac:dyDescent="0.25">
      <c r="A3773" s="247">
        <v>3771</v>
      </c>
    </row>
    <row r="3774" spans="1:1" x14ac:dyDescent="0.25">
      <c r="A3774" s="247">
        <v>3772</v>
      </c>
    </row>
    <row r="3775" spans="1:1" x14ac:dyDescent="0.25">
      <c r="A3775" s="247">
        <v>3773</v>
      </c>
    </row>
    <row r="3776" spans="1:1" x14ac:dyDescent="0.25">
      <c r="A3776" s="247">
        <v>3774</v>
      </c>
    </row>
    <row r="3777" spans="1:1" x14ac:dyDescent="0.25">
      <c r="A3777" s="247">
        <v>3775</v>
      </c>
    </row>
    <row r="3778" spans="1:1" x14ac:dyDescent="0.25">
      <c r="A3778" s="247">
        <v>3776</v>
      </c>
    </row>
    <row r="3779" spans="1:1" x14ac:dyDescent="0.25">
      <c r="A3779" s="247">
        <v>3777</v>
      </c>
    </row>
    <row r="3780" spans="1:1" x14ac:dyDescent="0.25">
      <c r="A3780" s="247">
        <v>3778</v>
      </c>
    </row>
    <row r="3781" spans="1:1" x14ac:dyDescent="0.25">
      <c r="A3781" s="247">
        <v>3779</v>
      </c>
    </row>
    <row r="3782" spans="1:1" x14ac:dyDescent="0.25">
      <c r="A3782" s="247">
        <v>3780</v>
      </c>
    </row>
    <row r="3783" spans="1:1" x14ac:dyDescent="0.25">
      <c r="A3783" s="247">
        <v>3781</v>
      </c>
    </row>
    <row r="3784" spans="1:1" x14ac:dyDescent="0.25">
      <c r="A3784" s="247">
        <v>3782</v>
      </c>
    </row>
    <row r="3785" spans="1:1" x14ac:dyDescent="0.25">
      <c r="A3785" s="247">
        <v>3783</v>
      </c>
    </row>
    <row r="3786" spans="1:1" x14ac:dyDescent="0.25">
      <c r="A3786" s="247">
        <v>3784</v>
      </c>
    </row>
    <row r="3787" spans="1:1" x14ac:dyDescent="0.25">
      <c r="A3787" s="247">
        <v>3785</v>
      </c>
    </row>
    <row r="3788" spans="1:1" x14ac:dyDescent="0.25">
      <c r="A3788" s="247">
        <v>3786</v>
      </c>
    </row>
    <row r="3789" spans="1:1" x14ac:dyDescent="0.25">
      <c r="A3789" s="247">
        <v>3787</v>
      </c>
    </row>
    <row r="3790" spans="1:1" x14ac:dyDescent="0.25">
      <c r="A3790" s="247">
        <v>3788</v>
      </c>
    </row>
    <row r="3791" spans="1:1" x14ac:dyDescent="0.25">
      <c r="A3791" s="247">
        <v>3789</v>
      </c>
    </row>
    <row r="3792" spans="1:1" x14ac:dyDescent="0.25">
      <c r="A3792" s="247">
        <v>3790</v>
      </c>
    </row>
    <row r="3793" spans="1:1" x14ac:dyDescent="0.25">
      <c r="A3793" s="247">
        <v>3791</v>
      </c>
    </row>
    <row r="3794" spans="1:1" x14ac:dyDescent="0.25">
      <c r="A3794" s="247">
        <v>3792</v>
      </c>
    </row>
    <row r="3795" spans="1:1" x14ac:dyDescent="0.25">
      <c r="A3795" s="247">
        <v>3793</v>
      </c>
    </row>
    <row r="3796" spans="1:1" x14ac:dyDescent="0.25">
      <c r="A3796" s="247">
        <v>3794</v>
      </c>
    </row>
    <row r="3797" spans="1:1" x14ac:dyDescent="0.25">
      <c r="A3797" s="247">
        <v>3795</v>
      </c>
    </row>
    <row r="3798" spans="1:1" x14ac:dyDescent="0.25">
      <c r="A3798" s="247">
        <v>3796</v>
      </c>
    </row>
    <row r="3799" spans="1:1" x14ac:dyDescent="0.25">
      <c r="A3799" s="247">
        <v>3797</v>
      </c>
    </row>
    <row r="3800" spans="1:1" x14ac:dyDescent="0.25">
      <c r="A3800" s="247">
        <v>3798</v>
      </c>
    </row>
    <row r="3801" spans="1:1" x14ac:dyDescent="0.25">
      <c r="A3801" s="247">
        <v>3799</v>
      </c>
    </row>
    <row r="3802" spans="1:1" x14ac:dyDescent="0.25">
      <c r="A3802" s="247">
        <v>3800</v>
      </c>
    </row>
    <row r="3803" spans="1:1" x14ac:dyDescent="0.25">
      <c r="A3803" s="247">
        <v>3801</v>
      </c>
    </row>
    <row r="3804" spans="1:1" x14ac:dyDescent="0.25">
      <c r="A3804" s="247">
        <v>3802</v>
      </c>
    </row>
    <row r="3805" spans="1:1" x14ac:dyDescent="0.25">
      <c r="A3805" s="247">
        <v>3803</v>
      </c>
    </row>
    <row r="3806" spans="1:1" x14ac:dyDescent="0.25">
      <c r="A3806" s="247">
        <v>3804</v>
      </c>
    </row>
    <row r="3807" spans="1:1" x14ac:dyDescent="0.25">
      <c r="A3807" s="247">
        <v>3805</v>
      </c>
    </row>
    <row r="3808" spans="1:1" x14ac:dyDescent="0.25">
      <c r="A3808" s="247">
        <v>3806</v>
      </c>
    </row>
    <row r="3809" spans="1:1" x14ac:dyDescent="0.25">
      <c r="A3809" s="247">
        <v>3807</v>
      </c>
    </row>
    <row r="3810" spans="1:1" x14ac:dyDescent="0.25">
      <c r="A3810" s="247">
        <v>3808</v>
      </c>
    </row>
    <row r="3811" spans="1:1" x14ac:dyDescent="0.25">
      <c r="A3811" s="247">
        <v>3809</v>
      </c>
    </row>
    <row r="3812" spans="1:1" x14ac:dyDescent="0.25">
      <c r="A3812" s="247">
        <v>3810</v>
      </c>
    </row>
    <row r="3813" spans="1:1" x14ac:dyDescent="0.25">
      <c r="A3813" s="247">
        <v>3811</v>
      </c>
    </row>
    <row r="3814" spans="1:1" x14ac:dyDescent="0.25">
      <c r="A3814" s="247">
        <v>3812</v>
      </c>
    </row>
    <row r="3815" spans="1:1" x14ac:dyDescent="0.25">
      <c r="A3815" s="247">
        <v>3813</v>
      </c>
    </row>
    <row r="3816" spans="1:1" x14ac:dyDescent="0.25">
      <c r="A3816" s="247">
        <v>3814</v>
      </c>
    </row>
    <row r="3817" spans="1:1" x14ac:dyDescent="0.25">
      <c r="A3817" s="247">
        <v>3815</v>
      </c>
    </row>
    <row r="3818" spans="1:1" x14ac:dyDescent="0.25">
      <c r="A3818" s="247">
        <v>3816</v>
      </c>
    </row>
    <row r="3819" spans="1:1" x14ac:dyDescent="0.25">
      <c r="A3819" s="247">
        <v>3817</v>
      </c>
    </row>
    <row r="3820" spans="1:1" x14ac:dyDescent="0.25">
      <c r="A3820" s="247">
        <v>3818</v>
      </c>
    </row>
    <row r="3821" spans="1:1" x14ac:dyDescent="0.25">
      <c r="A3821" s="247">
        <v>3819</v>
      </c>
    </row>
    <row r="3822" spans="1:1" x14ac:dyDescent="0.25">
      <c r="A3822" s="247">
        <v>3820</v>
      </c>
    </row>
    <row r="3823" spans="1:1" x14ac:dyDescent="0.25">
      <c r="A3823" s="247">
        <v>3821</v>
      </c>
    </row>
    <row r="3824" spans="1:1" x14ac:dyDescent="0.25">
      <c r="A3824" s="247">
        <v>3822</v>
      </c>
    </row>
    <row r="3825" spans="1:1" x14ac:dyDescent="0.25">
      <c r="A3825" s="247">
        <v>3823</v>
      </c>
    </row>
    <row r="3826" spans="1:1" x14ac:dyDescent="0.25">
      <c r="A3826" s="247">
        <v>3824</v>
      </c>
    </row>
    <row r="3827" spans="1:1" x14ac:dyDescent="0.25">
      <c r="A3827" s="247">
        <v>3825</v>
      </c>
    </row>
    <row r="3828" spans="1:1" x14ac:dyDescent="0.25">
      <c r="A3828" s="247">
        <v>3826</v>
      </c>
    </row>
    <row r="3829" spans="1:1" x14ac:dyDescent="0.25">
      <c r="A3829" s="247">
        <v>3827</v>
      </c>
    </row>
    <row r="3830" spans="1:1" x14ac:dyDescent="0.25">
      <c r="A3830" s="247">
        <v>3828</v>
      </c>
    </row>
    <row r="3831" spans="1:1" x14ac:dyDescent="0.25">
      <c r="A3831" s="247">
        <v>3829</v>
      </c>
    </row>
    <row r="3832" spans="1:1" x14ac:dyDescent="0.25">
      <c r="A3832" s="247">
        <v>3830</v>
      </c>
    </row>
    <row r="3833" spans="1:1" x14ac:dyDescent="0.25">
      <c r="A3833" s="247">
        <v>3831</v>
      </c>
    </row>
    <row r="3834" spans="1:1" x14ac:dyDescent="0.25">
      <c r="A3834" s="247">
        <v>3832</v>
      </c>
    </row>
    <row r="3835" spans="1:1" x14ac:dyDescent="0.25">
      <c r="A3835" s="247">
        <v>3833</v>
      </c>
    </row>
    <row r="3836" spans="1:1" x14ac:dyDescent="0.25">
      <c r="A3836" s="247">
        <v>3834</v>
      </c>
    </row>
    <row r="3837" spans="1:1" x14ac:dyDescent="0.25">
      <c r="A3837" s="247">
        <v>3835</v>
      </c>
    </row>
    <row r="3838" spans="1:1" x14ac:dyDescent="0.25">
      <c r="A3838" s="247">
        <v>3836</v>
      </c>
    </row>
    <row r="3839" spans="1:1" x14ac:dyDescent="0.25">
      <c r="A3839" s="247">
        <v>3837</v>
      </c>
    </row>
    <row r="3840" spans="1:1" x14ac:dyDescent="0.25">
      <c r="A3840" s="247">
        <v>3838</v>
      </c>
    </row>
    <row r="3841" spans="1:1" x14ac:dyDescent="0.25">
      <c r="A3841" s="247">
        <v>3839</v>
      </c>
    </row>
    <row r="3842" spans="1:1" x14ac:dyDescent="0.25">
      <c r="A3842" s="247">
        <v>3840</v>
      </c>
    </row>
    <row r="3843" spans="1:1" x14ac:dyDescent="0.25">
      <c r="A3843" s="247">
        <v>3841</v>
      </c>
    </row>
    <row r="3844" spans="1:1" x14ac:dyDescent="0.25">
      <c r="A3844" s="247">
        <v>3842</v>
      </c>
    </row>
    <row r="3845" spans="1:1" x14ac:dyDescent="0.25">
      <c r="A3845" s="247">
        <v>3843</v>
      </c>
    </row>
    <row r="3846" spans="1:1" x14ac:dyDescent="0.25">
      <c r="A3846" s="247">
        <v>3844</v>
      </c>
    </row>
    <row r="3847" spans="1:1" x14ac:dyDescent="0.25">
      <c r="A3847" s="247">
        <v>3845</v>
      </c>
    </row>
    <row r="3848" spans="1:1" x14ac:dyDescent="0.25">
      <c r="A3848" s="247">
        <v>3846</v>
      </c>
    </row>
    <row r="3849" spans="1:1" x14ac:dyDescent="0.25">
      <c r="A3849" s="247">
        <v>3847</v>
      </c>
    </row>
    <row r="3850" spans="1:1" x14ac:dyDescent="0.25">
      <c r="A3850" s="247">
        <v>3848</v>
      </c>
    </row>
    <row r="3851" spans="1:1" x14ac:dyDescent="0.25">
      <c r="A3851" s="247">
        <v>3849</v>
      </c>
    </row>
    <row r="3852" spans="1:1" x14ac:dyDescent="0.25">
      <c r="A3852" s="247">
        <v>3850</v>
      </c>
    </row>
    <row r="3853" spans="1:1" x14ac:dyDescent="0.25">
      <c r="A3853" s="247">
        <v>3851</v>
      </c>
    </row>
    <row r="3854" spans="1:1" x14ac:dyDescent="0.25">
      <c r="A3854" s="247">
        <v>3852</v>
      </c>
    </row>
    <row r="3855" spans="1:1" x14ac:dyDescent="0.25">
      <c r="A3855" s="247">
        <v>3853</v>
      </c>
    </row>
    <row r="3856" spans="1:1" x14ac:dyDescent="0.25">
      <c r="A3856" s="247">
        <v>3854</v>
      </c>
    </row>
    <row r="3857" spans="1:1" x14ac:dyDescent="0.25">
      <c r="A3857" s="247">
        <v>3855</v>
      </c>
    </row>
    <row r="3858" spans="1:1" x14ac:dyDescent="0.25">
      <c r="A3858" s="247">
        <v>3856</v>
      </c>
    </row>
    <row r="3859" spans="1:1" x14ac:dyDescent="0.25">
      <c r="A3859" s="247">
        <v>3857</v>
      </c>
    </row>
    <row r="3860" spans="1:1" x14ac:dyDescent="0.25">
      <c r="A3860" s="247">
        <v>3858</v>
      </c>
    </row>
    <row r="3861" spans="1:1" x14ac:dyDescent="0.25">
      <c r="A3861" s="247">
        <v>3859</v>
      </c>
    </row>
    <row r="3862" spans="1:1" x14ac:dyDescent="0.25">
      <c r="A3862" s="247">
        <v>3860</v>
      </c>
    </row>
    <row r="3863" spans="1:1" x14ac:dyDescent="0.25">
      <c r="A3863" s="247">
        <v>3861</v>
      </c>
    </row>
    <row r="3864" spans="1:1" x14ac:dyDescent="0.25">
      <c r="A3864" s="247">
        <v>3862</v>
      </c>
    </row>
    <row r="3865" spans="1:1" x14ac:dyDescent="0.25">
      <c r="A3865" s="247">
        <v>3863</v>
      </c>
    </row>
    <row r="3866" spans="1:1" x14ac:dyDescent="0.25">
      <c r="A3866" s="247">
        <v>3864</v>
      </c>
    </row>
    <row r="3867" spans="1:1" x14ac:dyDescent="0.25">
      <c r="A3867" s="247">
        <v>3865</v>
      </c>
    </row>
    <row r="3868" spans="1:1" x14ac:dyDescent="0.25">
      <c r="A3868" s="247">
        <v>3866</v>
      </c>
    </row>
    <row r="3869" spans="1:1" x14ac:dyDescent="0.25">
      <c r="A3869" s="247">
        <v>3867</v>
      </c>
    </row>
    <row r="3870" spans="1:1" x14ac:dyDescent="0.25">
      <c r="A3870" s="247">
        <v>3868</v>
      </c>
    </row>
    <row r="3871" spans="1:1" x14ac:dyDescent="0.25">
      <c r="A3871" s="247">
        <v>3869</v>
      </c>
    </row>
    <row r="3872" spans="1:1" x14ac:dyDescent="0.25">
      <c r="A3872" s="247">
        <v>3870</v>
      </c>
    </row>
    <row r="3873" spans="1:1" x14ac:dyDescent="0.25">
      <c r="A3873" s="247">
        <v>3871</v>
      </c>
    </row>
    <row r="3874" spans="1:1" x14ac:dyDescent="0.25">
      <c r="A3874" s="247">
        <v>3872</v>
      </c>
    </row>
    <row r="3875" spans="1:1" x14ac:dyDescent="0.25">
      <c r="A3875" s="247">
        <v>3873</v>
      </c>
    </row>
    <row r="3876" spans="1:1" x14ac:dyDescent="0.25">
      <c r="A3876" s="247">
        <v>3874</v>
      </c>
    </row>
    <row r="3877" spans="1:1" x14ac:dyDescent="0.25">
      <c r="A3877" s="247">
        <v>3875</v>
      </c>
    </row>
    <row r="3878" spans="1:1" x14ac:dyDescent="0.25">
      <c r="A3878" s="247">
        <v>3876</v>
      </c>
    </row>
    <row r="3879" spans="1:1" x14ac:dyDescent="0.25">
      <c r="A3879" s="247">
        <v>3877</v>
      </c>
    </row>
    <row r="3880" spans="1:1" x14ac:dyDescent="0.25">
      <c r="A3880" s="247">
        <v>3878</v>
      </c>
    </row>
    <row r="3881" spans="1:1" x14ac:dyDescent="0.25">
      <c r="A3881" s="247">
        <v>3879</v>
      </c>
    </row>
    <row r="3882" spans="1:1" x14ac:dyDescent="0.25">
      <c r="A3882" s="247">
        <v>3880</v>
      </c>
    </row>
    <row r="3883" spans="1:1" x14ac:dyDescent="0.25">
      <c r="A3883" s="247">
        <v>3881</v>
      </c>
    </row>
    <row r="3884" spans="1:1" x14ac:dyDescent="0.25">
      <c r="A3884" s="247">
        <v>3882</v>
      </c>
    </row>
    <row r="3885" spans="1:1" x14ac:dyDescent="0.25">
      <c r="A3885" s="247">
        <v>3883</v>
      </c>
    </row>
    <row r="3886" spans="1:1" x14ac:dyDescent="0.25">
      <c r="A3886" s="247">
        <v>3884</v>
      </c>
    </row>
    <row r="3887" spans="1:1" x14ac:dyDescent="0.25">
      <c r="A3887" s="247">
        <v>3885</v>
      </c>
    </row>
    <row r="3888" spans="1:1" x14ac:dyDescent="0.25">
      <c r="A3888" s="247">
        <v>3886</v>
      </c>
    </row>
    <row r="3889" spans="1:1" x14ac:dyDescent="0.25">
      <c r="A3889" s="247">
        <v>3887</v>
      </c>
    </row>
    <row r="3890" spans="1:1" x14ac:dyDescent="0.25">
      <c r="A3890" s="247">
        <v>3888</v>
      </c>
    </row>
    <row r="3891" spans="1:1" x14ac:dyDescent="0.25">
      <c r="A3891" s="247">
        <v>3889</v>
      </c>
    </row>
    <row r="3892" spans="1:1" x14ac:dyDescent="0.25">
      <c r="A3892" s="247">
        <v>3890</v>
      </c>
    </row>
    <row r="3893" spans="1:1" x14ac:dyDescent="0.25">
      <c r="A3893" s="247">
        <v>3891</v>
      </c>
    </row>
    <row r="3894" spans="1:1" x14ac:dyDescent="0.25">
      <c r="A3894" s="247">
        <v>3892</v>
      </c>
    </row>
    <row r="3895" spans="1:1" x14ac:dyDescent="0.25">
      <c r="A3895" s="247">
        <v>3893</v>
      </c>
    </row>
    <row r="3896" spans="1:1" x14ac:dyDescent="0.25">
      <c r="A3896" s="247">
        <v>3894</v>
      </c>
    </row>
    <row r="3897" spans="1:1" x14ac:dyDescent="0.25">
      <c r="A3897" s="247">
        <v>3895</v>
      </c>
    </row>
    <row r="3898" spans="1:1" x14ac:dyDescent="0.25">
      <c r="A3898" s="247">
        <v>3896</v>
      </c>
    </row>
    <row r="3899" spans="1:1" x14ac:dyDescent="0.25">
      <c r="A3899" s="247">
        <v>3897</v>
      </c>
    </row>
    <row r="3900" spans="1:1" x14ac:dyDescent="0.25">
      <c r="A3900" s="247">
        <v>3898</v>
      </c>
    </row>
    <row r="3901" spans="1:1" x14ac:dyDescent="0.25">
      <c r="A3901" s="247">
        <v>3899</v>
      </c>
    </row>
    <row r="3902" spans="1:1" x14ac:dyDescent="0.25">
      <c r="A3902" s="247">
        <v>3900</v>
      </c>
    </row>
    <row r="3903" spans="1:1" x14ac:dyDescent="0.25">
      <c r="A3903" s="247">
        <v>3901</v>
      </c>
    </row>
    <row r="3904" spans="1:1" x14ac:dyDescent="0.25">
      <c r="A3904" s="247">
        <v>3902</v>
      </c>
    </row>
    <row r="3905" spans="1:1" x14ac:dyDescent="0.25">
      <c r="A3905" s="247">
        <v>3903</v>
      </c>
    </row>
    <row r="3906" spans="1:1" x14ac:dyDescent="0.25">
      <c r="A3906" s="247">
        <v>3904</v>
      </c>
    </row>
    <row r="3907" spans="1:1" x14ac:dyDescent="0.25">
      <c r="A3907" s="247">
        <v>3905</v>
      </c>
    </row>
    <row r="3908" spans="1:1" x14ac:dyDescent="0.25">
      <c r="A3908" s="247">
        <v>3906</v>
      </c>
    </row>
    <row r="3909" spans="1:1" x14ac:dyDescent="0.25">
      <c r="A3909" s="247">
        <v>3907</v>
      </c>
    </row>
    <row r="3910" spans="1:1" x14ac:dyDescent="0.25">
      <c r="A3910" s="247">
        <v>3908</v>
      </c>
    </row>
    <row r="3911" spans="1:1" x14ac:dyDescent="0.25">
      <c r="A3911" s="247">
        <v>3909</v>
      </c>
    </row>
    <row r="3912" spans="1:1" x14ac:dyDescent="0.25">
      <c r="A3912" s="247">
        <v>3910</v>
      </c>
    </row>
    <row r="3913" spans="1:1" x14ac:dyDescent="0.25">
      <c r="A3913" s="247">
        <v>3911</v>
      </c>
    </row>
    <row r="3914" spans="1:1" x14ac:dyDescent="0.25">
      <c r="A3914" s="247">
        <v>3912</v>
      </c>
    </row>
    <row r="3915" spans="1:1" x14ac:dyDescent="0.25">
      <c r="A3915" s="247">
        <v>3913</v>
      </c>
    </row>
    <row r="3916" spans="1:1" x14ac:dyDescent="0.25">
      <c r="A3916" s="247">
        <v>3914</v>
      </c>
    </row>
    <row r="3917" spans="1:1" x14ac:dyDescent="0.25">
      <c r="A3917" s="247">
        <v>3915</v>
      </c>
    </row>
    <row r="3918" spans="1:1" x14ac:dyDescent="0.25">
      <c r="A3918" s="247">
        <v>3916</v>
      </c>
    </row>
    <row r="3919" spans="1:1" x14ac:dyDescent="0.25">
      <c r="A3919" s="247">
        <v>3917</v>
      </c>
    </row>
    <row r="3920" spans="1:1" x14ac:dyDescent="0.25">
      <c r="A3920" s="247">
        <v>3918</v>
      </c>
    </row>
    <row r="3921" spans="1:1" x14ac:dyDescent="0.25">
      <c r="A3921" s="247">
        <v>3919</v>
      </c>
    </row>
    <row r="3922" spans="1:1" x14ac:dyDescent="0.25">
      <c r="A3922" s="247">
        <v>3920</v>
      </c>
    </row>
    <row r="3923" spans="1:1" x14ac:dyDescent="0.25">
      <c r="A3923" s="247">
        <v>3921</v>
      </c>
    </row>
    <row r="3924" spans="1:1" x14ac:dyDescent="0.25">
      <c r="A3924" s="247">
        <v>3922</v>
      </c>
    </row>
    <row r="3925" spans="1:1" x14ac:dyDescent="0.25">
      <c r="A3925" s="247">
        <v>3923</v>
      </c>
    </row>
    <row r="3926" spans="1:1" x14ac:dyDescent="0.25">
      <c r="A3926" s="247">
        <v>3924</v>
      </c>
    </row>
    <row r="3927" spans="1:1" x14ac:dyDescent="0.25">
      <c r="A3927" s="247">
        <v>3925</v>
      </c>
    </row>
    <row r="3928" spans="1:1" x14ac:dyDescent="0.25">
      <c r="A3928" s="247">
        <v>3926</v>
      </c>
    </row>
    <row r="3929" spans="1:1" x14ac:dyDescent="0.25">
      <c r="A3929" s="247">
        <v>3927</v>
      </c>
    </row>
    <row r="3930" spans="1:1" x14ac:dyDescent="0.25">
      <c r="A3930" s="247">
        <v>3928</v>
      </c>
    </row>
    <row r="3931" spans="1:1" x14ac:dyDescent="0.25">
      <c r="A3931" s="247">
        <v>3929</v>
      </c>
    </row>
    <row r="3932" spans="1:1" x14ac:dyDescent="0.25">
      <c r="A3932" s="247">
        <v>3930</v>
      </c>
    </row>
    <row r="3933" spans="1:1" x14ac:dyDescent="0.25">
      <c r="A3933" s="247">
        <v>3931</v>
      </c>
    </row>
    <row r="3934" spans="1:1" x14ac:dyDescent="0.25">
      <c r="A3934" s="247">
        <v>3932</v>
      </c>
    </row>
    <row r="3935" spans="1:1" x14ac:dyDescent="0.25">
      <c r="A3935" s="247">
        <v>3933</v>
      </c>
    </row>
    <row r="3936" spans="1:1" x14ac:dyDescent="0.25">
      <c r="A3936" s="247">
        <v>3934</v>
      </c>
    </row>
    <row r="3937" spans="1:1" x14ac:dyDescent="0.25">
      <c r="A3937" s="247">
        <v>3935</v>
      </c>
    </row>
    <row r="3938" spans="1:1" x14ac:dyDescent="0.25">
      <c r="A3938" s="247">
        <v>3936</v>
      </c>
    </row>
    <row r="3939" spans="1:1" x14ac:dyDescent="0.25">
      <c r="A3939" s="247">
        <v>3937</v>
      </c>
    </row>
    <row r="3940" spans="1:1" x14ac:dyDescent="0.25">
      <c r="A3940" s="247">
        <v>3938</v>
      </c>
    </row>
    <row r="3941" spans="1:1" x14ac:dyDescent="0.25">
      <c r="A3941" s="247">
        <v>3939</v>
      </c>
    </row>
    <row r="3942" spans="1:1" x14ac:dyDescent="0.25">
      <c r="A3942" s="247">
        <v>3940</v>
      </c>
    </row>
    <row r="3943" spans="1:1" x14ac:dyDescent="0.25">
      <c r="A3943" s="247">
        <v>3941</v>
      </c>
    </row>
    <row r="3944" spans="1:1" x14ac:dyDescent="0.25">
      <c r="A3944" s="247">
        <v>3942</v>
      </c>
    </row>
    <row r="3945" spans="1:1" x14ac:dyDescent="0.25">
      <c r="A3945" s="247">
        <v>3943</v>
      </c>
    </row>
    <row r="3946" spans="1:1" x14ac:dyDescent="0.25">
      <c r="A3946" s="247">
        <v>3944</v>
      </c>
    </row>
    <row r="3947" spans="1:1" x14ac:dyDescent="0.25">
      <c r="A3947" s="247">
        <v>3945</v>
      </c>
    </row>
    <row r="3948" spans="1:1" x14ac:dyDescent="0.25">
      <c r="A3948" s="247">
        <v>3946</v>
      </c>
    </row>
    <row r="3949" spans="1:1" x14ac:dyDescent="0.25">
      <c r="A3949" s="247">
        <v>3947</v>
      </c>
    </row>
    <row r="3950" spans="1:1" x14ac:dyDescent="0.25">
      <c r="A3950" s="247">
        <v>3948</v>
      </c>
    </row>
    <row r="3951" spans="1:1" x14ac:dyDescent="0.25">
      <c r="A3951" s="247">
        <v>3949</v>
      </c>
    </row>
    <row r="3952" spans="1:1" x14ac:dyDescent="0.25">
      <c r="A3952" s="247">
        <v>3950</v>
      </c>
    </row>
    <row r="3953" spans="1:1" x14ac:dyDescent="0.25">
      <c r="A3953" s="247">
        <v>3951</v>
      </c>
    </row>
    <row r="3954" spans="1:1" x14ac:dyDescent="0.25">
      <c r="A3954" s="247">
        <v>3952</v>
      </c>
    </row>
    <row r="3955" spans="1:1" x14ac:dyDescent="0.25">
      <c r="A3955" s="247">
        <v>3953</v>
      </c>
    </row>
    <row r="3956" spans="1:1" x14ac:dyDescent="0.25">
      <c r="A3956" s="247">
        <v>3954</v>
      </c>
    </row>
    <row r="3957" spans="1:1" x14ac:dyDescent="0.25">
      <c r="A3957" s="247">
        <v>3955</v>
      </c>
    </row>
    <row r="3958" spans="1:1" x14ac:dyDescent="0.25">
      <c r="A3958" s="247">
        <v>3956</v>
      </c>
    </row>
    <row r="3959" spans="1:1" x14ac:dyDescent="0.25">
      <c r="A3959" s="247">
        <v>3957</v>
      </c>
    </row>
    <row r="3960" spans="1:1" x14ac:dyDescent="0.25">
      <c r="A3960" s="247">
        <v>3958</v>
      </c>
    </row>
    <row r="3961" spans="1:1" x14ac:dyDescent="0.25">
      <c r="A3961" s="247">
        <v>3959</v>
      </c>
    </row>
    <row r="3962" spans="1:1" x14ac:dyDescent="0.25">
      <c r="A3962" s="247">
        <v>3960</v>
      </c>
    </row>
    <row r="3963" spans="1:1" x14ac:dyDescent="0.25">
      <c r="A3963" s="247">
        <v>3961</v>
      </c>
    </row>
    <row r="3964" spans="1:1" x14ac:dyDescent="0.25">
      <c r="A3964" s="247">
        <v>3962</v>
      </c>
    </row>
    <row r="3965" spans="1:1" x14ac:dyDescent="0.25">
      <c r="A3965" s="247">
        <v>3963</v>
      </c>
    </row>
    <row r="3966" spans="1:1" x14ac:dyDescent="0.25">
      <c r="A3966" s="247">
        <v>3964</v>
      </c>
    </row>
    <row r="3967" spans="1:1" x14ac:dyDescent="0.25">
      <c r="A3967" s="247">
        <v>3965</v>
      </c>
    </row>
    <row r="3968" spans="1:1" x14ac:dyDescent="0.25">
      <c r="A3968" s="247">
        <v>3966</v>
      </c>
    </row>
    <row r="3969" spans="1:1" x14ac:dyDescent="0.25">
      <c r="A3969" s="247">
        <v>3967</v>
      </c>
    </row>
    <row r="3970" spans="1:1" x14ac:dyDescent="0.25">
      <c r="A3970" s="247">
        <v>3968</v>
      </c>
    </row>
    <row r="3971" spans="1:1" x14ac:dyDescent="0.25">
      <c r="A3971" s="247">
        <v>3969</v>
      </c>
    </row>
    <row r="3972" spans="1:1" x14ac:dyDescent="0.25">
      <c r="A3972" s="247">
        <v>3970</v>
      </c>
    </row>
    <row r="3973" spans="1:1" x14ac:dyDescent="0.25">
      <c r="A3973" s="247">
        <v>3971</v>
      </c>
    </row>
    <row r="3974" spans="1:1" x14ac:dyDescent="0.25">
      <c r="A3974" s="247">
        <v>3972</v>
      </c>
    </row>
    <row r="3975" spans="1:1" x14ac:dyDescent="0.25">
      <c r="A3975" s="247">
        <v>3973</v>
      </c>
    </row>
    <row r="3976" spans="1:1" x14ac:dyDescent="0.25">
      <c r="A3976" s="247">
        <v>3974</v>
      </c>
    </row>
    <row r="3977" spans="1:1" x14ac:dyDescent="0.25">
      <c r="A3977" s="247">
        <v>3975</v>
      </c>
    </row>
    <row r="3978" spans="1:1" x14ac:dyDescent="0.25">
      <c r="A3978" s="247">
        <v>3976</v>
      </c>
    </row>
    <row r="3979" spans="1:1" x14ac:dyDescent="0.25">
      <c r="A3979" s="247">
        <v>3977</v>
      </c>
    </row>
    <row r="3980" spans="1:1" x14ac:dyDescent="0.25">
      <c r="A3980" s="247">
        <v>3978</v>
      </c>
    </row>
    <row r="3981" spans="1:1" x14ac:dyDescent="0.25">
      <c r="A3981" s="247">
        <v>3979</v>
      </c>
    </row>
    <row r="3982" spans="1:1" x14ac:dyDescent="0.25">
      <c r="A3982" s="247">
        <v>3980</v>
      </c>
    </row>
    <row r="3983" spans="1:1" x14ac:dyDescent="0.25">
      <c r="A3983" s="247">
        <v>3981</v>
      </c>
    </row>
    <row r="3984" spans="1:1" x14ac:dyDescent="0.25">
      <c r="A3984" s="247">
        <v>3982</v>
      </c>
    </row>
    <row r="3985" spans="1:1" x14ac:dyDescent="0.25">
      <c r="A3985" s="247">
        <v>3983</v>
      </c>
    </row>
    <row r="3986" spans="1:1" x14ac:dyDescent="0.25">
      <c r="A3986" s="247">
        <v>3984</v>
      </c>
    </row>
    <row r="3987" spans="1:1" x14ac:dyDescent="0.25">
      <c r="A3987" s="247">
        <v>3985</v>
      </c>
    </row>
    <row r="3988" spans="1:1" x14ac:dyDescent="0.25">
      <c r="A3988" s="247">
        <v>3986</v>
      </c>
    </row>
    <row r="3989" spans="1:1" x14ac:dyDescent="0.25">
      <c r="A3989" s="247">
        <v>3987</v>
      </c>
    </row>
    <row r="3990" spans="1:1" x14ac:dyDescent="0.25">
      <c r="A3990" s="247">
        <v>3988</v>
      </c>
    </row>
    <row r="3991" spans="1:1" x14ac:dyDescent="0.25">
      <c r="A3991" s="247">
        <v>3989</v>
      </c>
    </row>
    <row r="3992" spans="1:1" x14ac:dyDescent="0.25">
      <c r="A3992" s="247">
        <v>3990</v>
      </c>
    </row>
    <row r="3993" spans="1:1" x14ac:dyDescent="0.25">
      <c r="A3993" s="247">
        <v>3991</v>
      </c>
    </row>
    <row r="3994" spans="1:1" x14ac:dyDescent="0.25">
      <c r="A3994" s="247">
        <v>3992</v>
      </c>
    </row>
    <row r="3995" spans="1:1" x14ac:dyDescent="0.25">
      <c r="A3995" s="247">
        <v>3993</v>
      </c>
    </row>
    <row r="3996" spans="1:1" x14ac:dyDescent="0.25">
      <c r="A3996" s="247">
        <v>3994</v>
      </c>
    </row>
    <row r="3997" spans="1:1" x14ac:dyDescent="0.25">
      <c r="A3997" s="247">
        <v>3995</v>
      </c>
    </row>
    <row r="3998" spans="1:1" x14ac:dyDescent="0.25">
      <c r="A3998" s="247">
        <v>3996</v>
      </c>
    </row>
    <row r="3999" spans="1:1" x14ac:dyDescent="0.25">
      <c r="A3999" s="247">
        <v>3997</v>
      </c>
    </row>
    <row r="4000" spans="1:1" x14ac:dyDescent="0.25">
      <c r="A4000" s="247">
        <v>3998</v>
      </c>
    </row>
    <row r="4001" spans="1:1" x14ac:dyDescent="0.25">
      <c r="A4001" s="247">
        <v>3999</v>
      </c>
    </row>
    <row r="4002" spans="1:1" x14ac:dyDescent="0.25">
      <c r="A4002" s="247">
        <v>4000</v>
      </c>
    </row>
    <row r="4003" spans="1:1" x14ac:dyDescent="0.25">
      <c r="A4003" s="247">
        <v>4001</v>
      </c>
    </row>
    <row r="4004" spans="1:1" x14ac:dyDescent="0.25">
      <c r="A4004" s="247">
        <v>4002</v>
      </c>
    </row>
    <row r="4005" spans="1:1" x14ac:dyDescent="0.25">
      <c r="A4005" s="247">
        <v>4003</v>
      </c>
    </row>
    <row r="4006" spans="1:1" x14ac:dyDescent="0.25">
      <c r="A4006" s="247">
        <v>4004</v>
      </c>
    </row>
    <row r="4007" spans="1:1" x14ac:dyDescent="0.25">
      <c r="A4007" s="247">
        <v>4005</v>
      </c>
    </row>
    <row r="4008" spans="1:1" x14ac:dyDescent="0.25">
      <c r="A4008" s="247">
        <v>4006</v>
      </c>
    </row>
    <row r="4009" spans="1:1" x14ac:dyDescent="0.25">
      <c r="A4009" s="247">
        <v>4007</v>
      </c>
    </row>
    <row r="4010" spans="1:1" x14ac:dyDescent="0.25">
      <c r="A4010" s="247">
        <v>4008</v>
      </c>
    </row>
    <row r="4011" spans="1:1" x14ac:dyDescent="0.25">
      <c r="A4011" s="247">
        <v>4009</v>
      </c>
    </row>
    <row r="4012" spans="1:1" x14ac:dyDescent="0.25">
      <c r="A4012" s="247">
        <v>4010</v>
      </c>
    </row>
    <row r="4013" spans="1:1" x14ac:dyDescent="0.25">
      <c r="A4013" s="247">
        <v>4011</v>
      </c>
    </row>
    <row r="4014" spans="1:1" x14ac:dyDescent="0.25">
      <c r="A4014" s="247">
        <v>4012</v>
      </c>
    </row>
    <row r="4015" spans="1:1" x14ac:dyDescent="0.25">
      <c r="A4015" s="247">
        <v>4013</v>
      </c>
    </row>
    <row r="4016" spans="1:1" x14ac:dyDescent="0.25">
      <c r="A4016" s="247">
        <v>4014</v>
      </c>
    </row>
    <row r="4017" spans="1:1" x14ac:dyDescent="0.25">
      <c r="A4017" s="247">
        <v>4015</v>
      </c>
    </row>
    <row r="4018" spans="1:1" x14ac:dyDescent="0.25">
      <c r="A4018" s="247">
        <v>4016</v>
      </c>
    </row>
    <row r="4019" spans="1:1" x14ac:dyDescent="0.25">
      <c r="A4019" s="247">
        <v>4017</v>
      </c>
    </row>
    <row r="4020" spans="1:1" x14ac:dyDescent="0.25">
      <c r="A4020" s="247">
        <v>4018</v>
      </c>
    </row>
    <row r="4021" spans="1:1" x14ac:dyDescent="0.25">
      <c r="A4021" s="247">
        <v>4019</v>
      </c>
    </row>
    <row r="4022" spans="1:1" x14ac:dyDescent="0.25">
      <c r="A4022" s="247">
        <v>4020</v>
      </c>
    </row>
    <row r="4023" spans="1:1" x14ac:dyDescent="0.25">
      <c r="A4023" s="247">
        <v>4021</v>
      </c>
    </row>
    <row r="4024" spans="1:1" x14ac:dyDescent="0.25">
      <c r="A4024" s="247">
        <v>4022</v>
      </c>
    </row>
    <row r="4025" spans="1:1" x14ac:dyDescent="0.25">
      <c r="A4025" s="247">
        <v>4023</v>
      </c>
    </row>
    <row r="4026" spans="1:1" x14ac:dyDescent="0.25">
      <c r="A4026" s="247">
        <v>4024</v>
      </c>
    </row>
    <row r="4027" spans="1:1" x14ac:dyDescent="0.25">
      <c r="A4027" s="247">
        <v>4025</v>
      </c>
    </row>
    <row r="4028" spans="1:1" x14ac:dyDescent="0.25">
      <c r="A4028" s="247">
        <v>4026</v>
      </c>
    </row>
    <row r="4029" spans="1:1" x14ac:dyDescent="0.25">
      <c r="A4029" s="247">
        <v>4027</v>
      </c>
    </row>
    <row r="4030" spans="1:1" x14ac:dyDescent="0.25">
      <c r="A4030" s="247">
        <v>4028</v>
      </c>
    </row>
    <row r="4031" spans="1:1" x14ac:dyDescent="0.25">
      <c r="A4031" s="247">
        <v>4029</v>
      </c>
    </row>
    <row r="4032" spans="1:1" x14ac:dyDescent="0.25">
      <c r="A4032" s="247">
        <v>4030</v>
      </c>
    </row>
    <row r="4033" spans="1:1" x14ac:dyDescent="0.25">
      <c r="A4033" s="247">
        <v>4031</v>
      </c>
    </row>
    <row r="4034" spans="1:1" x14ac:dyDescent="0.25">
      <c r="A4034" s="247">
        <v>4032</v>
      </c>
    </row>
    <row r="4035" spans="1:1" x14ac:dyDescent="0.25">
      <c r="A4035" s="247">
        <v>4033</v>
      </c>
    </row>
    <row r="4036" spans="1:1" x14ac:dyDescent="0.25">
      <c r="A4036" s="247">
        <v>4034</v>
      </c>
    </row>
    <row r="4037" spans="1:1" x14ac:dyDescent="0.25">
      <c r="A4037" s="247">
        <v>4035</v>
      </c>
    </row>
    <row r="4038" spans="1:1" x14ac:dyDescent="0.25">
      <c r="A4038" s="247">
        <v>4036</v>
      </c>
    </row>
    <row r="4039" spans="1:1" x14ac:dyDescent="0.25">
      <c r="A4039" s="247">
        <v>4037</v>
      </c>
    </row>
    <row r="4040" spans="1:1" x14ac:dyDescent="0.25">
      <c r="A4040" s="247">
        <v>4038</v>
      </c>
    </row>
    <row r="4041" spans="1:1" x14ac:dyDescent="0.25">
      <c r="A4041" s="247">
        <v>4039</v>
      </c>
    </row>
    <row r="4042" spans="1:1" x14ac:dyDescent="0.25">
      <c r="A4042" s="247">
        <v>4040</v>
      </c>
    </row>
    <row r="4043" spans="1:1" x14ac:dyDescent="0.25">
      <c r="A4043" s="247">
        <v>4041</v>
      </c>
    </row>
    <row r="4044" spans="1:1" x14ac:dyDescent="0.25">
      <c r="A4044" s="247">
        <v>4042</v>
      </c>
    </row>
    <row r="4045" spans="1:1" x14ac:dyDescent="0.25">
      <c r="A4045" s="247">
        <v>4043</v>
      </c>
    </row>
    <row r="4046" spans="1:1" x14ac:dyDescent="0.25">
      <c r="A4046" s="247">
        <v>4044</v>
      </c>
    </row>
    <row r="4047" spans="1:1" x14ac:dyDescent="0.25">
      <c r="A4047" s="247">
        <v>4045</v>
      </c>
    </row>
    <row r="4048" spans="1:1" x14ac:dyDescent="0.25">
      <c r="A4048" s="247">
        <v>4046</v>
      </c>
    </row>
    <row r="4049" spans="1:1" x14ac:dyDescent="0.25">
      <c r="A4049" s="247">
        <v>4047</v>
      </c>
    </row>
    <row r="4050" spans="1:1" x14ac:dyDescent="0.25">
      <c r="A4050" s="247">
        <v>4048</v>
      </c>
    </row>
    <row r="4051" spans="1:1" x14ac:dyDescent="0.25">
      <c r="A4051" s="247">
        <v>4049</v>
      </c>
    </row>
    <row r="4052" spans="1:1" x14ac:dyDescent="0.25">
      <c r="A4052" s="247">
        <v>4050</v>
      </c>
    </row>
    <row r="4053" spans="1:1" x14ac:dyDescent="0.25">
      <c r="A4053" s="247">
        <v>4051</v>
      </c>
    </row>
    <row r="4054" spans="1:1" x14ac:dyDescent="0.25">
      <c r="A4054" s="247">
        <v>4052</v>
      </c>
    </row>
    <row r="4055" spans="1:1" x14ac:dyDescent="0.25">
      <c r="A4055" s="247">
        <v>4053</v>
      </c>
    </row>
    <row r="4056" spans="1:1" x14ac:dyDescent="0.25">
      <c r="A4056" s="247">
        <v>4054</v>
      </c>
    </row>
    <row r="4057" spans="1:1" x14ac:dyDescent="0.25">
      <c r="A4057" s="247">
        <v>4055</v>
      </c>
    </row>
    <row r="4058" spans="1:1" x14ac:dyDescent="0.25">
      <c r="A4058" s="247">
        <v>4056</v>
      </c>
    </row>
    <row r="4059" spans="1:1" x14ac:dyDescent="0.25">
      <c r="A4059" s="247">
        <v>4057</v>
      </c>
    </row>
    <row r="4060" spans="1:1" x14ac:dyDescent="0.25">
      <c r="A4060" s="247">
        <v>4058</v>
      </c>
    </row>
    <row r="4061" spans="1:1" x14ac:dyDescent="0.25">
      <c r="A4061" s="247">
        <v>4059</v>
      </c>
    </row>
    <row r="4062" spans="1:1" x14ac:dyDescent="0.25">
      <c r="A4062" s="247">
        <v>4060</v>
      </c>
    </row>
    <row r="4063" spans="1:1" x14ac:dyDescent="0.25">
      <c r="A4063" s="247">
        <v>4061</v>
      </c>
    </row>
    <row r="4064" spans="1:1" x14ac:dyDescent="0.25">
      <c r="A4064" s="247">
        <v>4062</v>
      </c>
    </row>
    <row r="4065" spans="1:1" x14ac:dyDescent="0.25">
      <c r="A4065" s="247">
        <v>4063</v>
      </c>
    </row>
    <row r="4066" spans="1:1" x14ac:dyDescent="0.25">
      <c r="A4066" s="247">
        <v>4064</v>
      </c>
    </row>
    <row r="4067" spans="1:1" x14ac:dyDescent="0.25">
      <c r="A4067" s="247">
        <v>4065</v>
      </c>
    </row>
    <row r="4068" spans="1:1" x14ac:dyDescent="0.25">
      <c r="A4068" s="247">
        <v>4066</v>
      </c>
    </row>
    <row r="4069" spans="1:1" x14ac:dyDescent="0.25">
      <c r="A4069" s="247">
        <v>4067</v>
      </c>
    </row>
    <row r="4070" spans="1:1" x14ac:dyDescent="0.25">
      <c r="A4070" s="247">
        <v>4068</v>
      </c>
    </row>
    <row r="4071" spans="1:1" x14ac:dyDescent="0.25">
      <c r="A4071" s="247">
        <v>4069</v>
      </c>
    </row>
    <row r="4072" spans="1:1" x14ac:dyDescent="0.25">
      <c r="A4072" s="247">
        <v>4070</v>
      </c>
    </row>
    <row r="4073" spans="1:1" x14ac:dyDescent="0.25">
      <c r="A4073" s="247">
        <v>4071</v>
      </c>
    </row>
    <row r="4074" spans="1:1" x14ac:dyDescent="0.25">
      <c r="A4074" s="247">
        <v>4072</v>
      </c>
    </row>
    <row r="4075" spans="1:1" x14ac:dyDescent="0.25">
      <c r="A4075" s="247">
        <v>4073</v>
      </c>
    </row>
    <row r="4076" spans="1:1" x14ac:dyDescent="0.25">
      <c r="A4076" s="247">
        <v>4074</v>
      </c>
    </row>
    <row r="4077" spans="1:1" x14ac:dyDescent="0.25">
      <c r="A4077" s="247">
        <v>4075</v>
      </c>
    </row>
    <row r="4078" spans="1:1" x14ac:dyDescent="0.25">
      <c r="A4078" s="247">
        <v>4076</v>
      </c>
    </row>
    <row r="4079" spans="1:1" x14ac:dyDescent="0.25">
      <c r="A4079" s="247">
        <v>4077</v>
      </c>
    </row>
    <row r="4080" spans="1:1" x14ac:dyDescent="0.25">
      <c r="A4080" s="247">
        <v>4078</v>
      </c>
    </row>
    <row r="4081" spans="1:1" x14ac:dyDescent="0.25">
      <c r="A4081" s="247">
        <v>4079</v>
      </c>
    </row>
    <row r="4082" spans="1:1" x14ac:dyDescent="0.25">
      <c r="A4082" s="247">
        <v>4080</v>
      </c>
    </row>
    <row r="4083" spans="1:1" x14ac:dyDescent="0.25">
      <c r="A4083" s="247">
        <v>4081</v>
      </c>
    </row>
    <row r="4084" spans="1:1" x14ac:dyDescent="0.25">
      <c r="A4084" s="247">
        <v>4082</v>
      </c>
    </row>
    <row r="4085" spans="1:1" x14ac:dyDescent="0.25">
      <c r="A4085" s="247">
        <v>4083</v>
      </c>
    </row>
    <row r="4086" spans="1:1" x14ac:dyDescent="0.25">
      <c r="A4086" s="247">
        <v>4084</v>
      </c>
    </row>
    <row r="4087" spans="1:1" x14ac:dyDescent="0.25">
      <c r="A4087" s="247">
        <v>4085</v>
      </c>
    </row>
    <row r="4088" spans="1:1" x14ac:dyDescent="0.25">
      <c r="A4088" s="247">
        <v>4086</v>
      </c>
    </row>
    <row r="4089" spans="1:1" x14ac:dyDescent="0.25">
      <c r="A4089" s="247">
        <v>4087</v>
      </c>
    </row>
    <row r="4090" spans="1:1" x14ac:dyDescent="0.25">
      <c r="A4090" s="247">
        <v>4088</v>
      </c>
    </row>
    <row r="4091" spans="1:1" x14ac:dyDescent="0.25">
      <c r="A4091" s="247">
        <v>4089</v>
      </c>
    </row>
    <row r="4092" spans="1:1" x14ac:dyDescent="0.25">
      <c r="A4092" s="247">
        <v>4090</v>
      </c>
    </row>
    <row r="4093" spans="1:1" x14ac:dyDescent="0.25">
      <c r="A4093" s="247">
        <v>4091</v>
      </c>
    </row>
    <row r="4094" spans="1:1" x14ac:dyDescent="0.25">
      <c r="A4094" s="247">
        <v>4092</v>
      </c>
    </row>
    <row r="4095" spans="1:1" x14ac:dyDescent="0.25">
      <c r="A4095" s="247">
        <v>4093</v>
      </c>
    </row>
    <row r="4096" spans="1:1" x14ac:dyDescent="0.25">
      <c r="A4096" s="247">
        <v>4094</v>
      </c>
    </row>
    <row r="4097" spans="1:1" x14ac:dyDescent="0.25">
      <c r="A4097" s="247">
        <v>4095</v>
      </c>
    </row>
    <row r="4098" spans="1:1" x14ac:dyDescent="0.25">
      <c r="A4098" s="247">
        <v>4096</v>
      </c>
    </row>
    <row r="4099" spans="1:1" x14ac:dyDescent="0.25">
      <c r="A4099" s="247">
        <v>4097</v>
      </c>
    </row>
    <row r="4100" spans="1:1" x14ac:dyDescent="0.25">
      <c r="A4100" s="247">
        <v>4098</v>
      </c>
    </row>
    <row r="4101" spans="1:1" x14ac:dyDescent="0.25">
      <c r="A4101" s="247">
        <v>4099</v>
      </c>
    </row>
    <row r="4102" spans="1:1" x14ac:dyDescent="0.25">
      <c r="A4102" s="247">
        <v>4100</v>
      </c>
    </row>
    <row r="4103" spans="1:1" x14ac:dyDescent="0.25">
      <c r="A4103" s="247">
        <v>4101</v>
      </c>
    </row>
    <row r="4104" spans="1:1" x14ac:dyDescent="0.25">
      <c r="A4104" s="247">
        <v>4102</v>
      </c>
    </row>
    <row r="4105" spans="1:1" x14ac:dyDescent="0.25">
      <c r="A4105" s="247">
        <v>4103</v>
      </c>
    </row>
    <row r="4106" spans="1:1" x14ac:dyDescent="0.25">
      <c r="A4106" s="247">
        <v>4104</v>
      </c>
    </row>
    <row r="4107" spans="1:1" x14ac:dyDescent="0.25">
      <c r="A4107" s="247">
        <v>4105</v>
      </c>
    </row>
    <row r="4108" spans="1:1" x14ac:dyDescent="0.25">
      <c r="A4108" s="247">
        <v>4106</v>
      </c>
    </row>
    <row r="4109" spans="1:1" x14ac:dyDescent="0.25">
      <c r="A4109" s="247">
        <v>4107</v>
      </c>
    </row>
    <row r="4110" spans="1:1" x14ac:dyDescent="0.25">
      <c r="A4110" s="247">
        <v>4108</v>
      </c>
    </row>
    <row r="4111" spans="1:1" x14ac:dyDescent="0.25">
      <c r="A4111" s="247">
        <v>4109</v>
      </c>
    </row>
    <row r="4112" spans="1:1" x14ac:dyDescent="0.25">
      <c r="A4112" s="247">
        <v>4110</v>
      </c>
    </row>
    <row r="4113" spans="1:1" x14ac:dyDescent="0.25">
      <c r="A4113" s="247">
        <v>4111</v>
      </c>
    </row>
    <row r="4114" spans="1:1" x14ac:dyDescent="0.25">
      <c r="A4114" s="247">
        <v>4112</v>
      </c>
    </row>
    <row r="4115" spans="1:1" x14ac:dyDescent="0.25">
      <c r="A4115" s="247">
        <v>4113</v>
      </c>
    </row>
    <row r="4116" spans="1:1" x14ac:dyDescent="0.25">
      <c r="A4116" s="247">
        <v>4114</v>
      </c>
    </row>
    <row r="4117" spans="1:1" x14ac:dyDescent="0.25">
      <c r="A4117" s="247">
        <v>4115</v>
      </c>
    </row>
    <row r="4118" spans="1:1" x14ac:dyDescent="0.25">
      <c r="A4118" s="247">
        <v>4116</v>
      </c>
    </row>
    <row r="4119" spans="1:1" x14ac:dyDescent="0.25">
      <c r="A4119" s="247">
        <v>4117</v>
      </c>
    </row>
    <row r="4120" spans="1:1" x14ac:dyDescent="0.25">
      <c r="A4120" s="247">
        <v>4118</v>
      </c>
    </row>
    <row r="4121" spans="1:1" x14ac:dyDescent="0.25">
      <c r="A4121" s="247">
        <v>4119</v>
      </c>
    </row>
    <row r="4122" spans="1:1" x14ac:dyDescent="0.25">
      <c r="A4122" s="247">
        <v>4120</v>
      </c>
    </row>
    <row r="4123" spans="1:1" x14ac:dyDescent="0.25">
      <c r="A4123" s="247">
        <v>4121</v>
      </c>
    </row>
    <row r="4124" spans="1:1" x14ac:dyDescent="0.25">
      <c r="A4124" s="247">
        <v>4122</v>
      </c>
    </row>
    <row r="4125" spans="1:1" x14ac:dyDescent="0.25">
      <c r="A4125" s="247">
        <v>4123</v>
      </c>
    </row>
    <row r="4126" spans="1:1" x14ac:dyDescent="0.25">
      <c r="A4126" s="247">
        <v>4124</v>
      </c>
    </row>
    <row r="4127" spans="1:1" x14ac:dyDescent="0.25">
      <c r="A4127" s="247">
        <v>4125</v>
      </c>
    </row>
    <row r="4128" spans="1:1" x14ac:dyDescent="0.25">
      <c r="A4128" s="247">
        <v>4126</v>
      </c>
    </row>
    <row r="4129" spans="1:1" x14ac:dyDescent="0.25">
      <c r="A4129" s="247">
        <v>4127</v>
      </c>
    </row>
    <row r="4130" spans="1:1" x14ac:dyDescent="0.25">
      <c r="A4130" s="247">
        <v>4128</v>
      </c>
    </row>
    <row r="4131" spans="1:1" x14ac:dyDescent="0.25">
      <c r="A4131" s="247">
        <v>4129</v>
      </c>
    </row>
    <row r="4132" spans="1:1" x14ac:dyDescent="0.25">
      <c r="A4132" s="247">
        <v>4130</v>
      </c>
    </row>
    <row r="4133" spans="1:1" x14ac:dyDescent="0.25">
      <c r="A4133" s="247">
        <v>4131</v>
      </c>
    </row>
    <row r="4134" spans="1:1" x14ac:dyDescent="0.25">
      <c r="A4134" s="247">
        <v>4132</v>
      </c>
    </row>
    <row r="4135" spans="1:1" x14ac:dyDescent="0.25">
      <c r="A4135" s="247">
        <v>4133</v>
      </c>
    </row>
    <row r="4136" spans="1:1" x14ac:dyDescent="0.25">
      <c r="A4136" s="247">
        <v>4134</v>
      </c>
    </row>
    <row r="4137" spans="1:1" x14ac:dyDescent="0.25">
      <c r="A4137" s="247">
        <v>4135</v>
      </c>
    </row>
    <row r="4138" spans="1:1" x14ac:dyDescent="0.25">
      <c r="A4138" s="247">
        <v>4136</v>
      </c>
    </row>
    <row r="4139" spans="1:1" x14ac:dyDescent="0.25">
      <c r="A4139" s="247">
        <v>4137</v>
      </c>
    </row>
    <row r="4140" spans="1:1" x14ac:dyDescent="0.25">
      <c r="A4140" s="247">
        <v>4138</v>
      </c>
    </row>
    <row r="4141" spans="1:1" x14ac:dyDescent="0.25">
      <c r="A4141" s="247">
        <v>4139</v>
      </c>
    </row>
    <row r="4142" spans="1:1" x14ac:dyDescent="0.25">
      <c r="A4142" s="247">
        <v>4140</v>
      </c>
    </row>
    <row r="4143" spans="1:1" x14ac:dyDescent="0.25">
      <c r="A4143" s="247">
        <v>4141</v>
      </c>
    </row>
    <row r="4144" spans="1:1" x14ac:dyDescent="0.25">
      <c r="A4144" s="247">
        <v>4142</v>
      </c>
    </row>
    <row r="4145" spans="1:1" x14ac:dyDescent="0.25">
      <c r="A4145" s="247">
        <v>4143</v>
      </c>
    </row>
    <row r="4146" spans="1:1" x14ac:dyDescent="0.25">
      <c r="A4146" s="247">
        <v>4144</v>
      </c>
    </row>
    <row r="4147" spans="1:1" x14ac:dyDescent="0.25">
      <c r="A4147" s="247">
        <v>4145</v>
      </c>
    </row>
    <row r="4148" spans="1:1" x14ac:dyDescent="0.25">
      <c r="A4148" s="247">
        <v>4146</v>
      </c>
    </row>
    <row r="4149" spans="1:1" x14ac:dyDescent="0.25">
      <c r="A4149" s="247">
        <v>4147</v>
      </c>
    </row>
    <row r="4150" spans="1:1" x14ac:dyDescent="0.25">
      <c r="A4150" s="247">
        <v>4148</v>
      </c>
    </row>
    <row r="4151" spans="1:1" x14ac:dyDescent="0.25">
      <c r="A4151" s="247">
        <v>4149</v>
      </c>
    </row>
    <row r="4152" spans="1:1" x14ac:dyDescent="0.25">
      <c r="A4152" s="247">
        <v>4150</v>
      </c>
    </row>
    <row r="4153" spans="1:1" x14ac:dyDescent="0.25">
      <c r="A4153" s="247">
        <v>4151</v>
      </c>
    </row>
    <row r="4154" spans="1:1" x14ac:dyDescent="0.25">
      <c r="A4154" s="247">
        <v>4152</v>
      </c>
    </row>
    <row r="4155" spans="1:1" x14ac:dyDescent="0.25">
      <c r="A4155" s="247">
        <v>4153</v>
      </c>
    </row>
    <row r="4156" spans="1:1" x14ac:dyDescent="0.25">
      <c r="A4156" s="247">
        <v>4154</v>
      </c>
    </row>
    <row r="4157" spans="1:1" x14ac:dyDescent="0.25">
      <c r="A4157" s="247">
        <v>4155</v>
      </c>
    </row>
    <row r="4158" spans="1:1" x14ac:dyDescent="0.25">
      <c r="A4158" s="247">
        <v>4156</v>
      </c>
    </row>
    <row r="4159" spans="1:1" x14ac:dyDescent="0.25">
      <c r="A4159" s="247">
        <v>4157</v>
      </c>
    </row>
    <row r="4160" spans="1:1" x14ac:dyDescent="0.25">
      <c r="A4160" s="247">
        <v>4158</v>
      </c>
    </row>
    <row r="4161" spans="1:1" x14ac:dyDescent="0.25">
      <c r="A4161" s="247">
        <v>4159</v>
      </c>
    </row>
    <row r="4162" spans="1:1" x14ac:dyDescent="0.25">
      <c r="A4162" s="247">
        <v>4160</v>
      </c>
    </row>
    <row r="4163" spans="1:1" x14ac:dyDescent="0.25">
      <c r="A4163" s="247">
        <v>4161</v>
      </c>
    </row>
    <row r="4164" spans="1:1" x14ac:dyDescent="0.25">
      <c r="A4164" s="247">
        <v>4162</v>
      </c>
    </row>
    <row r="4165" spans="1:1" x14ac:dyDescent="0.25">
      <c r="A4165" s="247">
        <v>4163</v>
      </c>
    </row>
    <row r="4166" spans="1:1" x14ac:dyDescent="0.25">
      <c r="A4166" s="247">
        <v>4164</v>
      </c>
    </row>
    <row r="4167" spans="1:1" x14ac:dyDescent="0.25">
      <c r="A4167" s="247">
        <v>4165</v>
      </c>
    </row>
    <row r="4168" spans="1:1" x14ac:dyDescent="0.25">
      <c r="A4168" s="247">
        <v>4166</v>
      </c>
    </row>
    <row r="4169" spans="1:1" x14ac:dyDescent="0.25">
      <c r="A4169" s="247">
        <v>4167</v>
      </c>
    </row>
    <row r="4170" spans="1:1" x14ac:dyDescent="0.25">
      <c r="A4170" s="247">
        <v>4168</v>
      </c>
    </row>
    <row r="4171" spans="1:1" x14ac:dyDescent="0.25">
      <c r="A4171" s="247">
        <v>4169</v>
      </c>
    </row>
    <row r="4172" spans="1:1" x14ac:dyDescent="0.25">
      <c r="A4172" s="247">
        <v>4170</v>
      </c>
    </row>
    <row r="4173" spans="1:1" x14ac:dyDescent="0.25">
      <c r="A4173" s="247">
        <v>4171</v>
      </c>
    </row>
    <row r="4174" spans="1:1" x14ac:dyDescent="0.25">
      <c r="A4174" s="247">
        <v>4172</v>
      </c>
    </row>
    <row r="4175" spans="1:1" x14ac:dyDescent="0.25">
      <c r="A4175" s="247">
        <v>4173</v>
      </c>
    </row>
    <row r="4176" spans="1:1" x14ac:dyDescent="0.25">
      <c r="A4176" s="247">
        <v>4174</v>
      </c>
    </row>
    <row r="4177" spans="1:1" x14ac:dyDescent="0.25">
      <c r="A4177" s="247">
        <v>4175</v>
      </c>
    </row>
    <row r="4178" spans="1:1" x14ac:dyDescent="0.25">
      <c r="A4178" s="247">
        <v>4176</v>
      </c>
    </row>
    <row r="4179" spans="1:1" x14ac:dyDescent="0.25">
      <c r="A4179" s="247">
        <v>4177</v>
      </c>
    </row>
    <row r="4180" spans="1:1" x14ac:dyDescent="0.25">
      <c r="A4180" s="247">
        <v>4178</v>
      </c>
    </row>
    <row r="4181" spans="1:1" x14ac:dyDescent="0.25">
      <c r="A4181" s="247">
        <v>4179</v>
      </c>
    </row>
    <row r="4182" spans="1:1" x14ac:dyDescent="0.25">
      <c r="A4182" s="247">
        <v>4180</v>
      </c>
    </row>
    <row r="4183" spans="1:1" x14ac:dyDescent="0.25">
      <c r="A4183" s="247">
        <v>4181</v>
      </c>
    </row>
    <row r="4184" spans="1:1" x14ac:dyDescent="0.25">
      <c r="A4184" s="247">
        <v>4182</v>
      </c>
    </row>
    <row r="4185" spans="1:1" x14ac:dyDescent="0.25">
      <c r="A4185" s="247">
        <v>4183</v>
      </c>
    </row>
    <row r="4186" spans="1:1" x14ac:dyDescent="0.25">
      <c r="A4186" s="247">
        <v>4184</v>
      </c>
    </row>
    <row r="4187" spans="1:1" x14ac:dyDescent="0.25">
      <c r="A4187" s="247">
        <v>4185</v>
      </c>
    </row>
    <row r="4188" spans="1:1" x14ac:dyDescent="0.25">
      <c r="A4188" s="247">
        <v>4186</v>
      </c>
    </row>
    <row r="4189" spans="1:1" x14ac:dyDescent="0.25">
      <c r="A4189" s="247">
        <v>4187</v>
      </c>
    </row>
    <row r="4190" spans="1:1" x14ac:dyDescent="0.25">
      <c r="A4190" s="247">
        <v>4188</v>
      </c>
    </row>
    <row r="4191" spans="1:1" x14ac:dyDescent="0.25">
      <c r="A4191" s="247">
        <v>4189</v>
      </c>
    </row>
    <row r="4192" spans="1:1" x14ac:dyDescent="0.25">
      <c r="A4192" s="247">
        <v>4190</v>
      </c>
    </row>
    <row r="4193" spans="1:1" x14ac:dyDescent="0.25">
      <c r="A4193" s="247">
        <v>4191</v>
      </c>
    </row>
    <row r="4194" spans="1:1" x14ac:dyDescent="0.25">
      <c r="A4194" s="247">
        <v>4192</v>
      </c>
    </row>
    <row r="4195" spans="1:1" x14ac:dyDescent="0.25">
      <c r="A4195" s="247">
        <v>4193</v>
      </c>
    </row>
    <row r="4196" spans="1:1" x14ac:dyDescent="0.25">
      <c r="A4196" s="247">
        <v>4194</v>
      </c>
    </row>
    <row r="4197" spans="1:1" x14ac:dyDescent="0.25">
      <c r="A4197" s="247">
        <v>4195</v>
      </c>
    </row>
    <row r="4198" spans="1:1" x14ac:dyDescent="0.25">
      <c r="A4198" s="247">
        <v>4196</v>
      </c>
    </row>
    <row r="4199" spans="1:1" x14ac:dyDescent="0.25">
      <c r="A4199" s="247">
        <v>4197</v>
      </c>
    </row>
    <row r="4200" spans="1:1" x14ac:dyDescent="0.25">
      <c r="A4200" s="247">
        <v>4198</v>
      </c>
    </row>
    <row r="4201" spans="1:1" x14ac:dyDescent="0.25">
      <c r="A4201" s="247">
        <v>4199</v>
      </c>
    </row>
    <row r="4202" spans="1:1" x14ac:dyDescent="0.25">
      <c r="A4202" s="247">
        <v>4200</v>
      </c>
    </row>
    <row r="4203" spans="1:1" x14ac:dyDescent="0.25">
      <c r="A4203" s="247">
        <v>4201</v>
      </c>
    </row>
    <row r="4204" spans="1:1" x14ac:dyDescent="0.25">
      <c r="A4204" s="247">
        <v>4202</v>
      </c>
    </row>
    <row r="4205" spans="1:1" x14ac:dyDescent="0.25">
      <c r="A4205" s="247">
        <v>4203</v>
      </c>
    </row>
    <row r="4206" spans="1:1" x14ac:dyDescent="0.25">
      <c r="A4206" s="247">
        <v>4204</v>
      </c>
    </row>
    <row r="4207" spans="1:1" x14ac:dyDescent="0.25">
      <c r="A4207" s="247">
        <v>4205</v>
      </c>
    </row>
    <row r="4208" spans="1:1" x14ac:dyDescent="0.25">
      <c r="A4208" s="247">
        <v>4206</v>
      </c>
    </row>
    <row r="4209" spans="1:1" x14ac:dyDescent="0.25">
      <c r="A4209" s="247">
        <v>4207</v>
      </c>
    </row>
    <row r="4210" spans="1:1" x14ac:dyDescent="0.25">
      <c r="A4210" s="247">
        <v>4208</v>
      </c>
    </row>
    <row r="4211" spans="1:1" x14ac:dyDescent="0.25">
      <c r="A4211" s="247">
        <v>4209</v>
      </c>
    </row>
    <row r="4212" spans="1:1" x14ac:dyDescent="0.25">
      <c r="A4212" s="247">
        <v>4210</v>
      </c>
    </row>
    <row r="4213" spans="1:1" x14ac:dyDescent="0.25">
      <c r="A4213" s="247">
        <v>4211</v>
      </c>
    </row>
    <row r="4214" spans="1:1" x14ac:dyDescent="0.25">
      <c r="A4214" s="247">
        <v>4212</v>
      </c>
    </row>
    <row r="4215" spans="1:1" x14ac:dyDescent="0.25">
      <c r="A4215" s="247">
        <v>4213</v>
      </c>
    </row>
    <row r="4216" spans="1:1" x14ac:dyDescent="0.25">
      <c r="A4216" s="247">
        <v>4214</v>
      </c>
    </row>
    <row r="4217" spans="1:1" x14ac:dyDescent="0.25">
      <c r="A4217" s="247">
        <v>4215</v>
      </c>
    </row>
    <row r="4218" spans="1:1" x14ac:dyDescent="0.25">
      <c r="A4218" s="247">
        <v>4216</v>
      </c>
    </row>
    <row r="4219" spans="1:1" x14ac:dyDescent="0.25">
      <c r="A4219" s="247">
        <v>4217</v>
      </c>
    </row>
    <row r="4220" spans="1:1" x14ac:dyDescent="0.25">
      <c r="A4220" s="247">
        <v>4218</v>
      </c>
    </row>
    <row r="4221" spans="1:1" x14ac:dyDescent="0.25">
      <c r="A4221" s="247">
        <v>4219</v>
      </c>
    </row>
    <row r="4222" spans="1:1" x14ac:dyDescent="0.25">
      <c r="A4222" s="247">
        <v>4220</v>
      </c>
    </row>
    <row r="4223" spans="1:1" x14ac:dyDescent="0.25">
      <c r="A4223" s="247">
        <v>4221</v>
      </c>
    </row>
    <row r="4224" spans="1:1" x14ac:dyDescent="0.25">
      <c r="A4224" s="247">
        <v>4222</v>
      </c>
    </row>
    <row r="4225" spans="1:1" x14ac:dyDescent="0.25">
      <c r="A4225" s="247">
        <v>4223</v>
      </c>
    </row>
    <row r="4226" spans="1:1" x14ac:dyDescent="0.25">
      <c r="A4226" s="247">
        <v>4224</v>
      </c>
    </row>
    <row r="4227" spans="1:1" x14ac:dyDescent="0.25">
      <c r="A4227" s="247">
        <v>4225</v>
      </c>
    </row>
    <row r="4228" spans="1:1" x14ac:dyDescent="0.25">
      <c r="A4228" s="247">
        <v>4226</v>
      </c>
    </row>
    <row r="4229" spans="1:1" x14ac:dyDescent="0.25">
      <c r="A4229" s="247">
        <v>4227</v>
      </c>
    </row>
    <row r="4230" spans="1:1" x14ac:dyDescent="0.25">
      <c r="A4230" s="247">
        <v>4228</v>
      </c>
    </row>
    <row r="4231" spans="1:1" x14ac:dyDescent="0.25">
      <c r="A4231" s="247">
        <v>4229</v>
      </c>
    </row>
    <row r="4232" spans="1:1" x14ac:dyDescent="0.25">
      <c r="A4232" s="247">
        <v>4230</v>
      </c>
    </row>
    <row r="4233" spans="1:1" x14ac:dyDescent="0.25">
      <c r="A4233" s="247">
        <v>4231</v>
      </c>
    </row>
    <row r="4234" spans="1:1" x14ac:dyDescent="0.25">
      <c r="A4234" s="247">
        <v>4232</v>
      </c>
    </row>
    <row r="4235" spans="1:1" x14ac:dyDescent="0.25">
      <c r="A4235" s="247">
        <v>4233</v>
      </c>
    </row>
    <row r="4236" spans="1:1" x14ac:dyDescent="0.25">
      <c r="A4236" s="247">
        <v>4234</v>
      </c>
    </row>
    <row r="4237" spans="1:1" x14ac:dyDescent="0.25">
      <c r="A4237" s="247">
        <v>4235</v>
      </c>
    </row>
    <row r="4238" spans="1:1" x14ac:dyDescent="0.25">
      <c r="A4238" s="247">
        <v>4236</v>
      </c>
    </row>
    <row r="4239" spans="1:1" x14ac:dyDescent="0.25">
      <c r="A4239" s="247">
        <v>4237</v>
      </c>
    </row>
    <row r="4240" spans="1:1" x14ac:dyDescent="0.25">
      <c r="A4240" s="247">
        <v>4238</v>
      </c>
    </row>
    <row r="4241" spans="1:1" x14ac:dyDescent="0.25">
      <c r="A4241" s="247">
        <v>4239</v>
      </c>
    </row>
    <row r="4242" spans="1:1" x14ac:dyDescent="0.25">
      <c r="A4242" s="247">
        <v>4240</v>
      </c>
    </row>
    <row r="4243" spans="1:1" x14ac:dyDescent="0.25">
      <c r="A4243" s="247">
        <v>4241</v>
      </c>
    </row>
    <row r="4244" spans="1:1" x14ac:dyDescent="0.25">
      <c r="A4244" s="247">
        <v>4242</v>
      </c>
    </row>
    <row r="4245" spans="1:1" x14ac:dyDescent="0.25">
      <c r="A4245" s="247">
        <v>4243</v>
      </c>
    </row>
    <row r="4246" spans="1:1" x14ac:dyDescent="0.25">
      <c r="A4246" s="247">
        <v>4244</v>
      </c>
    </row>
    <row r="4247" spans="1:1" x14ac:dyDescent="0.25">
      <c r="A4247" s="247">
        <v>4245</v>
      </c>
    </row>
    <row r="4248" spans="1:1" x14ac:dyDescent="0.25">
      <c r="A4248" s="247">
        <v>4246</v>
      </c>
    </row>
    <row r="4249" spans="1:1" x14ac:dyDescent="0.25">
      <c r="A4249" s="247">
        <v>4247</v>
      </c>
    </row>
    <row r="4250" spans="1:1" x14ac:dyDescent="0.25">
      <c r="A4250" s="247">
        <v>4248</v>
      </c>
    </row>
    <row r="4251" spans="1:1" x14ac:dyDescent="0.25">
      <c r="A4251" s="247">
        <v>4249</v>
      </c>
    </row>
    <row r="4252" spans="1:1" x14ac:dyDescent="0.25">
      <c r="A4252" s="247">
        <v>4250</v>
      </c>
    </row>
    <row r="4253" spans="1:1" x14ac:dyDescent="0.25">
      <c r="A4253" s="247">
        <v>4251</v>
      </c>
    </row>
    <row r="4254" spans="1:1" x14ac:dyDescent="0.25">
      <c r="A4254" s="247">
        <v>4252</v>
      </c>
    </row>
    <row r="4255" spans="1:1" x14ac:dyDescent="0.25">
      <c r="A4255" s="247">
        <v>4253</v>
      </c>
    </row>
    <row r="4256" spans="1:1" x14ac:dyDescent="0.25">
      <c r="A4256" s="247">
        <v>4254</v>
      </c>
    </row>
    <row r="4257" spans="1:1" x14ac:dyDescent="0.25">
      <c r="A4257" s="247">
        <v>4255</v>
      </c>
    </row>
    <row r="4258" spans="1:1" x14ac:dyDescent="0.25">
      <c r="A4258" s="247">
        <v>4256</v>
      </c>
    </row>
    <row r="4259" spans="1:1" x14ac:dyDescent="0.25">
      <c r="A4259" s="247">
        <v>4257</v>
      </c>
    </row>
    <row r="4260" spans="1:1" x14ac:dyDescent="0.25">
      <c r="A4260" s="247">
        <v>4258</v>
      </c>
    </row>
    <row r="4261" spans="1:1" x14ac:dyDescent="0.25">
      <c r="A4261" s="247">
        <v>4259</v>
      </c>
    </row>
    <row r="4262" spans="1:1" x14ac:dyDescent="0.25">
      <c r="A4262" s="247">
        <v>4260</v>
      </c>
    </row>
    <row r="4263" spans="1:1" x14ac:dyDescent="0.25">
      <c r="A4263" s="247">
        <v>4261</v>
      </c>
    </row>
    <row r="4264" spans="1:1" x14ac:dyDescent="0.25">
      <c r="A4264" s="247">
        <v>4262</v>
      </c>
    </row>
    <row r="4265" spans="1:1" x14ac:dyDescent="0.25">
      <c r="A4265" s="247">
        <v>4263</v>
      </c>
    </row>
    <row r="4266" spans="1:1" x14ac:dyDescent="0.25">
      <c r="A4266" s="247">
        <v>4264</v>
      </c>
    </row>
    <row r="4267" spans="1:1" x14ac:dyDescent="0.25">
      <c r="A4267" s="247">
        <v>4265</v>
      </c>
    </row>
    <row r="4268" spans="1:1" x14ac:dyDescent="0.25">
      <c r="A4268" s="247">
        <v>4266</v>
      </c>
    </row>
    <row r="4269" spans="1:1" x14ac:dyDescent="0.25">
      <c r="A4269" s="247">
        <v>4267</v>
      </c>
    </row>
    <row r="4270" spans="1:1" x14ac:dyDescent="0.25">
      <c r="A4270" s="247">
        <v>4268</v>
      </c>
    </row>
    <row r="4271" spans="1:1" x14ac:dyDescent="0.25">
      <c r="A4271" s="247">
        <v>4269</v>
      </c>
    </row>
    <row r="4272" spans="1:1" x14ac:dyDescent="0.25">
      <c r="A4272" s="247">
        <v>4270</v>
      </c>
    </row>
    <row r="4273" spans="1:1" x14ac:dyDescent="0.25">
      <c r="A4273" s="247">
        <v>4271</v>
      </c>
    </row>
    <row r="4274" spans="1:1" x14ac:dyDescent="0.25">
      <c r="A4274" s="247">
        <v>4272</v>
      </c>
    </row>
    <row r="4275" spans="1:1" x14ac:dyDescent="0.25">
      <c r="A4275" s="247">
        <v>4273</v>
      </c>
    </row>
    <row r="4276" spans="1:1" x14ac:dyDescent="0.25">
      <c r="A4276" s="247">
        <v>4274</v>
      </c>
    </row>
    <row r="4277" spans="1:1" x14ac:dyDescent="0.25">
      <c r="A4277" s="247">
        <v>4275</v>
      </c>
    </row>
    <row r="4278" spans="1:1" x14ac:dyDescent="0.25">
      <c r="A4278" s="247">
        <v>4276</v>
      </c>
    </row>
    <row r="4279" spans="1:1" x14ac:dyDescent="0.25">
      <c r="A4279" s="247">
        <v>4277</v>
      </c>
    </row>
    <row r="4280" spans="1:1" x14ac:dyDescent="0.25">
      <c r="A4280" s="247">
        <v>4278</v>
      </c>
    </row>
    <row r="4281" spans="1:1" x14ac:dyDescent="0.25">
      <c r="A4281" s="247">
        <v>4279</v>
      </c>
    </row>
    <row r="4282" spans="1:1" x14ac:dyDescent="0.25">
      <c r="A4282" s="247">
        <v>4280</v>
      </c>
    </row>
    <row r="4283" spans="1:1" x14ac:dyDescent="0.25">
      <c r="A4283" s="247">
        <v>4281</v>
      </c>
    </row>
    <row r="4284" spans="1:1" x14ac:dyDescent="0.25">
      <c r="A4284" s="247">
        <v>4282</v>
      </c>
    </row>
    <row r="4285" spans="1:1" x14ac:dyDescent="0.25">
      <c r="A4285" s="247">
        <v>4283</v>
      </c>
    </row>
    <row r="4286" spans="1:1" x14ac:dyDescent="0.25">
      <c r="A4286" s="247">
        <v>4284</v>
      </c>
    </row>
    <row r="4287" spans="1:1" x14ac:dyDescent="0.25">
      <c r="A4287" s="247">
        <v>4285</v>
      </c>
    </row>
    <row r="4288" spans="1:1" x14ac:dyDescent="0.25">
      <c r="A4288" s="247">
        <v>4286</v>
      </c>
    </row>
    <row r="4289" spans="1:1" x14ac:dyDescent="0.25">
      <c r="A4289" s="247">
        <v>4287</v>
      </c>
    </row>
    <row r="4290" spans="1:1" x14ac:dyDescent="0.25">
      <c r="A4290" s="247">
        <v>4288</v>
      </c>
    </row>
    <row r="4291" spans="1:1" x14ac:dyDescent="0.25">
      <c r="A4291" s="247">
        <v>4289</v>
      </c>
    </row>
    <row r="4292" spans="1:1" x14ac:dyDescent="0.25">
      <c r="A4292" s="247">
        <v>4290</v>
      </c>
    </row>
    <row r="4293" spans="1:1" x14ac:dyDescent="0.25">
      <c r="A4293" s="247">
        <v>4291</v>
      </c>
    </row>
    <row r="4294" spans="1:1" x14ac:dyDescent="0.25">
      <c r="A4294" s="247">
        <v>4292</v>
      </c>
    </row>
    <row r="4295" spans="1:1" x14ac:dyDescent="0.25">
      <c r="A4295" s="247">
        <v>4293</v>
      </c>
    </row>
    <row r="4296" spans="1:1" x14ac:dyDescent="0.25">
      <c r="A4296" s="247">
        <v>4294</v>
      </c>
    </row>
    <row r="4297" spans="1:1" x14ac:dyDescent="0.25">
      <c r="A4297" s="247">
        <v>4295</v>
      </c>
    </row>
    <row r="4298" spans="1:1" x14ac:dyDescent="0.25">
      <c r="A4298" s="247">
        <v>4296</v>
      </c>
    </row>
    <row r="4299" spans="1:1" x14ac:dyDescent="0.25">
      <c r="A4299" s="247">
        <v>4297</v>
      </c>
    </row>
    <row r="4300" spans="1:1" x14ac:dyDescent="0.25">
      <c r="A4300" s="247">
        <v>4298</v>
      </c>
    </row>
    <row r="4301" spans="1:1" x14ac:dyDescent="0.25">
      <c r="A4301" s="247">
        <v>4299</v>
      </c>
    </row>
    <row r="4302" spans="1:1" x14ac:dyDescent="0.25">
      <c r="A4302" s="247">
        <v>4300</v>
      </c>
    </row>
    <row r="4303" spans="1:1" x14ac:dyDescent="0.25">
      <c r="A4303" s="247">
        <v>4301</v>
      </c>
    </row>
    <row r="4304" spans="1:1" x14ac:dyDescent="0.25">
      <c r="A4304" s="247">
        <v>4302</v>
      </c>
    </row>
    <row r="4305" spans="1:1" x14ac:dyDescent="0.25">
      <c r="A4305" s="247">
        <v>4303</v>
      </c>
    </row>
    <row r="4306" spans="1:1" x14ac:dyDescent="0.25">
      <c r="A4306" s="247">
        <v>4304</v>
      </c>
    </row>
    <row r="4307" spans="1:1" x14ac:dyDescent="0.25">
      <c r="A4307" s="247">
        <v>4305</v>
      </c>
    </row>
    <row r="4308" spans="1:1" x14ac:dyDescent="0.25">
      <c r="A4308" s="247">
        <v>4306</v>
      </c>
    </row>
    <row r="4309" spans="1:1" x14ac:dyDescent="0.25">
      <c r="A4309" s="247">
        <v>4307</v>
      </c>
    </row>
    <row r="4310" spans="1:1" x14ac:dyDescent="0.25">
      <c r="A4310" s="247">
        <v>4308</v>
      </c>
    </row>
    <row r="4311" spans="1:1" x14ac:dyDescent="0.25">
      <c r="A4311" s="247">
        <v>4309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S325"/>
  <sheetViews>
    <sheetView workbookViewId="0"/>
  </sheetViews>
  <sheetFormatPr defaultRowHeight="15" x14ac:dyDescent="0.25"/>
  <cols>
    <col min="9" max="9" width="13.140625" customWidth="1"/>
    <col min="10" max="10" width="16.28515625" bestFit="1" customWidth="1"/>
    <col min="11" max="18" width="7.5703125" customWidth="1"/>
    <col min="19" max="19" width="11.28515625" customWidth="1"/>
  </cols>
  <sheetData>
    <row r="1" spans="1:19" x14ac:dyDescent="0.25">
      <c r="A1" s="5" t="s">
        <v>38</v>
      </c>
      <c r="B1" s="46" t="s">
        <v>39</v>
      </c>
      <c r="C1" s="46" t="s">
        <v>61</v>
      </c>
      <c r="D1" s="47" t="s">
        <v>56</v>
      </c>
      <c r="E1" t="s">
        <v>1</v>
      </c>
      <c r="I1" s="58" t="s">
        <v>61</v>
      </c>
      <c r="J1" s="13" t="s">
        <v>67</v>
      </c>
    </row>
    <row r="2" spans="1:19" x14ac:dyDescent="0.25">
      <c r="A2" s="116">
        <v>3</v>
      </c>
      <c r="B2" s="114" t="s">
        <v>88</v>
      </c>
      <c r="C2" s="45" t="s">
        <v>62</v>
      </c>
      <c r="D2" s="45" t="s">
        <v>57</v>
      </c>
      <c r="E2" s="116">
        <v>4395.8</v>
      </c>
      <c r="I2" s="58" t="s">
        <v>56</v>
      </c>
      <c r="J2" s="13" t="s">
        <v>67</v>
      </c>
    </row>
    <row r="3" spans="1:19" x14ac:dyDescent="0.25">
      <c r="A3" s="116">
        <v>4</v>
      </c>
      <c r="B3" s="114" t="s">
        <v>88</v>
      </c>
      <c r="C3" s="45" t="s">
        <v>62</v>
      </c>
      <c r="D3" s="45" t="s">
        <v>57</v>
      </c>
      <c r="E3" s="116">
        <v>2925</v>
      </c>
    </row>
    <row r="4" spans="1:19" x14ac:dyDescent="0.25">
      <c r="A4" s="116">
        <v>5</v>
      </c>
      <c r="B4" s="114" t="s">
        <v>88</v>
      </c>
      <c r="C4" s="45" t="s">
        <v>62</v>
      </c>
      <c r="D4" s="45" t="s">
        <v>57</v>
      </c>
      <c r="E4" s="116">
        <v>4550</v>
      </c>
      <c r="I4" s="58" t="s">
        <v>66</v>
      </c>
      <c r="J4" s="58" t="s">
        <v>65</v>
      </c>
    </row>
    <row r="5" spans="1:19" x14ac:dyDescent="0.25">
      <c r="A5" s="116">
        <v>6</v>
      </c>
      <c r="B5" s="114" t="s">
        <v>88</v>
      </c>
      <c r="C5" s="45" t="s">
        <v>62</v>
      </c>
      <c r="D5" s="45" t="s">
        <v>57</v>
      </c>
      <c r="E5" s="116">
        <v>4290</v>
      </c>
      <c r="I5" s="58" t="s">
        <v>63</v>
      </c>
      <c r="J5" s="160">
        <v>3</v>
      </c>
      <c r="K5" s="160">
        <v>4</v>
      </c>
      <c r="L5" s="160">
        <v>5</v>
      </c>
      <c r="M5" s="160">
        <v>6</v>
      </c>
      <c r="N5" s="160">
        <v>7</v>
      </c>
      <c r="O5" s="160">
        <v>8</v>
      </c>
      <c r="P5" s="160">
        <v>9</v>
      </c>
      <c r="Q5" s="160">
        <v>10</v>
      </c>
      <c r="R5" s="160">
        <v>11</v>
      </c>
      <c r="S5" s="160" t="s">
        <v>64</v>
      </c>
    </row>
    <row r="6" spans="1:19" x14ac:dyDescent="0.25">
      <c r="A6" s="116">
        <v>7</v>
      </c>
      <c r="B6" s="114" t="s">
        <v>88</v>
      </c>
      <c r="C6" s="45" t="s">
        <v>62</v>
      </c>
      <c r="D6" s="45" t="s">
        <v>57</v>
      </c>
      <c r="E6" s="116">
        <v>4225</v>
      </c>
      <c r="I6" s="18" t="s">
        <v>88</v>
      </c>
      <c r="J6" s="279">
        <v>7275.8</v>
      </c>
      <c r="K6" s="279">
        <v>5729.1</v>
      </c>
      <c r="L6" s="279">
        <v>6968.3</v>
      </c>
      <c r="M6" s="279">
        <v>5649.9</v>
      </c>
      <c r="N6" s="279">
        <v>5555.6</v>
      </c>
      <c r="O6" s="279">
        <v>6566.0370999999996</v>
      </c>
      <c r="P6" s="279">
        <v>6654.5628999999999</v>
      </c>
      <c r="Q6" s="279">
        <v>6985.2000000000007</v>
      </c>
      <c r="R6" s="279">
        <v>6052.7</v>
      </c>
      <c r="S6" s="279">
        <v>57437.2</v>
      </c>
    </row>
    <row r="7" spans="1:19" x14ac:dyDescent="0.25">
      <c r="A7" s="116">
        <v>8</v>
      </c>
      <c r="B7" s="114" t="s">
        <v>88</v>
      </c>
      <c r="C7" s="45" t="s">
        <v>62</v>
      </c>
      <c r="D7" s="45" t="s">
        <v>57</v>
      </c>
      <c r="E7" s="116">
        <v>4169.4043000000001</v>
      </c>
      <c r="I7" s="18" t="s">
        <v>89</v>
      </c>
      <c r="J7" s="279">
        <v>7340.9</v>
      </c>
      <c r="K7" s="279">
        <v>7008</v>
      </c>
      <c r="L7" s="279">
        <v>6854.9</v>
      </c>
      <c r="M7" s="279">
        <v>6575.2</v>
      </c>
      <c r="N7" s="279">
        <v>6768</v>
      </c>
      <c r="O7" s="279">
        <v>7914.8984999999993</v>
      </c>
      <c r="P7" s="279">
        <v>7391.2906000000003</v>
      </c>
      <c r="Q7" s="279">
        <v>7231.7107999999998</v>
      </c>
      <c r="R7" s="279">
        <v>7080</v>
      </c>
      <c r="S7" s="279">
        <v>64164.899899999997</v>
      </c>
    </row>
    <row r="8" spans="1:19" x14ac:dyDescent="0.25">
      <c r="A8" s="116">
        <v>9</v>
      </c>
      <c r="B8" s="114" t="s">
        <v>88</v>
      </c>
      <c r="C8" s="45" t="s">
        <v>62</v>
      </c>
      <c r="D8" s="45" t="s">
        <v>57</v>
      </c>
      <c r="E8" s="116">
        <v>4290</v>
      </c>
      <c r="I8" s="18" t="s">
        <v>22</v>
      </c>
      <c r="J8" s="279">
        <v>0</v>
      </c>
      <c r="K8" s="279">
        <v>0</v>
      </c>
      <c r="L8" s="279">
        <v>0</v>
      </c>
      <c r="M8" s="279">
        <v>454.7</v>
      </c>
      <c r="N8" s="279">
        <v>129.69999999999999</v>
      </c>
      <c r="O8" s="279">
        <v>0</v>
      </c>
      <c r="P8" s="279">
        <v>0</v>
      </c>
      <c r="Q8" s="279">
        <v>0</v>
      </c>
      <c r="R8" s="279">
        <v>0</v>
      </c>
      <c r="S8" s="279">
        <v>584.4</v>
      </c>
    </row>
    <row r="9" spans="1:19" x14ac:dyDescent="0.25">
      <c r="A9" s="116">
        <v>10</v>
      </c>
      <c r="B9" s="114" t="s">
        <v>88</v>
      </c>
      <c r="C9" s="45" t="s">
        <v>62</v>
      </c>
      <c r="D9" s="45" t="s">
        <v>57</v>
      </c>
      <c r="E9" s="116">
        <v>4357.3414000000002</v>
      </c>
      <c r="I9" s="18" t="s">
        <v>23</v>
      </c>
      <c r="J9" s="279">
        <v>0</v>
      </c>
      <c r="K9" s="279">
        <v>0</v>
      </c>
      <c r="L9" s="279">
        <v>0</v>
      </c>
      <c r="M9" s="279">
        <v>363</v>
      </c>
      <c r="N9" s="279">
        <v>0</v>
      </c>
      <c r="O9" s="279">
        <v>0</v>
      </c>
      <c r="P9" s="279">
        <v>0</v>
      </c>
      <c r="Q9" s="279">
        <v>0</v>
      </c>
      <c r="R9" s="279">
        <v>0</v>
      </c>
      <c r="S9" s="279">
        <v>363</v>
      </c>
    </row>
    <row r="10" spans="1:19" x14ac:dyDescent="0.25">
      <c r="A10" s="116">
        <v>11</v>
      </c>
      <c r="B10" s="114" t="s">
        <v>88</v>
      </c>
      <c r="C10" s="45" t="s">
        <v>62</v>
      </c>
      <c r="D10" s="45" t="s">
        <v>57</v>
      </c>
      <c r="E10" s="116">
        <v>3380</v>
      </c>
      <c r="I10" s="18" t="s">
        <v>9</v>
      </c>
      <c r="J10" s="279">
        <v>0</v>
      </c>
      <c r="K10" s="279">
        <v>0</v>
      </c>
      <c r="L10" s="279">
        <v>0</v>
      </c>
      <c r="M10" s="279">
        <v>132.91408999999999</v>
      </c>
      <c r="N10" s="279">
        <v>259.79935</v>
      </c>
      <c r="O10" s="279">
        <v>250.81558000000001</v>
      </c>
      <c r="P10" s="279">
        <v>0</v>
      </c>
      <c r="Q10" s="279">
        <v>14.786524</v>
      </c>
      <c r="R10" s="279">
        <v>0</v>
      </c>
      <c r="S10" s="279">
        <v>658.31554399999993</v>
      </c>
    </row>
    <row r="11" spans="1:19" x14ac:dyDescent="0.25">
      <c r="A11" s="117">
        <v>3</v>
      </c>
      <c r="B11" s="115" t="s">
        <v>89</v>
      </c>
      <c r="C11" s="44" t="s">
        <v>87</v>
      </c>
      <c r="D11" s="44" t="s">
        <v>57</v>
      </c>
      <c r="E11" s="117">
        <v>2640</v>
      </c>
      <c r="I11" s="18" t="s">
        <v>10</v>
      </c>
      <c r="J11" s="279">
        <v>0</v>
      </c>
      <c r="K11" s="279">
        <v>0</v>
      </c>
      <c r="L11" s="279">
        <v>0</v>
      </c>
      <c r="M11" s="279">
        <v>426.40906999999999</v>
      </c>
      <c r="N11" s="279">
        <v>0</v>
      </c>
      <c r="O11" s="279">
        <v>0</v>
      </c>
      <c r="P11" s="279">
        <v>0</v>
      </c>
      <c r="Q11" s="279">
        <v>0</v>
      </c>
      <c r="R11" s="279">
        <v>0</v>
      </c>
      <c r="S11" s="279">
        <v>426.40906999999999</v>
      </c>
    </row>
    <row r="12" spans="1:19" x14ac:dyDescent="0.25">
      <c r="A12" s="117">
        <v>4</v>
      </c>
      <c r="B12" s="115" t="s">
        <v>89</v>
      </c>
      <c r="C12" s="44" t="s">
        <v>87</v>
      </c>
      <c r="D12" s="44" t="s">
        <v>57</v>
      </c>
      <c r="E12" s="117">
        <v>1888</v>
      </c>
      <c r="I12" s="18" t="s">
        <v>11</v>
      </c>
      <c r="J12" s="279">
        <v>0</v>
      </c>
      <c r="K12" s="279">
        <v>0</v>
      </c>
      <c r="L12" s="279">
        <v>0</v>
      </c>
      <c r="M12" s="279">
        <v>2.5366401000000001</v>
      </c>
      <c r="N12" s="279">
        <v>78.438550000000006</v>
      </c>
      <c r="O12" s="279">
        <v>64.780152000000001</v>
      </c>
      <c r="P12" s="279">
        <v>48.974066000000001</v>
      </c>
      <c r="Q12" s="279">
        <v>48.196162999999999</v>
      </c>
      <c r="R12" s="279">
        <v>0</v>
      </c>
      <c r="S12" s="279">
        <v>242.92557110000001</v>
      </c>
    </row>
    <row r="13" spans="1:19" x14ac:dyDescent="0.25">
      <c r="A13" s="117">
        <v>5</v>
      </c>
      <c r="B13" s="115" t="s">
        <v>89</v>
      </c>
      <c r="C13" s="44" t="s">
        <v>87</v>
      </c>
      <c r="D13" s="44" t="s">
        <v>57</v>
      </c>
      <c r="E13" s="117">
        <v>2054.9</v>
      </c>
      <c r="I13" s="18" t="s">
        <v>12</v>
      </c>
      <c r="J13" s="279">
        <v>0</v>
      </c>
      <c r="K13" s="279">
        <v>0</v>
      </c>
      <c r="L13" s="279">
        <v>0</v>
      </c>
      <c r="M13" s="279">
        <v>0</v>
      </c>
      <c r="N13" s="279">
        <v>80.273206999999999</v>
      </c>
      <c r="O13" s="279">
        <v>64.218565999999996</v>
      </c>
      <c r="P13" s="279">
        <v>48.163924000000002</v>
      </c>
      <c r="Q13" s="279">
        <v>48.163924000000002</v>
      </c>
      <c r="R13" s="279">
        <v>0</v>
      </c>
      <c r="S13" s="279">
        <v>240.81962100000001</v>
      </c>
    </row>
    <row r="14" spans="1:19" x14ac:dyDescent="0.25">
      <c r="A14" s="117">
        <v>6</v>
      </c>
      <c r="B14" s="115" t="s">
        <v>89</v>
      </c>
      <c r="C14" s="44" t="s">
        <v>87</v>
      </c>
      <c r="D14" s="44" t="s">
        <v>57</v>
      </c>
      <c r="E14" s="117">
        <v>2138.1999999999998</v>
      </c>
      <c r="I14" s="18" t="s">
        <v>13</v>
      </c>
      <c r="J14" s="279">
        <v>0</v>
      </c>
      <c r="K14" s="279">
        <v>0</v>
      </c>
      <c r="L14" s="279">
        <v>0</v>
      </c>
      <c r="M14" s="279">
        <v>0</v>
      </c>
      <c r="N14" s="279">
        <v>36.048195999999997</v>
      </c>
      <c r="O14" s="279">
        <v>65.938693000000001</v>
      </c>
      <c r="P14" s="279">
        <v>6.157699</v>
      </c>
      <c r="Q14" s="279">
        <v>0</v>
      </c>
      <c r="R14" s="279">
        <v>0</v>
      </c>
      <c r="S14" s="279">
        <v>108.14458799999998</v>
      </c>
    </row>
    <row r="15" spans="1:19" x14ac:dyDescent="0.25">
      <c r="A15" s="117">
        <v>7</v>
      </c>
      <c r="B15" s="115" t="s">
        <v>89</v>
      </c>
      <c r="C15" s="44" t="s">
        <v>87</v>
      </c>
      <c r="D15" s="44" t="s">
        <v>57</v>
      </c>
      <c r="E15" s="117">
        <v>2093.8667</v>
      </c>
      <c r="I15" s="18" t="s">
        <v>108</v>
      </c>
      <c r="J15" s="279">
        <v>0</v>
      </c>
      <c r="K15" s="279">
        <v>0</v>
      </c>
      <c r="L15" s="279">
        <v>0</v>
      </c>
      <c r="M15" s="279">
        <v>0</v>
      </c>
      <c r="N15" s="279">
        <v>32.966667000000001</v>
      </c>
      <c r="O15" s="279">
        <v>57.223939999999999</v>
      </c>
      <c r="P15" s="279">
        <v>8.7093933000000003</v>
      </c>
      <c r="Q15" s="279">
        <v>0</v>
      </c>
      <c r="R15" s="279">
        <v>0</v>
      </c>
      <c r="S15" s="279">
        <v>98.900000300000002</v>
      </c>
    </row>
    <row r="16" spans="1:19" x14ac:dyDescent="0.25">
      <c r="A16" s="117">
        <v>8</v>
      </c>
      <c r="B16" s="115" t="s">
        <v>89</v>
      </c>
      <c r="C16" s="44" t="s">
        <v>87</v>
      </c>
      <c r="D16" s="44" t="s">
        <v>57</v>
      </c>
      <c r="E16" s="117">
        <v>2954.8984999999998</v>
      </c>
      <c r="I16" s="18" t="s">
        <v>24</v>
      </c>
      <c r="J16" s="279">
        <v>0</v>
      </c>
      <c r="K16" s="279">
        <v>0</v>
      </c>
      <c r="L16" s="279">
        <v>0</v>
      </c>
      <c r="M16" s="279">
        <v>0</v>
      </c>
      <c r="N16" s="279">
        <v>143.46666999999999</v>
      </c>
      <c r="O16" s="279">
        <v>24.433333000000001</v>
      </c>
      <c r="P16" s="279">
        <v>0</v>
      </c>
      <c r="Q16" s="279">
        <v>0</v>
      </c>
      <c r="R16" s="279">
        <v>0</v>
      </c>
      <c r="S16" s="279">
        <v>167.900003</v>
      </c>
    </row>
    <row r="17" spans="1:19" x14ac:dyDescent="0.25">
      <c r="A17" s="117">
        <v>9</v>
      </c>
      <c r="B17" s="115" t="s">
        <v>89</v>
      </c>
      <c r="C17" s="44" t="s">
        <v>87</v>
      </c>
      <c r="D17" s="44" t="s">
        <v>57</v>
      </c>
      <c r="E17" s="117">
        <v>2751.2905999999998</v>
      </c>
      <c r="I17" s="18" t="s">
        <v>14</v>
      </c>
      <c r="J17" s="279">
        <v>0</v>
      </c>
      <c r="K17" s="279">
        <v>0</v>
      </c>
      <c r="L17" s="279">
        <v>1.250544E-2</v>
      </c>
      <c r="M17" s="279">
        <v>2.1491492000000001</v>
      </c>
      <c r="N17" s="279">
        <v>218.07402999999999</v>
      </c>
      <c r="O17" s="279">
        <v>176.18854999999999</v>
      </c>
      <c r="P17" s="279">
        <v>132.14141000000001</v>
      </c>
      <c r="Q17" s="279">
        <v>132.14141000000001</v>
      </c>
      <c r="R17" s="279">
        <v>0</v>
      </c>
      <c r="S17" s="279">
        <v>660.70705464000002</v>
      </c>
    </row>
    <row r="18" spans="1:19" x14ac:dyDescent="0.25">
      <c r="A18" s="117">
        <v>10</v>
      </c>
      <c r="B18" s="115" t="s">
        <v>89</v>
      </c>
      <c r="C18" s="44" t="s">
        <v>87</v>
      </c>
      <c r="D18" s="44" t="s">
        <v>57</v>
      </c>
      <c r="E18" s="117">
        <v>2831.7107999999998</v>
      </c>
      <c r="I18" s="18" t="s">
        <v>109</v>
      </c>
      <c r="J18" s="279">
        <v>0</v>
      </c>
      <c r="K18" s="279">
        <v>61.3</v>
      </c>
      <c r="L18" s="279">
        <v>425.1</v>
      </c>
      <c r="M18" s="279">
        <v>7.1</v>
      </c>
      <c r="N18" s="279">
        <v>0</v>
      </c>
      <c r="O18" s="279">
        <v>0</v>
      </c>
      <c r="P18" s="279">
        <v>0</v>
      </c>
      <c r="Q18" s="279">
        <v>0</v>
      </c>
      <c r="R18" s="279">
        <v>0</v>
      </c>
      <c r="S18" s="279">
        <v>493.50000000000006</v>
      </c>
    </row>
    <row r="19" spans="1:19" x14ac:dyDescent="0.25">
      <c r="A19" s="117">
        <v>11</v>
      </c>
      <c r="B19" s="115" t="s">
        <v>89</v>
      </c>
      <c r="C19" s="44" t="s">
        <v>87</v>
      </c>
      <c r="D19" s="44" t="s">
        <v>57</v>
      </c>
      <c r="E19" s="117">
        <v>2200</v>
      </c>
      <c r="I19" s="18" t="s">
        <v>110</v>
      </c>
      <c r="J19" s="279">
        <v>0</v>
      </c>
      <c r="K19" s="279">
        <v>0</v>
      </c>
      <c r="L19" s="279">
        <v>0</v>
      </c>
      <c r="M19" s="279">
        <v>0</v>
      </c>
      <c r="N19" s="279">
        <v>45.866667</v>
      </c>
      <c r="O19" s="279">
        <v>83.444176999999996</v>
      </c>
      <c r="P19" s="279">
        <v>0</v>
      </c>
      <c r="Q19" s="279">
        <v>8.2891566000000001</v>
      </c>
      <c r="R19" s="279">
        <v>0</v>
      </c>
      <c r="S19" s="279">
        <v>137.60000060000002</v>
      </c>
    </row>
    <row r="20" spans="1:19" x14ac:dyDescent="0.25">
      <c r="A20" s="116">
        <v>3</v>
      </c>
      <c r="B20" s="114" t="s">
        <v>9</v>
      </c>
      <c r="C20" s="45" t="s">
        <v>62</v>
      </c>
      <c r="D20" s="45" t="s">
        <v>57</v>
      </c>
      <c r="E20" s="116">
        <v>0</v>
      </c>
      <c r="I20" s="18" t="s">
        <v>111</v>
      </c>
      <c r="J20" s="279">
        <v>0</v>
      </c>
      <c r="K20" s="279">
        <v>0</v>
      </c>
      <c r="L20" s="279">
        <v>0</v>
      </c>
      <c r="M20" s="279">
        <v>0</v>
      </c>
      <c r="N20" s="279">
        <v>36.766666999999998</v>
      </c>
      <c r="O20" s="279">
        <v>57.021357000000002</v>
      </c>
      <c r="P20" s="279">
        <v>0</v>
      </c>
      <c r="Q20" s="279">
        <v>16.511976000000001</v>
      </c>
      <c r="R20" s="279">
        <v>0</v>
      </c>
      <c r="S20" s="279">
        <v>110.30000000000001</v>
      </c>
    </row>
    <row r="21" spans="1:19" x14ac:dyDescent="0.25">
      <c r="A21" s="116">
        <v>4</v>
      </c>
      <c r="B21" s="114" t="s">
        <v>9</v>
      </c>
      <c r="C21" s="45" t="s">
        <v>62</v>
      </c>
      <c r="D21" s="45" t="s">
        <v>57</v>
      </c>
      <c r="E21" s="116">
        <v>0</v>
      </c>
      <c r="I21" s="18" t="s">
        <v>64</v>
      </c>
      <c r="J21" s="279">
        <v>14616.7</v>
      </c>
      <c r="K21" s="279">
        <v>12798.4</v>
      </c>
      <c r="L21" s="279">
        <v>14248.312505440001</v>
      </c>
      <c r="M21" s="279">
        <v>13613.908949299999</v>
      </c>
      <c r="N21" s="279">
        <v>13385.000004000001</v>
      </c>
      <c r="O21" s="279">
        <v>15324.999947999999</v>
      </c>
      <c r="P21" s="279">
        <v>14289.999992300001</v>
      </c>
      <c r="Q21" s="279">
        <v>14484.999953600001</v>
      </c>
      <c r="R21" s="279">
        <v>13132.7</v>
      </c>
      <c r="S21" s="279">
        <v>125895.02135263999</v>
      </c>
    </row>
    <row r="22" spans="1:19" x14ac:dyDescent="0.25">
      <c r="A22" s="116">
        <v>5</v>
      </c>
      <c r="B22" s="114" t="s">
        <v>9</v>
      </c>
      <c r="C22" s="45" t="s">
        <v>62</v>
      </c>
      <c r="D22" s="45" t="s">
        <v>57</v>
      </c>
      <c r="E22" s="116">
        <v>0</v>
      </c>
    </row>
    <row r="23" spans="1:19" x14ac:dyDescent="0.25">
      <c r="A23" s="116">
        <v>6</v>
      </c>
      <c r="B23" s="114" t="s">
        <v>9</v>
      </c>
      <c r="C23" s="45" t="s">
        <v>62</v>
      </c>
      <c r="D23" s="45" t="s">
        <v>57</v>
      </c>
      <c r="E23" s="116">
        <v>0</v>
      </c>
    </row>
    <row r="24" spans="1:19" x14ac:dyDescent="0.25">
      <c r="A24" s="116">
        <v>7</v>
      </c>
      <c r="B24" s="114" t="s">
        <v>9</v>
      </c>
      <c r="C24" s="45" t="s">
        <v>62</v>
      </c>
      <c r="D24" s="45" t="s">
        <v>57</v>
      </c>
      <c r="E24" s="116">
        <v>0</v>
      </c>
    </row>
    <row r="25" spans="1:19" x14ac:dyDescent="0.25">
      <c r="A25" s="116">
        <v>8</v>
      </c>
      <c r="B25" s="114" t="s">
        <v>9</v>
      </c>
      <c r="C25" s="45" t="s">
        <v>62</v>
      </c>
      <c r="D25" s="45" t="s">
        <v>57</v>
      </c>
      <c r="E25" s="116">
        <v>250.81558000000001</v>
      </c>
    </row>
    <row r="26" spans="1:19" x14ac:dyDescent="0.25">
      <c r="A26" s="116">
        <v>9</v>
      </c>
      <c r="B26" s="114" t="s">
        <v>9</v>
      </c>
      <c r="C26" s="45" t="s">
        <v>62</v>
      </c>
      <c r="D26" s="45" t="s">
        <v>57</v>
      </c>
      <c r="E26" s="116">
        <v>0</v>
      </c>
    </row>
    <row r="27" spans="1:19" x14ac:dyDescent="0.25">
      <c r="A27" s="116">
        <v>10</v>
      </c>
      <c r="B27" s="114" t="s">
        <v>9</v>
      </c>
      <c r="C27" s="45" t="s">
        <v>62</v>
      </c>
      <c r="D27" s="45" t="s">
        <v>57</v>
      </c>
      <c r="E27" s="116">
        <v>14.786524</v>
      </c>
    </row>
    <row r="28" spans="1:19" x14ac:dyDescent="0.25">
      <c r="A28" s="116">
        <v>11</v>
      </c>
      <c r="B28" s="114" t="s">
        <v>9</v>
      </c>
      <c r="C28" s="64" t="s">
        <v>62</v>
      </c>
      <c r="D28" s="45" t="s">
        <v>57</v>
      </c>
      <c r="E28" s="116">
        <v>0</v>
      </c>
    </row>
    <row r="29" spans="1:19" x14ac:dyDescent="0.25">
      <c r="A29" s="117">
        <v>3</v>
      </c>
      <c r="B29" s="115" t="s">
        <v>10</v>
      </c>
      <c r="C29" s="44" t="s">
        <v>62</v>
      </c>
      <c r="D29" s="44" t="s">
        <v>57</v>
      </c>
      <c r="E29" s="117">
        <v>0</v>
      </c>
    </row>
    <row r="30" spans="1:19" x14ac:dyDescent="0.25">
      <c r="A30" s="117">
        <v>4</v>
      </c>
      <c r="B30" s="115" t="s">
        <v>10</v>
      </c>
      <c r="C30" s="44" t="s">
        <v>62</v>
      </c>
      <c r="D30" s="44" t="s">
        <v>57</v>
      </c>
      <c r="E30" s="117">
        <v>0</v>
      </c>
    </row>
    <row r="31" spans="1:19" x14ac:dyDescent="0.25">
      <c r="A31" s="117">
        <v>5</v>
      </c>
      <c r="B31" s="115" t="s">
        <v>10</v>
      </c>
      <c r="C31" s="44" t="s">
        <v>62</v>
      </c>
      <c r="D31" s="44" t="s">
        <v>57</v>
      </c>
      <c r="E31" s="117">
        <v>0</v>
      </c>
    </row>
    <row r="32" spans="1:19" x14ac:dyDescent="0.25">
      <c r="A32" s="117">
        <v>6</v>
      </c>
      <c r="B32" s="115" t="s">
        <v>10</v>
      </c>
      <c r="C32" s="44" t="s">
        <v>62</v>
      </c>
      <c r="D32" s="44" t="s">
        <v>57</v>
      </c>
      <c r="E32" s="117">
        <v>0</v>
      </c>
    </row>
    <row r="33" spans="1:5" x14ac:dyDescent="0.25">
      <c r="A33" s="117">
        <v>7</v>
      </c>
      <c r="B33" s="115" t="s">
        <v>10</v>
      </c>
      <c r="C33" s="44" t="s">
        <v>62</v>
      </c>
      <c r="D33" s="44" t="s">
        <v>57</v>
      </c>
      <c r="E33" s="117">
        <v>0</v>
      </c>
    </row>
    <row r="34" spans="1:5" x14ac:dyDescent="0.25">
      <c r="A34" s="117">
        <v>8</v>
      </c>
      <c r="B34" s="115" t="s">
        <v>10</v>
      </c>
      <c r="C34" s="44" t="s">
        <v>62</v>
      </c>
      <c r="D34" s="44" t="s">
        <v>57</v>
      </c>
      <c r="E34" s="117">
        <v>0</v>
      </c>
    </row>
    <row r="35" spans="1:5" x14ac:dyDescent="0.25">
      <c r="A35" s="117">
        <v>9</v>
      </c>
      <c r="B35" s="115" t="s">
        <v>10</v>
      </c>
      <c r="C35" s="44" t="s">
        <v>62</v>
      </c>
      <c r="D35" s="44" t="s">
        <v>57</v>
      </c>
      <c r="E35" s="117">
        <v>0</v>
      </c>
    </row>
    <row r="36" spans="1:5" x14ac:dyDescent="0.25">
      <c r="A36" s="117">
        <v>10</v>
      </c>
      <c r="B36" s="115" t="s">
        <v>10</v>
      </c>
      <c r="C36" s="44" t="s">
        <v>62</v>
      </c>
      <c r="D36" s="44" t="s">
        <v>57</v>
      </c>
      <c r="E36" s="117">
        <v>0</v>
      </c>
    </row>
    <row r="37" spans="1:5" x14ac:dyDescent="0.25">
      <c r="A37" s="117">
        <v>11</v>
      </c>
      <c r="B37" s="115" t="s">
        <v>10</v>
      </c>
      <c r="C37" s="44" t="s">
        <v>62</v>
      </c>
      <c r="D37" s="44" t="s">
        <v>57</v>
      </c>
      <c r="E37" s="117">
        <v>0</v>
      </c>
    </row>
    <row r="38" spans="1:5" x14ac:dyDescent="0.25">
      <c r="A38" s="116">
        <v>3</v>
      </c>
      <c r="B38" s="114" t="s">
        <v>11</v>
      </c>
      <c r="C38" s="45" t="s">
        <v>62</v>
      </c>
      <c r="D38" s="45" t="s">
        <v>57</v>
      </c>
      <c r="E38" s="116">
        <v>0</v>
      </c>
    </row>
    <row r="39" spans="1:5" x14ac:dyDescent="0.25">
      <c r="A39" s="116">
        <v>4</v>
      </c>
      <c r="B39" s="114" t="s">
        <v>11</v>
      </c>
      <c r="C39" s="45" t="s">
        <v>62</v>
      </c>
      <c r="D39" s="45" t="s">
        <v>57</v>
      </c>
      <c r="E39" s="116">
        <v>0</v>
      </c>
    </row>
    <row r="40" spans="1:5" x14ac:dyDescent="0.25">
      <c r="A40" s="116">
        <v>5</v>
      </c>
      <c r="B40" s="114" t="s">
        <v>11</v>
      </c>
      <c r="C40" s="45" t="s">
        <v>62</v>
      </c>
      <c r="D40" s="45" t="s">
        <v>57</v>
      </c>
      <c r="E40" s="116">
        <v>0</v>
      </c>
    </row>
    <row r="41" spans="1:5" x14ac:dyDescent="0.25">
      <c r="A41" s="116">
        <v>6</v>
      </c>
      <c r="B41" s="114" t="s">
        <v>11</v>
      </c>
      <c r="C41" s="45" t="s">
        <v>62</v>
      </c>
      <c r="D41" s="45" t="s">
        <v>57</v>
      </c>
      <c r="E41" s="116">
        <v>0</v>
      </c>
    </row>
    <row r="42" spans="1:5" x14ac:dyDescent="0.25">
      <c r="A42" s="116">
        <v>7</v>
      </c>
      <c r="B42" s="114" t="s">
        <v>11</v>
      </c>
      <c r="C42" s="45" t="s">
        <v>62</v>
      </c>
      <c r="D42" s="45" t="s">
        <v>57</v>
      </c>
      <c r="E42" s="116">
        <v>0</v>
      </c>
    </row>
    <row r="43" spans="1:5" x14ac:dyDescent="0.25">
      <c r="A43" s="116">
        <v>8</v>
      </c>
      <c r="B43" s="114" t="s">
        <v>11</v>
      </c>
      <c r="C43" s="45" t="s">
        <v>62</v>
      </c>
      <c r="D43" s="45" t="s">
        <v>57</v>
      </c>
      <c r="E43" s="116">
        <v>64.780152000000001</v>
      </c>
    </row>
    <row r="44" spans="1:5" x14ac:dyDescent="0.25">
      <c r="A44" s="116">
        <v>9</v>
      </c>
      <c r="B44" s="114" t="s">
        <v>11</v>
      </c>
      <c r="C44" s="45" t="s">
        <v>62</v>
      </c>
      <c r="D44" s="45" t="s">
        <v>57</v>
      </c>
      <c r="E44" s="116">
        <v>0</v>
      </c>
    </row>
    <row r="45" spans="1:5" x14ac:dyDescent="0.25">
      <c r="A45" s="116">
        <v>10</v>
      </c>
      <c r="B45" s="114" t="s">
        <v>11</v>
      </c>
      <c r="C45" s="45" t="s">
        <v>62</v>
      </c>
      <c r="D45" s="45" t="s">
        <v>57</v>
      </c>
      <c r="E45" s="116">
        <v>48.196162999999999</v>
      </c>
    </row>
    <row r="46" spans="1:5" x14ac:dyDescent="0.25">
      <c r="A46" s="116">
        <v>11</v>
      </c>
      <c r="B46" s="114" t="s">
        <v>11</v>
      </c>
      <c r="C46" s="45" t="s">
        <v>62</v>
      </c>
      <c r="D46" s="45" t="s">
        <v>57</v>
      </c>
      <c r="E46" s="116">
        <v>0</v>
      </c>
    </row>
    <row r="47" spans="1:5" x14ac:dyDescent="0.25">
      <c r="A47" s="117">
        <v>3</v>
      </c>
      <c r="B47" s="115" t="s">
        <v>12</v>
      </c>
      <c r="C47" s="44" t="s">
        <v>62</v>
      </c>
      <c r="D47" s="44" t="s">
        <v>57</v>
      </c>
      <c r="E47" s="117">
        <v>0</v>
      </c>
    </row>
    <row r="48" spans="1:5" x14ac:dyDescent="0.25">
      <c r="A48" s="117">
        <v>4</v>
      </c>
      <c r="B48" s="115" t="s">
        <v>12</v>
      </c>
      <c r="C48" s="44" t="s">
        <v>62</v>
      </c>
      <c r="D48" s="44" t="s">
        <v>57</v>
      </c>
      <c r="E48" s="117">
        <v>0</v>
      </c>
    </row>
    <row r="49" spans="1:5" x14ac:dyDescent="0.25">
      <c r="A49" s="117">
        <v>5</v>
      </c>
      <c r="B49" s="115" t="s">
        <v>12</v>
      </c>
      <c r="C49" s="44" t="s">
        <v>62</v>
      </c>
      <c r="D49" s="44" t="s">
        <v>57</v>
      </c>
      <c r="E49" s="117">
        <v>0</v>
      </c>
    </row>
    <row r="50" spans="1:5" x14ac:dyDescent="0.25">
      <c r="A50" s="117">
        <v>6</v>
      </c>
      <c r="B50" s="115" t="s">
        <v>12</v>
      </c>
      <c r="C50" s="44" t="s">
        <v>62</v>
      </c>
      <c r="D50" s="44" t="s">
        <v>57</v>
      </c>
      <c r="E50" s="117">
        <v>0</v>
      </c>
    </row>
    <row r="51" spans="1:5" x14ac:dyDescent="0.25">
      <c r="A51" s="117">
        <v>7</v>
      </c>
      <c r="B51" s="115" t="s">
        <v>12</v>
      </c>
      <c r="C51" s="44" t="s">
        <v>62</v>
      </c>
      <c r="D51" s="44" t="s">
        <v>57</v>
      </c>
      <c r="E51" s="117">
        <v>0</v>
      </c>
    </row>
    <row r="52" spans="1:5" x14ac:dyDescent="0.25">
      <c r="A52" s="117">
        <v>8</v>
      </c>
      <c r="B52" s="115" t="s">
        <v>12</v>
      </c>
      <c r="C52" s="44" t="s">
        <v>62</v>
      </c>
      <c r="D52" s="44" t="s">
        <v>57</v>
      </c>
      <c r="E52" s="117">
        <v>0</v>
      </c>
    </row>
    <row r="53" spans="1:5" x14ac:dyDescent="0.25">
      <c r="A53" s="117">
        <v>9</v>
      </c>
      <c r="B53" s="115" t="s">
        <v>12</v>
      </c>
      <c r="C53" s="44" t="s">
        <v>62</v>
      </c>
      <c r="D53" s="44" t="s">
        <v>57</v>
      </c>
      <c r="E53" s="117">
        <v>0</v>
      </c>
    </row>
    <row r="54" spans="1:5" x14ac:dyDescent="0.25">
      <c r="A54" s="117">
        <v>10</v>
      </c>
      <c r="B54" s="115" t="s">
        <v>12</v>
      </c>
      <c r="C54" s="44" t="s">
        <v>62</v>
      </c>
      <c r="D54" s="44" t="s">
        <v>57</v>
      </c>
      <c r="E54" s="117">
        <v>48.163924000000002</v>
      </c>
    </row>
    <row r="55" spans="1:5" x14ac:dyDescent="0.25">
      <c r="A55" s="117">
        <v>11</v>
      </c>
      <c r="B55" s="115" t="s">
        <v>12</v>
      </c>
      <c r="C55" s="44" t="s">
        <v>62</v>
      </c>
      <c r="D55" s="44" t="s">
        <v>57</v>
      </c>
      <c r="E55" s="117">
        <v>0</v>
      </c>
    </row>
    <row r="56" spans="1:5" x14ac:dyDescent="0.25">
      <c r="A56" s="116">
        <v>3</v>
      </c>
      <c r="B56" s="114" t="s">
        <v>13</v>
      </c>
      <c r="C56" s="57" t="s">
        <v>62</v>
      </c>
      <c r="D56" s="57" t="s">
        <v>57</v>
      </c>
      <c r="E56" s="116">
        <v>0</v>
      </c>
    </row>
    <row r="57" spans="1:5" x14ac:dyDescent="0.25">
      <c r="A57" s="116">
        <v>4</v>
      </c>
      <c r="B57" s="114" t="s">
        <v>13</v>
      </c>
      <c r="C57" s="57" t="s">
        <v>62</v>
      </c>
      <c r="D57" s="57" t="s">
        <v>57</v>
      </c>
      <c r="E57" s="116">
        <v>0</v>
      </c>
    </row>
    <row r="58" spans="1:5" x14ac:dyDescent="0.25">
      <c r="A58" s="116">
        <v>5</v>
      </c>
      <c r="B58" s="114" t="s">
        <v>13</v>
      </c>
      <c r="C58" s="57" t="s">
        <v>62</v>
      </c>
      <c r="D58" s="57" t="s">
        <v>57</v>
      </c>
      <c r="E58" s="116">
        <v>0</v>
      </c>
    </row>
    <row r="59" spans="1:5" x14ac:dyDescent="0.25">
      <c r="A59" s="116">
        <v>6</v>
      </c>
      <c r="B59" s="114" t="s">
        <v>13</v>
      </c>
      <c r="C59" s="57" t="s">
        <v>62</v>
      </c>
      <c r="D59" s="57" t="s">
        <v>57</v>
      </c>
      <c r="E59" s="116">
        <v>0</v>
      </c>
    </row>
    <row r="60" spans="1:5" x14ac:dyDescent="0.25">
      <c r="A60" s="116">
        <v>7</v>
      </c>
      <c r="B60" s="114" t="s">
        <v>13</v>
      </c>
      <c r="C60" s="57" t="s">
        <v>62</v>
      </c>
      <c r="D60" s="57" t="s">
        <v>57</v>
      </c>
      <c r="E60" s="116">
        <v>0</v>
      </c>
    </row>
    <row r="61" spans="1:5" x14ac:dyDescent="0.25">
      <c r="A61" s="116">
        <v>8</v>
      </c>
      <c r="B61" s="114" t="s">
        <v>13</v>
      </c>
      <c r="C61" s="57" t="s">
        <v>62</v>
      </c>
      <c r="D61" s="57" t="s">
        <v>57</v>
      </c>
      <c r="E61" s="116">
        <v>0</v>
      </c>
    </row>
    <row r="62" spans="1:5" x14ac:dyDescent="0.25">
      <c r="A62" s="116">
        <v>9</v>
      </c>
      <c r="B62" s="114" t="s">
        <v>13</v>
      </c>
      <c r="C62" s="57" t="s">
        <v>62</v>
      </c>
      <c r="D62" s="57" t="s">
        <v>57</v>
      </c>
      <c r="E62" s="116">
        <v>0</v>
      </c>
    </row>
    <row r="63" spans="1:5" x14ac:dyDescent="0.25">
      <c r="A63" s="116">
        <v>10</v>
      </c>
      <c r="B63" s="114" t="s">
        <v>13</v>
      </c>
      <c r="C63" s="57" t="s">
        <v>62</v>
      </c>
      <c r="D63" s="57" t="s">
        <v>57</v>
      </c>
      <c r="E63" s="116">
        <v>0</v>
      </c>
    </row>
    <row r="64" spans="1:5" x14ac:dyDescent="0.25">
      <c r="A64" s="116">
        <v>11</v>
      </c>
      <c r="B64" s="114" t="s">
        <v>13</v>
      </c>
      <c r="C64" s="57" t="s">
        <v>62</v>
      </c>
      <c r="D64" s="57" t="s">
        <v>57</v>
      </c>
      <c r="E64" s="116">
        <v>0</v>
      </c>
    </row>
    <row r="65" spans="1:5" x14ac:dyDescent="0.25">
      <c r="A65" s="117">
        <v>3</v>
      </c>
      <c r="B65" s="115" t="s">
        <v>14</v>
      </c>
      <c r="C65" s="44" t="s">
        <v>62</v>
      </c>
      <c r="D65" s="44" t="s">
        <v>57</v>
      </c>
      <c r="E65" s="117">
        <v>0</v>
      </c>
    </row>
    <row r="66" spans="1:5" x14ac:dyDescent="0.25">
      <c r="A66" s="117">
        <v>4</v>
      </c>
      <c r="B66" s="115" t="s">
        <v>14</v>
      </c>
      <c r="C66" s="44" t="s">
        <v>62</v>
      </c>
      <c r="D66" s="44" t="s">
        <v>57</v>
      </c>
      <c r="E66" s="117">
        <v>0</v>
      </c>
    </row>
    <row r="67" spans="1:5" x14ac:dyDescent="0.25">
      <c r="A67" s="117">
        <v>5</v>
      </c>
      <c r="B67" s="115" t="s">
        <v>14</v>
      </c>
      <c r="C67" s="44" t="s">
        <v>62</v>
      </c>
      <c r="D67" s="44" t="s">
        <v>57</v>
      </c>
      <c r="E67" s="117">
        <v>0</v>
      </c>
    </row>
    <row r="68" spans="1:5" x14ac:dyDescent="0.25">
      <c r="A68" s="117">
        <v>6</v>
      </c>
      <c r="B68" s="115" t="s">
        <v>14</v>
      </c>
      <c r="C68" s="44" t="s">
        <v>62</v>
      </c>
      <c r="D68" s="44" t="s">
        <v>57</v>
      </c>
      <c r="E68" s="117">
        <v>0</v>
      </c>
    </row>
    <row r="69" spans="1:5" x14ac:dyDescent="0.25">
      <c r="A69" s="117">
        <v>7</v>
      </c>
      <c r="B69" s="115" t="s">
        <v>14</v>
      </c>
      <c r="C69" s="44" t="s">
        <v>62</v>
      </c>
      <c r="D69" s="44" t="s">
        <v>57</v>
      </c>
      <c r="E69" s="117">
        <v>0</v>
      </c>
    </row>
    <row r="70" spans="1:5" x14ac:dyDescent="0.25">
      <c r="A70" s="117">
        <v>8</v>
      </c>
      <c r="B70" s="115" t="s">
        <v>14</v>
      </c>
      <c r="C70" s="44" t="s">
        <v>62</v>
      </c>
      <c r="D70" s="44" t="s">
        <v>57</v>
      </c>
      <c r="E70" s="117">
        <v>0</v>
      </c>
    </row>
    <row r="71" spans="1:5" x14ac:dyDescent="0.25">
      <c r="A71" s="117">
        <v>9</v>
      </c>
      <c r="B71" s="115" t="s">
        <v>14</v>
      </c>
      <c r="C71" s="44" t="s">
        <v>62</v>
      </c>
      <c r="D71" s="44" t="s">
        <v>57</v>
      </c>
      <c r="E71" s="117">
        <v>0</v>
      </c>
    </row>
    <row r="72" spans="1:5" x14ac:dyDescent="0.25">
      <c r="A72" s="117">
        <v>10</v>
      </c>
      <c r="B72" s="115" t="s">
        <v>14</v>
      </c>
      <c r="C72" s="44" t="s">
        <v>62</v>
      </c>
      <c r="D72" s="44" t="s">
        <v>57</v>
      </c>
      <c r="E72" s="117">
        <v>0</v>
      </c>
    </row>
    <row r="73" spans="1:5" x14ac:dyDescent="0.25">
      <c r="A73" s="117">
        <v>11</v>
      </c>
      <c r="B73" s="115" t="s">
        <v>14</v>
      </c>
      <c r="C73" s="44" t="s">
        <v>62</v>
      </c>
      <c r="D73" s="44" t="s">
        <v>57</v>
      </c>
      <c r="E73" s="117">
        <v>0</v>
      </c>
    </row>
    <row r="74" spans="1:5" x14ac:dyDescent="0.25">
      <c r="A74" s="116">
        <v>3</v>
      </c>
      <c r="B74" s="114" t="s">
        <v>111</v>
      </c>
      <c r="C74" s="45" t="s">
        <v>62</v>
      </c>
      <c r="D74" s="45" t="s">
        <v>57</v>
      </c>
      <c r="E74" s="116">
        <v>0</v>
      </c>
    </row>
    <row r="75" spans="1:5" x14ac:dyDescent="0.25">
      <c r="A75" s="116">
        <v>4</v>
      </c>
      <c r="B75" s="114" t="s">
        <v>111</v>
      </c>
      <c r="C75" s="45" t="s">
        <v>62</v>
      </c>
      <c r="D75" s="45" t="s">
        <v>57</v>
      </c>
      <c r="E75" s="116">
        <v>0</v>
      </c>
    </row>
    <row r="76" spans="1:5" x14ac:dyDescent="0.25">
      <c r="A76" s="116">
        <v>5</v>
      </c>
      <c r="B76" s="114" t="s">
        <v>111</v>
      </c>
      <c r="C76" s="45" t="s">
        <v>62</v>
      </c>
      <c r="D76" s="45" t="s">
        <v>57</v>
      </c>
      <c r="E76" s="116">
        <v>0</v>
      </c>
    </row>
    <row r="77" spans="1:5" x14ac:dyDescent="0.25">
      <c r="A77" s="116">
        <v>6</v>
      </c>
      <c r="B77" s="114" t="s">
        <v>111</v>
      </c>
      <c r="C77" s="45" t="s">
        <v>62</v>
      </c>
      <c r="D77" s="45" t="s">
        <v>57</v>
      </c>
      <c r="E77" s="116">
        <v>0</v>
      </c>
    </row>
    <row r="78" spans="1:5" x14ac:dyDescent="0.25">
      <c r="A78" s="116">
        <v>7</v>
      </c>
      <c r="B78" s="114" t="s">
        <v>111</v>
      </c>
      <c r="C78" s="45" t="s">
        <v>62</v>
      </c>
      <c r="D78" s="45" t="s">
        <v>57</v>
      </c>
      <c r="E78" s="116">
        <v>0</v>
      </c>
    </row>
    <row r="79" spans="1:5" x14ac:dyDescent="0.25">
      <c r="A79" s="116">
        <v>8</v>
      </c>
      <c r="B79" s="114" t="s">
        <v>111</v>
      </c>
      <c r="C79" s="45" t="s">
        <v>62</v>
      </c>
      <c r="D79" s="45" t="s">
        <v>57</v>
      </c>
      <c r="E79" s="116">
        <v>0</v>
      </c>
    </row>
    <row r="80" spans="1:5" x14ac:dyDescent="0.25">
      <c r="A80" s="116">
        <v>9</v>
      </c>
      <c r="B80" s="114" t="s">
        <v>111</v>
      </c>
      <c r="C80" s="45" t="s">
        <v>62</v>
      </c>
      <c r="D80" s="45" t="s">
        <v>57</v>
      </c>
      <c r="E80" s="116">
        <v>0</v>
      </c>
    </row>
    <row r="81" spans="1:5" x14ac:dyDescent="0.25">
      <c r="A81" s="116">
        <v>10</v>
      </c>
      <c r="B81" s="114" t="s">
        <v>111</v>
      </c>
      <c r="C81" s="45" t="s">
        <v>62</v>
      </c>
      <c r="D81" s="45" t="s">
        <v>57</v>
      </c>
      <c r="E81" s="116">
        <v>16.511976000000001</v>
      </c>
    </row>
    <row r="82" spans="1:5" x14ac:dyDescent="0.25">
      <c r="A82" s="116">
        <v>11</v>
      </c>
      <c r="B82" s="114" t="s">
        <v>111</v>
      </c>
      <c r="C82" s="45" t="s">
        <v>62</v>
      </c>
      <c r="D82" s="45" t="s">
        <v>57</v>
      </c>
      <c r="E82" s="116">
        <v>0</v>
      </c>
    </row>
    <row r="83" spans="1:5" x14ac:dyDescent="0.25">
      <c r="A83" s="117">
        <v>3</v>
      </c>
      <c r="B83" s="115" t="s">
        <v>22</v>
      </c>
      <c r="C83" s="44" t="s">
        <v>87</v>
      </c>
      <c r="D83" s="44" t="s">
        <v>57</v>
      </c>
      <c r="E83" s="117">
        <v>0</v>
      </c>
    </row>
    <row r="84" spans="1:5" x14ac:dyDescent="0.25">
      <c r="A84" s="117">
        <v>4</v>
      </c>
      <c r="B84" s="115" t="s">
        <v>22</v>
      </c>
      <c r="C84" s="44" t="s">
        <v>87</v>
      </c>
      <c r="D84" s="44" t="s">
        <v>57</v>
      </c>
      <c r="E84" s="117">
        <v>0</v>
      </c>
    </row>
    <row r="85" spans="1:5" x14ac:dyDescent="0.25">
      <c r="A85" s="117">
        <v>5</v>
      </c>
      <c r="B85" s="115" t="s">
        <v>22</v>
      </c>
      <c r="C85" s="44" t="s">
        <v>87</v>
      </c>
      <c r="D85" s="44" t="s">
        <v>57</v>
      </c>
      <c r="E85" s="117">
        <v>0</v>
      </c>
    </row>
    <row r="86" spans="1:5" x14ac:dyDescent="0.25">
      <c r="A86" s="117">
        <v>6</v>
      </c>
      <c r="B86" s="115" t="s">
        <v>22</v>
      </c>
      <c r="C86" s="44" t="s">
        <v>87</v>
      </c>
      <c r="D86" s="44" t="s">
        <v>57</v>
      </c>
      <c r="E86" s="117">
        <v>454.7</v>
      </c>
    </row>
    <row r="87" spans="1:5" x14ac:dyDescent="0.25">
      <c r="A87" s="117">
        <v>7</v>
      </c>
      <c r="B87" s="115" t="s">
        <v>22</v>
      </c>
      <c r="C87" s="44" t="s">
        <v>87</v>
      </c>
      <c r="D87" s="44" t="s">
        <v>57</v>
      </c>
      <c r="E87" s="117">
        <v>129.69999999999999</v>
      </c>
    </row>
    <row r="88" spans="1:5" x14ac:dyDescent="0.25">
      <c r="A88" s="117">
        <v>8</v>
      </c>
      <c r="B88" s="115" t="s">
        <v>22</v>
      </c>
      <c r="C88" s="44" t="s">
        <v>87</v>
      </c>
      <c r="D88" s="44" t="s">
        <v>57</v>
      </c>
      <c r="E88" s="117">
        <v>0</v>
      </c>
    </row>
    <row r="89" spans="1:5" x14ac:dyDescent="0.25">
      <c r="A89" s="117">
        <v>9</v>
      </c>
      <c r="B89" s="115" t="s">
        <v>22</v>
      </c>
      <c r="C89" s="44" t="s">
        <v>87</v>
      </c>
      <c r="D89" s="44" t="s">
        <v>57</v>
      </c>
      <c r="E89" s="117">
        <v>0</v>
      </c>
    </row>
    <row r="90" spans="1:5" x14ac:dyDescent="0.25">
      <c r="A90" s="117">
        <v>10</v>
      </c>
      <c r="B90" s="115" t="s">
        <v>22</v>
      </c>
      <c r="C90" s="44" t="s">
        <v>87</v>
      </c>
      <c r="D90" s="44" t="s">
        <v>57</v>
      </c>
      <c r="E90" s="117">
        <v>0</v>
      </c>
    </row>
    <row r="91" spans="1:5" x14ac:dyDescent="0.25">
      <c r="A91" s="117">
        <v>11</v>
      </c>
      <c r="B91" s="115" t="s">
        <v>22</v>
      </c>
      <c r="C91" s="44" t="s">
        <v>87</v>
      </c>
      <c r="D91" s="44" t="s">
        <v>57</v>
      </c>
      <c r="E91" s="117">
        <v>0</v>
      </c>
    </row>
    <row r="92" spans="1:5" x14ac:dyDescent="0.25">
      <c r="A92" s="116">
        <v>3</v>
      </c>
      <c r="B92" s="114" t="s">
        <v>23</v>
      </c>
      <c r="C92" s="45" t="s">
        <v>87</v>
      </c>
      <c r="D92" s="45" t="s">
        <v>57</v>
      </c>
      <c r="E92" s="116">
        <v>0</v>
      </c>
    </row>
    <row r="93" spans="1:5" x14ac:dyDescent="0.25">
      <c r="A93" s="116">
        <v>4</v>
      </c>
      <c r="B93" s="114" t="s">
        <v>23</v>
      </c>
      <c r="C93" s="45" t="s">
        <v>87</v>
      </c>
      <c r="D93" s="45" t="s">
        <v>57</v>
      </c>
      <c r="E93" s="116">
        <v>0</v>
      </c>
    </row>
    <row r="94" spans="1:5" x14ac:dyDescent="0.25">
      <c r="A94" s="116">
        <v>5</v>
      </c>
      <c r="B94" s="114" t="s">
        <v>23</v>
      </c>
      <c r="C94" s="45" t="s">
        <v>87</v>
      </c>
      <c r="D94" s="45" t="s">
        <v>57</v>
      </c>
      <c r="E94" s="116">
        <v>0</v>
      </c>
    </row>
    <row r="95" spans="1:5" x14ac:dyDescent="0.25">
      <c r="A95" s="116">
        <v>6</v>
      </c>
      <c r="B95" s="114" t="s">
        <v>23</v>
      </c>
      <c r="C95" s="45" t="s">
        <v>87</v>
      </c>
      <c r="D95" s="45" t="s">
        <v>57</v>
      </c>
      <c r="E95" s="116">
        <v>0</v>
      </c>
    </row>
    <row r="96" spans="1:5" x14ac:dyDescent="0.25">
      <c r="A96" s="116">
        <v>7</v>
      </c>
      <c r="B96" s="114" t="s">
        <v>23</v>
      </c>
      <c r="C96" s="45" t="s">
        <v>87</v>
      </c>
      <c r="D96" s="45" t="s">
        <v>57</v>
      </c>
      <c r="E96" s="116">
        <v>0</v>
      </c>
    </row>
    <row r="97" spans="1:5" x14ac:dyDescent="0.25">
      <c r="A97" s="116">
        <v>8</v>
      </c>
      <c r="B97" s="114" t="s">
        <v>23</v>
      </c>
      <c r="C97" s="45" t="s">
        <v>87</v>
      </c>
      <c r="D97" s="45" t="s">
        <v>57</v>
      </c>
      <c r="E97" s="116">
        <v>0</v>
      </c>
    </row>
    <row r="98" spans="1:5" x14ac:dyDescent="0.25">
      <c r="A98" s="116">
        <v>9</v>
      </c>
      <c r="B98" s="114" t="s">
        <v>23</v>
      </c>
      <c r="C98" s="45" t="s">
        <v>87</v>
      </c>
      <c r="D98" s="45" t="s">
        <v>57</v>
      </c>
      <c r="E98" s="116">
        <v>0</v>
      </c>
    </row>
    <row r="99" spans="1:5" x14ac:dyDescent="0.25">
      <c r="A99" s="116">
        <v>10</v>
      </c>
      <c r="B99" s="114" t="s">
        <v>23</v>
      </c>
      <c r="C99" s="45" t="s">
        <v>87</v>
      </c>
      <c r="D99" s="45" t="s">
        <v>57</v>
      </c>
      <c r="E99" s="116">
        <v>0</v>
      </c>
    </row>
    <row r="100" spans="1:5" x14ac:dyDescent="0.25">
      <c r="A100" s="116">
        <v>11</v>
      </c>
      <c r="B100" s="114" t="s">
        <v>23</v>
      </c>
      <c r="C100" s="45" t="s">
        <v>87</v>
      </c>
      <c r="D100" s="45" t="s">
        <v>57</v>
      </c>
      <c r="E100" s="116">
        <v>0</v>
      </c>
    </row>
    <row r="101" spans="1:5" x14ac:dyDescent="0.25">
      <c r="A101" s="117">
        <v>3</v>
      </c>
      <c r="B101" s="115" t="s">
        <v>108</v>
      </c>
      <c r="C101" s="44" t="s">
        <v>87</v>
      </c>
      <c r="D101" s="44" t="s">
        <v>57</v>
      </c>
      <c r="E101" s="117">
        <v>0</v>
      </c>
    </row>
    <row r="102" spans="1:5" x14ac:dyDescent="0.25">
      <c r="A102" s="117">
        <v>4</v>
      </c>
      <c r="B102" s="115" t="s">
        <v>108</v>
      </c>
      <c r="C102" s="44" t="s">
        <v>87</v>
      </c>
      <c r="D102" s="44" t="s">
        <v>57</v>
      </c>
      <c r="E102" s="117">
        <v>0</v>
      </c>
    </row>
    <row r="103" spans="1:5" x14ac:dyDescent="0.25">
      <c r="A103" s="117">
        <v>5</v>
      </c>
      <c r="B103" s="115" t="s">
        <v>108</v>
      </c>
      <c r="C103" s="44" t="s">
        <v>87</v>
      </c>
      <c r="D103" s="44" t="s">
        <v>57</v>
      </c>
      <c r="E103" s="117">
        <v>0</v>
      </c>
    </row>
    <row r="104" spans="1:5" x14ac:dyDescent="0.25">
      <c r="A104" s="117">
        <v>6</v>
      </c>
      <c r="B104" s="115" t="s">
        <v>108</v>
      </c>
      <c r="C104" s="44" t="s">
        <v>87</v>
      </c>
      <c r="D104" s="44" t="s">
        <v>57</v>
      </c>
      <c r="E104" s="117">
        <v>0</v>
      </c>
    </row>
    <row r="105" spans="1:5" x14ac:dyDescent="0.25">
      <c r="A105" s="117">
        <v>7</v>
      </c>
      <c r="B105" s="115" t="s">
        <v>108</v>
      </c>
      <c r="C105" s="44" t="s">
        <v>87</v>
      </c>
      <c r="D105" s="44" t="s">
        <v>57</v>
      </c>
      <c r="E105" s="117">
        <v>32.966667000000001</v>
      </c>
    </row>
    <row r="106" spans="1:5" x14ac:dyDescent="0.25">
      <c r="A106" s="117">
        <v>8</v>
      </c>
      <c r="B106" s="115" t="s">
        <v>108</v>
      </c>
      <c r="C106" s="44" t="s">
        <v>87</v>
      </c>
      <c r="D106" s="44" t="s">
        <v>57</v>
      </c>
      <c r="E106" s="117">
        <v>57.223939999999999</v>
      </c>
    </row>
    <row r="107" spans="1:5" x14ac:dyDescent="0.25">
      <c r="A107" s="117">
        <v>9</v>
      </c>
      <c r="B107" s="115" t="s">
        <v>108</v>
      </c>
      <c r="C107" s="44" t="s">
        <v>87</v>
      </c>
      <c r="D107" s="44" t="s">
        <v>57</v>
      </c>
      <c r="E107" s="117">
        <v>8.7093933000000003</v>
      </c>
    </row>
    <row r="108" spans="1:5" x14ac:dyDescent="0.25">
      <c r="A108" s="117">
        <v>10</v>
      </c>
      <c r="B108" s="115" t="s">
        <v>108</v>
      </c>
      <c r="C108" s="44" t="s">
        <v>87</v>
      </c>
      <c r="D108" s="44" t="s">
        <v>57</v>
      </c>
      <c r="E108" s="117">
        <v>0</v>
      </c>
    </row>
    <row r="109" spans="1:5" x14ac:dyDescent="0.25">
      <c r="A109" s="117">
        <v>11</v>
      </c>
      <c r="B109" s="115" t="s">
        <v>108</v>
      </c>
      <c r="C109" s="44" t="s">
        <v>87</v>
      </c>
      <c r="D109" s="44" t="s">
        <v>57</v>
      </c>
      <c r="E109" s="117">
        <v>0</v>
      </c>
    </row>
    <row r="110" spans="1:5" x14ac:dyDescent="0.25">
      <c r="A110" s="116">
        <v>3</v>
      </c>
      <c r="B110" s="114" t="s">
        <v>24</v>
      </c>
      <c r="C110" s="45" t="s">
        <v>87</v>
      </c>
      <c r="D110" s="45" t="s">
        <v>57</v>
      </c>
      <c r="E110" s="116">
        <v>0</v>
      </c>
    </row>
    <row r="111" spans="1:5" x14ac:dyDescent="0.25">
      <c r="A111" s="116">
        <v>4</v>
      </c>
      <c r="B111" s="114" t="s">
        <v>24</v>
      </c>
      <c r="C111" s="45" t="s">
        <v>87</v>
      </c>
      <c r="D111" s="45" t="s">
        <v>57</v>
      </c>
      <c r="E111" s="116">
        <v>0</v>
      </c>
    </row>
    <row r="112" spans="1:5" x14ac:dyDescent="0.25">
      <c r="A112" s="116">
        <v>5</v>
      </c>
      <c r="B112" s="114" t="s">
        <v>24</v>
      </c>
      <c r="C112" s="45" t="s">
        <v>87</v>
      </c>
      <c r="D112" s="45" t="s">
        <v>57</v>
      </c>
      <c r="E112" s="116">
        <v>0</v>
      </c>
    </row>
    <row r="113" spans="1:5" x14ac:dyDescent="0.25">
      <c r="A113" s="116">
        <v>6</v>
      </c>
      <c r="B113" s="114" t="s">
        <v>24</v>
      </c>
      <c r="C113" s="45" t="s">
        <v>87</v>
      </c>
      <c r="D113" s="45" t="s">
        <v>57</v>
      </c>
      <c r="E113" s="116">
        <v>0</v>
      </c>
    </row>
    <row r="114" spans="1:5" x14ac:dyDescent="0.25">
      <c r="A114" s="116">
        <v>7</v>
      </c>
      <c r="B114" s="114" t="s">
        <v>24</v>
      </c>
      <c r="C114" s="45" t="s">
        <v>87</v>
      </c>
      <c r="D114" s="45" t="s">
        <v>57</v>
      </c>
      <c r="E114" s="116">
        <v>143.46666999999999</v>
      </c>
    </row>
    <row r="115" spans="1:5" x14ac:dyDescent="0.25">
      <c r="A115" s="116">
        <v>8</v>
      </c>
      <c r="B115" s="114" t="s">
        <v>24</v>
      </c>
      <c r="C115" s="45" t="s">
        <v>87</v>
      </c>
      <c r="D115" s="45" t="s">
        <v>57</v>
      </c>
      <c r="E115" s="116">
        <v>24.433333000000001</v>
      </c>
    </row>
    <row r="116" spans="1:5" x14ac:dyDescent="0.25">
      <c r="A116" s="116">
        <v>9</v>
      </c>
      <c r="B116" s="114" t="s">
        <v>24</v>
      </c>
      <c r="C116" s="45" t="s">
        <v>87</v>
      </c>
      <c r="D116" s="45" t="s">
        <v>57</v>
      </c>
      <c r="E116" s="116">
        <v>0</v>
      </c>
    </row>
    <row r="117" spans="1:5" x14ac:dyDescent="0.25">
      <c r="A117" s="116">
        <v>10</v>
      </c>
      <c r="B117" s="114" t="s">
        <v>24</v>
      </c>
      <c r="C117" s="45" t="s">
        <v>87</v>
      </c>
      <c r="D117" s="45" t="s">
        <v>57</v>
      </c>
      <c r="E117" s="116">
        <v>0</v>
      </c>
    </row>
    <row r="118" spans="1:5" x14ac:dyDescent="0.25">
      <c r="A118" s="116">
        <v>11</v>
      </c>
      <c r="B118" s="114" t="s">
        <v>24</v>
      </c>
      <c r="C118" s="45" t="s">
        <v>87</v>
      </c>
      <c r="D118" s="45" t="s">
        <v>57</v>
      </c>
      <c r="E118" s="116">
        <v>0</v>
      </c>
    </row>
    <row r="119" spans="1:5" x14ac:dyDescent="0.25">
      <c r="A119" s="117">
        <v>3</v>
      </c>
      <c r="B119" s="115" t="s">
        <v>109</v>
      </c>
      <c r="C119" s="44" t="s">
        <v>87</v>
      </c>
      <c r="D119" s="44" t="s">
        <v>57</v>
      </c>
      <c r="E119" s="117">
        <v>0</v>
      </c>
    </row>
    <row r="120" spans="1:5" x14ac:dyDescent="0.25">
      <c r="A120" s="117">
        <v>4</v>
      </c>
      <c r="B120" s="115" t="s">
        <v>109</v>
      </c>
      <c r="C120" s="44" t="s">
        <v>87</v>
      </c>
      <c r="D120" s="44" t="s">
        <v>57</v>
      </c>
      <c r="E120" s="117">
        <v>61.3</v>
      </c>
    </row>
    <row r="121" spans="1:5" x14ac:dyDescent="0.25">
      <c r="A121" s="117">
        <v>5</v>
      </c>
      <c r="B121" s="115" t="s">
        <v>109</v>
      </c>
      <c r="C121" s="44" t="s">
        <v>87</v>
      </c>
      <c r="D121" s="44" t="s">
        <v>57</v>
      </c>
      <c r="E121" s="117">
        <v>425.1</v>
      </c>
    </row>
    <row r="122" spans="1:5" x14ac:dyDescent="0.25">
      <c r="A122" s="117">
        <v>6</v>
      </c>
      <c r="B122" s="115" t="s">
        <v>109</v>
      </c>
      <c r="C122" s="44" t="s">
        <v>87</v>
      </c>
      <c r="D122" s="44" t="s">
        <v>57</v>
      </c>
      <c r="E122" s="117">
        <v>7.1</v>
      </c>
    </row>
    <row r="123" spans="1:5" x14ac:dyDescent="0.25">
      <c r="A123" s="117">
        <v>7</v>
      </c>
      <c r="B123" s="115" t="s">
        <v>109</v>
      </c>
      <c r="C123" s="44" t="s">
        <v>87</v>
      </c>
      <c r="D123" s="44" t="s">
        <v>57</v>
      </c>
      <c r="E123" s="117">
        <v>0</v>
      </c>
    </row>
    <row r="124" spans="1:5" x14ac:dyDescent="0.25">
      <c r="A124" s="117">
        <v>8</v>
      </c>
      <c r="B124" s="115" t="s">
        <v>109</v>
      </c>
      <c r="C124" s="44" t="s">
        <v>87</v>
      </c>
      <c r="D124" s="44" t="s">
        <v>57</v>
      </c>
      <c r="E124" s="117">
        <v>0</v>
      </c>
    </row>
    <row r="125" spans="1:5" x14ac:dyDescent="0.25">
      <c r="A125" s="117">
        <v>9</v>
      </c>
      <c r="B125" s="115" t="s">
        <v>109</v>
      </c>
      <c r="C125" s="44" t="s">
        <v>87</v>
      </c>
      <c r="D125" s="44" t="s">
        <v>57</v>
      </c>
      <c r="E125" s="117">
        <v>0</v>
      </c>
    </row>
    <row r="126" spans="1:5" x14ac:dyDescent="0.25">
      <c r="A126" s="117">
        <v>10</v>
      </c>
      <c r="B126" s="115" t="s">
        <v>109</v>
      </c>
      <c r="C126" s="44" t="s">
        <v>87</v>
      </c>
      <c r="D126" s="44" t="s">
        <v>57</v>
      </c>
      <c r="E126" s="117">
        <v>0</v>
      </c>
    </row>
    <row r="127" spans="1:5" x14ac:dyDescent="0.25">
      <c r="A127" s="117">
        <v>11</v>
      </c>
      <c r="B127" s="115" t="s">
        <v>109</v>
      </c>
      <c r="C127" s="44" t="s">
        <v>87</v>
      </c>
      <c r="D127" s="44" t="s">
        <v>57</v>
      </c>
      <c r="E127" s="117">
        <v>0</v>
      </c>
    </row>
    <row r="128" spans="1:5" x14ac:dyDescent="0.25">
      <c r="A128" s="116">
        <v>3</v>
      </c>
      <c r="B128" s="114" t="s">
        <v>110</v>
      </c>
      <c r="C128" s="45" t="s">
        <v>87</v>
      </c>
      <c r="D128" s="45" t="s">
        <v>57</v>
      </c>
      <c r="E128" s="116">
        <v>0</v>
      </c>
    </row>
    <row r="129" spans="1:5" x14ac:dyDescent="0.25">
      <c r="A129" s="116">
        <v>4</v>
      </c>
      <c r="B129" s="114" t="s">
        <v>110</v>
      </c>
      <c r="C129" s="45" t="s">
        <v>87</v>
      </c>
      <c r="D129" s="45" t="s">
        <v>57</v>
      </c>
      <c r="E129" s="116">
        <v>0</v>
      </c>
    </row>
    <row r="130" spans="1:5" x14ac:dyDescent="0.25">
      <c r="A130" s="116">
        <v>5</v>
      </c>
      <c r="B130" s="114" t="s">
        <v>110</v>
      </c>
      <c r="C130" s="45" t="s">
        <v>87</v>
      </c>
      <c r="D130" s="45" t="s">
        <v>57</v>
      </c>
      <c r="E130" s="116">
        <v>0</v>
      </c>
    </row>
    <row r="131" spans="1:5" x14ac:dyDescent="0.25">
      <c r="A131" s="116">
        <v>6</v>
      </c>
      <c r="B131" s="114" t="s">
        <v>110</v>
      </c>
      <c r="C131" s="45" t="s">
        <v>87</v>
      </c>
      <c r="D131" s="45" t="s">
        <v>57</v>
      </c>
      <c r="E131" s="116">
        <v>0</v>
      </c>
    </row>
    <row r="132" spans="1:5" x14ac:dyDescent="0.25">
      <c r="A132" s="116">
        <v>7</v>
      </c>
      <c r="B132" s="114" t="s">
        <v>110</v>
      </c>
      <c r="C132" s="45" t="s">
        <v>87</v>
      </c>
      <c r="D132" s="45" t="s">
        <v>57</v>
      </c>
      <c r="E132" s="116">
        <v>0</v>
      </c>
    </row>
    <row r="133" spans="1:5" x14ac:dyDescent="0.25">
      <c r="A133" s="116">
        <v>8</v>
      </c>
      <c r="B133" s="114" t="s">
        <v>110</v>
      </c>
      <c r="C133" s="45" t="s">
        <v>87</v>
      </c>
      <c r="D133" s="45" t="s">
        <v>57</v>
      </c>
      <c r="E133" s="116">
        <v>83.444176999999996</v>
      </c>
    </row>
    <row r="134" spans="1:5" x14ac:dyDescent="0.25">
      <c r="A134" s="116">
        <v>9</v>
      </c>
      <c r="B134" s="114" t="s">
        <v>110</v>
      </c>
      <c r="C134" s="45" t="s">
        <v>87</v>
      </c>
      <c r="D134" s="45" t="s">
        <v>57</v>
      </c>
      <c r="E134" s="116">
        <v>0</v>
      </c>
    </row>
    <row r="135" spans="1:5" x14ac:dyDescent="0.25">
      <c r="A135" s="116">
        <v>10</v>
      </c>
      <c r="B135" s="114" t="s">
        <v>110</v>
      </c>
      <c r="C135" s="45" t="s">
        <v>87</v>
      </c>
      <c r="D135" s="45" t="s">
        <v>57</v>
      </c>
      <c r="E135" s="116">
        <v>8.2891566000000001</v>
      </c>
    </row>
    <row r="136" spans="1:5" x14ac:dyDescent="0.25">
      <c r="A136" s="116">
        <v>11</v>
      </c>
      <c r="B136" s="114" t="s">
        <v>110</v>
      </c>
      <c r="C136" s="45" t="s">
        <v>87</v>
      </c>
      <c r="D136" s="45" t="s">
        <v>57</v>
      </c>
      <c r="E136" s="116">
        <v>0</v>
      </c>
    </row>
    <row r="137" spans="1:5" x14ac:dyDescent="0.25">
      <c r="A137" s="118">
        <v>3</v>
      </c>
      <c r="B137" s="114" t="s">
        <v>88</v>
      </c>
      <c r="C137" s="45" t="s">
        <v>62</v>
      </c>
      <c r="D137" s="45" t="s">
        <v>58</v>
      </c>
      <c r="E137" s="118">
        <v>2880</v>
      </c>
    </row>
    <row r="138" spans="1:5" x14ac:dyDescent="0.25">
      <c r="A138" s="118">
        <v>4</v>
      </c>
      <c r="B138" s="114" t="s">
        <v>88</v>
      </c>
      <c r="C138" s="45" t="s">
        <v>62</v>
      </c>
      <c r="D138" s="45" t="s">
        <v>58</v>
      </c>
      <c r="E138" s="118">
        <v>2804.1</v>
      </c>
    </row>
    <row r="139" spans="1:5" x14ac:dyDescent="0.25">
      <c r="A139" s="118">
        <v>5</v>
      </c>
      <c r="B139" s="114" t="s">
        <v>88</v>
      </c>
      <c r="C139" s="45" t="s">
        <v>62</v>
      </c>
      <c r="D139" s="45" t="s">
        <v>58</v>
      </c>
      <c r="E139" s="118">
        <v>2418.3000000000002</v>
      </c>
    </row>
    <row r="140" spans="1:5" x14ac:dyDescent="0.25">
      <c r="A140" s="118">
        <v>6</v>
      </c>
      <c r="B140" s="114" t="s">
        <v>88</v>
      </c>
      <c r="C140" s="45" t="s">
        <v>62</v>
      </c>
      <c r="D140" s="45" t="s">
        <v>58</v>
      </c>
      <c r="E140" s="118">
        <v>1359.9</v>
      </c>
    </row>
    <row r="141" spans="1:5" x14ac:dyDescent="0.25">
      <c r="A141" s="118">
        <v>7</v>
      </c>
      <c r="B141" s="114" t="s">
        <v>88</v>
      </c>
      <c r="C141" s="45" t="s">
        <v>62</v>
      </c>
      <c r="D141" s="45" t="s">
        <v>58</v>
      </c>
      <c r="E141" s="118">
        <v>1330.6</v>
      </c>
    </row>
    <row r="142" spans="1:5" x14ac:dyDescent="0.25">
      <c r="A142" s="118">
        <v>8</v>
      </c>
      <c r="B142" s="114" t="s">
        <v>88</v>
      </c>
      <c r="C142" s="45" t="s">
        <v>62</v>
      </c>
      <c r="D142" s="45" t="s">
        <v>58</v>
      </c>
      <c r="E142" s="118">
        <v>2396.6327999999999</v>
      </c>
    </row>
    <row r="143" spans="1:5" x14ac:dyDescent="0.25">
      <c r="A143" s="118">
        <v>9</v>
      </c>
      <c r="B143" s="114" t="s">
        <v>88</v>
      </c>
      <c r="C143" s="45" t="s">
        <v>62</v>
      </c>
      <c r="D143" s="45" t="s">
        <v>58</v>
      </c>
      <c r="E143" s="118">
        <v>2364.5628999999999</v>
      </c>
    </row>
    <row r="144" spans="1:5" x14ac:dyDescent="0.25">
      <c r="A144" s="118">
        <v>10</v>
      </c>
      <c r="B144" s="114" t="s">
        <v>88</v>
      </c>
      <c r="C144" s="45" t="s">
        <v>62</v>
      </c>
      <c r="D144" s="45" t="s">
        <v>58</v>
      </c>
      <c r="E144" s="118">
        <v>2627.8586</v>
      </c>
    </row>
    <row r="145" spans="1:5" x14ac:dyDescent="0.25">
      <c r="A145" s="118">
        <v>11</v>
      </c>
      <c r="B145" s="114" t="s">
        <v>88</v>
      </c>
      <c r="C145" s="45" t="s">
        <v>62</v>
      </c>
      <c r="D145" s="45" t="s">
        <v>58</v>
      </c>
      <c r="E145" s="118">
        <v>2672.7</v>
      </c>
    </row>
    <row r="146" spans="1:5" x14ac:dyDescent="0.25">
      <c r="A146" s="119">
        <v>3</v>
      </c>
      <c r="B146" s="115" t="s">
        <v>89</v>
      </c>
      <c r="C146" s="44" t="s">
        <v>87</v>
      </c>
      <c r="D146" s="44" t="s">
        <v>58</v>
      </c>
      <c r="E146" s="119">
        <v>4700.8999999999996</v>
      </c>
    </row>
    <row r="147" spans="1:5" x14ac:dyDescent="0.25">
      <c r="A147" s="119">
        <v>4</v>
      </c>
      <c r="B147" s="115" t="s">
        <v>89</v>
      </c>
      <c r="C147" s="44" t="s">
        <v>87</v>
      </c>
      <c r="D147" s="44" t="s">
        <v>58</v>
      </c>
      <c r="E147" s="119">
        <v>5120</v>
      </c>
    </row>
    <row r="148" spans="1:5" x14ac:dyDescent="0.25">
      <c r="A148" s="119">
        <v>5</v>
      </c>
      <c r="B148" s="115" t="s">
        <v>89</v>
      </c>
      <c r="C148" s="44" t="s">
        <v>87</v>
      </c>
      <c r="D148" s="44" t="s">
        <v>58</v>
      </c>
      <c r="E148" s="119">
        <v>4800</v>
      </c>
    </row>
    <row r="149" spans="1:5" x14ac:dyDescent="0.25">
      <c r="A149" s="119">
        <v>6</v>
      </c>
      <c r="B149" s="115" t="s">
        <v>89</v>
      </c>
      <c r="C149" s="44" t="s">
        <v>87</v>
      </c>
      <c r="D149" s="44" t="s">
        <v>58</v>
      </c>
      <c r="E149" s="119">
        <v>4437</v>
      </c>
    </row>
    <row r="150" spans="1:5" x14ac:dyDescent="0.25">
      <c r="A150" s="119">
        <v>7</v>
      </c>
      <c r="B150" s="115" t="s">
        <v>89</v>
      </c>
      <c r="C150" s="44" t="s">
        <v>87</v>
      </c>
      <c r="D150" s="44" t="s">
        <v>58</v>
      </c>
      <c r="E150" s="119">
        <v>4674.1333000000004</v>
      </c>
    </row>
    <row r="151" spans="1:5" x14ac:dyDescent="0.25">
      <c r="A151" s="119">
        <v>8</v>
      </c>
      <c r="B151" s="115" t="s">
        <v>89</v>
      </c>
      <c r="C151" s="44" t="s">
        <v>87</v>
      </c>
      <c r="D151" s="44" t="s">
        <v>58</v>
      </c>
      <c r="E151" s="119">
        <v>4960</v>
      </c>
    </row>
    <row r="152" spans="1:5" x14ac:dyDescent="0.25">
      <c r="A152" s="119">
        <v>9</v>
      </c>
      <c r="B152" s="115" t="s">
        <v>89</v>
      </c>
      <c r="C152" s="44" t="s">
        <v>87</v>
      </c>
      <c r="D152" s="44" t="s">
        <v>58</v>
      </c>
      <c r="E152" s="119">
        <v>4640</v>
      </c>
    </row>
    <row r="153" spans="1:5" x14ac:dyDescent="0.25">
      <c r="A153" s="119">
        <v>10</v>
      </c>
      <c r="B153" s="115" t="s">
        <v>89</v>
      </c>
      <c r="C153" s="44" t="s">
        <v>87</v>
      </c>
      <c r="D153" s="44" t="s">
        <v>58</v>
      </c>
      <c r="E153" s="119">
        <v>4400</v>
      </c>
    </row>
    <row r="154" spans="1:5" x14ac:dyDescent="0.25">
      <c r="A154" s="119">
        <v>11</v>
      </c>
      <c r="B154" s="115" t="s">
        <v>89</v>
      </c>
      <c r="C154" s="44" t="s">
        <v>87</v>
      </c>
      <c r="D154" s="44" t="s">
        <v>58</v>
      </c>
      <c r="E154" s="119">
        <v>4880</v>
      </c>
    </row>
    <row r="155" spans="1:5" x14ac:dyDescent="0.25">
      <c r="A155" s="118">
        <v>3</v>
      </c>
      <c r="B155" s="114" t="s">
        <v>9</v>
      </c>
      <c r="C155" s="45" t="s">
        <v>62</v>
      </c>
      <c r="D155" s="45" t="s">
        <v>58</v>
      </c>
      <c r="E155" s="118">
        <v>0</v>
      </c>
    </row>
    <row r="156" spans="1:5" x14ac:dyDescent="0.25">
      <c r="A156" s="118">
        <v>4</v>
      </c>
      <c r="B156" s="114" t="s">
        <v>9</v>
      </c>
      <c r="C156" s="45" t="s">
        <v>62</v>
      </c>
      <c r="D156" s="45" t="s">
        <v>58</v>
      </c>
      <c r="E156" s="118">
        <v>0</v>
      </c>
    </row>
    <row r="157" spans="1:5" x14ac:dyDescent="0.25">
      <c r="A157" s="118">
        <v>5</v>
      </c>
      <c r="B157" s="114" t="s">
        <v>9</v>
      </c>
      <c r="C157" s="45" t="s">
        <v>62</v>
      </c>
      <c r="D157" s="45" t="s">
        <v>58</v>
      </c>
      <c r="E157" s="118">
        <v>0</v>
      </c>
    </row>
    <row r="158" spans="1:5" x14ac:dyDescent="0.25">
      <c r="A158" s="118">
        <v>6</v>
      </c>
      <c r="B158" s="114" t="s">
        <v>9</v>
      </c>
      <c r="C158" s="45" t="s">
        <v>62</v>
      </c>
      <c r="D158" s="45" t="s">
        <v>58</v>
      </c>
      <c r="E158" s="118">
        <v>132.91408999999999</v>
      </c>
    </row>
    <row r="159" spans="1:5" x14ac:dyDescent="0.25">
      <c r="A159" s="118">
        <v>7</v>
      </c>
      <c r="B159" s="114" t="s">
        <v>9</v>
      </c>
      <c r="C159" s="45" t="s">
        <v>62</v>
      </c>
      <c r="D159" s="45" t="s">
        <v>58</v>
      </c>
      <c r="E159" s="118">
        <v>259.79935</v>
      </c>
    </row>
    <row r="160" spans="1:5" x14ac:dyDescent="0.25">
      <c r="A160" s="118">
        <v>8</v>
      </c>
      <c r="B160" s="114" t="s">
        <v>9</v>
      </c>
      <c r="C160" s="45" t="s">
        <v>62</v>
      </c>
      <c r="D160" s="45" t="s">
        <v>58</v>
      </c>
      <c r="E160" s="118">
        <v>0</v>
      </c>
    </row>
    <row r="161" spans="1:5" x14ac:dyDescent="0.25">
      <c r="A161" s="118">
        <v>9</v>
      </c>
      <c r="B161" s="114" t="s">
        <v>9</v>
      </c>
      <c r="C161" s="45" t="s">
        <v>62</v>
      </c>
      <c r="D161" s="45" t="s">
        <v>58</v>
      </c>
      <c r="E161" s="118">
        <v>0</v>
      </c>
    </row>
    <row r="162" spans="1:5" x14ac:dyDescent="0.25">
      <c r="A162" s="118">
        <v>10</v>
      </c>
      <c r="B162" s="114" t="s">
        <v>9</v>
      </c>
      <c r="C162" s="45" t="s">
        <v>62</v>
      </c>
      <c r="D162" s="45" t="s">
        <v>58</v>
      </c>
      <c r="E162" s="118">
        <v>0</v>
      </c>
    </row>
    <row r="163" spans="1:5" x14ac:dyDescent="0.25">
      <c r="A163" s="118">
        <v>11</v>
      </c>
      <c r="B163" s="114" t="s">
        <v>9</v>
      </c>
      <c r="C163" s="45" t="s">
        <v>62</v>
      </c>
      <c r="D163" s="45" t="s">
        <v>58</v>
      </c>
      <c r="E163" s="118">
        <v>0</v>
      </c>
    </row>
    <row r="164" spans="1:5" x14ac:dyDescent="0.25">
      <c r="A164" s="119">
        <v>3</v>
      </c>
      <c r="B164" s="115" t="s">
        <v>10</v>
      </c>
      <c r="C164" s="44" t="s">
        <v>62</v>
      </c>
      <c r="D164" s="44" t="s">
        <v>58</v>
      </c>
      <c r="E164" s="119">
        <v>0</v>
      </c>
    </row>
    <row r="165" spans="1:5" x14ac:dyDescent="0.25">
      <c r="A165" s="119">
        <v>4</v>
      </c>
      <c r="B165" s="115" t="s">
        <v>10</v>
      </c>
      <c r="C165" s="44" t="s">
        <v>62</v>
      </c>
      <c r="D165" s="44" t="s">
        <v>58</v>
      </c>
      <c r="E165" s="119">
        <v>0</v>
      </c>
    </row>
    <row r="166" spans="1:5" x14ac:dyDescent="0.25">
      <c r="A166" s="119">
        <v>5</v>
      </c>
      <c r="B166" s="115" t="s">
        <v>10</v>
      </c>
      <c r="C166" s="44" t="s">
        <v>62</v>
      </c>
      <c r="D166" s="44" t="s">
        <v>58</v>
      </c>
      <c r="E166" s="119">
        <v>0</v>
      </c>
    </row>
    <row r="167" spans="1:5" x14ac:dyDescent="0.25">
      <c r="A167" s="119">
        <v>6</v>
      </c>
      <c r="B167" s="115" t="s">
        <v>10</v>
      </c>
      <c r="C167" s="44" t="s">
        <v>62</v>
      </c>
      <c r="D167" s="44" t="s">
        <v>58</v>
      </c>
      <c r="E167" s="119">
        <v>426.40906999999999</v>
      </c>
    </row>
    <row r="168" spans="1:5" x14ac:dyDescent="0.25">
      <c r="A168" s="119">
        <v>7</v>
      </c>
      <c r="B168" s="115" t="s">
        <v>10</v>
      </c>
      <c r="C168" s="44" t="s">
        <v>62</v>
      </c>
      <c r="D168" s="44" t="s">
        <v>58</v>
      </c>
      <c r="E168" s="119">
        <v>0</v>
      </c>
    </row>
    <row r="169" spans="1:5" x14ac:dyDescent="0.25">
      <c r="A169" s="119">
        <v>8</v>
      </c>
      <c r="B169" s="115" t="s">
        <v>10</v>
      </c>
      <c r="C169" s="44" t="s">
        <v>62</v>
      </c>
      <c r="D169" s="44" t="s">
        <v>58</v>
      </c>
      <c r="E169" s="119">
        <v>0</v>
      </c>
    </row>
    <row r="170" spans="1:5" x14ac:dyDescent="0.25">
      <c r="A170" s="119">
        <v>9</v>
      </c>
      <c r="B170" s="115" t="s">
        <v>10</v>
      </c>
      <c r="C170" s="44" t="s">
        <v>62</v>
      </c>
      <c r="D170" s="44" t="s">
        <v>58</v>
      </c>
      <c r="E170" s="119">
        <v>0</v>
      </c>
    </row>
    <row r="171" spans="1:5" x14ac:dyDescent="0.25">
      <c r="A171" s="119">
        <v>10</v>
      </c>
      <c r="B171" s="115" t="s">
        <v>10</v>
      </c>
      <c r="C171" s="44" t="s">
        <v>62</v>
      </c>
      <c r="D171" s="44" t="s">
        <v>58</v>
      </c>
      <c r="E171" s="119">
        <v>0</v>
      </c>
    </row>
    <row r="172" spans="1:5" x14ac:dyDescent="0.25">
      <c r="A172" s="119">
        <v>11</v>
      </c>
      <c r="B172" s="115" t="s">
        <v>10</v>
      </c>
      <c r="C172" s="44" t="s">
        <v>62</v>
      </c>
      <c r="D172" s="44" t="s">
        <v>58</v>
      </c>
      <c r="E172" s="119">
        <v>0</v>
      </c>
    </row>
    <row r="173" spans="1:5" x14ac:dyDescent="0.25">
      <c r="A173" s="118">
        <v>3</v>
      </c>
      <c r="B173" s="114" t="s">
        <v>11</v>
      </c>
      <c r="C173" s="45" t="s">
        <v>62</v>
      </c>
      <c r="D173" s="45" t="s">
        <v>58</v>
      </c>
      <c r="E173" s="118">
        <v>0</v>
      </c>
    </row>
    <row r="174" spans="1:5" x14ac:dyDescent="0.25">
      <c r="A174" s="118">
        <v>4</v>
      </c>
      <c r="B174" s="114" t="s">
        <v>11</v>
      </c>
      <c r="C174" s="45" t="s">
        <v>62</v>
      </c>
      <c r="D174" s="45" t="s">
        <v>58</v>
      </c>
      <c r="E174" s="118">
        <v>0</v>
      </c>
    </row>
    <row r="175" spans="1:5" x14ac:dyDescent="0.25">
      <c r="A175" s="118">
        <v>5</v>
      </c>
      <c r="B175" s="114" t="s">
        <v>11</v>
      </c>
      <c r="C175" s="45" t="s">
        <v>62</v>
      </c>
      <c r="D175" s="45" t="s">
        <v>58</v>
      </c>
      <c r="E175" s="118">
        <v>0</v>
      </c>
    </row>
    <row r="176" spans="1:5" x14ac:dyDescent="0.25">
      <c r="A176" s="118">
        <v>6</v>
      </c>
      <c r="B176" s="114" t="s">
        <v>11</v>
      </c>
      <c r="C176" s="45" t="s">
        <v>62</v>
      </c>
      <c r="D176" s="45" t="s">
        <v>58</v>
      </c>
      <c r="E176" s="118">
        <v>2.5366401000000001</v>
      </c>
    </row>
    <row r="177" spans="1:5" x14ac:dyDescent="0.25">
      <c r="A177" s="118">
        <v>7</v>
      </c>
      <c r="B177" s="114" t="s">
        <v>11</v>
      </c>
      <c r="C177" s="45" t="s">
        <v>62</v>
      </c>
      <c r="D177" s="45" t="s">
        <v>58</v>
      </c>
      <c r="E177" s="118">
        <v>78.438550000000006</v>
      </c>
    </row>
    <row r="178" spans="1:5" x14ac:dyDescent="0.25">
      <c r="A178" s="118">
        <v>8</v>
      </c>
      <c r="B178" s="114" t="s">
        <v>11</v>
      </c>
      <c r="C178" s="45" t="s">
        <v>62</v>
      </c>
      <c r="D178" s="45" t="s">
        <v>58</v>
      </c>
      <c r="E178" s="118">
        <v>0</v>
      </c>
    </row>
    <row r="179" spans="1:5" x14ac:dyDescent="0.25">
      <c r="A179" s="118">
        <v>9</v>
      </c>
      <c r="B179" s="114" t="s">
        <v>11</v>
      </c>
      <c r="C179" s="45" t="s">
        <v>62</v>
      </c>
      <c r="D179" s="45" t="s">
        <v>58</v>
      </c>
      <c r="E179" s="118">
        <v>48.974066000000001</v>
      </c>
    </row>
    <row r="180" spans="1:5" x14ac:dyDescent="0.25">
      <c r="A180" s="118">
        <v>10</v>
      </c>
      <c r="B180" s="114" t="s">
        <v>11</v>
      </c>
      <c r="C180" s="45" t="s">
        <v>62</v>
      </c>
      <c r="D180" s="45" t="s">
        <v>58</v>
      </c>
      <c r="E180" s="118">
        <v>0</v>
      </c>
    </row>
    <row r="181" spans="1:5" x14ac:dyDescent="0.25">
      <c r="A181" s="118">
        <v>11</v>
      </c>
      <c r="B181" s="114" t="s">
        <v>11</v>
      </c>
      <c r="C181" s="45" t="s">
        <v>62</v>
      </c>
      <c r="D181" s="45" t="s">
        <v>58</v>
      </c>
      <c r="E181" s="118">
        <v>0</v>
      </c>
    </row>
    <row r="182" spans="1:5" x14ac:dyDescent="0.25">
      <c r="A182" s="119">
        <v>3</v>
      </c>
      <c r="B182" s="115" t="s">
        <v>12</v>
      </c>
      <c r="C182" s="44" t="s">
        <v>62</v>
      </c>
      <c r="D182" s="44" t="s">
        <v>58</v>
      </c>
      <c r="E182" s="119">
        <v>0</v>
      </c>
    </row>
    <row r="183" spans="1:5" x14ac:dyDescent="0.25">
      <c r="A183" s="119">
        <v>4</v>
      </c>
      <c r="B183" s="115" t="s">
        <v>12</v>
      </c>
      <c r="C183" s="44" t="s">
        <v>62</v>
      </c>
      <c r="D183" s="44" t="s">
        <v>58</v>
      </c>
      <c r="E183" s="119">
        <v>0</v>
      </c>
    </row>
    <row r="184" spans="1:5" x14ac:dyDescent="0.25">
      <c r="A184" s="119">
        <v>5</v>
      </c>
      <c r="B184" s="115" t="s">
        <v>12</v>
      </c>
      <c r="C184" s="44" t="s">
        <v>62</v>
      </c>
      <c r="D184" s="44" t="s">
        <v>58</v>
      </c>
      <c r="E184" s="119">
        <v>0</v>
      </c>
    </row>
    <row r="185" spans="1:5" x14ac:dyDescent="0.25">
      <c r="A185" s="119">
        <v>6</v>
      </c>
      <c r="B185" s="115" t="s">
        <v>12</v>
      </c>
      <c r="C185" s="44" t="s">
        <v>62</v>
      </c>
      <c r="D185" s="44" t="s">
        <v>58</v>
      </c>
      <c r="E185" s="119">
        <v>0</v>
      </c>
    </row>
    <row r="186" spans="1:5" x14ac:dyDescent="0.25">
      <c r="A186" s="119">
        <v>7</v>
      </c>
      <c r="B186" s="115" t="s">
        <v>12</v>
      </c>
      <c r="C186" s="44" t="s">
        <v>62</v>
      </c>
      <c r="D186" s="44" t="s">
        <v>58</v>
      </c>
      <c r="E186" s="119">
        <v>80.273206999999999</v>
      </c>
    </row>
    <row r="187" spans="1:5" x14ac:dyDescent="0.25">
      <c r="A187" s="119">
        <v>8</v>
      </c>
      <c r="B187" s="115" t="s">
        <v>12</v>
      </c>
      <c r="C187" s="44" t="s">
        <v>62</v>
      </c>
      <c r="D187" s="44" t="s">
        <v>58</v>
      </c>
      <c r="E187" s="119">
        <v>64.218565999999996</v>
      </c>
    </row>
    <row r="188" spans="1:5" x14ac:dyDescent="0.25">
      <c r="A188" s="119">
        <v>9</v>
      </c>
      <c r="B188" s="115" t="s">
        <v>12</v>
      </c>
      <c r="C188" s="44" t="s">
        <v>62</v>
      </c>
      <c r="D188" s="44" t="s">
        <v>58</v>
      </c>
      <c r="E188" s="119">
        <v>48.163924000000002</v>
      </c>
    </row>
    <row r="189" spans="1:5" x14ac:dyDescent="0.25">
      <c r="A189" s="119">
        <v>10</v>
      </c>
      <c r="B189" s="115" t="s">
        <v>12</v>
      </c>
      <c r="C189" s="44" t="s">
        <v>62</v>
      </c>
      <c r="D189" s="44" t="s">
        <v>58</v>
      </c>
      <c r="E189" s="119">
        <v>0</v>
      </c>
    </row>
    <row r="190" spans="1:5" x14ac:dyDescent="0.25">
      <c r="A190" s="119">
        <v>11</v>
      </c>
      <c r="B190" s="115" t="s">
        <v>12</v>
      </c>
      <c r="C190" s="44" t="s">
        <v>62</v>
      </c>
      <c r="D190" s="44" t="s">
        <v>58</v>
      </c>
      <c r="E190" s="119">
        <v>0</v>
      </c>
    </row>
    <row r="191" spans="1:5" x14ac:dyDescent="0.25">
      <c r="A191" s="118">
        <v>3</v>
      </c>
      <c r="B191" s="114" t="s">
        <v>13</v>
      </c>
      <c r="C191" s="57" t="s">
        <v>62</v>
      </c>
      <c r="D191" s="45" t="s">
        <v>58</v>
      </c>
      <c r="E191" s="118">
        <v>0</v>
      </c>
    </row>
    <row r="192" spans="1:5" x14ac:dyDescent="0.25">
      <c r="A192" s="118">
        <v>4</v>
      </c>
      <c r="B192" s="114" t="s">
        <v>13</v>
      </c>
      <c r="C192" s="57" t="s">
        <v>62</v>
      </c>
      <c r="D192" s="45" t="s">
        <v>58</v>
      </c>
      <c r="E192" s="118">
        <v>0</v>
      </c>
    </row>
    <row r="193" spans="1:5" x14ac:dyDescent="0.25">
      <c r="A193" s="118">
        <v>5</v>
      </c>
      <c r="B193" s="114" t="s">
        <v>13</v>
      </c>
      <c r="C193" s="57" t="s">
        <v>62</v>
      </c>
      <c r="D193" s="45" t="s">
        <v>58</v>
      </c>
      <c r="E193" s="118">
        <v>0</v>
      </c>
    </row>
    <row r="194" spans="1:5" x14ac:dyDescent="0.25">
      <c r="A194" s="118">
        <v>6</v>
      </c>
      <c r="B194" s="114" t="s">
        <v>13</v>
      </c>
      <c r="C194" s="57" t="s">
        <v>62</v>
      </c>
      <c r="D194" s="45" t="s">
        <v>58</v>
      </c>
      <c r="E194" s="118">
        <v>0</v>
      </c>
    </row>
    <row r="195" spans="1:5" x14ac:dyDescent="0.25">
      <c r="A195" s="118">
        <v>7</v>
      </c>
      <c r="B195" s="114" t="s">
        <v>13</v>
      </c>
      <c r="C195" s="57" t="s">
        <v>62</v>
      </c>
      <c r="D195" s="45" t="s">
        <v>58</v>
      </c>
      <c r="E195" s="118">
        <v>36.048195999999997</v>
      </c>
    </row>
    <row r="196" spans="1:5" x14ac:dyDescent="0.25">
      <c r="A196" s="118">
        <v>8</v>
      </c>
      <c r="B196" s="114" t="s">
        <v>13</v>
      </c>
      <c r="C196" s="57" t="s">
        <v>62</v>
      </c>
      <c r="D196" s="45" t="s">
        <v>58</v>
      </c>
      <c r="E196" s="118">
        <v>65.938693000000001</v>
      </c>
    </row>
    <row r="197" spans="1:5" x14ac:dyDescent="0.25">
      <c r="A197" s="118">
        <v>9</v>
      </c>
      <c r="B197" s="114" t="s">
        <v>13</v>
      </c>
      <c r="C197" s="57" t="s">
        <v>62</v>
      </c>
      <c r="D197" s="45" t="s">
        <v>58</v>
      </c>
      <c r="E197" s="118">
        <v>6.157699</v>
      </c>
    </row>
    <row r="198" spans="1:5" x14ac:dyDescent="0.25">
      <c r="A198" s="118">
        <v>10</v>
      </c>
      <c r="B198" s="114" t="s">
        <v>13</v>
      </c>
      <c r="C198" s="57" t="s">
        <v>62</v>
      </c>
      <c r="D198" s="45" t="s">
        <v>58</v>
      </c>
      <c r="E198" s="118">
        <v>0</v>
      </c>
    </row>
    <row r="199" spans="1:5" x14ac:dyDescent="0.25">
      <c r="A199" s="118">
        <v>11</v>
      </c>
      <c r="B199" s="114" t="s">
        <v>13</v>
      </c>
      <c r="C199" s="57" t="s">
        <v>62</v>
      </c>
      <c r="D199" s="45" t="s">
        <v>58</v>
      </c>
      <c r="E199" s="118">
        <v>0</v>
      </c>
    </row>
    <row r="200" spans="1:5" x14ac:dyDescent="0.25">
      <c r="A200" s="119">
        <v>3</v>
      </c>
      <c r="B200" s="115" t="s">
        <v>14</v>
      </c>
      <c r="C200" s="44" t="s">
        <v>62</v>
      </c>
      <c r="D200" s="44" t="s">
        <v>58</v>
      </c>
      <c r="E200" s="119">
        <v>0</v>
      </c>
    </row>
    <row r="201" spans="1:5" x14ac:dyDescent="0.25">
      <c r="A201" s="119">
        <v>4</v>
      </c>
      <c r="B201" s="115" t="s">
        <v>14</v>
      </c>
      <c r="C201" s="44" t="s">
        <v>62</v>
      </c>
      <c r="D201" s="44" t="s">
        <v>58</v>
      </c>
      <c r="E201" s="119">
        <v>0</v>
      </c>
    </row>
    <row r="202" spans="1:5" x14ac:dyDescent="0.25">
      <c r="A202" s="119">
        <v>5</v>
      </c>
      <c r="B202" s="115" t="s">
        <v>14</v>
      </c>
      <c r="C202" s="44" t="s">
        <v>62</v>
      </c>
      <c r="D202" s="44" t="s">
        <v>58</v>
      </c>
      <c r="E202" s="119">
        <v>1.250544E-2</v>
      </c>
    </row>
    <row r="203" spans="1:5" x14ac:dyDescent="0.25">
      <c r="A203" s="119">
        <v>6</v>
      </c>
      <c r="B203" s="115" t="s">
        <v>14</v>
      </c>
      <c r="C203" s="44" t="s">
        <v>62</v>
      </c>
      <c r="D203" s="44" t="s">
        <v>58</v>
      </c>
      <c r="E203" s="119">
        <v>2.1491492000000001</v>
      </c>
    </row>
    <row r="204" spans="1:5" x14ac:dyDescent="0.25">
      <c r="A204" s="119">
        <v>7</v>
      </c>
      <c r="B204" s="115" t="s">
        <v>14</v>
      </c>
      <c r="C204" s="44" t="s">
        <v>62</v>
      </c>
      <c r="D204" s="44" t="s">
        <v>58</v>
      </c>
      <c r="E204" s="119">
        <v>218.07402999999999</v>
      </c>
    </row>
    <row r="205" spans="1:5" x14ac:dyDescent="0.25">
      <c r="A205" s="119">
        <v>8</v>
      </c>
      <c r="B205" s="115" t="s">
        <v>14</v>
      </c>
      <c r="C205" s="44" t="s">
        <v>62</v>
      </c>
      <c r="D205" s="44" t="s">
        <v>58</v>
      </c>
      <c r="E205" s="119">
        <v>176.18854999999999</v>
      </c>
    </row>
    <row r="206" spans="1:5" x14ac:dyDescent="0.25">
      <c r="A206" s="119">
        <v>9</v>
      </c>
      <c r="B206" s="115" t="s">
        <v>14</v>
      </c>
      <c r="C206" s="44" t="s">
        <v>62</v>
      </c>
      <c r="D206" s="44" t="s">
        <v>58</v>
      </c>
      <c r="E206" s="119">
        <v>132.14141000000001</v>
      </c>
    </row>
    <row r="207" spans="1:5" x14ac:dyDescent="0.25">
      <c r="A207" s="119">
        <v>10</v>
      </c>
      <c r="B207" s="115" t="s">
        <v>14</v>
      </c>
      <c r="C207" s="44" t="s">
        <v>62</v>
      </c>
      <c r="D207" s="44" t="s">
        <v>58</v>
      </c>
      <c r="E207" s="119">
        <v>132.14141000000001</v>
      </c>
    </row>
    <row r="208" spans="1:5" x14ac:dyDescent="0.25">
      <c r="A208" s="119">
        <v>11</v>
      </c>
      <c r="B208" s="115" t="s">
        <v>14</v>
      </c>
      <c r="C208" s="44" t="s">
        <v>62</v>
      </c>
      <c r="D208" s="44" t="s">
        <v>58</v>
      </c>
      <c r="E208" s="119">
        <v>0</v>
      </c>
    </row>
    <row r="209" spans="1:5" x14ac:dyDescent="0.25">
      <c r="A209" s="118">
        <v>3</v>
      </c>
      <c r="B209" s="114" t="s">
        <v>111</v>
      </c>
      <c r="C209" s="45" t="s">
        <v>62</v>
      </c>
      <c r="D209" s="45" t="s">
        <v>58</v>
      </c>
      <c r="E209" s="118">
        <v>0</v>
      </c>
    </row>
    <row r="210" spans="1:5" x14ac:dyDescent="0.25">
      <c r="A210" s="118">
        <v>4</v>
      </c>
      <c r="B210" s="114" t="s">
        <v>111</v>
      </c>
      <c r="C210" s="45" t="s">
        <v>62</v>
      </c>
      <c r="D210" s="45" t="s">
        <v>58</v>
      </c>
      <c r="E210" s="118">
        <v>0</v>
      </c>
    </row>
    <row r="211" spans="1:5" x14ac:dyDescent="0.25">
      <c r="A211" s="118">
        <v>5</v>
      </c>
      <c r="B211" s="114" t="s">
        <v>111</v>
      </c>
      <c r="C211" s="45" t="s">
        <v>62</v>
      </c>
      <c r="D211" s="45" t="s">
        <v>58</v>
      </c>
      <c r="E211" s="118">
        <v>0</v>
      </c>
    </row>
    <row r="212" spans="1:5" x14ac:dyDescent="0.25">
      <c r="A212" s="118">
        <v>6</v>
      </c>
      <c r="B212" s="114" t="s">
        <v>111</v>
      </c>
      <c r="C212" s="45" t="s">
        <v>62</v>
      </c>
      <c r="D212" s="45" t="s">
        <v>58</v>
      </c>
      <c r="E212" s="118">
        <v>0</v>
      </c>
    </row>
    <row r="213" spans="1:5" x14ac:dyDescent="0.25">
      <c r="A213" s="118">
        <v>7</v>
      </c>
      <c r="B213" s="114" t="s">
        <v>111</v>
      </c>
      <c r="C213" s="45" t="s">
        <v>62</v>
      </c>
      <c r="D213" s="45" t="s">
        <v>58</v>
      </c>
      <c r="E213" s="118">
        <v>36.766666999999998</v>
      </c>
    </row>
    <row r="214" spans="1:5" x14ac:dyDescent="0.25">
      <c r="A214" s="118">
        <v>8</v>
      </c>
      <c r="B214" s="114" t="s">
        <v>111</v>
      </c>
      <c r="C214" s="45" t="s">
        <v>62</v>
      </c>
      <c r="D214" s="45" t="s">
        <v>58</v>
      </c>
      <c r="E214" s="118">
        <v>57.021357000000002</v>
      </c>
    </row>
    <row r="215" spans="1:5" x14ac:dyDescent="0.25">
      <c r="A215" s="118">
        <v>9</v>
      </c>
      <c r="B215" s="114" t="s">
        <v>111</v>
      </c>
      <c r="C215" s="45" t="s">
        <v>62</v>
      </c>
      <c r="D215" s="45" t="s">
        <v>58</v>
      </c>
      <c r="E215" s="118">
        <v>0</v>
      </c>
    </row>
    <row r="216" spans="1:5" x14ac:dyDescent="0.25">
      <c r="A216" s="118">
        <v>10</v>
      </c>
      <c r="B216" s="114" t="s">
        <v>111</v>
      </c>
      <c r="C216" s="45" t="s">
        <v>62</v>
      </c>
      <c r="D216" s="45" t="s">
        <v>58</v>
      </c>
      <c r="E216" s="118">
        <v>0</v>
      </c>
    </row>
    <row r="217" spans="1:5" x14ac:dyDescent="0.25">
      <c r="A217" s="118">
        <v>11</v>
      </c>
      <c r="B217" s="114" t="s">
        <v>111</v>
      </c>
      <c r="C217" s="45" t="s">
        <v>62</v>
      </c>
      <c r="D217" s="45" t="s">
        <v>58</v>
      </c>
      <c r="E217" s="118">
        <v>0</v>
      </c>
    </row>
    <row r="218" spans="1:5" x14ac:dyDescent="0.25">
      <c r="A218" s="119">
        <v>3</v>
      </c>
      <c r="B218" s="115" t="s">
        <v>22</v>
      </c>
      <c r="C218" s="44" t="s">
        <v>87</v>
      </c>
      <c r="D218" s="44" t="s">
        <v>58</v>
      </c>
      <c r="E218" s="119">
        <v>0</v>
      </c>
    </row>
    <row r="219" spans="1:5" x14ac:dyDescent="0.25">
      <c r="A219" s="119">
        <v>4</v>
      </c>
      <c r="B219" s="115" t="s">
        <v>22</v>
      </c>
      <c r="C219" s="44" t="s">
        <v>87</v>
      </c>
      <c r="D219" s="44" t="s">
        <v>58</v>
      </c>
      <c r="E219" s="119">
        <v>0</v>
      </c>
    </row>
    <row r="220" spans="1:5" x14ac:dyDescent="0.25">
      <c r="A220" s="119">
        <v>5</v>
      </c>
      <c r="B220" s="115" t="s">
        <v>22</v>
      </c>
      <c r="C220" s="44" t="s">
        <v>87</v>
      </c>
      <c r="D220" s="44" t="s">
        <v>58</v>
      </c>
      <c r="E220" s="119">
        <v>0</v>
      </c>
    </row>
    <row r="221" spans="1:5" x14ac:dyDescent="0.25">
      <c r="A221" s="119">
        <v>6</v>
      </c>
      <c r="B221" s="115" t="s">
        <v>22</v>
      </c>
      <c r="C221" s="44" t="s">
        <v>87</v>
      </c>
      <c r="D221" s="44" t="s">
        <v>58</v>
      </c>
      <c r="E221" s="119">
        <v>0</v>
      </c>
    </row>
    <row r="222" spans="1:5" x14ac:dyDescent="0.25">
      <c r="A222" s="119">
        <v>7</v>
      </c>
      <c r="B222" s="115" t="s">
        <v>22</v>
      </c>
      <c r="C222" s="44" t="s">
        <v>87</v>
      </c>
      <c r="D222" s="44" t="s">
        <v>58</v>
      </c>
      <c r="E222" s="119">
        <v>0</v>
      </c>
    </row>
    <row r="223" spans="1:5" x14ac:dyDescent="0.25">
      <c r="A223" s="119">
        <v>8</v>
      </c>
      <c r="B223" s="115" t="s">
        <v>22</v>
      </c>
      <c r="C223" s="44" t="s">
        <v>87</v>
      </c>
      <c r="D223" s="44" t="s">
        <v>58</v>
      </c>
      <c r="E223" s="119">
        <v>0</v>
      </c>
    </row>
    <row r="224" spans="1:5" x14ac:dyDescent="0.25">
      <c r="A224" s="119">
        <v>9</v>
      </c>
      <c r="B224" s="115" t="s">
        <v>22</v>
      </c>
      <c r="C224" s="44" t="s">
        <v>87</v>
      </c>
      <c r="D224" s="44" t="s">
        <v>58</v>
      </c>
      <c r="E224" s="119">
        <v>0</v>
      </c>
    </row>
    <row r="225" spans="1:5" x14ac:dyDescent="0.25">
      <c r="A225" s="119">
        <v>10</v>
      </c>
      <c r="B225" s="115" t="s">
        <v>22</v>
      </c>
      <c r="C225" s="44" t="s">
        <v>87</v>
      </c>
      <c r="D225" s="44" t="s">
        <v>58</v>
      </c>
      <c r="E225" s="119">
        <v>0</v>
      </c>
    </row>
    <row r="226" spans="1:5" x14ac:dyDescent="0.25">
      <c r="A226" s="119">
        <v>11</v>
      </c>
      <c r="B226" s="115" t="s">
        <v>22</v>
      </c>
      <c r="C226" s="44" t="s">
        <v>87</v>
      </c>
      <c r="D226" s="44" t="s">
        <v>58</v>
      </c>
      <c r="E226" s="119">
        <v>0</v>
      </c>
    </row>
    <row r="227" spans="1:5" x14ac:dyDescent="0.25">
      <c r="A227" s="118">
        <v>3</v>
      </c>
      <c r="B227" s="114" t="s">
        <v>23</v>
      </c>
      <c r="C227" s="45" t="s">
        <v>87</v>
      </c>
      <c r="D227" s="45" t="s">
        <v>58</v>
      </c>
      <c r="E227" s="118">
        <v>0</v>
      </c>
    </row>
    <row r="228" spans="1:5" x14ac:dyDescent="0.25">
      <c r="A228" s="118">
        <v>4</v>
      </c>
      <c r="B228" s="114" t="s">
        <v>23</v>
      </c>
      <c r="C228" s="45" t="s">
        <v>87</v>
      </c>
      <c r="D228" s="45" t="s">
        <v>58</v>
      </c>
      <c r="E228" s="118">
        <v>0</v>
      </c>
    </row>
    <row r="229" spans="1:5" x14ac:dyDescent="0.25">
      <c r="A229" s="118">
        <v>5</v>
      </c>
      <c r="B229" s="114" t="s">
        <v>23</v>
      </c>
      <c r="C229" s="45" t="s">
        <v>87</v>
      </c>
      <c r="D229" s="45" t="s">
        <v>58</v>
      </c>
      <c r="E229" s="118">
        <v>0</v>
      </c>
    </row>
    <row r="230" spans="1:5" x14ac:dyDescent="0.25">
      <c r="A230" s="118">
        <v>6</v>
      </c>
      <c r="B230" s="114" t="s">
        <v>23</v>
      </c>
      <c r="C230" s="45" t="s">
        <v>87</v>
      </c>
      <c r="D230" s="45" t="s">
        <v>58</v>
      </c>
      <c r="E230" s="118">
        <v>363</v>
      </c>
    </row>
    <row r="231" spans="1:5" x14ac:dyDescent="0.25">
      <c r="A231" s="118">
        <v>7</v>
      </c>
      <c r="B231" s="114" t="s">
        <v>23</v>
      </c>
      <c r="C231" s="45" t="s">
        <v>87</v>
      </c>
      <c r="D231" s="45" t="s">
        <v>58</v>
      </c>
      <c r="E231" s="118">
        <v>0</v>
      </c>
    </row>
    <row r="232" spans="1:5" x14ac:dyDescent="0.25">
      <c r="A232" s="118">
        <v>8</v>
      </c>
      <c r="B232" s="114" t="s">
        <v>23</v>
      </c>
      <c r="C232" s="45" t="s">
        <v>87</v>
      </c>
      <c r="D232" s="45" t="s">
        <v>58</v>
      </c>
      <c r="E232" s="118">
        <v>0</v>
      </c>
    </row>
    <row r="233" spans="1:5" x14ac:dyDescent="0.25">
      <c r="A233" s="118">
        <v>9</v>
      </c>
      <c r="B233" s="114" t="s">
        <v>23</v>
      </c>
      <c r="C233" s="45" t="s">
        <v>87</v>
      </c>
      <c r="D233" s="45" t="s">
        <v>58</v>
      </c>
      <c r="E233" s="118">
        <v>0</v>
      </c>
    </row>
    <row r="234" spans="1:5" x14ac:dyDescent="0.25">
      <c r="A234" s="118">
        <v>10</v>
      </c>
      <c r="B234" s="114" t="s">
        <v>23</v>
      </c>
      <c r="C234" s="45" t="s">
        <v>87</v>
      </c>
      <c r="D234" s="45" t="s">
        <v>58</v>
      </c>
      <c r="E234" s="118">
        <v>0</v>
      </c>
    </row>
    <row r="235" spans="1:5" x14ac:dyDescent="0.25">
      <c r="A235" s="118">
        <v>11</v>
      </c>
      <c r="B235" s="114" t="s">
        <v>23</v>
      </c>
      <c r="C235" s="45" t="s">
        <v>87</v>
      </c>
      <c r="D235" s="45" t="s">
        <v>58</v>
      </c>
      <c r="E235" s="118">
        <v>0</v>
      </c>
    </row>
    <row r="236" spans="1:5" x14ac:dyDescent="0.25">
      <c r="A236" s="119">
        <v>3</v>
      </c>
      <c r="B236" s="115" t="s">
        <v>108</v>
      </c>
      <c r="C236" s="44" t="s">
        <v>87</v>
      </c>
      <c r="D236" s="44" t="s">
        <v>58</v>
      </c>
      <c r="E236" s="119">
        <v>0</v>
      </c>
    </row>
    <row r="237" spans="1:5" x14ac:dyDescent="0.25">
      <c r="A237" s="119">
        <v>4</v>
      </c>
      <c r="B237" s="115" t="s">
        <v>108</v>
      </c>
      <c r="C237" s="44" t="s">
        <v>87</v>
      </c>
      <c r="D237" s="44" t="s">
        <v>58</v>
      </c>
      <c r="E237" s="119">
        <v>0</v>
      </c>
    </row>
    <row r="238" spans="1:5" x14ac:dyDescent="0.25">
      <c r="A238" s="119">
        <v>5</v>
      </c>
      <c r="B238" s="115" t="s">
        <v>108</v>
      </c>
      <c r="C238" s="44" t="s">
        <v>87</v>
      </c>
      <c r="D238" s="44" t="s">
        <v>58</v>
      </c>
      <c r="E238" s="119">
        <v>0</v>
      </c>
    </row>
    <row r="239" spans="1:5" x14ac:dyDescent="0.25">
      <c r="A239" s="119">
        <v>6</v>
      </c>
      <c r="B239" s="115" t="s">
        <v>108</v>
      </c>
      <c r="C239" s="44" t="s">
        <v>87</v>
      </c>
      <c r="D239" s="44" t="s">
        <v>58</v>
      </c>
      <c r="E239" s="119">
        <v>0</v>
      </c>
    </row>
    <row r="240" spans="1:5" x14ac:dyDescent="0.25">
      <c r="A240" s="119">
        <v>7</v>
      </c>
      <c r="B240" s="115" t="s">
        <v>108</v>
      </c>
      <c r="C240" s="44" t="s">
        <v>87</v>
      </c>
      <c r="D240" s="44" t="s">
        <v>58</v>
      </c>
      <c r="E240" s="119">
        <v>0</v>
      </c>
    </row>
    <row r="241" spans="1:5" x14ac:dyDescent="0.25">
      <c r="A241" s="119">
        <v>8</v>
      </c>
      <c r="B241" s="115" t="s">
        <v>108</v>
      </c>
      <c r="C241" s="44" t="s">
        <v>87</v>
      </c>
      <c r="D241" s="44" t="s">
        <v>58</v>
      </c>
      <c r="E241" s="119">
        <v>0</v>
      </c>
    </row>
    <row r="242" spans="1:5" x14ac:dyDescent="0.25">
      <c r="A242" s="119">
        <v>9</v>
      </c>
      <c r="B242" s="115" t="s">
        <v>108</v>
      </c>
      <c r="C242" s="44" t="s">
        <v>87</v>
      </c>
      <c r="D242" s="44" t="s">
        <v>58</v>
      </c>
      <c r="E242" s="119">
        <v>0</v>
      </c>
    </row>
    <row r="243" spans="1:5" x14ac:dyDescent="0.25">
      <c r="A243" s="119">
        <v>10</v>
      </c>
      <c r="B243" s="115" t="s">
        <v>108</v>
      </c>
      <c r="C243" s="44" t="s">
        <v>87</v>
      </c>
      <c r="D243" s="44" t="s">
        <v>58</v>
      </c>
      <c r="E243" s="119">
        <v>0</v>
      </c>
    </row>
    <row r="244" spans="1:5" x14ac:dyDescent="0.25">
      <c r="A244" s="119">
        <v>11</v>
      </c>
      <c r="B244" s="115" t="s">
        <v>108</v>
      </c>
      <c r="C244" s="44" t="s">
        <v>87</v>
      </c>
      <c r="D244" s="44" t="s">
        <v>58</v>
      </c>
      <c r="E244" s="119">
        <v>0</v>
      </c>
    </row>
    <row r="245" spans="1:5" x14ac:dyDescent="0.25">
      <c r="A245" s="118">
        <v>3</v>
      </c>
      <c r="B245" s="114" t="s">
        <v>24</v>
      </c>
      <c r="C245" s="45" t="s">
        <v>87</v>
      </c>
      <c r="D245" s="45" t="s">
        <v>58</v>
      </c>
      <c r="E245" s="118">
        <v>0</v>
      </c>
    </row>
    <row r="246" spans="1:5" x14ac:dyDescent="0.25">
      <c r="A246" s="118">
        <v>4</v>
      </c>
      <c r="B246" s="114" t="s">
        <v>24</v>
      </c>
      <c r="C246" s="45" t="s">
        <v>87</v>
      </c>
      <c r="D246" s="45" t="s">
        <v>58</v>
      </c>
      <c r="E246" s="118">
        <v>0</v>
      </c>
    </row>
    <row r="247" spans="1:5" x14ac:dyDescent="0.25">
      <c r="A247" s="118">
        <v>5</v>
      </c>
      <c r="B247" s="114" t="s">
        <v>24</v>
      </c>
      <c r="C247" s="45" t="s">
        <v>87</v>
      </c>
      <c r="D247" s="45" t="s">
        <v>58</v>
      </c>
      <c r="E247" s="118">
        <v>0</v>
      </c>
    </row>
    <row r="248" spans="1:5" x14ac:dyDescent="0.25">
      <c r="A248" s="118">
        <v>6</v>
      </c>
      <c r="B248" s="114" t="s">
        <v>24</v>
      </c>
      <c r="C248" s="45" t="s">
        <v>87</v>
      </c>
      <c r="D248" s="45" t="s">
        <v>58</v>
      </c>
      <c r="E248" s="118">
        <v>0</v>
      </c>
    </row>
    <row r="249" spans="1:5" x14ac:dyDescent="0.25">
      <c r="A249" s="118">
        <v>7</v>
      </c>
      <c r="B249" s="114" t="s">
        <v>24</v>
      </c>
      <c r="C249" s="45" t="s">
        <v>87</v>
      </c>
      <c r="D249" s="45" t="s">
        <v>58</v>
      </c>
      <c r="E249" s="118">
        <v>0</v>
      </c>
    </row>
    <row r="250" spans="1:5" x14ac:dyDescent="0.25">
      <c r="A250" s="118">
        <v>8</v>
      </c>
      <c r="B250" s="114" t="s">
        <v>24</v>
      </c>
      <c r="C250" s="45" t="s">
        <v>87</v>
      </c>
      <c r="D250" s="45" t="s">
        <v>58</v>
      </c>
      <c r="E250" s="118">
        <v>0</v>
      </c>
    </row>
    <row r="251" spans="1:5" x14ac:dyDescent="0.25">
      <c r="A251" s="118">
        <v>9</v>
      </c>
      <c r="B251" s="114" t="s">
        <v>24</v>
      </c>
      <c r="C251" s="45" t="s">
        <v>87</v>
      </c>
      <c r="D251" s="45" t="s">
        <v>58</v>
      </c>
      <c r="E251" s="118">
        <v>0</v>
      </c>
    </row>
    <row r="252" spans="1:5" x14ac:dyDescent="0.25">
      <c r="A252" s="118">
        <v>10</v>
      </c>
      <c r="B252" s="114" t="s">
        <v>24</v>
      </c>
      <c r="C252" s="45" t="s">
        <v>87</v>
      </c>
      <c r="D252" s="45" t="s">
        <v>58</v>
      </c>
      <c r="E252" s="118">
        <v>0</v>
      </c>
    </row>
    <row r="253" spans="1:5" x14ac:dyDescent="0.25">
      <c r="A253" s="118">
        <v>11</v>
      </c>
      <c r="B253" s="114" t="s">
        <v>24</v>
      </c>
      <c r="C253" s="45" t="s">
        <v>87</v>
      </c>
      <c r="D253" s="45" t="s">
        <v>58</v>
      </c>
      <c r="E253" s="118">
        <v>0</v>
      </c>
    </row>
    <row r="254" spans="1:5" x14ac:dyDescent="0.25">
      <c r="A254" s="119">
        <v>3</v>
      </c>
      <c r="B254" s="115" t="s">
        <v>109</v>
      </c>
      <c r="C254" s="44" t="s">
        <v>87</v>
      </c>
      <c r="D254" s="44" t="s">
        <v>58</v>
      </c>
      <c r="E254" s="119">
        <v>0</v>
      </c>
    </row>
    <row r="255" spans="1:5" x14ac:dyDescent="0.25">
      <c r="A255" s="119">
        <v>4</v>
      </c>
      <c r="B255" s="115" t="s">
        <v>109</v>
      </c>
      <c r="C255" s="44" t="s">
        <v>87</v>
      </c>
      <c r="D255" s="44" t="s">
        <v>58</v>
      </c>
      <c r="E255" s="119">
        <v>0</v>
      </c>
    </row>
    <row r="256" spans="1:5" x14ac:dyDescent="0.25">
      <c r="A256" s="119">
        <v>5</v>
      </c>
      <c r="B256" s="115" t="s">
        <v>109</v>
      </c>
      <c r="C256" s="44" t="s">
        <v>87</v>
      </c>
      <c r="D256" s="44" t="s">
        <v>58</v>
      </c>
      <c r="E256" s="119">
        <v>0</v>
      </c>
    </row>
    <row r="257" spans="1:5" x14ac:dyDescent="0.25">
      <c r="A257" s="119">
        <v>6</v>
      </c>
      <c r="B257" s="115" t="s">
        <v>109</v>
      </c>
      <c r="C257" s="44" t="s">
        <v>87</v>
      </c>
      <c r="D257" s="44" t="s">
        <v>58</v>
      </c>
      <c r="E257" s="119">
        <v>0</v>
      </c>
    </row>
    <row r="258" spans="1:5" x14ac:dyDescent="0.25">
      <c r="A258" s="119">
        <v>7</v>
      </c>
      <c r="B258" s="115" t="s">
        <v>109</v>
      </c>
      <c r="C258" s="44" t="s">
        <v>87</v>
      </c>
      <c r="D258" s="44" t="s">
        <v>58</v>
      </c>
      <c r="E258" s="119">
        <v>0</v>
      </c>
    </row>
    <row r="259" spans="1:5" x14ac:dyDescent="0.25">
      <c r="A259" s="119">
        <v>8</v>
      </c>
      <c r="B259" s="115" t="s">
        <v>109</v>
      </c>
      <c r="C259" s="44" t="s">
        <v>87</v>
      </c>
      <c r="D259" s="44" t="s">
        <v>58</v>
      </c>
      <c r="E259" s="119">
        <v>0</v>
      </c>
    </row>
    <row r="260" spans="1:5" x14ac:dyDescent="0.25">
      <c r="A260" s="119">
        <v>9</v>
      </c>
      <c r="B260" s="115" t="s">
        <v>109</v>
      </c>
      <c r="C260" s="44" t="s">
        <v>87</v>
      </c>
      <c r="D260" s="44" t="s">
        <v>58</v>
      </c>
      <c r="E260" s="119">
        <v>0</v>
      </c>
    </row>
    <row r="261" spans="1:5" x14ac:dyDescent="0.25">
      <c r="A261" s="119">
        <v>10</v>
      </c>
      <c r="B261" s="115" t="s">
        <v>109</v>
      </c>
      <c r="C261" s="44" t="s">
        <v>87</v>
      </c>
      <c r="D261" s="44" t="s">
        <v>58</v>
      </c>
      <c r="E261" s="119">
        <v>0</v>
      </c>
    </row>
    <row r="262" spans="1:5" x14ac:dyDescent="0.25">
      <c r="A262" s="119">
        <v>11</v>
      </c>
      <c r="B262" s="115" t="s">
        <v>109</v>
      </c>
      <c r="C262" s="44" t="s">
        <v>87</v>
      </c>
      <c r="D262" s="44" t="s">
        <v>58</v>
      </c>
      <c r="E262" s="119">
        <v>0</v>
      </c>
    </row>
    <row r="263" spans="1:5" x14ac:dyDescent="0.25">
      <c r="A263" s="118">
        <v>3</v>
      </c>
      <c r="B263" s="114" t="s">
        <v>110</v>
      </c>
      <c r="C263" s="45" t="s">
        <v>87</v>
      </c>
      <c r="D263" s="45" t="s">
        <v>58</v>
      </c>
      <c r="E263" s="118">
        <v>0</v>
      </c>
    </row>
    <row r="264" spans="1:5" x14ac:dyDescent="0.25">
      <c r="A264" s="118">
        <v>4</v>
      </c>
      <c r="B264" s="114" t="s">
        <v>110</v>
      </c>
      <c r="C264" s="45" t="s">
        <v>87</v>
      </c>
      <c r="D264" s="45" t="s">
        <v>58</v>
      </c>
      <c r="E264" s="118">
        <v>0</v>
      </c>
    </row>
    <row r="265" spans="1:5" x14ac:dyDescent="0.25">
      <c r="A265" s="118">
        <v>5</v>
      </c>
      <c r="B265" s="114" t="s">
        <v>110</v>
      </c>
      <c r="C265" s="45" t="s">
        <v>87</v>
      </c>
      <c r="D265" s="45" t="s">
        <v>58</v>
      </c>
      <c r="E265" s="118">
        <v>0</v>
      </c>
    </row>
    <row r="266" spans="1:5" x14ac:dyDescent="0.25">
      <c r="A266" s="118">
        <v>6</v>
      </c>
      <c r="B266" s="114" t="s">
        <v>110</v>
      </c>
      <c r="C266" s="45" t="s">
        <v>87</v>
      </c>
      <c r="D266" s="45" t="s">
        <v>58</v>
      </c>
      <c r="E266" s="118">
        <v>0</v>
      </c>
    </row>
    <row r="267" spans="1:5" x14ac:dyDescent="0.25">
      <c r="A267" s="118">
        <v>7</v>
      </c>
      <c r="B267" s="114" t="s">
        <v>110</v>
      </c>
      <c r="C267" s="45" t="s">
        <v>87</v>
      </c>
      <c r="D267" s="45" t="s">
        <v>58</v>
      </c>
      <c r="E267" s="118">
        <v>45.866667</v>
      </c>
    </row>
    <row r="268" spans="1:5" x14ac:dyDescent="0.25">
      <c r="A268" s="118">
        <v>8</v>
      </c>
      <c r="B268" s="114" t="s">
        <v>110</v>
      </c>
      <c r="C268" s="45" t="s">
        <v>87</v>
      </c>
      <c r="D268" s="45" t="s">
        <v>58</v>
      </c>
      <c r="E268" s="118">
        <v>0</v>
      </c>
    </row>
    <row r="269" spans="1:5" x14ac:dyDescent="0.25">
      <c r="A269" s="118">
        <v>9</v>
      </c>
      <c r="B269" s="114" t="s">
        <v>110</v>
      </c>
      <c r="C269" s="45" t="s">
        <v>87</v>
      </c>
      <c r="D269" s="45" t="s">
        <v>58</v>
      </c>
      <c r="E269" s="118">
        <v>0</v>
      </c>
    </row>
    <row r="270" spans="1:5" x14ac:dyDescent="0.25">
      <c r="A270" s="118">
        <v>10</v>
      </c>
      <c r="B270" s="114" t="s">
        <v>110</v>
      </c>
      <c r="C270" s="45" t="s">
        <v>87</v>
      </c>
      <c r="D270" s="45" t="s">
        <v>58</v>
      </c>
      <c r="E270" s="118">
        <v>0</v>
      </c>
    </row>
    <row r="271" spans="1:5" x14ac:dyDescent="0.25">
      <c r="A271" s="118">
        <v>11</v>
      </c>
      <c r="B271" s="114" t="s">
        <v>110</v>
      </c>
      <c r="C271" s="45" t="s">
        <v>87</v>
      </c>
      <c r="D271" s="45" t="s">
        <v>58</v>
      </c>
      <c r="E271" s="118">
        <v>0</v>
      </c>
    </row>
    <row r="272" spans="1:5" x14ac:dyDescent="0.25">
      <c r="A272" s="118">
        <v>3</v>
      </c>
      <c r="B272" s="114" t="str">
        <f>Inputs!$A$14</f>
        <v>M4330501</v>
      </c>
      <c r="C272" s="45" t="str">
        <f>Inputs!$B$14</f>
        <v>PNT</v>
      </c>
      <c r="D272" s="45" t="s">
        <v>58</v>
      </c>
      <c r="E272" s="118"/>
    </row>
    <row r="273" spans="1:5" x14ac:dyDescent="0.25">
      <c r="A273" s="118">
        <v>4</v>
      </c>
      <c r="B273" s="114" t="str">
        <f>Inputs!$A$14</f>
        <v>M4330501</v>
      </c>
      <c r="C273" s="45" t="str">
        <f>Inputs!$B$14</f>
        <v>PNT</v>
      </c>
      <c r="D273" s="45" t="s">
        <v>58</v>
      </c>
      <c r="E273" s="118"/>
    </row>
    <row r="274" spans="1:5" x14ac:dyDescent="0.25">
      <c r="A274" s="118">
        <v>5</v>
      </c>
      <c r="B274" s="114" t="str">
        <f>Inputs!$A$14</f>
        <v>M4330501</v>
      </c>
      <c r="C274" s="45" t="str">
        <f>Inputs!$B$14</f>
        <v>PNT</v>
      </c>
      <c r="D274" s="45" t="s">
        <v>58</v>
      </c>
      <c r="E274" s="118"/>
    </row>
    <row r="275" spans="1:5" x14ac:dyDescent="0.25">
      <c r="A275" s="118">
        <v>6</v>
      </c>
      <c r="B275" s="114" t="str">
        <f>Inputs!$A$14</f>
        <v>M4330501</v>
      </c>
      <c r="C275" s="45" t="str">
        <f>Inputs!$B$14</f>
        <v>PNT</v>
      </c>
      <c r="D275" s="45" t="s">
        <v>58</v>
      </c>
      <c r="E275" s="118"/>
    </row>
    <row r="276" spans="1:5" x14ac:dyDescent="0.25">
      <c r="A276" s="118">
        <v>7</v>
      </c>
      <c r="B276" s="114" t="str">
        <f>Inputs!$A$14</f>
        <v>M4330501</v>
      </c>
      <c r="C276" s="45" t="str">
        <f>Inputs!$B$14</f>
        <v>PNT</v>
      </c>
      <c r="D276" s="45" t="s">
        <v>58</v>
      </c>
      <c r="E276" s="118"/>
    </row>
    <row r="277" spans="1:5" x14ac:dyDescent="0.25">
      <c r="A277" s="118">
        <v>8</v>
      </c>
      <c r="B277" s="114" t="str">
        <f>Inputs!$A$14</f>
        <v>M4330501</v>
      </c>
      <c r="C277" s="45" t="str">
        <f>Inputs!$B$14</f>
        <v>PNT</v>
      </c>
      <c r="D277" s="45" t="s">
        <v>58</v>
      </c>
      <c r="E277" s="118"/>
    </row>
    <row r="278" spans="1:5" x14ac:dyDescent="0.25">
      <c r="A278" s="118">
        <v>9</v>
      </c>
      <c r="B278" s="114" t="str">
        <f>Inputs!$A$14</f>
        <v>M4330501</v>
      </c>
      <c r="C278" s="45" t="str">
        <f>Inputs!$B$14</f>
        <v>PNT</v>
      </c>
      <c r="D278" s="45" t="s">
        <v>58</v>
      </c>
      <c r="E278" s="118"/>
    </row>
    <row r="279" spans="1:5" x14ac:dyDescent="0.25">
      <c r="A279" s="118">
        <v>10</v>
      </c>
      <c r="B279" s="114" t="str">
        <f>Inputs!$A$14</f>
        <v>M4330501</v>
      </c>
      <c r="C279" s="45" t="str">
        <f>Inputs!$B$14</f>
        <v>PNT</v>
      </c>
      <c r="D279" s="45" t="s">
        <v>58</v>
      </c>
      <c r="E279" s="118"/>
    </row>
    <row r="280" spans="1:5" x14ac:dyDescent="0.25">
      <c r="A280" s="118">
        <v>11</v>
      </c>
      <c r="B280" s="114" t="str">
        <f>Inputs!$A$14</f>
        <v>M4330501</v>
      </c>
      <c r="C280" s="45" t="str">
        <f>Inputs!$B$14</f>
        <v>PNT</v>
      </c>
      <c r="D280" s="45" t="s">
        <v>58</v>
      </c>
      <c r="E280" s="118"/>
    </row>
    <row r="281" spans="1:5" x14ac:dyDescent="0.25">
      <c r="A281" s="119">
        <v>3</v>
      </c>
      <c r="B281" s="115" t="str">
        <f>Inputs!$A$15</f>
        <v>M4468800</v>
      </c>
      <c r="C281" s="44" t="str">
        <f>Inputs!$B$15</f>
        <v>PNT</v>
      </c>
      <c r="D281" s="44" t="s">
        <v>58</v>
      </c>
      <c r="E281" s="119"/>
    </row>
    <row r="282" spans="1:5" x14ac:dyDescent="0.25">
      <c r="A282" s="119">
        <v>4</v>
      </c>
      <c r="B282" s="115" t="str">
        <f>Inputs!$A$15</f>
        <v>M4468800</v>
      </c>
      <c r="C282" s="44" t="str">
        <f>Inputs!$B$15</f>
        <v>PNT</v>
      </c>
      <c r="D282" s="44" t="s">
        <v>58</v>
      </c>
      <c r="E282" s="119"/>
    </row>
    <row r="283" spans="1:5" x14ac:dyDescent="0.25">
      <c r="A283" s="119">
        <v>5</v>
      </c>
      <c r="B283" s="115" t="str">
        <f>Inputs!$A$15</f>
        <v>M4468800</v>
      </c>
      <c r="C283" s="44" t="str">
        <f>Inputs!$B$15</f>
        <v>PNT</v>
      </c>
      <c r="D283" s="44" t="s">
        <v>58</v>
      </c>
      <c r="E283" s="119"/>
    </row>
    <row r="284" spans="1:5" x14ac:dyDescent="0.25">
      <c r="A284" s="119">
        <v>6</v>
      </c>
      <c r="B284" s="115" t="str">
        <f>Inputs!$A$15</f>
        <v>M4468800</v>
      </c>
      <c r="C284" s="44" t="str">
        <f>Inputs!$B$15</f>
        <v>PNT</v>
      </c>
      <c r="D284" s="44" t="s">
        <v>58</v>
      </c>
      <c r="E284" s="119"/>
    </row>
    <row r="285" spans="1:5" x14ac:dyDescent="0.25">
      <c r="A285" s="119">
        <v>7</v>
      </c>
      <c r="B285" s="115" t="str">
        <f>Inputs!$A$15</f>
        <v>M4468800</v>
      </c>
      <c r="C285" s="44" t="str">
        <f>Inputs!$B$15</f>
        <v>PNT</v>
      </c>
      <c r="D285" s="44" t="s">
        <v>58</v>
      </c>
      <c r="E285" s="119"/>
    </row>
    <row r="286" spans="1:5" x14ac:dyDescent="0.25">
      <c r="A286" s="119">
        <v>8</v>
      </c>
      <c r="B286" s="115" t="str">
        <f>Inputs!$A$15</f>
        <v>M4468800</v>
      </c>
      <c r="C286" s="44" t="str">
        <f>Inputs!$B$15</f>
        <v>PNT</v>
      </c>
      <c r="D286" s="44" t="s">
        <v>58</v>
      </c>
      <c r="E286" s="119"/>
    </row>
    <row r="287" spans="1:5" x14ac:dyDescent="0.25">
      <c r="A287" s="119">
        <v>9</v>
      </c>
      <c r="B287" s="115" t="str">
        <f>Inputs!$A$15</f>
        <v>M4468800</v>
      </c>
      <c r="C287" s="44" t="str">
        <f>Inputs!$B$15</f>
        <v>PNT</v>
      </c>
      <c r="D287" s="44" t="s">
        <v>58</v>
      </c>
      <c r="E287" s="119"/>
    </row>
    <row r="288" spans="1:5" x14ac:dyDescent="0.25">
      <c r="A288" s="119">
        <v>10</v>
      </c>
      <c r="B288" s="115" t="str">
        <f>Inputs!$A$15</f>
        <v>M4468800</v>
      </c>
      <c r="C288" s="44" t="str">
        <f>Inputs!$B$15</f>
        <v>PNT</v>
      </c>
      <c r="D288" s="44" t="s">
        <v>58</v>
      </c>
      <c r="E288" s="119"/>
    </row>
    <row r="289" spans="1:5" x14ac:dyDescent="0.25">
      <c r="A289" s="119">
        <v>11</v>
      </c>
      <c r="B289" s="115" t="str">
        <f>Inputs!$A$15</f>
        <v>M4468800</v>
      </c>
      <c r="C289" s="44" t="str">
        <f>Inputs!$B$15</f>
        <v>PNT</v>
      </c>
      <c r="D289" s="44" t="s">
        <v>58</v>
      </c>
      <c r="E289" s="119"/>
    </row>
    <row r="290" spans="1:5" x14ac:dyDescent="0.25">
      <c r="A290" s="118">
        <v>3</v>
      </c>
      <c r="B290" s="114" t="str">
        <f>Inputs!$A$16</f>
        <v>M4581200</v>
      </c>
      <c r="C290" s="45" t="str">
        <f>Inputs!$B$16</f>
        <v>PNT</v>
      </c>
      <c r="D290" s="45" t="s">
        <v>58</v>
      </c>
      <c r="E290" s="118"/>
    </row>
    <row r="291" spans="1:5" x14ac:dyDescent="0.25">
      <c r="A291" s="118">
        <v>4</v>
      </c>
      <c r="B291" s="114" t="str">
        <f>Inputs!$A$16</f>
        <v>M4581200</v>
      </c>
      <c r="C291" s="45" t="str">
        <f>Inputs!$B$16</f>
        <v>PNT</v>
      </c>
      <c r="D291" s="45" t="s">
        <v>58</v>
      </c>
      <c r="E291" s="118"/>
    </row>
    <row r="292" spans="1:5" x14ac:dyDescent="0.25">
      <c r="A292" s="118">
        <v>5</v>
      </c>
      <c r="B292" s="114" t="str">
        <f>Inputs!$A$16</f>
        <v>M4581200</v>
      </c>
      <c r="C292" s="45" t="str">
        <f>Inputs!$B$16</f>
        <v>PNT</v>
      </c>
      <c r="D292" s="45" t="s">
        <v>58</v>
      </c>
      <c r="E292" s="118"/>
    </row>
    <row r="293" spans="1:5" x14ac:dyDescent="0.25">
      <c r="A293" s="118">
        <v>6</v>
      </c>
      <c r="B293" s="114" t="str">
        <f>Inputs!$A$16</f>
        <v>M4581200</v>
      </c>
      <c r="C293" s="45" t="str">
        <f>Inputs!$B$16</f>
        <v>PNT</v>
      </c>
      <c r="D293" s="45" t="s">
        <v>58</v>
      </c>
      <c r="E293" s="118"/>
    </row>
    <row r="294" spans="1:5" x14ac:dyDescent="0.25">
      <c r="A294" s="118">
        <v>7</v>
      </c>
      <c r="B294" s="114" t="str">
        <f>Inputs!$A$16</f>
        <v>M4581200</v>
      </c>
      <c r="C294" s="45" t="str">
        <f>Inputs!$B$16</f>
        <v>PNT</v>
      </c>
      <c r="D294" s="45" t="s">
        <v>58</v>
      </c>
      <c r="E294" s="118"/>
    </row>
    <row r="295" spans="1:5" x14ac:dyDescent="0.25">
      <c r="A295" s="118">
        <v>8</v>
      </c>
      <c r="B295" s="114" t="str">
        <f>Inputs!$A$16</f>
        <v>M4581200</v>
      </c>
      <c r="C295" s="45" t="str">
        <f>Inputs!$B$16</f>
        <v>PNT</v>
      </c>
      <c r="D295" s="45" t="s">
        <v>58</v>
      </c>
      <c r="E295" s="118"/>
    </row>
    <row r="296" spans="1:5" x14ac:dyDescent="0.25">
      <c r="A296" s="118">
        <v>9</v>
      </c>
      <c r="B296" s="114" t="str">
        <f>Inputs!$A$16</f>
        <v>M4581200</v>
      </c>
      <c r="C296" s="45" t="str">
        <f>Inputs!$B$16</f>
        <v>PNT</v>
      </c>
      <c r="D296" s="45" t="s">
        <v>58</v>
      </c>
      <c r="E296" s="118"/>
    </row>
    <row r="297" spans="1:5" x14ac:dyDescent="0.25">
      <c r="A297" s="118">
        <v>10</v>
      </c>
      <c r="B297" s="114" t="str">
        <f>Inputs!$A$16</f>
        <v>M4581200</v>
      </c>
      <c r="C297" s="45" t="str">
        <f>Inputs!$B$16</f>
        <v>PNT</v>
      </c>
      <c r="D297" s="45" t="s">
        <v>58</v>
      </c>
      <c r="E297" s="118"/>
    </row>
    <row r="298" spans="1:5" x14ac:dyDescent="0.25">
      <c r="A298" s="118">
        <v>11</v>
      </c>
      <c r="B298" s="114" t="str">
        <f>Inputs!$A$16</f>
        <v>M4581200</v>
      </c>
      <c r="C298" s="45" t="str">
        <f>Inputs!$B$16</f>
        <v>PNT</v>
      </c>
      <c r="D298" s="45" t="s">
        <v>58</v>
      </c>
      <c r="E298" s="118"/>
    </row>
    <row r="299" spans="1:5" x14ac:dyDescent="0.25">
      <c r="A299" s="119">
        <v>3</v>
      </c>
      <c r="B299" s="115">
        <f>Inputs!$A$17</f>
        <v>0</v>
      </c>
      <c r="C299" s="44">
        <f>Inputs!$A$17</f>
        <v>0</v>
      </c>
      <c r="D299" s="44" t="s">
        <v>58</v>
      </c>
      <c r="E299" s="119"/>
    </row>
    <row r="300" spans="1:5" x14ac:dyDescent="0.25">
      <c r="A300" s="119">
        <v>4</v>
      </c>
      <c r="B300" s="115">
        <f>Inputs!$A$17</f>
        <v>0</v>
      </c>
      <c r="C300" s="44">
        <f>Inputs!$A$17</f>
        <v>0</v>
      </c>
      <c r="D300" s="44" t="s">
        <v>58</v>
      </c>
      <c r="E300" s="119"/>
    </row>
    <row r="301" spans="1:5" x14ac:dyDescent="0.25">
      <c r="A301" s="119">
        <v>5</v>
      </c>
      <c r="B301" s="115">
        <f>Inputs!$A$17</f>
        <v>0</v>
      </c>
      <c r="C301" s="44">
        <f>Inputs!$A$17</f>
        <v>0</v>
      </c>
      <c r="D301" s="44" t="s">
        <v>58</v>
      </c>
      <c r="E301" s="119"/>
    </row>
    <row r="302" spans="1:5" x14ac:dyDescent="0.25">
      <c r="A302" s="119">
        <v>6</v>
      </c>
      <c r="B302" s="115">
        <f>Inputs!$A$17</f>
        <v>0</v>
      </c>
      <c r="C302" s="44">
        <f>Inputs!$A$17</f>
        <v>0</v>
      </c>
      <c r="D302" s="44" t="s">
        <v>58</v>
      </c>
      <c r="E302" s="119"/>
    </row>
    <row r="303" spans="1:5" x14ac:dyDescent="0.25">
      <c r="A303" s="119">
        <v>7</v>
      </c>
      <c r="B303" s="115">
        <f>Inputs!$A$17</f>
        <v>0</v>
      </c>
      <c r="C303" s="44">
        <f>Inputs!$A$17</f>
        <v>0</v>
      </c>
      <c r="D303" s="44" t="s">
        <v>58</v>
      </c>
      <c r="E303" s="119"/>
    </row>
    <row r="304" spans="1:5" x14ac:dyDescent="0.25">
      <c r="A304" s="119">
        <v>8</v>
      </c>
      <c r="B304" s="115">
        <f>Inputs!$A$17</f>
        <v>0</v>
      </c>
      <c r="C304" s="44">
        <f>Inputs!$A$17</f>
        <v>0</v>
      </c>
      <c r="D304" s="44" t="s">
        <v>58</v>
      </c>
      <c r="E304" s="119"/>
    </row>
    <row r="305" spans="1:5" x14ac:dyDescent="0.25">
      <c r="A305" s="119">
        <v>9</v>
      </c>
      <c r="B305" s="115">
        <f>Inputs!$A$17</f>
        <v>0</v>
      </c>
      <c r="C305" s="44">
        <f>Inputs!$A$17</f>
        <v>0</v>
      </c>
      <c r="D305" s="44" t="s">
        <v>58</v>
      </c>
      <c r="E305" s="119"/>
    </row>
    <row r="306" spans="1:5" x14ac:dyDescent="0.25">
      <c r="A306" s="119">
        <v>10</v>
      </c>
      <c r="B306" s="115">
        <f>Inputs!$A$17</f>
        <v>0</v>
      </c>
      <c r="C306" s="44">
        <f>Inputs!$A$17</f>
        <v>0</v>
      </c>
      <c r="D306" s="44" t="s">
        <v>58</v>
      </c>
      <c r="E306" s="119"/>
    </row>
    <row r="307" spans="1:5" x14ac:dyDescent="0.25">
      <c r="A307" s="119">
        <v>11</v>
      </c>
      <c r="B307" s="115">
        <f>Inputs!$A$17</f>
        <v>0</v>
      </c>
      <c r="C307" s="44">
        <f>Inputs!$A$17</f>
        <v>0</v>
      </c>
      <c r="D307" s="44" t="s">
        <v>58</v>
      </c>
      <c r="E307" s="119"/>
    </row>
    <row r="308" spans="1:5" x14ac:dyDescent="0.25">
      <c r="A308" s="118">
        <v>3</v>
      </c>
      <c r="B308" s="114">
        <f>Inputs!$A$18</f>
        <v>0</v>
      </c>
      <c r="C308" s="45">
        <f>Inputs!$B$18</f>
        <v>0</v>
      </c>
      <c r="D308" s="45" t="s">
        <v>58</v>
      </c>
      <c r="E308" s="118"/>
    </row>
    <row r="309" spans="1:5" x14ac:dyDescent="0.25">
      <c r="A309" s="118">
        <v>4</v>
      </c>
      <c r="B309" s="114">
        <f>Inputs!$A$18</f>
        <v>0</v>
      </c>
      <c r="C309" s="45">
        <f>Inputs!$B$18</f>
        <v>0</v>
      </c>
      <c r="D309" s="45" t="s">
        <v>58</v>
      </c>
      <c r="E309" s="118"/>
    </row>
    <row r="310" spans="1:5" x14ac:dyDescent="0.25">
      <c r="A310" s="118">
        <v>5</v>
      </c>
      <c r="B310" s="114">
        <f>Inputs!$A$18</f>
        <v>0</v>
      </c>
      <c r="C310" s="45">
        <f>Inputs!$B$18</f>
        <v>0</v>
      </c>
      <c r="D310" s="45" t="s">
        <v>58</v>
      </c>
      <c r="E310" s="118"/>
    </row>
    <row r="311" spans="1:5" x14ac:dyDescent="0.25">
      <c r="A311" s="118">
        <v>6</v>
      </c>
      <c r="B311" s="114">
        <f>Inputs!$A$18</f>
        <v>0</v>
      </c>
      <c r="C311" s="45">
        <f>Inputs!$B$18</f>
        <v>0</v>
      </c>
      <c r="D311" s="45" t="s">
        <v>58</v>
      </c>
      <c r="E311" s="118"/>
    </row>
    <row r="312" spans="1:5" x14ac:dyDescent="0.25">
      <c r="A312" s="118">
        <v>7</v>
      </c>
      <c r="B312" s="114">
        <f>Inputs!$A$18</f>
        <v>0</v>
      </c>
      <c r="C312" s="45">
        <f>Inputs!$B$18</f>
        <v>0</v>
      </c>
      <c r="D312" s="45" t="s">
        <v>58</v>
      </c>
      <c r="E312" s="118"/>
    </row>
    <row r="313" spans="1:5" x14ac:dyDescent="0.25">
      <c r="A313" s="118">
        <v>8</v>
      </c>
      <c r="B313" s="114">
        <f>Inputs!$A$18</f>
        <v>0</v>
      </c>
      <c r="C313" s="45">
        <f>Inputs!$B$18</f>
        <v>0</v>
      </c>
      <c r="D313" s="45" t="s">
        <v>58</v>
      </c>
      <c r="E313" s="118"/>
    </row>
    <row r="314" spans="1:5" x14ac:dyDescent="0.25">
      <c r="A314" s="118">
        <v>9</v>
      </c>
      <c r="B314" s="114">
        <f>Inputs!$A$18</f>
        <v>0</v>
      </c>
      <c r="C314" s="45">
        <f>Inputs!$B$18</f>
        <v>0</v>
      </c>
      <c r="D314" s="45" t="s">
        <v>58</v>
      </c>
      <c r="E314" s="118"/>
    </row>
    <row r="315" spans="1:5" x14ac:dyDescent="0.25">
      <c r="A315" s="118">
        <v>10</v>
      </c>
      <c r="B315" s="114">
        <f>Inputs!$A$18</f>
        <v>0</v>
      </c>
      <c r="C315" s="45">
        <f>Inputs!$B$18</f>
        <v>0</v>
      </c>
      <c r="D315" s="45" t="s">
        <v>58</v>
      </c>
      <c r="E315" s="118"/>
    </row>
    <row r="316" spans="1:5" x14ac:dyDescent="0.25">
      <c r="A316" s="118">
        <v>11</v>
      </c>
      <c r="B316" s="114">
        <f>Inputs!$A$18</f>
        <v>0</v>
      </c>
      <c r="C316" s="45">
        <f>Inputs!$B$18</f>
        <v>0</v>
      </c>
      <c r="D316" s="45" t="s">
        <v>58</v>
      </c>
      <c r="E316" s="118"/>
    </row>
    <row r="317" spans="1:5" x14ac:dyDescent="0.25">
      <c r="A317" s="119">
        <v>3</v>
      </c>
      <c r="B317" s="115">
        <f>Inputs!$A$19</f>
        <v>0</v>
      </c>
      <c r="C317" s="44">
        <f>Inputs!$B$19</f>
        <v>0</v>
      </c>
      <c r="D317" s="44" t="s">
        <v>58</v>
      </c>
      <c r="E317" s="119"/>
    </row>
    <row r="318" spans="1:5" x14ac:dyDescent="0.25">
      <c r="A318" s="119">
        <v>4</v>
      </c>
      <c r="B318" s="115">
        <f>Inputs!$A$19</f>
        <v>0</v>
      </c>
      <c r="C318" s="44">
        <f>Inputs!$B$19</f>
        <v>0</v>
      </c>
      <c r="D318" s="44" t="s">
        <v>58</v>
      </c>
      <c r="E318" s="119"/>
    </row>
    <row r="319" spans="1:5" x14ac:dyDescent="0.25">
      <c r="A319" s="119">
        <v>5</v>
      </c>
      <c r="B319" s="115">
        <f>Inputs!$A$19</f>
        <v>0</v>
      </c>
      <c r="C319" s="44">
        <f>Inputs!$B$19</f>
        <v>0</v>
      </c>
      <c r="D319" s="44" t="s">
        <v>58</v>
      </c>
      <c r="E319" s="119"/>
    </row>
    <row r="320" spans="1:5" x14ac:dyDescent="0.25">
      <c r="A320" s="119">
        <v>6</v>
      </c>
      <c r="B320" s="115">
        <f>Inputs!$A$19</f>
        <v>0</v>
      </c>
      <c r="C320" s="44">
        <f>Inputs!$B$19</f>
        <v>0</v>
      </c>
      <c r="D320" s="44" t="s">
        <v>58</v>
      </c>
      <c r="E320" s="119"/>
    </row>
    <row r="321" spans="1:5" x14ac:dyDescent="0.25">
      <c r="A321" s="119">
        <v>7</v>
      </c>
      <c r="B321" s="115">
        <f>Inputs!$A$19</f>
        <v>0</v>
      </c>
      <c r="C321" s="44">
        <f>Inputs!$B$19</f>
        <v>0</v>
      </c>
      <c r="D321" s="44" t="s">
        <v>58</v>
      </c>
      <c r="E321" s="119"/>
    </row>
    <row r="322" spans="1:5" x14ac:dyDescent="0.25">
      <c r="A322" s="119">
        <v>8</v>
      </c>
      <c r="B322" s="115">
        <f>Inputs!$A$19</f>
        <v>0</v>
      </c>
      <c r="C322" s="44">
        <f>Inputs!$B$19</f>
        <v>0</v>
      </c>
      <c r="D322" s="44" t="s">
        <v>58</v>
      </c>
      <c r="E322" s="119"/>
    </row>
    <row r="323" spans="1:5" x14ac:dyDescent="0.25">
      <c r="A323" s="119">
        <v>9</v>
      </c>
      <c r="B323" s="115">
        <f>Inputs!$A$19</f>
        <v>0</v>
      </c>
      <c r="C323" s="44">
        <f>Inputs!$B$19</f>
        <v>0</v>
      </c>
      <c r="D323" s="44" t="s">
        <v>58</v>
      </c>
      <c r="E323" s="119"/>
    </row>
    <row r="324" spans="1:5" x14ac:dyDescent="0.25">
      <c r="A324" s="119">
        <v>10</v>
      </c>
      <c r="B324" s="115">
        <f>Inputs!$A$19</f>
        <v>0</v>
      </c>
      <c r="C324" s="44">
        <f>Inputs!$B$19</f>
        <v>0</v>
      </c>
      <c r="D324" s="44" t="s">
        <v>58</v>
      </c>
      <c r="E324" s="119"/>
    </row>
    <row r="325" spans="1:5" x14ac:dyDescent="0.25">
      <c r="A325" s="119">
        <v>11</v>
      </c>
      <c r="B325" s="115">
        <f>Inputs!$A$19</f>
        <v>0</v>
      </c>
      <c r="C325" s="44">
        <f>Inputs!$B$19</f>
        <v>0</v>
      </c>
      <c r="D325" s="44" t="s">
        <v>58</v>
      </c>
      <c r="E325" s="119"/>
    </row>
  </sheetData>
  <conditionalFormatting sqref="A272:D325">
    <cfRule type="expression" dxfId="11" priority="18">
      <formula>$B272=0</formula>
    </cfRule>
  </conditionalFormatting>
  <conditionalFormatting sqref="A2:D136">
    <cfRule type="expression" dxfId="10" priority="5">
      <formula>$B2=0</formula>
    </cfRule>
  </conditionalFormatting>
  <conditionalFormatting sqref="A137:D271">
    <cfRule type="expression" dxfId="9" priority="4">
      <formula>$B137=0</formula>
    </cfRule>
  </conditionalFormatting>
  <conditionalFormatting sqref="E272:E325">
    <cfRule type="expression" dxfId="8" priority="3">
      <formula>$B272=0</formula>
    </cfRule>
  </conditionalFormatting>
  <conditionalFormatting sqref="E2:E136">
    <cfRule type="expression" dxfId="7" priority="2">
      <formula>$B2=0</formula>
    </cfRule>
  </conditionalFormatting>
  <conditionalFormatting sqref="E137:E271">
    <cfRule type="expression" dxfId="6" priority="1">
      <formula>$B137=0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7030A0"/>
  </sheetPr>
  <dimension ref="A1:BQ100"/>
  <sheetViews>
    <sheetView workbookViewId="0"/>
  </sheetViews>
  <sheetFormatPr defaultRowHeight="15" x14ac:dyDescent="0.25"/>
  <cols>
    <col min="1" max="1" width="32.140625" style="260" bestFit="1" customWidth="1"/>
    <col min="2" max="2" width="9.42578125" style="260" bestFit="1" customWidth="1"/>
    <col min="3" max="9" width="10.42578125" style="260" bestFit="1" customWidth="1"/>
    <col min="10" max="10" width="6.5703125" style="260" bestFit="1" customWidth="1"/>
    <col min="11" max="11" width="15" style="260" customWidth="1"/>
    <col min="12" max="12" width="42.85546875" style="260" bestFit="1" customWidth="1"/>
    <col min="13" max="19" width="8" style="260" bestFit="1" customWidth="1"/>
    <col min="20" max="21" width="12.140625" style="260" bestFit="1" customWidth="1"/>
    <col min="22" max="22" width="8.140625" style="260" customWidth="1"/>
    <col min="23" max="23" width="19.85546875" style="260" bestFit="1" customWidth="1"/>
    <col min="24" max="24" width="7.85546875" style="260" bestFit="1" customWidth="1"/>
    <col min="25" max="32" width="8.85546875" style="260" bestFit="1" customWidth="1"/>
    <col min="33" max="33" width="8.140625" style="260" customWidth="1"/>
    <col min="34" max="34" width="32.28515625" style="260" bestFit="1" customWidth="1"/>
    <col min="35" max="35" width="3.5703125" style="260" bestFit="1" customWidth="1"/>
    <col min="36" max="37" width="4.85546875" style="260" bestFit="1" customWidth="1"/>
    <col min="38" max="41" width="7.85546875" style="260" bestFit="1" customWidth="1"/>
    <col min="42" max="42" width="5.85546875" style="260" bestFit="1" customWidth="1"/>
    <col min="43" max="43" width="4.85546875" style="260" bestFit="1" customWidth="1"/>
    <col min="44" max="44" width="9.140625" style="260"/>
    <col min="45" max="45" width="29.42578125" style="260" bestFit="1" customWidth="1"/>
    <col min="46" max="52" width="15.42578125" style="260" bestFit="1" customWidth="1"/>
    <col min="53" max="54" width="16.42578125" style="260" bestFit="1" customWidth="1"/>
    <col min="55" max="55" width="9.140625" style="260"/>
    <col min="56" max="56" width="24.42578125" style="260" bestFit="1" customWidth="1"/>
    <col min="57" max="59" width="6.28515625" style="260" bestFit="1" customWidth="1"/>
    <col min="60" max="63" width="15.42578125" style="260" bestFit="1" customWidth="1"/>
    <col min="64" max="64" width="12.7109375" style="260" bestFit="1" customWidth="1"/>
    <col min="65" max="65" width="7.5703125" style="260" bestFit="1" customWidth="1"/>
    <col min="66" max="67" width="9.140625" style="260"/>
    <col min="68" max="68" width="9.5703125" style="252" bestFit="1" customWidth="1"/>
    <col min="69" max="69" width="18.140625" style="252" bestFit="1" customWidth="1"/>
    <col min="70" max="16384" width="9.140625" style="252"/>
  </cols>
  <sheetData>
    <row r="1" spans="1:69" ht="31.5" x14ac:dyDescent="0.25">
      <c r="A1" s="251" t="s">
        <v>90</v>
      </c>
      <c r="B1" s="252" t="s">
        <v>15</v>
      </c>
      <c r="C1" s="252" t="s">
        <v>16</v>
      </c>
      <c r="D1" s="252" t="s">
        <v>17</v>
      </c>
      <c r="E1" s="252" t="s">
        <v>18</v>
      </c>
      <c r="F1" s="252" t="s">
        <v>29</v>
      </c>
      <c r="G1" s="252" t="s">
        <v>19</v>
      </c>
      <c r="H1" s="252" t="s">
        <v>20</v>
      </c>
      <c r="I1" s="252" t="s">
        <v>21</v>
      </c>
      <c r="J1" s="252" t="s">
        <v>105</v>
      </c>
      <c r="K1" s="253"/>
      <c r="L1" s="251" t="s">
        <v>91</v>
      </c>
      <c r="M1" s="252" t="s">
        <v>15</v>
      </c>
      <c r="N1" s="252" t="s">
        <v>16</v>
      </c>
      <c r="O1" s="252" t="s">
        <v>17</v>
      </c>
      <c r="P1" s="252" t="s">
        <v>18</v>
      </c>
      <c r="Q1" s="252" t="s">
        <v>29</v>
      </c>
      <c r="R1" s="252" t="s">
        <v>19</v>
      </c>
      <c r="S1" s="252" t="s">
        <v>20</v>
      </c>
      <c r="T1" s="252" t="s">
        <v>21</v>
      </c>
      <c r="U1" s="252" t="s">
        <v>105</v>
      </c>
      <c r="V1" s="253"/>
      <c r="W1" s="251" t="s">
        <v>92</v>
      </c>
      <c r="X1" s="252" t="s">
        <v>15</v>
      </c>
      <c r="Y1" s="252" t="s">
        <v>16</v>
      </c>
      <c r="Z1" s="252" t="s">
        <v>17</v>
      </c>
      <c r="AA1" s="252" t="s">
        <v>18</v>
      </c>
      <c r="AB1" s="252" t="s">
        <v>29</v>
      </c>
      <c r="AC1" s="252" t="s">
        <v>19</v>
      </c>
      <c r="AD1" s="252" t="s">
        <v>20</v>
      </c>
      <c r="AE1" s="252" t="s">
        <v>21</v>
      </c>
      <c r="AF1" s="252" t="s">
        <v>105</v>
      </c>
      <c r="AG1" s="253"/>
      <c r="AH1" s="251" t="s">
        <v>37</v>
      </c>
      <c r="AI1" s="252" t="s">
        <v>15</v>
      </c>
      <c r="AJ1" s="252" t="s">
        <v>16</v>
      </c>
      <c r="AK1" s="252" t="s">
        <v>17</v>
      </c>
      <c r="AL1" s="252" t="s">
        <v>18</v>
      </c>
      <c r="AM1" s="252" t="s">
        <v>29</v>
      </c>
      <c r="AN1" s="252" t="s">
        <v>19</v>
      </c>
      <c r="AO1" s="252" t="s">
        <v>20</v>
      </c>
      <c r="AP1" s="252" t="s">
        <v>21</v>
      </c>
      <c r="AQ1" s="252" t="s">
        <v>105</v>
      </c>
      <c r="AR1" s="253"/>
      <c r="AS1" s="251" t="s">
        <v>93</v>
      </c>
      <c r="AT1" s="252" t="s">
        <v>15</v>
      </c>
      <c r="AU1" s="252" t="s">
        <v>16</v>
      </c>
      <c r="AV1" s="252" t="s">
        <v>17</v>
      </c>
      <c r="AW1" s="252" t="s">
        <v>18</v>
      </c>
      <c r="AX1" s="252" t="s">
        <v>29</v>
      </c>
      <c r="AY1" s="252" t="s">
        <v>19</v>
      </c>
      <c r="AZ1" s="252" t="s">
        <v>20</v>
      </c>
      <c r="BA1" s="252" t="s">
        <v>21</v>
      </c>
      <c r="BB1" s="252" t="s">
        <v>105</v>
      </c>
      <c r="BC1" s="253"/>
      <c r="BD1" s="251" t="s">
        <v>94</v>
      </c>
      <c r="BE1" s="252" t="s">
        <v>15</v>
      </c>
      <c r="BF1" s="252" t="s">
        <v>16</v>
      </c>
      <c r="BG1" s="252" t="s">
        <v>17</v>
      </c>
      <c r="BH1" s="252" t="s">
        <v>18</v>
      </c>
      <c r="BI1" s="252" t="s">
        <v>29</v>
      </c>
      <c r="BJ1" s="252" t="s">
        <v>19</v>
      </c>
      <c r="BK1" s="252" t="s">
        <v>20</v>
      </c>
      <c r="BL1" s="252" t="s">
        <v>21</v>
      </c>
      <c r="BM1" s="252" t="s">
        <v>105</v>
      </c>
      <c r="BN1" s="253"/>
      <c r="BO1" s="253"/>
      <c r="BP1" s="254" t="s">
        <v>95</v>
      </c>
      <c r="BQ1" s="254">
        <f>SUM(AT2:BB52)</f>
        <v>17728655.637560844</v>
      </c>
    </row>
    <row r="2" spans="1:69" x14ac:dyDescent="0.25">
      <c r="A2" s="252" t="str">
        <f>Inputs!A2</f>
        <v>DomesticMC</v>
      </c>
      <c r="B2" s="252">
        <f>SUMIFS(Model!$E$5:$E$454,Model!$B$5:$B$454,A2,Model!$A$5:$A$454,3) + SUMIFS(Model!$K$5:$K$454,Model!$B$5:$B$454,A2,Model!$A$5:$A$454,3)</f>
        <v>7275.8</v>
      </c>
      <c r="C2" s="252">
        <f>SUMIFS(Model!$E$5:$E$454,Model!$B$5:$B$454,A2,Model!$A$5:$A$454,4) + SUMIFS(Model!$K$5:$K$454,Model!$B$5:$B$454,A2,Model!$A$5:$A$454,4)</f>
        <v>5729.1</v>
      </c>
      <c r="D2" s="252">
        <f>SUMIFS(Model!$E$5:$E$454,Model!$B$5:$B$454,A2,Model!$A$5:$A$454,5) + SUMIFS(Model!$K$5:$K$454,Model!$B$5:$B$454,A2,Model!$A$5:$A$454,5)</f>
        <v>6968.3</v>
      </c>
      <c r="E2" s="252">
        <f>SUMIFS(Model!$E$5:$E$454,Model!$B$5:$B$454,A2,Model!$A$5:$A$454,6) + SUMIFS(Model!$K$5:$K$454,Model!$B$5:$B$454,A2,Model!$A$5:$A$454,6)</f>
        <v>5649.9</v>
      </c>
      <c r="F2" s="252">
        <f>SUMIFS(Model!$E$5:$E$454,Model!$B$5:$B$454,A2,Model!$A$5:$A$454,7) + SUMIFS(Model!$K$5:$K$454,Model!$B$5:$B$454,A2,Model!$A$5:$A$454,7)</f>
        <v>5555.6</v>
      </c>
      <c r="G2" s="252">
        <f>SUMIFS(Model!$E$5:$E$454,Model!$B$5:$B$454,A2,Model!$A$5:$A$454,8) + SUMIFS(Model!$K$5:$K$454,Model!$B$5:$B$454,A2,Model!$A$5:$A$454,8)</f>
        <v>6566.0370999999996</v>
      </c>
      <c r="H2" s="252">
        <f>SUMIFS(Model!$E$5:$E$454,Model!$B$5:$B$454,A2,Model!$A$5:$A$454,9) + SUMIFS(Model!$K$5:$K$454,Model!$B$5:$B$454,A2,Model!$A$5:$A$454,9)</f>
        <v>6654.5628999999999</v>
      </c>
      <c r="I2" s="252">
        <f>SUMIFS(Model!$E$5:$E$454,Model!$B$5:$B$454,A2,Model!$A$5:$A$454,10) + SUMIFS(Model!$K$5:$K$454,Model!$B$5:$B$454,A2,Model!$A$5:$A$454,10)</f>
        <v>6985.2000000000007</v>
      </c>
      <c r="J2" s="252">
        <f>SUMIFS(Model!$E$5:$E$454,Model!$B$5:$B$454,A2,Model!$A$5:$A$454,11) + SUMIFS(Model!$K$5:$K$454,Model!$B$5:$B$454,A2,Model!$A$5:$A$454,11)</f>
        <v>6052.7</v>
      </c>
      <c r="K2" s="253"/>
      <c r="L2" s="252" t="str">
        <f>Inputs!A2</f>
        <v>DomesticMC</v>
      </c>
      <c r="M2" s="255">
        <v>7275.7999999999965</v>
      </c>
      <c r="N2" s="255">
        <v>5729.1</v>
      </c>
      <c r="O2" s="255">
        <v>6968.3</v>
      </c>
      <c r="P2" s="255">
        <v>5649.9</v>
      </c>
      <c r="Q2" s="255">
        <v>5555.6</v>
      </c>
      <c r="R2" s="255">
        <v>6566</v>
      </c>
      <c r="S2" s="255">
        <v>6654.6</v>
      </c>
      <c r="T2" s="256">
        <v>6985.2</v>
      </c>
      <c r="U2" s="256">
        <v>6052.7</v>
      </c>
      <c r="V2" s="253"/>
      <c r="W2" s="252" t="str">
        <f>Inputs!A2</f>
        <v>DomesticMC</v>
      </c>
      <c r="X2" s="252">
        <f>MAX(B2-M2,0)</f>
        <v>3.637978807091713E-12</v>
      </c>
      <c r="Y2" s="257">
        <f t="shared" ref="Y2:AF2" si="0">MAX(X2+C2-N2,0)</f>
        <v>3.637978807091713E-12</v>
      </c>
      <c r="Z2" s="257">
        <f t="shared" si="0"/>
        <v>3.637978807091713E-12</v>
      </c>
      <c r="AA2" s="257">
        <f t="shared" si="0"/>
        <v>3.637978807091713E-12</v>
      </c>
      <c r="AB2" s="257">
        <f t="shared" si="0"/>
        <v>3.637978807091713E-12</v>
      </c>
      <c r="AC2" s="257">
        <f t="shared" si="0"/>
        <v>3.710000000319269E-2</v>
      </c>
      <c r="AD2" s="257">
        <f t="shared" si="0"/>
        <v>2.7284841053187847E-12</v>
      </c>
      <c r="AE2" s="257">
        <f t="shared" si="0"/>
        <v>3.637978807091713E-12</v>
      </c>
      <c r="AF2" s="257">
        <f t="shared" si="0"/>
        <v>3.637978807091713E-12</v>
      </c>
      <c r="AG2" s="253"/>
      <c r="AH2" s="252" t="str">
        <f>Inputs!A2</f>
        <v>DomesticMC</v>
      </c>
      <c r="AI2" s="252">
        <f>MAX(-(B2-M2),0)</f>
        <v>0</v>
      </c>
      <c r="AJ2" s="252">
        <f t="shared" ref="AJ2:AQ2" si="1">MAX(-(C2+X2-N2),0)</f>
        <v>0</v>
      </c>
      <c r="AK2" s="252">
        <f t="shared" si="1"/>
        <v>0</v>
      </c>
      <c r="AL2" s="252">
        <f t="shared" si="1"/>
        <v>0</v>
      </c>
      <c r="AM2" s="252">
        <f t="shared" si="1"/>
        <v>0</v>
      </c>
      <c r="AN2" s="252">
        <f t="shared" si="1"/>
        <v>0</v>
      </c>
      <c r="AO2" s="252">
        <f t="shared" si="1"/>
        <v>0</v>
      </c>
      <c r="AP2" s="252">
        <f t="shared" si="1"/>
        <v>0</v>
      </c>
      <c r="AQ2" s="252">
        <f t="shared" si="1"/>
        <v>0</v>
      </c>
      <c r="AR2" s="253"/>
      <c r="AS2" s="252" t="str">
        <f>Inputs!A2</f>
        <v>DomesticMC</v>
      </c>
      <c r="AT2" s="252">
        <f>X2*Inputs!F2*Inputs!G2</f>
        <v>7.6126671046949926E-9</v>
      </c>
      <c r="AU2" s="252">
        <f>Y2*Inputs!F2*Inputs!G2</f>
        <v>7.6126671046949926E-9</v>
      </c>
      <c r="AV2" s="252">
        <f>Z2*Inputs!F2*Inputs!G2</f>
        <v>7.6126671046949926E-9</v>
      </c>
      <c r="AW2" s="252">
        <f>AA2*Inputs!F2*Inputs!G2</f>
        <v>7.6126671046949926E-9</v>
      </c>
      <c r="AX2" s="252">
        <f>AB2*Inputs!F2*Inputs!G2</f>
        <v>7.6126671046949926E-9</v>
      </c>
      <c r="AY2" s="252">
        <f>AC2*Inputs!F2*Inputs!G2</f>
        <v>77.633753406680881</v>
      </c>
      <c r="AZ2" s="252">
        <f>AD2*Inputs!F2*Inputs!G2</f>
        <v>5.7095003285212445E-9</v>
      </c>
      <c r="BA2" s="252">
        <f>AE2*Inputs!F2*Inputs!G2</f>
        <v>7.6126671046949926E-9</v>
      </c>
      <c r="BB2" s="252">
        <f>AF2*Inputs!F2*Inputs!H2</f>
        <v>7.6126671046949926E-9</v>
      </c>
      <c r="BC2" s="253"/>
      <c r="BD2" s="252" t="str">
        <f>Inputs!A2</f>
        <v>DomesticMC</v>
      </c>
      <c r="BE2" s="252">
        <f>AI2*Inputs!F2*Inputs!I2</f>
        <v>0</v>
      </c>
      <c r="BF2" s="252">
        <f>AJ2*Inputs!F2*Inputs!I2</f>
        <v>0</v>
      </c>
      <c r="BG2" s="252">
        <f>AK2*Inputs!F2*Inputs!I2</f>
        <v>0</v>
      </c>
      <c r="BH2" s="252">
        <f>AL2*Inputs!F2*Inputs!I2</f>
        <v>0</v>
      </c>
      <c r="BI2" s="252">
        <f>AM2*Inputs!F2*Inputs!I2</f>
        <v>0</v>
      </c>
      <c r="BJ2" s="252">
        <f>AN2*Inputs!F2*Inputs!I2</f>
        <v>0</v>
      </c>
      <c r="BK2" s="252">
        <f>AO2*Inputs!F2*Inputs!I2</f>
        <v>0</v>
      </c>
      <c r="BL2" s="252">
        <f>AP2*Inputs!F2*Inputs!I2</f>
        <v>0</v>
      </c>
      <c r="BM2" s="252">
        <f>AQ2*Inputs!F2*Inputs!I2</f>
        <v>0</v>
      </c>
      <c r="BN2" s="253"/>
      <c r="BO2" s="253"/>
      <c r="BP2" s="254" t="s">
        <v>92</v>
      </c>
      <c r="BQ2" s="254">
        <f>SUM(BE2:BM52)</f>
        <v>1229981.7182999786</v>
      </c>
    </row>
    <row r="3" spans="1:69" x14ac:dyDescent="0.25">
      <c r="A3" s="252" t="str">
        <f>Inputs!A3</f>
        <v>DomesticPNT</v>
      </c>
      <c r="B3" s="252">
        <f>SUMIFS(Model!$E$5:$E$454,Model!$B$5:$B$454,A3,Model!$A$5:$A$454,3) + SUMIFS(Model!$K$5:$K$454,Model!$B$5:$B$454,A3,Model!$A$5:$A$454,3)</f>
        <v>7340.9</v>
      </c>
      <c r="C3" s="252">
        <f>SUMIFS(Model!$E$5:$E$454,Model!$B$5:$B$454,A3,Model!$A$5:$A$454,4) + SUMIFS(Model!$K$5:$K$454,Model!$B$5:$B$454,A3,Model!$A$5:$A$454,4)</f>
        <v>7008</v>
      </c>
      <c r="D3" s="252">
        <f>SUMIFS(Model!$E$5:$E$454,Model!$B$5:$B$454,A3,Model!$A$5:$A$454,5) + SUMIFS(Model!$K$5:$K$454,Model!$B$5:$B$454,A3,Model!$A$5:$A$454,5)</f>
        <v>6854.9</v>
      </c>
      <c r="E3" s="252">
        <f>SUMIFS(Model!$E$5:$E$454,Model!$B$5:$B$454,A3,Model!$A$5:$A$454,6) + SUMIFS(Model!$K$5:$K$454,Model!$B$5:$B$454,A3,Model!$A$5:$A$454,6)</f>
        <v>6575.2</v>
      </c>
      <c r="F3" s="252">
        <f>SUMIFS(Model!$E$5:$E$454,Model!$B$5:$B$454,A3,Model!$A$5:$A$454,7) + SUMIFS(Model!$K$5:$K$454,Model!$B$5:$B$454,A3,Model!$A$5:$A$454,7)</f>
        <v>6768</v>
      </c>
      <c r="G3" s="252">
        <f>SUMIFS(Model!$E$5:$E$454,Model!$B$5:$B$454,A3,Model!$A$5:$A$454,8) + SUMIFS(Model!$K$5:$K$454,Model!$B$5:$B$454,A3,Model!$A$5:$A$454,8)</f>
        <v>7914.8984999999993</v>
      </c>
      <c r="H3" s="252">
        <f>SUMIFS(Model!$E$5:$E$454,Model!$B$5:$B$454,A3,Model!$A$5:$A$454,9) + SUMIFS(Model!$K$5:$K$454,Model!$B$5:$B$454,A3,Model!$A$5:$A$454,9)</f>
        <v>7391.2906000000003</v>
      </c>
      <c r="I3" s="252">
        <f>SUMIFS(Model!$E$5:$E$454,Model!$B$5:$B$454,A3,Model!$A$5:$A$454,10) + SUMIFS(Model!$K$5:$K$454,Model!$B$5:$B$454,A3,Model!$A$5:$A$454,10)</f>
        <v>7231.7107999999998</v>
      </c>
      <c r="J3" s="252">
        <f>SUMIFS(Model!$E$5:$E$454,Model!$B$5:$B$454,A3,Model!$A$5:$A$454,11) + SUMIFS(Model!$K$5:$K$454,Model!$B$5:$B$454,A3,Model!$A$5:$A$454,11)</f>
        <v>7080</v>
      </c>
      <c r="K3" s="253"/>
      <c r="L3" s="252" t="str">
        <f>Inputs!A3</f>
        <v>DomesticPNT</v>
      </c>
      <c r="M3" s="256">
        <v>7340.9</v>
      </c>
      <c r="N3" s="256">
        <v>7008</v>
      </c>
      <c r="O3" s="256">
        <v>6854.9</v>
      </c>
      <c r="P3" s="256">
        <v>6575.2</v>
      </c>
      <c r="Q3" s="256">
        <v>6768</v>
      </c>
      <c r="R3" s="256">
        <v>7747</v>
      </c>
      <c r="S3" s="256">
        <v>7429.4</v>
      </c>
      <c r="T3" s="256">
        <v>7302.7</v>
      </c>
      <c r="U3" s="256">
        <v>7138.8</v>
      </c>
      <c r="V3" s="253"/>
      <c r="W3" s="252" t="str">
        <f>Inputs!A3</f>
        <v>DomesticPNT</v>
      </c>
      <c r="X3" s="252">
        <f t="shared" ref="X3:X51" si="2">MAX(B3-M3,0)</f>
        <v>0</v>
      </c>
      <c r="Y3" s="257">
        <f t="shared" ref="Y3:Y51" si="3">MAX(X3+C3-N3,0)</f>
        <v>0</v>
      </c>
      <c r="Z3" s="257">
        <f t="shared" ref="Z3:Z17" si="4">MAX(Y3+D3-O3,0)</f>
        <v>0</v>
      </c>
      <c r="AA3" s="257">
        <f t="shared" ref="AA3:AA17" si="5">MAX(Z3+E3-P3,0)</f>
        <v>0</v>
      </c>
      <c r="AB3" s="257">
        <f t="shared" ref="AB3:AB17" si="6">MAX(AA3+F3-Q3,0)</f>
        <v>0</v>
      </c>
      <c r="AC3" s="257">
        <f t="shared" ref="AC3:AC17" si="7">MAX(AB3+G3-R3,0)</f>
        <v>167.89849999999933</v>
      </c>
      <c r="AD3" s="257">
        <f t="shared" ref="AD3:AD17" si="8">MAX(AC3+H3-S3,0)</f>
        <v>129.78909999999996</v>
      </c>
      <c r="AE3" s="257">
        <f t="shared" ref="AE3:AE17" si="9">MAX(AD3+I3-T3,0)</f>
        <v>58.79989999999998</v>
      </c>
      <c r="AF3" s="257">
        <f t="shared" ref="AF3:AF51" si="10">MAX(AE3+J3-U3,0)</f>
        <v>0</v>
      </c>
      <c r="AG3" s="253"/>
      <c r="AH3" s="252" t="str">
        <f>Inputs!A3</f>
        <v>DomesticPNT</v>
      </c>
      <c r="AI3" s="252">
        <f t="shared" ref="AI3:AI51" si="11">MAX(-(B3-M3),0)</f>
        <v>0</v>
      </c>
      <c r="AJ3" s="252">
        <f t="shared" ref="AJ3:AJ51" si="12">MAX(-(C3+X3-N3),0)</f>
        <v>0</v>
      </c>
      <c r="AK3" s="252">
        <f t="shared" ref="AK3:AK51" si="13">MAX(-(D3+Y3-O3),0)</f>
        <v>0</v>
      </c>
      <c r="AL3" s="252">
        <f t="shared" ref="AL3:AL51" si="14">MAX(-(E3+Z3-P3),0)</f>
        <v>0</v>
      </c>
      <c r="AM3" s="252">
        <f t="shared" ref="AM3:AM51" si="15">MAX(-(F3+AA3-Q3),0)</f>
        <v>0</v>
      </c>
      <c r="AN3" s="252">
        <f t="shared" ref="AN3:AN51" si="16">MAX(-(G3+AB3-R3),0)</f>
        <v>0</v>
      </c>
      <c r="AO3" s="252">
        <f t="shared" ref="AO3:AO51" si="17">MAX(-(H3+AC3-S3),0)</f>
        <v>0</v>
      </c>
      <c r="AP3" s="252">
        <f t="shared" ref="AP3:AP51" si="18">MAX(-(I3+AD3-T3),0)</f>
        <v>0</v>
      </c>
      <c r="AQ3" s="252">
        <f t="shared" ref="AQ3:AQ51" si="19">MAX(-(J3+AE3-U3),0)</f>
        <v>1.0000000020227162E-4</v>
      </c>
      <c r="AR3" s="253"/>
      <c r="AS3" s="252" t="str">
        <f>Inputs!A3</f>
        <v>DomesticPNT</v>
      </c>
      <c r="AT3" s="252">
        <f>X3*Inputs!F3*Inputs!G3</f>
        <v>0</v>
      </c>
      <c r="AU3" s="252">
        <f>Y3*Inputs!F3*Inputs!G3</f>
        <v>0</v>
      </c>
      <c r="AV3" s="252">
        <f>Z3*Inputs!F3*Inputs!G3</f>
        <v>0</v>
      </c>
      <c r="AW3" s="252">
        <f>AA3*Inputs!F3*Inputs!G3</f>
        <v>0</v>
      </c>
      <c r="AX3" s="252">
        <f>AB3*Inputs!F3*Inputs!G3</f>
        <v>0</v>
      </c>
      <c r="AY3" s="252">
        <f>AC3*Inputs!F3*Inputs!G3</f>
        <v>368338.41567599855</v>
      </c>
      <c r="AZ3" s="252">
        <f>AD3*Inputs!F3*Inputs!G3</f>
        <v>284733.40420559992</v>
      </c>
      <c r="BA3" s="252">
        <f>AE3*Inputs!F3*Inputs!G3</f>
        <v>128996.16141839995</v>
      </c>
      <c r="BB3" s="252">
        <f>AF3*Inputs!F3*Inputs!H3</f>
        <v>0</v>
      </c>
      <c r="BC3" s="253"/>
      <c r="BD3" s="252" t="str">
        <f>Inputs!A3</f>
        <v>DomesticPNT</v>
      </c>
      <c r="BE3" s="252">
        <f>AI3*Inputs!F3*Inputs!I3</f>
        <v>0</v>
      </c>
      <c r="BF3" s="252">
        <f>AJ3*Inputs!F3*Inputs!I3</f>
        <v>0</v>
      </c>
      <c r="BG3" s="252">
        <f>AK3*Inputs!F3*Inputs!I3</f>
        <v>0</v>
      </c>
      <c r="BH3" s="252">
        <f>AL3*Inputs!F3*Inputs!I3</f>
        <v>0</v>
      </c>
      <c r="BI3" s="252">
        <f>AM3*Inputs!F3*Inputs!I3</f>
        <v>0</v>
      </c>
      <c r="BJ3" s="252">
        <f>AN3*Inputs!F3*Inputs!I3</f>
        <v>0</v>
      </c>
      <c r="BK3" s="252">
        <f>AO3*Inputs!F3*Inputs!I3</f>
        <v>0</v>
      </c>
      <c r="BL3" s="252">
        <f>AP3*Inputs!F3*Inputs!I3</f>
        <v>0</v>
      </c>
      <c r="BM3" s="252">
        <f>AQ3*Inputs!F3*Inputs!I3</f>
        <v>0.73127200147915572</v>
      </c>
      <c r="BN3" s="253"/>
      <c r="BO3" s="253"/>
      <c r="BP3" s="254" t="s">
        <v>28</v>
      </c>
      <c r="BQ3" s="254">
        <f>SUM(BQ1:BQ2)</f>
        <v>18958637.355860822</v>
      </c>
    </row>
    <row r="4" spans="1:69" x14ac:dyDescent="0.25">
      <c r="A4" s="252" t="str">
        <f>Inputs!A4</f>
        <v>M3135400</v>
      </c>
      <c r="B4" s="252">
        <f>SUMIFS(Model!$E$5:$E$454,Model!$B$5:$B$454,A4,Model!$A$5:$A$454,3) + SUMIFS(Model!$K$5:$K$454,Model!$B$5:$B$454,A4,Model!$A$5:$A$454,3)</f>
        <v>0</v>
      </c>
      <c r="C4" s="252">
        <f>SUMIFS(Model!$E$5:$E$454,Model!$B$5:$B$454,A4,Model!$A$5:$A$454,4) + SUMIFS(Model!$K$5:$K$454,Model!$B$5:$B$454,A4,Model!$A$5:$A$454,4)</f>
        <v>0</v>
      </c>
      <c r="D4" s="252">
        <f>SUMIFS(Model!$E$5:$E$454,Model!$B$5:$B$454,A4,Model!$A$5:$A$454,5) + SUMIFS(Model!$K$5:$K$454,Model!$B$5:$B$454,A4,Model!$A$5:$A$454,5)</f>
        <v>0</v>
      </c>
      <c r="E4" s="252">
        <f>SUMIFS(Model!$E$5:$E$454,Model!$B$5:$B$454,A4,Model!$A$5:$A$454,6) + SUMIFS(Model!$K$5:$K$454,Model!$B$5:$B$454,A4,Model!$A$5:$A$454,6)</f>
        <v>132.91408999999999</v>
      </c>
      <c r="F4" s="252">
        <f>SUMIFS(Model!$E$5:$E$454,Model!$B$5:$B$454,A4,Model!$A$5:$A$454,7) + SUMIFS(Model!$K$5:$K$454,Model!$B$5:$B$454,A4,Model!$A$5:$A$454,7)</f>
        <v>259.79935</v>
      </c>
      <c r="G4" s="252">
        <f>SUMIFS(Model!$E$5:$E$454,Model!$B$5:$B$454,A4,Model!$A$5:$A$454,8) + SUMIFS(Model!$K$5:$K$454,Model!$B$5:$B$454,A4,Model!$A$5:$A$454,8)</f>
        <v>250.81558000000001</v>
      </c>
      <c r="H4" s="252">
        <f>SUMIFS(Model!$E$5:$E$454,Model!$B$5:$B$454,A4,Model!$A$5:$A$454,9) + SUMIFS(Model!$K$5:$K$454,Model!$B$5:$B$454,A4,Model!$A$5:$A$454,9)</f>
        <v>0</v>
      </c>
      <c r="I4" s="252">
        <f>SUMIFS(Model!$E$5:$E$454,Model!$B$5:$B$454,A4,Model!$A$5:$A$454,10) + SUMIFS(Model!$K$5:$K$454,Model!$B$5:$B$454,A4,Model!$A$5:$A$454,10)</f>
        <v>14.786524</v>
      </c>
      <c r="J4" s="252">
        <f>SUMIFS(Model!$E$5:$E$454,Model!$B$5:$B$454,A4,Model!$A$5:$A$454,11) + SUMIFS(Model!$K$5:$K$454,Model!$B$5:$B$454,A4,Model!$A$5:$A$454,11)</f>
        <v>0</v>
      </c>
      <c r="K4" s="253"/>
      <c r="L4" s="252" t="str">
        <f>Inputs!A4</f>
        <v>M3135400</v>
      </c>
      <c r="M4" s="256">
        <v>0</v>
      </c>
      <c r="N4" s="256">
        <v>0</v>
      </c>
      <c r="O4" s="256">
        <v>0</v>
      </c>
      <c r="P4" s="256">
        <v>0</v>
      </c>
      <c r="Q4" s="256">
        <v>61.400007074253359</v>
      </c>
      <c r="R4" s="256">
        <v>73.303042272555786</v>
      </c>
      <c r="S4" s="256">
        <v>418.09638799578556</v>
      </c>
      <c r="T4" s="256">
        <v>118.0986438455042</v>
      </c>
      <c r="U4" s="256">
        <v>18.814447651082546</v>
      </c>
      <c r="V4" s="253"/>
      <c r="W4" s="252" t="str">
        <f>Inputs!A4</f>
        <v>M3135400</v>
      </c>
      <c r="X4" s="252">
        <f t="shared" si="2"/>
        <v>0</v>
      </c>
      <c r="Y4" s="257">
        <f>MAX(X4+C4-N4,0)</f>
        <v>0</v>
      </c>
      <c r="Z4" s="257">
        <f t="shared" si="4"/>
        <v>0</v>
      </c>
      <c r="AA4" s="257">
        <f t="shared" si="5"/>
        <v>132.91408999999999</v>
      </c>
      <c r="AB4" s="257">
        <f t="shared" si="6"/>
        <v>331.31343292574661</v>
      </c>
      <c r="AC4" s="257">
        <f t="shared" si="7"/>
        <v>508.82597065319078</v>
      </c>
      <c r="AD4" s="257">
        <f t="shared" si="8"/>
        <v>90.729582657405217</v>
      </c>
      <c r="AE4" s="257">
        <f t="shared" si="9"/>
        <v>0</v>
      </c>
      <c r="AF4" s="257">
        <f t="shared" si="10"/>
        <v>0</v>
      </c>
      <c r="AG4" s="253"/>
      <c r="AH4" s="252" t="str">
        <f>Inputs!A4</f>
        <v>M3135400</v>
      </c>
      <c r="AI4" s="252">
        <f t="shared" si="11"/>
        <v>0</v>
      </c>
      <c r="AJ4" s="252">
        <f t="shared" si="12"/>
        <v>0</v>
      </c>
      <c r="AK4" s="252">
        <f t="shared" si="13"/>
        <v>0</v>
      </c>
      <c r="AL4" s="252">
        <f t="shared" si="14"/>
        <v>0</v>
      </c>
      <c r="AM4" s="252">
        <f t="shared" si="15"/>
        <v>0</v>
      </c>
      <c r="AN4" s="252">
        <f t="shared" si="16"/>
        <v>0</v>
      </c>
      <c r="AO4" s="252">
        <f t="shared" si="17"/>
        <v>0</v>
      </c>
      <c r="AP4" s="252">
        <f t="shared" si="18"/>
        <v>12.582537188098982</v>
      </c>
      <c r="AQ4" s="252">
        <f t="shared" si="19"/>
        <v>18.814447651082546</v>
      </c>
      <c r="AR4" s="253"/>
      <c r="AS4" s="252" t="str">
        <f>Inputs!A4</f>
        <v>M3135400</v>
      </c>
      <c r="AT4" s="252">
        <f>X4*Inputs!F4*Inputs!G4</f>
        <v>0</v>
      </c>
      <c r="AU4" s="252">
        <f>Y4*Inputs!F4*Inputs!G4</f>
        <v>0</v>
      </c>
      <c r="AV4" s="252">
        <f>Z4*Inputs!F4*Inputs!G4</f>
        <v>0</v>
      </c>
      <c r="AW4" s="252">
        <f>AA4*Inputs!F4*Inputs!G4</f>
        <v>273708.65639610001</v>
      </c>
      <c r="AX4" s="252">
        <f>AB4*Inputs!F4*Inputs!G4</f>
        <v>682270.43928966078</v>
      </c>
      <c r="AY4" s="252">
        <f>AC4*Inputs!F4*Inputs!G4</f>
        <v>1047820.2331064092</v>
      </c>
      <c r="AZ4" s="252">
        <f>AD4*Inputs!F4*Inputs!G4</f>
        <v>186838.52227056798</v>
      </c>
      <c r="BA4" s="252">
        <f>AE4*Inputs!F4*Inputs!G4</f>
        <v>0</v>
      </c>
      <c r="BB4" s="252">
        <f>AF4*Inputs!F4*Inputs!H4</f>
        <v>0</v>
      </c>
      <c r="BC4" s="253"/>
      <c r="BD4" s="252" t="str">
        <f>Inputs!A4</f>
        <v>M3135400</v>
      </c>
      <c r="BE4" s="252">
        <f>AI4*Inputs!F4*Inputs!I4</f>
        <v>0</v>
      </c>
      <c r="BF4" s="252">
        <f>AJ4*Inputs!F4*Inputs!I4</f>
        <v>0</v>
      </c>
      <c r="BG4" s="252">
        <f>AK4*Inputs!F4*Inputs!I4</f>
        <v>0</v>
      </c>
      <c r="BH4" s="252">
        <f>AL4*Inputs!F4*Inputs!I4</f>
        <v>0</v>
      </c>
      <c r="BI4" s="252">
        <f>AM4*Inputs!F4*Inputs!I4</f>
        <v>0</v>
      </c>
      <c r="BJ4" s="252">
        <f>AN4*Inputs!F4*Inputs!I4</f>
        <v>0</v>
      </c>
      <c r="BK4" s="252">
        <f>AO4*Inputs!F4*Inputs!I4</f>
        <v>0</v>
      </c>
      <c r="BL4" s="252">
        <f>AP4*Inputs!F4*Inputs!I4</f>
        <v>86370.310020267847</v>
      </c>
      <c r="BM4" s="252">
        <f>AQ4*Inputs!F4*Inputs!I4</f>
        <v>129148.01301132592</v>
      </c>
      <c r="BN4" s="253"/>
      <c r="BO4" s="253"/>
    </row>
    <row r="5" spans="1:69" x14ac:dyDescent="0.25">
      <c r="A5" s="252" t="str">
        <f>Inputs!A5</f>
        <v>M3135500</v>
      </c>
      <c r="B5" s="252">
        <f>SUMIFS(Model!$E$5:$E$454,Model!$B$5:$B$454,A5,Model!$A$5:$A$454,3) + SUMIFS(Model!$K$5:$K$454,Model!$B$5:$B$454,A5,Model!$A$5:$A$454,3)</f>
        <v>0</v>
      </c>
      <c r="C5" s="252">
        <f>SUMIFS(Model!$E$5:$E$454,Model!$B$5:$B$454,A5,Model!$A$5:$A$454,4) + SUMIFS(Model!$K$5:$K$454,Model!$B$5:$B$454,A5,Model!$A$5:$A$454,4)</f>
        <v>0</v>
      </c>
      <c r="D5" s="252">
        <f>SUMIFS(Model!$E$5:$E$454,Model!$B$5:$B$454,A5,Model!$A$5:$A$454,5) + SUMIFS(Model!$K$5:$K$454,Model!$B$5:$B$454,A5,Model!$A$5:$A$454,5)</f>
        <v>0</v>
      </c>
      <c r="E5" s="252">
        <f>SUMIFS(Model!$E$5:$E$454,Model!$B$5:$B$454,A5,Model!$A$5:$A$454,6) + SUMIFS(Model!$K$5:$K$454,Model!$B$5:$B$454,A5,Model!$A$5:$A$454,6)</f>
        <v>426.40906999999999</v>
      </c>
      <c r="F5" s="252">
        <f>SUMIFS(Model!$E$5:$E$454,Model!$B$5:$B$454,A5,Model!$A$5:$A$454,7) + SUMIFS(Model!$K$5:$K$454,Model!$B$5:$B$454,A5,Model!$A$5:$A$454,7)</f>
        <v>0</v>
      </c>
      <c r="G5" s="252">
        <f>SUMIFS(Model!$E$5:$E$454,Model!$B$5:$B$454,A5,Model!$A$5:$A$454,8) + SUMIFS(Model!$K$5:$K$454,Model!$B$5:$B$454,A5,Model!$A$5:$A$454,8)</f>
        <v>0</v>
      </c>
      <c r="H5" s="252">
        <f>SUMIFS(Model!$E$5:$E$454,Model!$B$5:$B$454,A5,Model!$A$5:$A$454,9) + SUMIFS(Model!$K$5:$K$454,Model!$B$5:$B$454,A5,Model!$A$5:$A$454,9)</f>
        <v>0</v>
      </c>
      <c r="I5" s="252">
        <f>SUMIFS(Model!$E$5:$E$454,Model!$B$5:$B$454,A5,Model!$A$5:$A$454,10) + SUMIFS(Model!$K$5:$K$454,Model!$B$5:$B$454,A5,Model!$A$5:$A$454,10)</f>
        <v>0</v>
      </c>
      <c r="J5" s="252">
        <f>SUMIFS(Model!$E$5:$E$454,Model!$B$5:$B$454,A5,Model!$A$5:$A$454,11) + SUMIFS(Model!$K$5:$K$454,Model!$B$5:$B$454,A5,Model!$A$5:$A$454,11)</f>
        <v>0</v>
      </c>
      <c r="K5" s="253"/>
      <c r="L5" s="252" t="str">
        <f>Inputs!A5</f>
        <v>M3135500</v>
      </c>
      <c r="M5" s="256">
        <v>0</v>
      </c>
      <c r="N5" s="256">
        <v>0</v>
      </c>
      <c r="O5" s="256">
        <v>0</v>
      </c>
      <c r="P5" s="256">
        <v>23.264245033543695</v>
      </c>
      <c r="Q5" s="256">
        <v>107.43570770036732</v>
      </c>
      <c r="R5" s="256">
        <v>165.11771752033906</v>
      </c>
      <c r="S5" s="256">
        <v>111.89401416868924</v>
      </c>
      <c r="T5" s="256">
        <v>16.489634918351985</v>
      </c>
      <c r="U5" s="256">
        <v>0</v>
      </c>
      <c r="V5" s="253"/>
      <c r="W5" s="252" t="str">
        <f>Inputs!A5</f>
        <v>M3135500</v>
      </c>
      <c r="X5" s="252">
        <f t="shared" si="2"/>
        <v>0</v>
      </c>
      <c r="Y5" s="257">
        <f t="shared" si="3"/>
        <v>0</v>
      </c>
      <c r="Z5" s="257">
        <f t="shared" si="4"/>
        <v>0</v>
      </c>
      <c r="AA5" s="257">
        <f t="shared" si="5"/>
        <v>403.14482496645627</v>
      </c>
      <c r="AB5" s="257">
        <f t="shared" si="6"/>
        <v>295.70911726608892</v>
      </c>
      <c r="AC5" s="257">
        <f t="shared" si="7"/>
        <v>130.59139974574987</v>
      </c>
      <c r="AD5" s="257">
        <f t="shared" si="8"/>
        <v>18.697385577060629</v>
      </c>
      <c r="AE5" s="257">
        <f t="shared" si="9"/>
        <v>2.207750658708644</v>
      </c>
      <c r="AF5" s="257">
        <f t="shared" si="10"/>
        <v>2.207750658708644</v>
      </c>
      <c r="AG5" s="253"/>
      <c r="AH5" s="252" t="str">
        <f>Inputs!A5</f>
        <v>M3135500</v>
      </c>
      <c r="AI5" s="252">
        <f t="shared" si="11"/>
        <v>0</v>
      </c>
      <c r="AJ5" s="252">
        <f t="shared" si="12"/>
        <v>0</v>
      </c>
      <c r="AK5" s="252">
        <f t="shared" si="13"/>
        <v>0</v>
      </c>
      <c r="AL5" s="252">
        <f t="shared" si="14"/>
        <v>0</v>
      </c>
      <c r="AM5" s="252">
        <f t="shared" si="15"/>
        <v>0</v>
      </c>
      <c r="AN5" s="252">
        <f t="shared" si="16"/>
        <v>0</v>
      </c>
      <c r="AO5" s="252">
        <f t="shared" si="17"/>
        <v>0</v>
      </c>
      <c r="AP5" s="252">
        <f t="shared" si="18"/>
        <v>0</v>
      </c>
      <c r="AQ5" s="252">
        <f t="shared" si="19"/>
        <v>0</v>
      </c>
      <c r="AR5" s="253"/>
      <c r="AS5" s="252" t="str">
        <f>Inputs!A5</f>
        <v>M3135500</v>
      </c>
      <c r="AT5" s="252">
        <f>X5*Inputs!F5*Inputs!G5</f>
        <v>0</v>
      </c>
      <c r="AU5" s="252">
        <f>Y5*Inputs!F5*Inputs!G5</f>
        <v>0</v>
      </c>
      <c r="AV5" s="252">
        <f>Z5*Inputs!F5*Inputs!G5</f>
        <v>0</v>
      </c>
      <c r="AW5" s="252">
        <f>AA5*Inputs!F5*Inputs!G5</f>
        <v>829800.24983530643</v>
      </c>
      <c r="AX5" s="252">
        <f>AB5*Inputs!F5*Inputs!G5</f>
        <v>608663.39883290161</v>
      </c>
      <c r="AY5" s="252">
        <f>AC5*Inputs!F5*Inputs!G5</f>
        <v>268798.62874187238</v>
      </c>
      <c r="AZ5" s="252">
        <f>AD5*Inputs!F5*Inputs!G5</f>
        <v>38485.165286204283</v>
      </c>
      <c r="BA5" s="252">
        <f>AE5*Inputs!F5*Inputs!G5</f>
        <v>4544.2529203318581</v>
      </c>
      <c r="BB5" s="252">
        <f>AF5*Inputs!F5*Inputs!H5</f>
        <v>7573.7548672197645</v>
      </c>
      <c r="BC5" s="253"/>
      <c r="BD5" s="252" t="str">
        <f>Inputs!A5</f>
        <v>M3135500</v>
      </c>
      <c r="BE5" s="252">
        <f>AI5*Inputs!F5*Inputs!I5</f>
        <v>0</v>
      </c>
      <c r="BF5" s="252">
        <f>AJ5*Inputs!F5*Inputs!I5</f>
        <v>0</v>
      </c>
      <c r="BG5" s="252">
        <f>AK5*Inputs!F5*Inputs!I5</f>
        <v>0</v>
      </c>
      <c r="BH5" s="252">
        <f>AL5*Inputs!F5*Inputs!I5</f>
        <v>0</v>
      </c>
      <c r="BI5" s="252">
        <f>AM5*Inputs!F5*Inputs!I5</f>
        <v>0</v>
      </c>
      <c r="BJ5" s="252">
        <f>AN5*Inputs!F5*Inputs!I5</f>
        <v>0</v>
      </c>
      <c r="BK5" s="252">
        <f>AO5*Inputs!F5*Inputs!I5</f>
        <v>0</v>
      </c>
      <c r="BL5" s="252">
        <f>AP5*Inputs!F5*Inputs!I5</f>
        <v>0</v>
      </c>
      <c r="BM5" s="252">
        <f>AQ5*Inputs!F5*Inputs!I5</f>
        <v>0</v>
      </c>
      <c r="BN5" s="253"/>
      <c r="BO5" s="253"/>
    </row>
    <row r="6" spans="1:69" x14ac:dyDescent="0.25">
      <c r="A6" s="252" t="str">
        <f>Inputs!A6</f>
        <v>M3471400</v>
      </c>
      <c r="B6" s="252">
        <f>SUMIFS(Model!$E$5:$E$454,Model!$B$5:$B$454,A6,Model!$A$5:$A$454,3) + SUMIFS(Model!$K$5:$K$454,Model!$B$5:$B$454,A6,Model!$A$5:$A$454,3)</f>
        <v>0</v>
      </c>
      <c r="C6" s="252">
        <f>SUMIFS(Model!$E$5:$E$454,Model!$B$5:$B$454,A6,Model!$A$5:$A$454,4) + SUMIFS(Model!$K$5:$K$454,Model!$B$5:$B$454,A6,Model!$A$5:$A$454,4)</f>
        <v>0</v>
      </c>
      <c r="D6" s="252">
        <f>SUMIFS(Model!$E$5:$E$454,Model!$B$5:$B$454,A6,Model!$A$5:$A$454,5) + SUMIFS(Model!$K$5:$K$454,Model!$B$5:$B$454,A6,Model!$A$5:$A$454,5)</f>
        <v>0</v>
      </c>
      <c r="E6" s="252">
        <f>SUMIFS(Model!$E$5:$E$454,Model!$B$5:$B$454,A6,Model!$A$5:$A$454,6) + SUMIFS(Model!$K$5:$K$454,Model!$B$5:$B$454,A6,Model!$A$5:$A$454,6)</f>
        <v>2.5366401000000001</v>
      </c>
      <c r="F6" s="252">
        <f>SUMIFS(Model!$E$5:$E$454,Model!$B$5:$B$454,A6,Model!$A$5:$A$454,7) + SUMIFS(Model!$K$5:$K$454,Model!$B$5:$B$454,A6,Model!$A$5:$A$454,7)</f>
        <v>78.438550000000006</v>
      </c>
      <c r="G6" s="252">
        <f>SUMIFS(Model!$E$5:$E$454,Model!$B$5:$B$454,A6,Model!$A$5:$A$454,8) + SUMIFS(Model!$K$5:$K$454,Model!$B$5:$B$454,A6,Model!$A$5:$A$454,8)</f>
        <v>64.780152000000001</v>
      </c>
      <c r="H6" s="252">
        <f>SUMIFS(Model!$E$5:$E$454,Model!$B$5:$B$454,A6,Model!$A$5:$A$454,9) + SUMIFS(Model!$K$5:$K$454,Model!$B$5:$B$454,A6,Model!$A$5:$A$454,9)</f>
        <v>48.974066000000001</v>
      </c>
      <c r="I6" s="252">
        <f>SUMIFS(Model!$E$5:$E$454,Model!$B$5:$B$454,A6,Model!$A$5:$A$454,10) + SUMIFS(Model!$K$5:$K$454,Model!$B$5:$B$454,A6,Model!$A$5:$A$454,10)</f>
        <v>48.196162999999999</v>
      </c>
      <c r="J6" s="252">
        <f>SUMIFS(Model!$E$5:$E$454,Model!$B$5:$B$454,A6,Model!$A$5:$A$454,11) + SUMIFS(Model!$K$5:$K$454,Model!$B$5:$B$454,A6,Model!$A$5:$A$454,11)</f>
        <v>0</v>
      </c>
      <c r="K6" s="253"/>
      <c r="L6" s="252" t="str">
        <f>Inputs!A6</f>
        <v>M3471400</v>
      </c>
      <c r="M6" s="256">
        <v>0</v>
      </c>
      <c r="N6" s="256">
        <v>0</v>
      </c>
      <c r="O6" s="256">
        <v>0</v>
      </c>
      <c r="P6" s="256">
        <v>2.6405613988068777</v>
      </c>
      <c r="Q6" s="256">
        <v>17.224022641783588</v>
      </c>
      <c r="R6" s="256">
        <v>54.441122083583402</v>
      </c>
      <c r="S6" s="256">
        <v>129.72567574041796</v>
      </c>
      <c r="T6" s="256">
        <v>26.076570984838273</v>
      </c>
      <c r="U6" s="256">
        <v>20.995948606892767</v>
      </c>
      <c r="V6" s="253"/>
      <c r="W6" s="252" t="str">
        <f>Inputs!A6</f>
        <v>M3471400</v>
      </c>
      <c r="X6" s="252">
        <f t="shared" si="2"/>
        <v>0</v>
      </c>
      <c r="Y6" s="257">
        <f t="shared" si="3"/>
        <v>0</v>
      </c>
      <c r="Z6" s="257">
        <f t="shared" si="4"/>
        <v>0</v>
      </c>
      <c r="AA6" s="257">
        <f t="shared" si="5"/>
        <v>0</v>
      </c>
      <c r="AB6" s="257">
        <f t="shared" si="6"/>
        <v>61.214527358216415</v>
      </c>
      <c r="AC6" s="257">
        <f t="shared" si="7"/>
        <v>71.553557274633022</v>
      </c>
      <c r="AD6" s="257">
        <f t="shared" si="8"/>
        <v>0</v>
      </c>
      <c r="AE6" s="257">
        <f t="shared" si="9"/>
        <v>22.119592015161725</v>
      </c>
      <c r="AF6" s="257">
        <f t="shared" si="10"/>
        <v>1.1236434082689577</v>
      </c>
      <c r="AG6" s="253"/>
      <c r="AH6" s="252" t="str">
        <f>Inputs!A6</f>
        <v>M3471400</v>
      </c>
      <c r="AI6" s="252">
        <f t="shared" si="11"/>
        <v>0</v>
      </c>
      <c r="AJ6" s="252">
        <f t="shared" si="12"/>
        <v>0</v>
      </c>
      <c r="AK6" s="252">
        <f t="shared" si="13"/>
        <v>0</v>
      </c>
      <c r="AL6" s="252">
        <f t="shared" si="14"/>
        <v>0.10392129880687762</v>
      </c>
      <c r="AM6" s="252">
        <f t="shared" si="15"/>
        <v>0</v>
      </c>
      <c r="AN6" s="252">
        <f t="shared" si="16"/>
        <v>0</v>
      </c>
      <c r="AO6" s="252">
        <f t="shared" si="17"/>
        <v>9.1980524657849401</v>
      </c>
      <c r="AP6" s="252">
        <f t="shared" si="18"/>
        <v>0</v>
      </c>
      <c r="AQ6" s="252">
        <f t="shared" si="19"/>
        <v>0</v>
      </c>
      <c r="AR6" s="253"/>
      <c r="AS6" s="252" t="str">
        <f>Inputs!A6</f>
        <v>M3471400</v>
      </c>
      <c r="AT6" s="252">
        <f>X6*Inputs!F6*Inputs!G6</f>
        <v>0</v>
      </c>
      <c r="AU6" s="252">
        <f>Y6*Inputs!F6*Inputs!G6</f>
        <v>0</v>
      </c>
      <c r="AV6" s="252">
        <f>Z6*Inputs!F6*Inputs!G6</f>
        <v>0</v>
      </c>
      <c r="AW6" s="252">
        <f>AA6*Inputs!F6*Inputs!G6</f>
        <v>0</v>
      </c>
      <c r="AX6" s="252">
        <f>AB6*Inputs!F6*Inputs!G6</f>
        <v>159936.29749030445</v>
      </c>
      <c r="AY6" s="252">
        <f>AC6*Inputs!F6*Inputs!G6</f>
        <v>186949.26705546465</v>
      </c>
      <c r="AZ6" s="252">
        <f>AD6*Inputs!F6*Inputs!G6</f>
        <v>0</v>
      </c>
      <c r="BA6" s="252">
        <f>AE6*Inputs!F6*Inputs!G6</f>
        <v>57792.2562106693</v>
      </c>
      <c r="BB6" s="252">
        <f>AF6*Inputs!F6*Inputs!H6</f>
        <v>4892.9389306094245</v>
      </c>
      <c r="BC6" s="253"/>
      <c r="BD6" s="252" t="str">
        <f>Inputs!A6</f>
        <v>M3471400</v>
      </c>
      <c r="BE6" s="252">
        <f>AI6*Inputs!F6*Inputs!I6</f>
        <v>0</v>
      </c>
      <c r="BF6" s="252">
        <f>AJ6*Inputs!F6*Inputs!I6</f>
        <v>0</v>
      </c>
      <c r="BG6" s="252">
        <f>AK6*Inputs!F6*Inputs!I6</f>
        <v>0</v>
      </c>
      <c r="BH6" s="252">
        <f>AL6*Inputs!F6*Inputs!I6</f>
        <v>905.05682658702551</v>
      </c>
      <c r="BI6" s="252">
        <f>AM6*Inputs!F6*Inputs!I6</f>
        <v>0</v>
      </c>
      <c r="BJ6" s="252">
        <f>AN6*Inputs!F6*Inputs!I6</f>
        <v>0</v>
      </c>
      <c r="BK6" s="252">
        <f>AO6*Inputs!F6*Inputs!I6</f>
        <v>80106.390807668984</v>
      </c>
      <c r="BL6" s="252">
        <f>AP6*Inputs!F6*Inputs!I6</f>
        <v>0</v>
      </c>
      <c r="BM6" s="252">
        <f>AQ6*Inputs!F6*Inputs!I6</f>
        <v>0</v>
      </c>
      <c r="BN6" s="253"/>
      <c r="BO6" s="253"/>
    </row>
    <row r="7" spans="1:69" x14ac:dyDescent="0.25">
      <c r="A7" s="252" t="str">
        <f>Inputs!A7</f>
        <v>M3472400</v>
      </c>
      <c r="B7" s="252">
        <f>SUMIFS(Model!$E$5:$E$454,Model!$B$5:$B$454,A7,Model!$A$5:$A$454,3) + SUMIFS(Model!$K$5:$K$454,Model!$B$5:$B$454,A7,Model!$A$5:$A$454,3)</f>
        <v>0</v>
      </c>
      <c r="C7" s="252">
        <f>SUMIFS(Model!$E$5:$E$454,Model!$B$5:$B$454,A7,Model!$A$5:$A$454,4) + SUMIFS(Model!$K$5:$K$454,Model!$B$5:$B$454,A7,Model!$A$5:$A$454,4)</f>
        <v>0</v>
      </c>
      <c r="D7" s="252">
        <f>SUMIFS(Model!$E$5:$E$454,Model!$B$5:$B$454,A7,Model!$A$5:$A$454,5) + SUMIFS(Model!$K$5:$K$454,Model!$B$5:$B$454,A7,Model!$A$5:$A$454,5)</f>
        <v>0</v>
      </c>
      <c r="E7" s="252">
        <f>SUMIFS(Model!$E$5:$E$454,Model!$B$5:$B$454,A7,Model!$A$5:$A$454,6) + SUMIFS(Model!$K$5:$K$454,Model!$B$5:$B$454,A7,Model!$A$5:$A$454,6)</f>
        <v>0</v>
      </c>
      <c r="F7" s="252">
        <f>SUMIFS(Model!$E$5:$E$454,Model!$B$5:$B$454,A7,Model!$A$5:$A$454,7) + SUMIFS(Model!$K$5:$K$454,Model!$B$5:$B$454,A7,Model!$A$5:$A$454,7)</f>
        <v>80.273206999999999</v>
      </c>
      <c r="G7" s="252">
        <f>SUMIFS(Model!$E$5:$E$454,Model!$B$5:$B$454,A7,Model!$A$5:$A$454,8) + SUMIFS(Model!$K$5:$K$454,Model!$B$5:$B$454,A7,Model!$A$5:$A$454,8)</f>
        <v>64.218565999999996</v>
      </c>
      <c r="H7" s="252">
        <f>SUMIFS(Model!$E$5:$E$454,Model!$B$5:$B$454,A7,Model!$A$5:$A$454,9) + SUMIFS(Model!$K$5:$K$454,Model!$B$5:$B$454,A7,Model!$A$5:$A$454,9)</f>
        <v>48.163924000000002</v>
      </c>
      <c r="I7" s="252">
        <f>SUMIFS(Model!$E$5:$E$454,Model!$B$5:$B$454,A7,Model!$A$5:$A$454,10) + SUMIFS(Model!$K$5:$K$454,Model!$B$5:$B$454,A7,Model!$A$5:$A$454,10)</f>
        <v>48.163924000000002</v>
      </c>
      <c r="J7" s="252">
        <f>SUMIFS(Model!$E$5:$E$454,Model!$B$5:$B$454,A7,Model!$A$5:$A$454,11) + SUMIFS(Model!$K$5:$K$454,Model!$B$5:$B$454,A7,Model!$A$5:$A$454,11)</f>
        <v>0</v>
      </c>
      <c r="K7" s="253"/>
      <c r="L7" s="252" t="str">
        <f>Inputs!A7</f>
        <v>M3472400</v>
      </c>
      <c r="M7" s="256">
        <v>0</v>
      </c>
      <c r="N7" s="256">
        <v>0</v>
      </c>
      <c r="O7" s="256">
        <v>0</v>
      </c>
      <c r="P7" s="256">
        <v>0</v>
      </c>
      <c r="Q7" s="256">
        <v>0</v>
      </c>
      <c r="R7" s="256">
        <v>13.295463750186114</v>
      </c>
      <c r="S7" s="256">
        <v>109.96050648543051</v>
      </c>
      <c r="T7" s="256">
        <v>125.49151579229431</v>
      </c>
      <c r="U7" s="256">
        <v>0</v>
      </c>
      <c r="V7" s="253"/>
      <c r="W7" s="252" t="str">
        <f>Inputs!A7</f>
        <v>M3472400</v>
      </c>
      <c r="X7" s="252">
        <f t="shared" si="2"/>
        <v>0</v>
      </c>
      <c r="Y7" s="257">
        <f t="shared" si="3"/>
        <v>0</v>
      </c>
      <c r="Z7" s="257">
        <f t="shared" si="4"/>
        <v>0</v>
      </c>
      <c r="AA7" s="257">
        <f t="shared" si="5"/>
        <v>0</v>
      </c>
      <c r="AB7" s="257">
        <f t="shared" si="6"/>
        <v>80.273206999999999</v>
      </c>
      <c r="AC7" s="257">
        <f t="shared" si="7"/>
        <v>131.19630924981388</v>
      </c>
      <c r="AD7" s="257">
        <f t="shared" si="8"/>
        <v>69.399726764383374</v>
      </c>
      <c r="AE7" s="257">
        <f t="shared" si="9"/>
        <v>0</v>
      </c>
      <c r="AF7" s="257">
        <f t="shared" si="10"/>
        <v>0</v>
      </c>
      <c r="AG7" s="253"/>
      <c r="AH7" s="252" t="str">
        <f>Inputs!A7</f>
        <v>M3472400</v>
      </c>
      <c r="AI7" s="252">
        <f t="shared" si="11"/>
        <v>0</v>
      </c>
      <c r="AJ7" s="252">
        <f t="shared" si="12"/>
        <v>0</v>
      </c>
      <c r="AK7" s="252">
        <f t="shared" si="13"/>
        <v>0</v>
      </c>
      <c r="AL7" s="252">
        <f t="shared" si="14"/>
        <v>0</v>
      </c>
      <c r="AM7" s="252">
        <f t="shared" si="15"/>
        <v>0</v>
      </c>
      <c r="AN7" s="252">
        <f t="shared" si="16"/>
        <v>0</v>
      </c>
      <c r="AO7" s="252">
        <f t="shared" si="17"/>
        <v>0</v>
      </c>
      <c r="AP7" s="252">
        <f t="shared" si="18"/>
        <v>7.9278650279109399</v>
      </c>
      <c r="AQ7" s="252">
        <f t="shared" si="19"/>
        <v>0</v>
      </c>
      <c r="AR7" s="253"/>
      <c r="AS7" s="252" t="str">
        <f>Inputs!A7</f>
        <v>M3472400</v>
      </c>
      <c r="AT7" s="252">
        <f>X7*Inputs!F7*Inputs!G7</f>
        <v>0</v>
      </c>
      <c r="AU7" s="252">
        <f>Y7*Inputs!F7*Inputs!G7</f>
        <v>0</v>
      </c>
      <c r="AV7" s="252">
        <f>Z7*Inputs!F7*Inputs!G7</f>
        <v>0</v>
      </c>
      <c r="AW7" s="252">
        <f>AA7*Inputs!F7*Inputs!G7</f>
        <v>0</v>
      </c>
      <c r="AX7" s="252">
        <f>AB7*Inputs!F7*Inputs!G7</f>
        <v>209738.47743525601</v>
      </c>
      <c r="AY7" s="252">
        <f>AC7*Inputs!F7*Inputs!G7</f>
        <v>342790.76637838769</v>
      </c>
      <c r="AZ7" s="252">
        <f>AD7*Inputs!F7*Inputs!G7</f>
        <v>181328.161287795</v>
      </c>
      <c r="BA7" s="252">
        <f>AE7*Inputs!F7*Inputs!G7</f>
        <v>0</v>
      </c>
      <c r="BB7" s="252">
        <f>AF7*Inputs!F7*Inputs!H7</f>
        <v>0</v>
      </c>
      <c r="BC7" s="253"/>
      <c r="BD7" s="252" t="str">
        <f>Inputs!A7</f>
        <v>M3472400</v>
      </c>
      <c r="BE7" s="252">
        <f>AI7*Inputs!F7*Inputs!I7</f>
        <v>0</v>
      </c>
      <c r="BF7" s="252">
        <f>AJ7*Inputs!F7*Inputs!I7</f>
        <v>0</v>
      </c>
      <c r="BG7" s="252">
        <f>AK7*Inputs!F7*Inputs!I7</f>
        <v>0</v>
      </c>
      <c r="BH7" s="252">
        <f>AL7*Inputs!F7*Inputs!I7</f>
        <v>0</v>
      </c>
      <c r="BI7" s="252">
        <f>AM7*Inputs!F7*Inputs!I7</f>
        <v>0</v>
      </c>
      <c r="BJ7" s="252">
        <f>AN7*Inputs!F7*Inputs!I7</f>
        <v>0</v>
      </c>
      <c r="BK7" s="252">
        <f>AO7*Inputs!F7*Inputs!I7</f>
        <v>0</v>
      </c>
      <c r="BL7" s="252">
        <f>AP7*Inputs!F7*Inputs!I7</f>
        <v>69046.630559486424</v>
      </c>
      <c r="BM7" s="252">
        <f>AQ7*Inputs!F7*Inputs!I7</f>
        <v>0</v>
      </c>
      <c r="BN7" s="253"/>
      <c r="BO7" s="253"/>
    </row>
    <row r="8" spans="1:69" x14ac:dyDescent="0.25">
      <c r="A8" s="252" t="str">
        <f>Inputs!A8</f>
        <v>M4103300</v>
      </c>
      <c r="B8" s="252">
        <f>SUMIFS(Model!$E$5:$E$454,Model!$B$5:$B$454,A8,Model!$A$5:$A$454,3) + SUMIFS(Model!$K$5:$K$454,Model!$B$5:$B$454,A8,Model!$A$5:$A$454,3)</f>
        <v>0</v>
      </c>
      <c r="C8" s="252">
        <f>SUMIFS(Model!$E$5:$E$454,Model!$B$5:$B$454,A8,Model!$A$5:$A$454,4) + SUMIFS(Model!$K$5:$K$454,Model!$B$5:$B$454,A8,Model!$A$5:$A$454,4)</f>
        <v>0</v>
      </c>
      <c r="D8" s="252">
        <f>SUMIFS(Model!$E$5:$E$454,Model!$B$5:$B$454,A8,Model!$A$5:$A$454,5) + SUMIFS(Model!$K$5:$K$454,Model!$B$5:$B$454,A8,Model!$A$5:$A$454,5)</f>
        <v>0</v>
      </c>
      <c r="E8" s="252">
        <f>SUMIFS(Model!$E$5:$E$454,Model!$B$5:$B$454,A8,Model!$A$5:$A$454,6) + SUMIFS(Model!$K$5:$K$454,Model!$B$5:$B$454,A8,Model!$A$5:$A$454,6)</f>
        <v>0</v>
      </c>
      <c r="F8" s="252">
        <f>SUMIFS(Model!$E$5:$E$454,Model!$B$5:$B$454,A8,Model!$A$5:$A$454,7) + SUMIFS(Model!$K$5:$K$454,Model!$B$5:$B$454,A8,Model!$A$5:$A$454,7)</f>
        <v>36.048195999999997</v>
      </c>
      <c r="G8" s="252">
        <f>SUMIFS(Model!$E$5:$E$454,Model!$B$5:$B$454,A8,Model!$A$5:$A$454,8) + SUMIFS(Model!$K$5:$K$454,Model!$B$5:$B$454,A8,Model!$A$5:$A$454,8)</f>
        <v>65.938693000000001</v>
      </c>
      <c r="H8" s="252">
        <f>SUMIFS(Model!$E$5:$E$454,Model!$B$5:$B$454,A8,Model!$A$5:$A$454,9) + SUMIFS(Model!$K$5:$K$454,Model!$B$5:$B$454,A8,Model!$A$5:$A$454,9)</f>
        <v>6.157699</v>
      </c>
      <c r="I8" s="252">
        <f>SUMIFS(Model!$E$5:$E$454,Model!$B$5:$B$454,A8,Model!$A$5:$A$454,10) + SUMIFS(Model!$K$5:$K$454,Model!$B$5:$B$454,A8,Model!$A$5:$A$454,10)</f>
        <v>0</v>
      </c>
      <c r="J8" s="252">
        <f>SUMIFS(Model!$E$5:$E$454,Model!$B$5:$B$454,A8,Model!$A$5:$A$454,11) + SUMIFS(Model!$K$5:$K$454,Model!$B$5:$B$454,A8,Model!$A$5:$A$454,11)</f>
        <v>0</v>
      </c>
      <c r="K8" s="253"/>
      <c r="L8" s="252" t="str">
        <f>Inputs!A8</f>
        <v>M4103300</v>
      </c>
      <c r="M8" s="256">
        <v>0</v>
      </c>
      <c r="N8" s="256">
        <v>0</v>
      </c>
      <c r="O8" s="256">
        <v>0</v>
      </c>
      <c r="P8" s="256">
        <v>0</v>
      </c>
      <c r="Q8" s="256">
        <v>0</v>
      </c>
      <c r="R8" s="256">
        <v>102.78610938046744</v>
      </c>
      <c r="S8" s="256">
        <v>5.5721161884604253</v>
      </c>
      <c r="T8" s="256">
        <v>0</v>
      </c>
      <c r="U8" s="256">
        <v>0</v>
      </c>
      <c r="V8" s="253"/>
      <c r="W8" s="252" t="str">
        <f>Inputs!A8</f>
        <v>M4103300</v>
      </c>
      <c r="X8" s="252">
        <f t="shared" si="2"/>
        <v>0</v>
      </c>
      <c r="Y8" s="257">
        <f t="shared" si="3"/>
        <v>0</v>
      </c>
      <c r="Z8" s="257">
        <f t="shared" si="4"/>
        <v>0</v>
      </c>
      <c r="AA8" s="257">
        <f t="shared" si="5"/>
        <v>0</v>
      </c>
      <c r="AB8" s="257">
        <f t="shared" si="6"/>
        <v>36.048195999999997</v>
      </c>
      <c r="AC8" s="257">
        <f t="shared" si="7"/>
        <v>0</v>
      </c>
      <c r="AD8" s="257">
        <f t="shared" si="8"/>
        <v>0.5855828115395747</v>
      </c>
      <c r="AE8" s="257">
        <f t="shared" si="9"/>
        <v>0.5855828115395747</v>
      </c>
      <c r="AF8" s="257">
        <f t="shared" si="10"/>
        <v>0.5855828115395747</v>
      </c>
      <c r="AG8" s="253"/>
      <c r="AH8" s="252" t="str">
        <f>Inputs!A8</f>
        <v>M4103300</v>
      </c>
      <c r="AI8" s="252">
        <f t="shared" si="11"/>
        <v>0</v>
      </c>
      <c r="AJ8" s="252">
        <f t="shared" si="12"/>
        <v>0</v>
      </c>
      <c r="AK8" s="252">
        <f t="shared" si="13"/>
        <v>0</v>
      </c>
      <c r="AL8" s="252">
        <f t="shared" si="14"/>
        <v>0</v>
      </c>
      <c r="AM8" s="252">
        <f t="shared" si="15"/>
        <v>0</v>
      </c>
      <c r="AN8" s="252">
        <f t="shared" si="16"/>
        <v>0.79922038046744603</v>
      </c>
      <c r="AO8" s="252">
        <f t="shared" si="17"/>
        <v>0</v>
      </c>
      <c r="AP8" s="252">
        <f t="shared" si="18"/>
        <v>0</v>
      </c>
      <c r="AQ8" s="252">
        <f t="shared" si="19"/>
        <v>0</v>
      </c>
      <c r="AR8" s="253"/>
      <c r="AS8" s="252" t="str">
        <f>Inputs!A8</f>
        <v>M4103300</v>
      </c>
      <c r="AT8" s="252">
        <f>X8*Inputs!F8*Inputs!G8</f>
        <v>0</v>
      </c>
      <c r="AU8" s="252">
        <f>Y8*Inputs!F8*Inputs!G8</f>
        <v>0</v>
      </c>
      <c r="AV8" s="252">
        <f>Z8*Inputs!F8*Inputs!G8</f>
        <v>0</v>
      </c>
      <c r="AW8" s="252">
        <f>AA8*Inputs!F8*Inputs!G8</f>
        <v>0</v>
      </c>
      <c r="AX8" s="252">
        <f>AB8*Inputs!F8*Inputs!G8</f>
        <v>84664.235053440003</v>
      </c>
      <c r="AY8" s="252">
        <f>AC8*Inputs!F8*Inputs!G8</f>
        <v>0</v>
      </c>
      <c r="AZ8" s="252">
        <f>AD8*Inputs!F8*Inputs!G8</f>
        <v>1375.3232144943067</v>
      </c>
      <c r="BA8" s="252">
        <f>AE8*Inputs!F8*Inputs!G8</f>
        <v>1375.3232144943067</v>
      </c>
      <c r="BB8" s="252">
        <f>AF8*Inputs!F8*Inputs!H8</f>
        <v>2292.2053574905112</v>
      </c>
      <c r="BC8" s="253"/>
      <c r="BD8" s="252" t="str">
        <f>Inputs!A8</f>
        <v>M4103300</v>
      </c>
      <c r="BE8" s="252">
        <f>AI8*Inputs!F8*Inputs!I8</f>
        <v>0</v>
      </c>
      <c r="BF8" s="252">
        <f>AJ8*Inputs!F8*Inputs!I8</f>
        <v>0</v>
      </c>
      <c r="BG8" s="252">
        <f>AK8*Inputs!F8*Inputs!I8</f>
        <v>0</v>
      </c>
      <c r="BH8" s="252">
        <f>AL8*Inputs!F8*Inputs!I8</f>
        <v>0</v>
      </c>
      <c r="BI8" s="252">
        <f>AM8*Inputs!F8*Inputs!I8</f>
        <v>0</v>
      </c>
      <c r="BJ8" s="252">
        <f>AN8*Inputs!F8*Inputs!I8</f>
        <v>6256.9365146035416</v>
      </c>
      <c r="BK8" s="252">
        <f>AO8*Inputs!F8*Inputs!I8</f>
        <v>0</v>
      </c>
      <c r="BL8" s="252">
        <f>AP8*Inputs!F8*Inputs!I8</f>
        <v>0</v>
      </c>
      <c r="BM8" s="252">
        <f>AQ8*Inputs!F8*Inputs!I8</f>
        <v>0</v>
      </c>
      <c r="BN8" s="253"/>
      <c r="BO8" s="253"/>
    </row>
    <row r="9" spans="1:69" x14ac:dyDescent="0.25">
      <c r="A9" s="252" t="str">
        <f>Inputs!A9</f>
        <v>M4348701</v>
      </c>
      <c r="B9" s="252">
        <f>SUMIFS(Model!$E$5:$E$454,Model!$B$5:$B$454,A9,Model!$A$5:$A$454,3) + SUMIFS(Model!$K$5:$K$454,Model!$B$5:$B$454,A9,Model!$A$5:$A$454,3)</f>
        <v>0</v>
      </c>
      <c r="C9" s="252">
        <f>SUMIFS(Model!$E$5:$E$454,Model!$B$5:$B$454,A9,Model!$A$5:$A$454,4) + SUMIFS(Model!$K$5:$K$454,Model!$B$5:$B$454,A9,Model!$A$5:$A$454,4)</f>
        <v>0</v>
      </c>
      <c r="D9" s="252">
        <f>SUMIFS(Model!$E$5:$E$454,Model!$B$5:$B$454,A9,Model!$A$5:$A$454,5) + SUMIFS(Model!$K$5:$K$454,Model!$B$5:$B$454,A9,Model!$A$5:$A$454,5)</f>
        <v>1.250544E-2</v>
      </c>
      <c r="E9" s="252">
        <f>SUMIFS(Model!$E$5:$E$454,Model!$B$5:$B$454,A9,Model!$A$5:$A$454,6) + SUMIFS(Model!$K$5:$K$454,Model!$B$5:$B$454,A9,Model!$A$5:$A$454,6)</f>
        <v>2.1491492000000001</v>
      </c>
      <c r="F9" s="252">
        <f>SUMIFS(Model!$E$5:$E$454,Model!$B$5:$B$454,A9,Model!$A$5:$A$454,7) + SUMIFS(Model!$K$5:$K$454,Model!$B$5:$B$454,A9,Model!$A$5:$A$454,7)</f>
        <v>218.07402999999999</v>
      </c>
      <c r="G9" s="252">
        <f>SUMIFS(Model!$E$5:$E$454,Model!$B$5:$B$454,A9,Model!$A$5:$A$454,8) + SUMIFS(Model!$K$5:$K$454,Model!$B$5:$B$454,A9,Model!$A$5:$A$454,8)</f>
        <v>176.18854999999999</v>
      </c>
      <c r="H9" s="252">
        <f>SUMIFS(Model!$E$5:$E$454,Model!$B$5:$B$454,A9,Model!$A$5:$A$454,9) + SUMIFS(Model!$K$5:$K$454,Model!$B$5:$B$454,A9,Model!$A$5:$A$454,9)</f>
        <v>132.14141000000001</v>
      </c>
      <c r="I9" s="252">
        <f>SUMIFS(Model!$E$5:$E$454,Model!$B$5:$B$454,A9,Model!$A$5:$A$454,10) + SUMIFS(Model!$K$5:$K$454,Model!$B$5:$B$454,A9,Model!$A$5:$A$454,10)</f>
        <v>132.14141000000001</v>
      </c>
      <c r="J9" s="252">
        <f>SUMIFS(Model!$E$5:$E$454,Model!$B$5:$B$454,A9,Model!$A$5:$A$454,11) + SUMIFS(Model!$K$5:$K$454,Model!$B$5:$B$454,A9,Model!$A$5:$A$454,11)</f>
        <v>0</v>
      </c>
      <c r="K9" s="253"/>
      <c r="L9" s="252" t="str">
        <f>Inputs!A9</f>
        <v>M4348701</v>
      </c>
      <c r="M9" s="256">
        <v>0</v>
      </c>
      <c r="N9" s="256">
        <v>0</v>
      </c>
      <c r="O9" s="256">
        <v>1.2269669370804115E-2</v>
      </c>
      <c r="P9" s="256">
        <v>1.9369654152949636</v>
      </c>
      <c r="Q9" s="256">
        <v>51.224980923704415</v>
      </c>
      <c r="R9" s="256">
        <v>180.12868334426912</v>
      </c>
      <c r="S9" s="256">
        <v>249.8417550546061</v>
      </c>
      <c r="T9" s="256">
        <v>168.97071234312762</v>
      </c>
      <c r="U9" s="256">
        <v>50.214090268344648</v>
      </c>
      <c r="V9" s="253"/>
      <c r="W9" s="252" t="str">
        <f>Inputs!A9</f>
        <v>M4348701</v>
      </c>
      <c r="X9" s="252">
        <f t="shared" si="2"/>
        <v>0</v>
      </c>
      <c r="Y9" s="257">
        <f t="shared" si="3"/>
        <v>0</v>
      </c>
      <c r="Z9" s="257">
        <f t="shared" si="4"/>
        <v>2.3577062919588436E-4</v>
      </c>
      <c r="AA9" s="257">
        <f t="shared" si="5"/>
        <v>0.21241955533423251</v>
      </c>
      <c r="AB9" s="257">
        <f t="shared" si="6"/>
        <v>167.06146863162982</v>
      </c>
      <c r="AC9" s="257">
        <f t="shared" si="7"/>
        <v>163.12133528736069</v>
      </c>
      <c r="AD9" s="257">
        <f t="shared" si="8"/>
        <v>45.420990232754605</v>
      </c>
      <c r="AE9" s="257">
        <f t="shared" si="9"/>
        <v>8.5916878896269964</v>
      </c>
      <c r="AF9" s="257">
        <f t="shared" si="10"/>
        <v>0</v>
      </c>
      <c r="AG9" s="253"/>
      <c r="AH9" s="252" t="str">
        <f>Inputs!A9</f>
        <v>M4348701</v>
      </c>
      <c r="AI9" s="252">
        <f t="shared" si="11"/>
        <v>0</v>
      </c>
      <c r="AJ9" s="252">
        <f t="shared" si="12"/>
        <v>0</v>
      </c>
      <c r="AK9" s="252">
        <f t="shared" si="13"/>
        <v>0</v>
      </c>
      <c r="AL9" s="252">
        <f t="shared" si="14"/>
        <v>0</v>
      </c>
      <c r="AM9" s="252">
        <f t="shared" si="15"/>
        <v>0</v>
      </c>
      <c r="AN9" s="252">
        <f t="shared" si="16"/>
        <v>0</v>
      </c>
      <c r="AO9" s="252">
        <f t="shared" si="17"/>
        <v>0</v>
      </c>
      <c r="AP9" s="252">
        <f t="shared" si="18"/>
        <v>0</v>
      </c>
      <c r="AQ9" s="252">
        <f t="shared" si="19"/>
        <v>41.622402378717652</v>
      </c>
      <c r="AR9" s="253"/>
      <c r="AS9" s="252" t="str">
        <f>Inputs!A9</f>
        <v>M4348701</v>
      </c>
      <c r="AT9" s="252">
        <f>X9*Inputs!F9*Inputs!G9</f>
        <v>0</v>
      </c>
      <c r="AU9" s="252">
        <f>Y9*Inputs!F9*Inputs!G9</f>
        <v>0</v>
      </c>
      <c r="AV9" s="252">
        <f>Z9*Inputs!F9*Inputs!G9</f>
        <v>0.52383942781874138</v>
      </c>
      <c r="AW9" s="252">
        <f>AA9*Inputs!F9*Inputs!G9</f>
        <v>471.9575915935938</v>
      </c>
      <c r="AX9" s="252">
        <f>AB9*Inputs!F9*Inputs!G9</f>
        <v>371180.17811219051</v>
      </c>
      <c r="AY9" s="252">
        <f>AC9*Inputs!F9*Inputs!G9</f>
        <v>362425.9189254932</v>
      </c>
      <c r="AZ9" s="252">
        <f>AD9*Inputs!F9*Inputs!G9</f>
        <v>100917.17367695838</v>
      </c>
      <c r="BA9" s="252">
        <f>AE9*Inputs!F9*Inputs!G9</f>
        <v>19089.166803555276</v>
      </c>
      <c r="BB9" s="252">
        <f>AF9*Inputs!F9*Inputs!H9</f>
        <v>0</v>
      </c>
      <c r="BC9" s="253"/>
      <c r="BD9" s="252" t="str">
        <f>Inputs!A9</f>
        <v>M4348701</v>
      </c>
      <c r="BE9" s="252">
        <f>AI9*Inputs!F9*Inputs!I9</f>
        <v>0</v>
      </c>
      <c r="BF9" s="252">
        <f>AJ9*Inputs!F9*Inputs!I9</f>
        <v>0</v>
      </c>
      <c r="BG9" s="252">
        <f>AK9*Inputs!F9*Inputs!I9</f>
        <v>0</v>
      </c>
      <c r="BH9" s="252">
        <f>AL9*Inputs!F9*Inputs!I9</f>
        <v>0</v>
      </c>
      <c r="BI9" s="252">
        <f>AM9*Inputs!F9*Inputs!I9</f>
        <v>0</v>
      </c>
      <c r="BJ9" s="252">
        <f>AN9*Inputs!F9*Inputs!I9</f>
        <v>0</v>
      </c>
      <c r="BK9" s="252">
        <f>AO9*Inputs!F9*Inputs!I9</f>
        <v>0</v>
      </c>
      <c r="BL9" s="252">
        <f>AP9*Inputs!F9*Inputs!I9</f>
        <v>0</v>
      </c>
      <c r="BM9" s="252">
        <f>AQ9*Inputs!F9*Inputs!I9</f>
        <v>308258.00936092564</v>
      </c>
      <c r="BN9" s="253"/>
      <c r="BO9" s="253"/>
    </row>
    <row r="10" spans="1:69" x14ac:dyDescent="0.25">
      <c r="A10" s="252" t="str">
        <f>Inputs!A10</f>
        <v>M4597400</v>
      </c>
      <c r="B10" s="252">
        <f>SUMIFS(Model!$E$5:$E$454,Model!$B$5:$B$454,A10,Model!$A$5:$A$454,3) + SUMIFS(Model!$K$5:$K$454,Model!$B$5:$B$454,A10,Model!$A$5:$A$454,3)</f>
        <v>0</v>
      </c>
      <c r="C10" s="252">
        <f>SUMIFS(Model!$E$5:$E$454,Model!$B$5:$B$454,A10,Model!$A$5:$A$454,4) + SUMIFS(Model!$K$5:$K$454,Model!$B$5:$B$454,A10,Model!$A$5:$A$454,4)</f>
        <v>0</v>
      </c>
      <c r="D10" s="252">
        <f>SUMIFS(Model!$E$5:$E$454,Model!$B$5:$B$454,A10,Model!$A$5:$A$454,5) + SUMIFS(Model!$K$5:$K$454,Model!$B$5:$B$454,A10,Model!$A$5:$A$454,5)</f>
        <v>0</v>
      </c>
      <c r="E10" s="252">
        <f>SUMIFS(Model!$E$5:$E$454,Model!$B$5:$B$454,A10,Model!$A$5:$A$454,6) + SUMIFS(Model!$K$5:$K$454,Model!$B$5:$B$454,A10,Model!$A$5:$A$454,6)</f>
        <v>0</v>
      </c>
      <c r="F10" s="252">
        <f>SUMIFS(Model!$E$5:$E$454,Model!$B$5:$B$454,A10,Model!$A$5:$A$454,7) + SUMIFS(Model!$K$5:$K$454,Model!$B$5:$B$454,A10,Model!$A$5:$A$454,7)</f>
        <v>36.766666999999998</v>
      </c>
      <c r="G10" s="252">
        <f>SUMIFS(Model!$E$5:$E$454,Model!$B$5:$B$454,A10,Model!$A$5:$A$454,8) + SUMIFS(Model!$K$5:$K$454,Model!$B$5:$B$454,A10,Model!$A$5:$A$454,8)</f>
        <v>57.021357000000002</v>
      </c>
      <c r="H10" s="252">
        <f>SUMIFS(Model!$E$5:$E$454,Model!$B$5:$B$454,A10,Model!$A$5:$A$454,9) + SUMIFS(Model!$K$5:$K$454,Model!$B$5:$B$454,A10,Model!$A$5:$A$454,9)</f>
        <v>0</v>
      </c>
      <c r="I10" s="252">
        <f>SUMIFS(Model!$E$5:$E$454,Model!$B$5:$B$454,A10,Model!$A$5:$A$454,10) + SUMIFS(Model!$K$5:$K$454,Model!$B$5:$B$454,A10,Model!$A$5:$A$454,10)</f>
        <v>16.511976000000001</v>
      </c>
      <c r="J10" s="252">
        <f>SUMIFS(Model!$E$5:$E$454,Model!$B$5:$B$454,A10,Model!$A$5:$A$454,11) + SUMIFS(Model!$K$5:$K$454,Model!$B$5:$B$454,A10,Model!$A$5:$A$454,11)</f>
        <v>0</v>
      </c>
      <c r="K10" s="253"/>
      <c r="L10" s="252" t="str">
        <f>Inputs!A10</f>
        <v>M4597400</v>
      </c>
      <c r="M10" s="256">
        <v>0</v>
      </c>
      <c r="N10" s="256">
        <v>0</v>
      </c>
      <c r="O10" s="256">
        <v>0</v>
      </c>
      <c r="P10" s="256">
        <v>0</v>
      </c>
      <c r="Q10" s="256">
        <v>0</v>
      </c>
      <c r="R10" s="256">
        <v>84.034621400953213</v>
      </c>
      <c r="S10" s="256">
        <v>2.3472088833456946</v>
      </c>
      <c r="T10" s="256">
        <v>0</v>
      </c>
      <c r="U10" s="256">
        <v>16.979469338299268</v>
      </c>
      <c r="V10" s="253"/>
      <c r="W10" s="252" t="str">
        <f>Inputs!A10</f>
        <v>M4597400</v>
      </c>
      <c r="X10" s="252">
        <f t="shared" si="2"/>
        <v>0</v>
      </c>
      <c r="Y10" s="257">
        <f t="shared" si="3"/>
        <v>0</v>
      </c>
      <c r="Z10" s="257">
        <f t="shared" si="4"/>
        <v>0</v>
      </c>
      <c r="AA10" s="257">
        <f t="shared" si="5"/>
        <v>0</v>
      </c>
      <c r="AB10" s="257">
        <f t="shared" si="6"/>
        <v>36.766666999999998</v>
      </c>
      <c r="AC10" s="257">
        <f t="shared" si="7"/>
        <v>9.7534025990467939</v>
      </c>
      <c r="AD10" s="257">
        <f t="shared" si="8"/>
        <v>7.4061937157010993</v>
      </c>
      <c r="AE10" s="257">
        <f t="shared" si="9"/>
        <v>23.918169715701101</v>
      </c>
      <c r="AF10" s="257">
        <f t="shared" si="10"/>
        <v>6.9387003774018332</v>
      </c>
      <c r="AG10" s="253"/>
      <c r="AH10" s="252" t="str">
        <f>Inputs!A10</f>
        <v>M4597400</v>
      </c>
      <c r="AI10" s="252">
        <f t="shared" si="11"/>
        <v>0</v>
      </c>
      <c r="AJ10" s="252">
        <f t="shared" si="12"/>
        <v>0</v>
      </c>
      <c r="AK10" s="252">
        <f t="shared" si="13"/>
        <v>0</v>
      </c>
      <c r="AL10" s="252">
        <f t="shared" si="14"/>
        <v>0</v>
      </c>
      <c r="AM10" s="252">
        <f t="shared" si="15"/>
        <v>0</v>
      </c>
      <c r="AN10" s="252">
        <f t="shared" si="16"/>
        <v>0</v>
      </c>
      <c r="AO10" s="252">
        <f t="shared" si="17"/>
        <v>0</v>
      </c>
      <c r="AP10" s="252">
        <f t="shared" si="18"/>
        <v>0</v>
      </c>
      <c r="AQ10" s="252">
        <f t="shared" si="19"/>
        <v>0</v>
      </c>
      <c r="AR10" s="253"/>
      <c r="AS10" s="252" t="str">
        <f>Inputs!A10</f>
        <v>M4597400</v>
      </c>
      <c r="AT10" s="252">
        <f>X10*Inputs!F10*Inputs!G10</f>
        <v>0</v>
      </c>
      <c r="AU10" s="252">
        <f>Y10*Inputs!F10*Inputs!G10</f>
        <v>0</v>
      </c>
      <c r="AV10" s="252">
        <f>Z10*Inputs!F10*Inputs!G10</f>
        <v>0</v>
      </c>
      <c r="AW10" s="252">
        <f>AA10*Inputs!F10*Inputs!G10</f>
        <v>0</v>
      </c>
      <c r="AX10" s="252">
        <f>AB10*Inputs!F10*Inputs!G10</f>
        <v>76273.663991510984</v>
      </c>
      <c r="AY10" s="252">
        <f>AC10*Inputs!F10*Inputs!G10</f>
        <v>20233.755554008338</v>
      </c>
      <c r="AZ10" s="252">
        <f>AD10*Inputs!F10*Inputs!G10</f>
        <v>15364.393267614547</v>
      </c>
      <c r="BA10" s="252">
        <f>AE10*Inputs!F10*Inputs!G10</f>
        <v>49619.032374822549</v>
      </c>
      <c r="BB10" s="252">
        <f>AF10*Inputs!F10*Inputs!H10</f>
        <v>23990.938183387596</v>
      </c>
      <c r="BC10" s="253"/>
      <c r="BD10" s="252" t="str">
        <f>Inputs!A10</f>
        <v>M4597400</v>
      </c>
      <c r="BE10" s="252">
        <f>AI10*Inputs!F10*Inputs!I10</f>
        <v>0</v>
      </c>
      <c r="BF10" s="252">
        <f>AJ10*Inputs!F10*Inputs!I10</f>
        <v>0</v>
      </c>
      <c r="BG10" s="252">
        <f>AK10*Inputs!F10*Inputs!I10</f>
        <v>0</v>
      </c>
      <c r="BH10" s="252">
        <f>AL10*Inputs!F10*Inputs!I10</f>
        <v>0</v>
      </c>
      <c r="BI10" s="252">
        <f>AM10*Inputs!F10*Inputs!I10</f>
        <v>0</v>
      </c>
      <c r="BJ10" s="252">
        <f>AN10*Inputs!F10*Inputs!I10</f>
        <v>0</v>
      </c>
      <c r="BK10" s="252">
        <f>AO10*Inputs!F10*Inputs!I10</f>
        <v>0</v>
      </c>
      <c r="BL10" s="252">
        <f>AP10*Inputs!F10*Inputs!I10</f>
        <v>0</v>
      </c>
      <c r="BM10" s="252">
        <f>AQ10*Inputs!F10*Inputs!I10</f>
        <v>0</v>
      </c>
      <c r="BN10" s="253"/>
      <c r="BO10" s="253"/>
    </row>
    <row r="11" spans="1:69" x14ac:dyDescent="0.25">
      <c r="A11" s="252" t="str">
        <f>Inputs!A11</f>
        <v>M3134800</v>
      </c>
      <c r="B11" s="252">
        <f>SUMIFS(Model!$E$5:$E$454,Model!$B$5:$B$454,A11,Model!$A$5:$A$454,3) + SUMIFS(Model!$K$5:$K$454,Model!$B$5:$B$454,A11,Model!$A$5:$A$454,3)</f>
        <v>0</v>
      </c>
      <c r="C11" s="252">
        <f>SUMIFS(Model!$E$5:$E$454,Model!$B$5:$B$454,A11,Model!$A$5:$A$454,4) + SUMIFS(Model!$K$5:$K$454,Model!$B$5:$B$454,A11,Model!$A$5:$A$454,4)</f>
        <v>0</v>
      </c>
      <c r="D11" s="252">
        <f>SUMIFS(Model!$E$5:$E$454,Model!$B$5:$B$454,A11,Model!$A$5:$A$454,5) + SUMIFS(Model!$K$5:$K$454,Model!$B$5:$B$454,A11,Model!$A$5:$A$454,5)</f>
        <v>0</v>
      </c>
      <c r="E11" s="252">
        <f>SUMIFS(Model!$E$5:$E$454,Model!$B$5:$B$454,A11,Model!$A$5:$A$454,6) + SUMIFS(Model!$K$5:$K$454,Model!$B$5:$B$454,A11,Model!$A$5:$A$454,6)</f>
        <v>454.7</v>
      </c>
      <c r="F11" s="252">
        <f>SUMIFS(Model!$E$5:$E$454,Model!$B$5:$B$454,A11,Model!$A$5:$A$454,7) + SUMIFS(Model!$K$5:$K$454,Model!$B$5:$B$454,A11,Model!$A$5:$A$454,7)</f>
        <v>129.69999999999999</v>
      </c>
      <c r="G11" s="252">
        <f>SUMIFS(Model!$E$5:$E$454,Model!$B$5:$B$454,A11,Model!$A$5:$A$454,8) + SUMIFS(Model!$K$5:$K$454,Model!$B$5:$B$454,A11,Model!$A$5:$A$454,8)</f>
        <v>0</v>
      </c>
      <c r="H11" s="252">
        <f>SUMIFS(Model!$E$5:$E$454,Model!$B$5:$B$454,A11,Model!$A$5:$A$454,9) + SUMIFS(Model!$K$5:$K$454,Model!$B$5:$B$454,A11,Model!$A$5:$A$454,9)</f>
        <v>0</v>
      </c>
      <c r="I11" s="252">
        <f>SUMIFS(Model!$E$5:$E$454,Model!$B$5:$B$454,A11,Model!$A$5:$A$454,10) + SUMIFS(Model!$K$5:$K$454,Model!$B$5:$B$454,A11,Model!$A$5:$A$454,10)</f>
        <v>0</v>
      </c>
      <c r="J11" s="252">
        <f>SUMIFS(Model!$E$5:$E$454,Model!$B$5:$B$454,A11,Model!$A$5:$A$454,11) + SUMIFS(Model!$K$5:$K$454,Model!$B$5:$B$454,A11,Model!$A$5:$A$454,11)</f>
        <v>0</v>
      </c>
      <c r="K11" s="253"/>
      <c r="L11" s="252" t="str">
        <f>Inputs!A11</f>
        <v>M3134800</v>
      </c>
      <c r="M11" s="256">
        <v>0</v>
      </c>
      <c r="N11" s="256">
        <v>0</v>
      </c>
      <c r="O11" s="256">
        <v>0</v>
      </c>
      <c r="P11" s="256">
        <v>0</v>
      </c>
      <c r="Q11" s="256">
        <v>46.427350220229293</v>
      </c>
      <c r="R11" s="256">
        <v>57.726485561219299</v>
      </c>
      <c r="S11" s="256">
        <v>270.61788905760852</v>
      </c>
      <c r="T11" s="256">
        <v>222.78644381877646</v>
      </c>
      <c r="U11" s="256">
        <v>14.813121491493725</v>
      </c>
      <c r="V11" s="253"/>
      <c r="W11" s="252" t="str">
        <f>Inputs!A11</f>
        <v>M3134800</v>
      </c>
      <c r="X11" s="252">
        <f t="shared" si="2"/>
        <v>0</v>
      </c>
      <c r="Y11" s="257">
        <f t="shared" si="3"/>
        <v>0</v>
      </c>
      <c r="Z11" s="257">
        <f t="shared" si="4"/>
        <v>0</v>
      </c>
      <c r="AA11" s="257">
        <f t="shared" si="5"/>
        <v>454.7</v>
      </c>
      <c r="AB11" s="257">
        <f t="shared" si="6"/>
        <v>537.97264977977068</v>
      </c>
      <c r="AC11" s="257">
        <f t="shared" si="7"/>
        <v>480.24616421855137</v>
      </c>
      <c r="AD11" s="257">
        <f t="shared" si="8"/>
        <v>209.62827516094285</v>
      </c>
      <c r="AE11" s="257">
        <f t="shared" si="9"/>
        <v>0</v>
      </c>
      <c r="AF11" s="257">
        <f t="shared" si="10"/>
        <v>0</v>
      </c>
      <c r="AG11" s="253"/>
      <c r="AH11" s="252" t="str">
        <f>Inputs!A11</f>
        <v>M3134800</v>
      </c>
      <c r="AI11" s="252">
        <f t="shared" si="11"/>
        <v>0</v>
      </c>
      <c r="AJ11" s="252">
        <f t="shared" si="12"/>
        <v>0</v>
      </c>
      <c r="AK11" s="252">
        <f t="shared" si="13"/>
        <v>0</v>
      </c>
      <c r="AL11" s="252">
        <f t="shared" si="14"/>
        <v>0</v>
      </c>
      <c r="AM11" s="252">
        <f t="shared" si="15"/>
        <v>0</v>
      </c>
      <c r="AN11" s="252">
        <f t="shared" si="16"/>
        <v>0</v>
      </c>
      <c r="AO11" s="252">
        <f t="shared" si="17"/>
        <v>0</v>
      </c>
      <c r="AP11" s="252">
        <f t="shared" si="18"/>
        <v>13.158168657833613</v>
      </c>
      <c r="AQ11" s="252">
        <f t="shared" si="19"/>
        <v>14.813121491493725</v>
      </c>
      <c r="AR11" s="253"/>
      <c r="AS11" s="252" t="str">
        <f>Inputs!A11</f>
        <v>M3134800</v>
      </c>
      <c r="AT11" s="252">
        <f>X11*Inputs!F11*Inputs!G11</f>
        <v>0</v>
      </c>
      <c r="AU11" s="252">
        <f>Y11*Inputs!F11*Inputs!G11</f>
        <v>0</v>
      </c>
      <c r="AV11" s="252">
        <f>Z11*Inputs!F11*Inputs!G11</f>
        <v>0</v>
      </c>
      <c r="AW11" s="252">
        <f>AA11*Inputs!F11*Inputs!G11</f>
        <v>936359.16299999994</v>
      </c>
      <c r="AX11" s="252">
        <f>AB11*Inputs!F11*Inputs!G11</f>
        <v>1107841.697964984</v>
      </c>
      <c r="AY11" s="252">
        <f>AC11*Inputs!F11*Inputs!G11</f>
        <v>988966.12351362058</v>
      </c>
      <c r="AZ11" s="252">
        <f>AD11*Inputs!F11*Inputs!G11</f>
        <v>431685.41075617803</v>
      </c>
      <c r="BA11" s="252">
        <f>AE11*Inputs!F11*Inputs!G11</f>
        <v>0</v>
      </c>
      <c r="BB11" s="252">
        <f>AF11*Inputs!F11*Inputs!H11</f>
        <v>0</v>
      </c>
      <c r="BC11" s="253"/>
      <c r="BD11" s="252" t="str">
        <f>Inputs!A11</f>
        <v>M3134800</v>
      </c>
      <c r="BE11" s="252">
        <f>AI11*Inputs!F11*Inputs!I11</f>
        <v>0</v>
      </c>
      <c r="BF11" s="252">
        <f>AJ11*Inputs!F11*Inputs!I11</f>
        <v>0</v>
      </c>
      <c r="BG11" s="252">
        <f>AK11*Inputs!F11*Inputs!I11</f>
        <v>0</v>
      </c>
      <c r="BH11" s="252">
        <f>AL11*Inputs!F11*Inputs!I11</f>
        <v>0</v>
      </c>
      <c r="BI11" s="252">
        <f>AM11*Inputs!F11*Inputs!I11</f>
        <v>0</v>
      </c>
      <c r="BJ11" s="252">
        <f>AN11*Inputs!F11*Inputs!I11</f>
        <v>0</v>
      </c>
      <c r="BK11" s="252">
        <f>AO11*Inputs!F11*Inputs!I11</f>
        <v>0</v>
      </c>
      <c r="BL11" s="252">
        <f>AP11*Inputs!F11*Inputs!I11</f>
        <v>90321.617117967267</v>
      </c>
      <c r="BM11" s="252">
        <f>AQ11*Inputs!F11*Inputs!I11</f>
        <v>101681.70985406038</v>
      </c>
      <c r="BN11" s="253"/>
      <c r="BO11" s="253"/>
    </row>
    <row r="12" spans="1:69" x14ac:dyDescent="0.25">
      <c r="A12" s="252" t="str">
        <f>Inputs!A12</f>
        <v>M3135000</v>
      </c>
      <c r="B12" s="252">
        <f>SUMIFS(Model!$E$5:$E$454,Model!$B$5:$B$454,A12,Model!$A$5:$A$454,3) + SUMIFS(Model!$K$5:$K$454,Model!$B$5:$B$454,A12,Model!$A$5:$A$454,3)</f>
        <v>0</v>
      </c>
      <c r="C12" s="252">
        <f>SUMIFS(Model!$E$5:$E$454,Model!$B$5:$B$454,A12,Model!$A$5:$A$454,4) + SUMIFS(Model!$K$5:$K$454,Model!$B$5:$B$454,A12,Model!$A$5:$A$454,4)</f>
        <v>0</v>
      </c>
      <c r="D12" s="252">
        <f>SUMIFS(Model!$E$5:$E$454,Model!$B$5:$B$454,A12,Model!$A$5:$A$454,5) + SUMIFS(Model!$K$5:$K$454,Model!$B$5:$B$454,A12,Model!$A$5:$A$454,5)</f>
        <v>0</v>
      </c>
      <c r="E12" s="252">
        <f>SUMIFS(Model!$E$5:$E$454,Model!$B$5:$B$454,A12,Model!$A$5:$A$454,6) + SUMIFS(Model!$K$5:$K$454,Model!$B$5:$B$454,A12,Model!$A$5:$A$454,6)</f>
        <v>363</v>
      </c>
      <c r="F12" s="252">
        <f>SUMIFS(Model!$E$5:$E$454,Model!$B$5:$B$454,A12,Model!$A$5:$A$454,7) + SUMIFS(Model!$K$5:$K$454,Model!$B$5:$B$454,A12,Model!$A$5:$A$454,7)</f>
        <v>0</v>
      </c>
      <c r="G12" s="252">
        <f>SUMIFS(Model!$E$5:$E$454,Model!$B$5:$B$454,A12,Model!$A$5:$A$454,8) + SUMIFS(Model!$K$5:$K$454,Model!$B$5:$B$454,A12,Model!$A$5:$A$454,8)</f>
        <v>0</v>
      </c>
      <c r="H12" s="252">
        <f>SUMIFS(Model!$E$5:$E$454,Model!$B$5:$B$454,A12,Model!$A$5:$A$454,9) + SUMIFS(Model!$K$5:$K$454,Model!$B$5:$B$454,A12,Model!$A$5:$A$454,9)</f>
        <v>0</v>
      </c>
      <c r="I12" s="252">
        <f>SUMIFS(Model!$E$5:$E$454,Model!$B$5:$B$454,A12,Model!$A$5:$A$454,10) + SUMIFS(Model!$K$5:$K$454,Model!$B$5:$B$454,A12,Model!$A$5:$A$454,10)</f>
        <v>0</v>
      </c>
      <c r="J12" s="252">
        <f>SUMIFS(Model!$E$5:$E$454,Model!$B$5:$B$454,A12,Model!$A$5:$A$454,11) + SUMIFS(Model!$K$5:$K$454,Model!$B$5:$B$454,A12,Model!$A$5:$A$454,11)</f>
        <v>0</v>
      </c>
      <c r="K12" s="253"/>
      <c r="L12" s="252" t="str">
        <f>Inputs!A12</f>
        <v>M3135000</v>
      </c>
      <c r="M12" s="255">
        <v>0</v>
      </c>
      <c r="N12" s="255">
        <v>0</v>
      </c>
      <c r="O12" s="255">
        <v>0</v>
      </c>
      <c r="P12" s="255">
        <v>1.2601338423261961</v>
      </c>
      <c r="Q12" s="255">
        <v>100.77993959923502</v>
      </c>
      <c r="R12" s="255">
        <v>139.25219342212307</v>
      </c>
      <c r="S12" s="255">
        <v>86.875434356300076</v>
      </c>
      <c r="T12" s="256">
        <v>12.380455195815815</v>
      </c>
      <c r="U12" s="256">
        <v>10.750560689310515</v>
      </c>
      <c r="V12" s="253"/>
      <c r="W12" s="252" t="str">
        <f>Inputs!A12</f>
        <v>M3135000</v>
      </c>
      <c r="X12" s="252">
        <f t="shared" si="2"/>
        <v>0</v>
      </c>
      <c r="Y12" s="257">
        <f t="shared" si="3"/>
        <v>0</v>
      </c>
      <c r="Z12" s="257">
        <f t="shared" si="4"/>
        <v>0</v>
      </c>
      <c r="AA12" s="257">
        <f t="shared" si="5"/>
        <v>361.73986615767382</v>
      </c>
      <c r="AB12" s="257">
        <f t="shared" si="6"/>
        <v>260.95992655843878</v>
      </c>
      <c r="AC12" s="257">
        <f t="shared" si="7"/>
        <v>121.70773313631571</v>
      </c>
      <c r="AD12" s="257">
        <f t="shared" si="8"/>
        <v>34.832298780015634</v>
      </c>
      <c r="AE12" s="257">
        <f t="shared" si="9"/>
        <v>22.451843584199821</v>
      </c>
      <c r="AF12" s="257">
        <f t="shared" si="10"/>
        <v>11.701282894889307</v>
      </c>
      <c r="AG12" s="253"/>
      <c r="AH12" s="252" t="str">
        <f>Inputs!A12</f>
        <v>M3135000</v>
      </c>
      <c r="AI12" s="252">
        <f t="shared" si="11"/>
        <v>0</v>
      </c>
      <c r="AJ12" s="252">
        <f t="shared" si="12"/>
        <v>0</v>
      </c>
      <c r="AK12" s="252">
        <f t="shared" si="13"/>
        <v>0</v>
      </c>
      <c r="AL12" s="252">
        <f t="shared" si="14"/>
        <v>0</v>
      </c>
      <c r="AM12" s="252">
        <f t="shared" si="15"/>
        <v>0</v>
      </c>
      <c r="AN12" s="252">
        <f t="shared" si="16"/>
        <v>0</v>
      </c>
      <c r="AO12" s="252">
        <f t="shared" si="17"/>
        <v>0</v>
      </c>
      <c r="AP12" s="252">
        <f t="shared" si="18"/>
        <v>0</v>
      </c>
      <c r="AQ12" s="252">
        <f t="shared" si="19"/>
        <v>0</v>
      </c>
      <c r="AR12" s="253"/>
      <c r="AS12" s="252" t="str">
        <f>Inputs!A12</f>
        <v>M3135000</v>
      </c>
      <c r="AT12" s="252">
        <f>X12*Inputs!F12*Inputs!G12</f>
        <v>0</v>
      </c>
      <c r="AU12" s="252">
        <f>Y12*Inputs!F12*Inputs!G12</f>
        <v>0</v>
      </c>
      <c r="AV12" s="252">
        <f>Z12*Inputs!F12*Inputs!G12</f>
        <v>0</v>
      </c>
      <c r="AW12" s="252">
        <f>AA12*Inputs!F12*Inputs!G12</f>
        <v>744575.67782993091</v>
      </c>
      <c r="AX12" s="252">
        <f>AB12*Inputs!F12*Inputs!G12</f>
        <v>537138.51411391259</v>
      </c>
      <c r="AY12" s="252">
        <f>AC12*Inputs!F12*Inputs!G12</f>
        <v>250513.2178536751</v>
      </c>
      <c r="AZ12" s="252">
        <f>AD12*Inputs!F12*Inputs!G12</f>
        <v>71695.947560284214</v>
      </c>
      <c r="BA12" s="252">
        <f>AE12*Inputs!F12*Inputs!G12</f>
        <v>46213.033782543011</v>
      </c>
      <c r="BB12" s="252">
        <f>AF12*Inputs!F12*Inputs!H12</f>
        <v>40141.602009404618</v>
      </c>
      <c r="BC12" s="253"/>
      <c r="BD12" s="252" t="str">
        <f>Inputs!A12</f>
        <v>M3135000</v>
      </c>
      <c r="BE12" s="252">
        <f>AI12*Inputs!F12*Inputs!I12</f>
        <v>0</v>
      </c>
      <c r="BF12" s="252">
        <f>AJ12*Inputs!F12*Inputs!I12</f>
        <v>0</v>
      </c>
      <c r="BG12" s="252">
        <f>AK12*Inputs!F12*Inputs!I12</f>
        <v>0</v>
      </c>
      <c r="BH12" s="252">
        <f>AL12*Inputs!F12*Inputs!I12</f>
        <v>0</v>
      </c>
      <c r="BI12" s="252">
        <f>AM12*Inputs!F12*Inputs!I12</f>
        <v>0</v>
      </c>
      <c r="BJ12" s="252">
        <f>AN12*Inputs!F12*Inputs!I12</f>
        <v>0</v>
      </c>
      <c r="BK12" s="252">
        <f>AO12*Inputs!F12*Inputs!I12</f>
        <v>0</v>
      </c>
      <c r="BL12" s="252">
        <f>AP12*Inputs!F12*Inputs!I12</f>
        <v>0</v>
      </c>
      <c r="BM12" s="252">
        <f>AQ12*Inputs!F12*Inputs!I12</f>
        <v>0</v>
      </c>
      <c r="BN12" s="253"/>
      <c r="BO12" s="253"/>
    </row>
    <row r="13" spans="1:69" x14ac:dyDescent="0.25">
      <c r="A13" s="252" t="str">
        <f>Inputs!A13</f>
        <v>M4103600</v>
      </c>
      <c r="B13" s="252">
        <f>SUMIFS(Model!$E$5:$E$454,Model!$B$5:$B$454,A13,Model!$A$5:$A$454,3) + SUMIFS(Model!$K$5:$K$454,Model!$B$5:$B$454,A13,Model!$A$5:$A$454,3)</f>
        <v>0</v>
      </c>
      <c r="C13" s="252">
        <f>SUMIFS(Model!$E$5:$E$454,Model!$B$5:$B$454,A13,Model!$A$5:$A$454,4) + SUMIFS(Model!$K$5:$K$454,Model!$B$5:$B$454,A13,Model!$A$5:$A$454,4)</f>
        <v>0</v>
      </c>
      <c r="D13" s="252">
        <f>SUMIFS(Model!$E$5:$E$454,Model!$B$5:$B$454,A13,Model!$A$5:$A$454,5) + SUMIFS(Model!$K$5:$K$454,Model!$B$5:$B$454,A13,Model!$A$5:$A$454,5)</f>
        <v>0</v>
      </c>
      <c r="E13" s="252">
        <f>SUMIFS(Model!$E$5:$E$454,Model!$B$5:$B$454,A13,Model!$A$5:$A$454,6) + SUMIFS(Model!$K$5:$K$454,Model!$B$5:$B$454,A13,Model!$A$5:$A$454,6)</f>
        <v>0</v>
      </c>
      <c r="F13" s="252">
        <f>SUMIFS(Model!$E$5:$E$454,Model!$B$5:$B$454,A13,Model!$A$5:$A$454,7) + SUMIFS(Model!$K$5:$K$454,Model!$B$5:$B$454,A13,Model!$A$5:$A$454,7)</f>
        <v>32.966667000000001</v>
      </c>
      <c r="G13" s="252">
        <f>SUMIFS(Model!$E$5:$E$454,Model!$B$5:$B$454,A13,Model!$A$5:$A$454,8) + SUMIFS(Model!$K$5:$K$454,Model!$B$5:$B$454,A13,Model!$A$5:$A$454,8)</f>
        <v>57.223939999999999</v>
      </c>
      <c r="H13" s="252">
        <f>SUMIFS(Model!$E$5:$E$454,Model!$B$5:$B$454,A13,Model!$A$5:$A$454,9) + SUMIFS(Model!$K$5:$K$454,Model!$B$5:$B$454,A13,Model!$A$5:$A$454,9)</f>
        <v>8.7093933000000003</v>
      </c>
      <c r="I13" s="252">
        <f>SUMIFS(Model!$E$5:$E$454,Model!$B$5:$B$454,A13,Model!$A$5:$A$454,10) + SUMIFS(Model!$K$5:$K$454,Model!$B$5:$B$454,A13,Model!$A$5:$A$454,10)</f>
        <v>0</v>
      </c>
      <c r="J13" s="252">
        <f>SUMIFS(Model!$E$5:$E$454,Model!$B$5:$B$454,A13,Model!$A$5:$A$454,11) + SUMIFS(Model!$K$5:$K$454,Model!$B$5:$B$454,A13,Model!$A$5:$A$454,11)</f>
        <v>0</v>
      </c>
      <c r="K13" s="253"/>
      <c r="L13" s="252" t="str">
        <f>Inputs!A13</f>
        <v>M4103600</v>
      </c>
      <c r="M13" s="255">
        <v>0</v>
      </c>
      <c r="N13" s="255">
        <v>0</v>
      </c>
      <c r="O13" s="255">
        <v>0</v>
      </c>
      <c r="P13" s="255">
        <v>0</v>
      </c>
      <c r="Q13" s="255">
        <v>0</v>
      </c>
      <c r="R13" s="255">
        <v>87.190147496832793</v>
      </c>
      <c r="S13" s="255">
        <v>9.1250188639985996</v>
      </c>
      <c r="T13" s="256">
        <v>0</v>
      </c>
      <c r="U13" s="256">
        <v>0</v>
      </c>
      <c r="V13" s="253"/>
      <c r="W13" s="252" t="str">
        <f>Inputs!A13</f>
        <v>M4103600</v>
      </c>
      <c r="X13" s="252">
        <f t="shared" si="2"/>
        <v>0</v>
      </c>
      <c r="Y13" s="257">
        <f t="shared" si="3"/>
        <v>0</v>
      </c>
      <c r="Z13" s="257">
        <f t="shared" si="4"/>
        <v>0</v>
      </c>
      <c r="AA13" s="257">
        <f t="shared" si="5"/>
        <v>0</v>
      </c>
      <c r="AB13" s="257">
        <f t="shared" si="6"/>
        <v>32.966667000000001</v>
      </c>
      <c r="AC13" s="257">
        <f t="shared" si="7"/>
        <v>3.0004595031672068</v>
      </c>
      <c r="AD13" s="257">
        <f t="shared" si="8"/>
        <v>2.5848339391686075</v>
      </c>
      <c r="AE13" s="257">
        <f t="shared" si="9"/>
        <v>2.5848339391686075</v>
      </c>
      <c r="AF13" s="257">
        <f t="shared" si="10"/>
        <v>2.5848339391686075</v>
      </c>
      <c r="AG13" s="253"/>
      <c r="AH13" s="252" t="str">
        <f>Inputs!A13</f>
        <v>M4103600</v>
      </c>
      <c r="AI13" s="252">
        <f t="shared" si="11"/>
        <v>0</v>
      </c>
      <c r="AJ13" s="252">
        <f t="shared" si="12"/>
        <v>0</v>
      </c>
      <c r="AK13" s="252">
        <f t="shared" si="13"/>
        <v>0</v>
      </c>
      <c r="AL13" s="252">
        <f t="shared" si="14"/>
        <v>0</v>
      </c>
      <c r="AM13" s="252">
        <f t="shared" si="15"/>
        <v>0</v>
      </c>
      <c r="AN13" s="252">
        <f t="shared" si="16"/>
        <v>0</v>
      </c>
      <c r="AO13" s="252">
        <f t="shared" si="17"/>
        <v>0</v>
      </c>
      <c r="AP13" s="252">
        <f t="shared" si="18"/>
        <v>0</v>
      </c>
      <c r="AQ13" s="252">
        <f t="shared" si="19"/>
        <v>0</v>
      </c>
      <c r="AR13" s="253"/>
      <c r="AS13" s="252" t="str">
        <f>Inputs!A13</f>
        <v>M4103600</v>
      </c>
      <c r="AT13" s="252">
        <f>X13*Inputs!F13*Inputs!G13</f>
        <v>0</v>
      </c>
      <c r="AU13" s="252">
        <f>Y13*Inputs!F13*Inputs!G13</f>
        <v>0</v>
      </c>
      <c r="AV13" s="252">
        <f>Z13*Inputs!F13*Inputs!G13</f>
        <v>0</v>
      </c>
      <c r="AW13" s="252">
        <f>AA13*Inputs!F13*Inputs!G13</f>
        <v>0</v>
      </c>
      <c r="AX13" s="252">
        <f>AB13*Inputs!F13*Inputs!G13</f>
        <v>87286.965082578012</v>
      </c>
      <c r="AY13" s="252">
        <f>AC13*Inputs!F13*Inputs!G13</f>
        <v>7944.4186421589211</v>
      </c>
      <c r="AZ13" s="252">
        <f>AD13*Inputs!F13*Inputs!G13</f>
        <v>6843.9527050906536</v>
      </c>
      <c r="BA13" s="252">
        <f>AE13*Inputs!F13*Inputs!G13</f>
        <v>6843.9527050906536</v>
      </c>
      <c r="BB13" s="252">
        <f>AF13*Inputs!F13*Inputs!H13</f>
        <v>11406.587841817756</v>
      </c>
      <c r="BC13" s="253"/>
      <c r="BD13" s="252" t="str">
        <f>Inputs!A13</f>
        <v>M4103600</v>
      </c>
      <c r="BE13" s="252">
        <f>AI13*Inputs!F13*Inputs!I13</f>
        <v>0</v>
      </c>
      <c r="BF13" s="252">
        <f>AJ13*Inputs!F13*Inputs!I13</f>
        <v>0</v>
      </c>
      <c r="BG13" s="252">
        <f>AK13*Inputs!F13*Inputs!I13</f>
        <v>0</v>
      </c>
      <c r="BH13" s="252">
        <f>AL13*Inputs!F13*Inputs!I13</f>
        <v>0</v>
      </c>
      <c r="BI13" s="252">
        <f>AM13*Inputs!F13*Inputs!I13</f>
        <v>0</v>
      </c>
      <c r="BJ13" s="252">
        <f>AN13*Inputs!F13*Inputs!I13</f>
        <v>0</v>
      </c>
      <c r="BK13" s="252">
        <f>AO13*Inputs!F13*Inputs!I13</f>
        <v>0</v>
      </c>
      <c r="BL13" s="252">
        <f>AP13*Inputs!F13*Inputs!I13</f>
        <v>0</v>
      </c>
      <c r="BM13" s="252">
        <f>AQ13*Inputs!F13*Inputs!I13</f>
        <v>0</v>
      </c>
      <c r="BN13" s="253"/>
      <c r="BO13" s="253"/>
    </row>
    <row r="14" spans="1:69" x14ac:dyDescent="0.25">
      <c r="A14" s="252" t="str">
        <f>Inputs!A14</f>
        <v>M4330501</v>
      </c>
      <c r="B14" s="252">
        <f>SUMIFS(Model!$E$5:$E$454,Model!$B$5:$B$454,A14,Model!$A$5:$A$454,3) + SUMIFS(Model!$K$5:$K$454,Model!$B$5:$B$454,A14,Model!$A$5:$A$454,3)</f>
        <v>0</v>
      </c>
      <c r="C14" s="252">
        <f>SUMIFS(Model!$E$5:$E$454,Model!$B$5:$B$454,A14,Model!$A$5:$A$454,4) + SUMIFS(Model!$K$5:$K$454,Model!$B$5:$B$454,A14,Model!$A$5:$A$454,4)</f>
        <v>0</v>
      </c>
      <c r="D14" s="252">
        <f>SUMIFS(Model!$E$5:$E$454,Model!$B$5:$B$454,A14,Model!$A$5:$A$454,5) + SUMIFS(Model!$K$5:$K$454,Model!$B$5:$B$454,A14,Model!$A$5:$A$454,5)</f>
        <v>0</v>
      </c>
      <c r="E14" s="252">
        <f>SUMIFS(Model!$E$5:$E$454,Model!$B$5:$B$454,A14,Model!$A$5:$A$454,6) + SUMIFS(Model!$K$5:$K$454,Model!$B$5:$B$454,A14,Model!$A$5:$A$454,6)</f>
        <v>0</v>
      </c>
      <c r="F14" s="252">
        <f>SUMIFS(Model!$E$5:$E$454,Model!$B$5:$B$454,A14,Model!$A$5:$A$454,7) + SUMIFS(Model!$K$5:$K$454,Model!$B$5:$B$454,A14,Model!$A$5:$A$454,7)</f>
        <v>143.46666999999999</v>
      </c>
      <c r="G14" s="252">
        <f>SUMIFS(Model!$E$5:$E$454,Model!$B$5:$B$454,A14,Model!$A$5:$A$454,8) + SUMIFS(Model!$K$5:$K$454,Model!$B$5:$B$454,A14,Model!$A$5:$A$454,8)</f>
        <v>24.433333000000001</v>
      </c>
      <c r="H14" s="252">
        <f>SUMIFS(Model!$E$5:$E$454,Model!$B$5:$B$454,A14,Model!$A$5:$A$454,9) + SUMIFS(Model!$K$5:$K$454,Model!$B$5:$B$454,A14,Model!$A$5:$A$454,9)</f>
        <v>0</v>
      </c>
      <c r="I14" s="252">
        <f>SUMIFS(Model!$E$5:$E$454,Model!$B$5:$B$454,A14,Model!$A$5:$A$454,10) + SUMIFS(Model!$K$5:$K$454,Model!$B$5:$B$454,A14,Model!$A$5:$A$454,10)</f>
        <v>0</v>
      </c>
      <c r="J14" s="252">
        <f>SUMIFS(Model!$E$5:$E$454,Model!$B$5:$B$454,A14,Model!$A$5:$A$454,11) + SUMIFS(Model!$K$5:$K$454,Model!$B$5:$B$454,A14,Model!$A$5:$A$454,11)</f>
        <v>0</v>
      </c>
      <c r="K14" s="253"/>
      <c r="L14" s="252" t="str">
        <f>Inputs!A14</f>
        <v>M4330501</v>
      </c>
      <c r="M14" s="255">
        <v>0</v>
      </c>
      <c r="N14" s="255">
        <v>0</v>
      </c>
      <c r="O14" s="255">
        <v>0</v>
      </c>
      <c r="P14" s="255">
        <v>0</v>
      </c>
      <c r="Q14" s="255">
        <v>0</v>
      </c>
      <c r="R14" s="255">
        <v>9.2767918057191103</v>
      </c>
      <c r="S14" s="255">
        <v>76.218124867315225</v>
      </c>
      <c r="T14" s="256">
        <v>81.138307415079396</v>
      </c>
      <c r="U14" s="256">
        <v>0</v>
      </c>
      <c r="V14" s="253"/>
      <c r="W14" s="252" t="str">
        <f>Inputs!A14</f>
        <v>M4330501</v>
      </c>
      <c r="X14" s="252">
        <f t="shared" si="2"/>
        <v>0</v>
      </c>
      <c r="Y14" s="257">
        <f t="shared" si="3"/>
        <v>0</v>
      </c>
      <c r="Z14" s="257">
        <f t="shared" si="4"/>
        <v>0</v>
      </c>
      <c r="AA14" s="257">
        <f t="shared" si="5"/>
        <v>0</v>
      </c>
      <c r="AB14" s="257">
        <f t="shared" si="6"/>
        <v>143.46666999999999</v>
      </c>
      <c r="AC14" s="257">
        <f t="shared" si="7"/>
        <v>158.62321119428088</v>
      </c>
      <c r="AD14" s="257">
        <f t="shared" si="8"/>
        <v>82.405086326965659</v>
      </c>
      <c r="AE14" s="257">
        <f t="shared" si="9"/>
        <v>1.2667789118862629</v>
      </c>
      <c r="AF14" s="257">
        <f t="shared" si="10"/>
        <v>1.2667789118862629</v>
      </c>
      <c r="AG14" s="253"/>
      <c r="AH14" s="252" t="str">
        <f>Inputs!A14</f>
        <v>M4330501</v>
      </c>
      <c r="AI14" s="252">
        <f t="shared" si="11"/>
        <v>0</v>
      </c>
      <c r="AJ14" s="252">
        <f t="shared" si="12"/>
        <v>0</v>
      </c>
      <c r="AK14" s="252">
        <f t="shared" si="13"/>
        <v>0</v>
      </c>
      <c r="AL14" s="252">
        <f t="shared" si="14"/>
        <v>0</v>
      </c>
      <c r="AM14" s="252">
        <f t="shared" si="15"/>
        <v>0</v>
      </c>
      <c r="AN14" s="252">
        <f t="shared" si="16"/>
        <v>0</v>
      </c>
      <c r="AO14" s="252">
        <f t="shared" si="17"/>
        <v>0</v>
      </c>
      <c r="AP14" s="252">
        <f t="shared" si="18"/>
        <v>0</v>
      </c>
      <c r="AQ14" s="252">
        <f t="shared" si="19"/>
        <v>0</v>
      </c>
      <c r="AR14" s="253"/>
      <c r="AS14" s="252" t="str">
        <f>Inputs!A14</f>
        <v>M4330501</v>
      </c>
      <c r="AT14" s="252">
        <f>X14*Inputs!F14*Inputs!G14</f>
        <v>0</v>
      </c>
      <c r="AU14" s="252">
        <f>Y14*Inputs!F14*Inputs!G14</f>
        <v>0</v>
      </c>
      <c r="AV14" s="252">
        <f>Z14*Inputs!F14*Inputs!G14</f>
        <v>0</v>
      </c>
      <c r="AW14" s="252">
        <f>AA14*Inputs!F14*Inputs!G14</f>
        <v>0</v>
      </c>
      <c r="AX14" s="252">
        <f>AB14*Inputs!F14*Inputs!G14</f>
        <v>312150.62005256995</v>
      </c>
      <c r="AY14" s="252">
        <f>AC14*Inputs!F14*Inputs!G14</f>
        <v>345127.7828433917</v>
      </c>
      <c r="AZ14" s="252">
        <f>AD14*Inputs!F14*Inputs!G14</f>
        <v>179294.59708270838</v>
      </c>
      <c r="BA14" s="252">
        <f>AE14*Inputs!F14*Inputs!G14</f>
        <v>2756.220819893686</v>
      </c>
      <c r="BB14" s="252">
        <f>AF14*Inputs!F14*Inputs!H14</f>
        <v>4593.7013664894766</v>
      </c>
      <c r="BC14" s="253"/>
      <c r="BD14" s="252" t="str">
        <f>Inputs!A14</f>
        <v>M4330501</v>
      </c>
      <c r="BE14" s="252">
        <f>AI14*Inputs!F14*Inputs!I14</f>
        <v>0</v>
      </c>
      <c r="BF14" s="252">
        <f>AJ14*Inputs!F14*Inputs!I14</f>
        <v>0</v>
      </c>
      <c r="BG14" s="252">
        <f>AK14*Inputs!F14*Inputs!I14</f>
        <v>0</v>
      </c>
      <c r="BH14" s="252">
        <f>AL14*Inputs!F14*Inputs!I14</f>
        <v>0</v>
      </c>
      <c r="BI14" s="252">
        <f>AM14*Inputs!F14*Inputs!I14</f>
        <v>0</v>
      </c>
      <c r="BJ14" s="252">
        <f>AN14*Inputs!F14*Inputs!I14</f>
        <v>0</v>
      </c>
      <c r="BK14" s="252">
        <f>AO14*Inputs!F14*Inputs!I14</f>
        <v>0</v>
      </c>
      <c r="BL14" s="252">
        <f>AP14*Inputs!F14*Inputs!I14</f>
        <v>0</v>
      </c>
      <c r="BM14" s="252">
        <f>AQ14*Inputs!F14*Inputs!I14</f>
        <v>0</v>
      </c>
      <c r="BN14" s="253"/>
      <c r="BO14" s="253"/>
    </row>
    <row r="15" spans="1:69" x14ac:dyDescent="0.25">
      <c r="A15" s="252" t="str">
        <f>Inputs!A15</f>
        <v>M4468800</v>
      </c>
      <c r="B15" s="252">
        <f>SUMIFS(Model!$E$5:$E$454,Model!$B$5:$B$454,A15,Model!$A$5:$A$454,3) + SUMIFS(Model!$K$5:$K$454,Model!$B$5:$B$454,A15,Model!$A$5:$A$454,3)</f>
        <v>0</v>
      </c>
      <c r="C15" s="252">
        <f>SUMIFS(Model!$E$5:$E$454,Model!$B$5:$B$454,A15,Model!$A$5:$A$454,4) + SUMIFS(Model!$K$5:$K$454,Model!$B$5:$B$454,A15,Model!$A$5:$A$454,4)</f>
        <v>61.3</v>
      </c>
      <c r="D15" s="252">
        <f>SUMIFS(Model!$E$5:$E$454,Model!$B$5:$B$454,A15,Model!$A$5:$A$454,5) + SUMIFS(Model!$K$5:$K$454,Model!$B$5:$B$454,A15,Model!$A$5:$A$454,5)</f>
        <v>425.1</v>
      </c>
      <c r="E15" s="252">
        <f>SUMIFS(Model!$E$5:$E$454,Model!$B$5:$B$454,A15,Model!$A$5:$A$454,6) + SUMIFS(Model!$K$5:$K$454,Model!$B$5:$B$454,A15,Model!$A$5:$A$454,6)</f>
        <v>7.1</v>
      </c>
      <c r="F15" s="252">
        <f>SUMIFS(Model!$E$5:$E$454,Model!$B$5:$B$454,A15,Model!$A$5:$A$454,7) + SUMIFS(Model!$K$5:$K$454,Model!$B$5:$B$454,A15,Model!$A$5:$A$454,7)</f>
        <v>0</v>
      </c>
      <c r="G15" s="252">
        <f>SUMIFS(Model!$E$5:$E$454,Model!$B$5:$B$454,A15,Model!$A$5:$A$454,8) + SUMIFS(Model!$K$5:$K$454,Model!$B$5:$B$454,A15,Model!$A$5:$A$454,8)</f>
        <v>0</v>
      </c>
      <c r="H15" s="252">
        <f>SUMIFS(Model!$E$5:$E$454,Model!$B$5:$B$454,A15,Model!$A$5:$A$454,9) + SUMIFS(Model!$K$5:$K$454,Model!$B$5:$B$454,A15,Model!$A$5:$A$454,9)</f>
        <v>0</v>
      </c>
      <c r="I15" s="252">
        <f>SUMIFS(Model!$E$5:$E$454,Model!$B$5:$B$454,A15,Model!$A$5:$A$454,10) + SUMIFS(Model!$K$5:$K$454,Model!$B$5:$B$454,A15,Model!$A$5:$A$454,10)</f>
        <v>0</v>
      </c>
      <c r="J15" s="252">
        <f>SUMIFS(Model!$E$5:$E$454,Model!$B$5:$B$454,A15,Model!$A$5:$A$454,11) + SUMIFS(Model!$K$5:$K$454,Model!$B$5:$B$454,A15,Model!$A$5:$A$454,11)</f>
        <v>0</v>
      </c>
      <c r="K15" s="253"/>
      <c r="L15" s="252" t="str">
        <f>Inputs!A15</f>
        <v>M4468800</v>
      </c>
      <c r="M15" s="255">
        <v>0</v>
      </c>
      <c r="N15" s="255">
        <v>0</v>
      </c>
      <c r="O15" s="255">
        <v>0</v>
      </c>
      <c r="P15" s="255">
        <v>0</v>
      </c>
      <c r="Q15" s="255">
        <v>0</v>
      </c>
      <c r="R15" s="255">
        <v>19.538728218769329</v>
      </c>
      <c r="S15" s="255">
        <v>240.00260378368043</v>
      </c>
      <c r="T15" s="256">
        <v>241.90952782357431</v>
      </c>
      <c r="U15" s="256">
        <v>31.163494828346391</v>
      </c>
      <c r="V15" s="253"/>
      <c r="W15" s="252" t="str">
        <f>Inputs!A15</f>
        <v>M4468800</v>
      </c>
      <c r="X15" s="252">
        <f t="shared" si="2"/>
        <v>0</v>
      </c>
      <c r="Y15" s="257">
        <f t="shared" si="3"/>
        <v>61.3</v>
      </c>
      <c r="Z15" s="257">
        <f t="shared" si="4"/>
        <v>486.40000000000003</v>
      </c>
      <c r="AA15" s="257">
        <f t="shared" si="5"/>
        <v>493.50000000000006</v>
      </c>
      <c r="AB15" s="257">
        <f t="shared" si="6"/>
        <v>493.50000000000006</v>
      </c>
      <c r="AC15" s="257">
        <f t="shared" si="7"/>
        <v>473.96127178123072</v>
      </c>
      <c r="AD15" s="257">
        <f t="shared" si="8"/>
        <v>233.95866799755029</v>
      </c>
      <c r="AE15" s="257">
        <f t="shared" si="9"/>
        <v>0</v>
      </c>
      <c r="AF15" s="257">
        <f t="shared" si="10"/>
        <v>0</v>
      </c>
      <c r="AG15" s="253"/>
      <c r="AH15" s="252" t="str">
        <f>Inputs!A15</f>
        <v>M4468800</v>
      </c>
      <c r="AI15" s="252">
        <f t="shared" si="11"/>
        <v>0</v>
      </c>
      <c r="AJ15" s="252">
        <f t="shared" si="12"/>
        <v>0</v>
      </c>
      <c r="AK15" s="252">
        <f t="shared" si="13"/>
        <v>0</v>
      </c>
      <c r="AL15" s="252">
        <f t="shared" si="14"/>
        <v>0</v>
      </c>
      <c r="AM15" s="252">
        <f t="shared" si="15"/>
        <v>0</v>
      </c>
      <c r="AN15" s="252">
        <f t="shared" si="16"/>
        <v>0</v>
      </c>
      <c r="AO15" s="252">
        <f t="shared" si="17"/>
        <v>0</v>
      </c>
      <c r="AP15" s="252">
        <f t="shared" si="18"/>
        <v>7.9508598260240149</v>
      </c>
      <c r="AQ15" s="252">
        <f t="shared" si="19"/>
        <v>31.163494828346391</v>
      </c>
      <c r="AR15" s="253"/>
      <c r="AS15" s="252" t="str">
        <f>Inputs!A15</f>
        <v>M4468800</v>
      </c>
      <c r="AT15" s="252">
        <f>X15*Inputs!F15*Inputs!G15</f>
        <v>0</v>
      </c>
      <c r="AU15" s="252">
        <f>Y15*Inputs!F15*Inputs!G15</f>
        <v>122421.4944</v>
      </c>
      <c r="AV15" s="252">
        <f>Z15*Inputs!F15*Inputs!G15</f>
        <v>971383.60320000001</v>
      </c>
      <c r="AW15" s="252">
        <f>AA15*Inputs!F15*Inputs!G15</f>
        <v>985562.92800000007</v>
      </c>
      <c r="AX15" s="252">
        <f>AB15*Inputs!F15*Inputs!G15</f>
        <v>985562.92800000007</v>
      </c>
      <c r="AY15" s="252">
        <f>AC15*Inputs!F15*Inputs!G15</f>
        <v>946542.3683390345</v>
      </c>
      <c r="AZ15" s="252">
        <f>AD15*Inputs!F15*Inputs!G15</f>
        <v>467236.0483538917</v>
      </c>
      <c r="BA15" s="252">
        <f>AE15*Inputs!F15*Inputs!G15</f>
        <v>0</v>
      </c>
      <c r="BB15" s="252">
        <f>AF15*Inputs!F15*Inputs!H15</f>
        <v>0</v>
      </c>
      <c r="BC15" s="253"/>
      <c r="BD15" s="252" t="str">
        <f>Inputs!A15</f>
        <v>M4468800</v>
      </c>
      <c r="BE15" s="252">
        <f>AI15*Inputs!F15*Inputs!I15</f>
        <v>0</v>
      </c>
      <c r="BF15" s="252">
        <f>AJ15*Inputs!F15*Inputs!I15</f>
        <v>0</v>
      </c>
      <c r="BG15" s="252">
        <f>AK15*Inputs!F15*Inputs!I15</f>
        <v>0</v>
      </c>
      <c r="BH15" s="252">
        <f>AL15*Inputs!F15*Inputs!I15</f>
        <v>0</v>
      </c>
      <c r="BI15" s="252">
        <f>AM15*Inputs!F15*Inputs!I15</f>
        <v>0</v>
      </c>
      <c r="BJ15" s="252">
        <f>AN15*Inputs!F15*Inputs!I15</f>
        <v>0</v>
      </c>
      <c r="BK15" s="252">
        <f>AO15*Inputs!F15*Inputs!I15</f>
        <v>0</v>
      </c>
      <c r="BL15" s="252">
        <f>AP15*Inputs!F15*Inputs!I15</f>
        <v>52928.555827448828</v>
      </c>
      <c r="BM15" s="252">
        <f>AQ15*Inputs!F15*Inputs!I15</f>
        <v>207454.13853250878</v>
      </c>
      <c r="BN15" s="253"/>
      <c r="BO15" s="253"/>
    </row>
    <row r="16" spans="1:69" x14ac:dyDescent="0.25">
      <c r="A16" s="252" t="str">
        <f>Inputs!A16</f>
        <v>M4581200</v>
      </c>
      <c r="B16" s="252">
        <f>SUMIFS(Model!$E$5:$E$454,Model!$B$5:$B$454,A16,Model!$A$5:$A$454,3) + SUMIFS(Model!$K$5:$K$454,Model!$B$5:$B$454,A16,Model!$A$5:$A$454,3)</f>
        <v>0</v>
      </c>
      <c r="C16" s="252">
        <f>SUMIFS(Model!$E$5:$E$454,Model!$B$5:$B$454,A16,Model!$A$5:$A$454,4) + SUMIFS(Model!$K$5:$K$454,Model!$B$5:$B$454,A16,Model!$A$5:$A$454,4)</f>
        <v>0</v>
      </c>
      <c r="D16" s="252">
        <f>SUMIFS(Model!$E$5:$E$454,Model!$B$5:$B$454,A16,Model!$A$5:$A$454,5) + SUMIFS(Model!$K$5:$K$454,Model!$B$5:$B$454,A16,Model!$A$5:$A$454,5)</f>
        <v>0</v>
      </c>
      <c r="E16" s="252">
        <f>SUMIFS(Model!$E$5:$E$454,Model!$B$5:$B$454,A16,Model!$A$5:$A$454,6) + SUMIFS(Model!$K$5:$K$454,Model!$B$5:$B$454,A16,Model!$A$5:$A$454,6)</f>
        <v>0</v>
      </c>
      <c r="F16" s="252">
        <f>SUMIFS(Model!$E$5:$E$454,Model!$B$5:$B$454,A16,Model!$A$5:$A$454,7) + SUMIFS(Model!$K$5:$K$454,Model!$B$5:$B$454,A16,Model!$A$5:$A$454,7)</f>
        <v>45.866667</v>
      </c>
      <c r="G16" s="252">
        <f>SUMIFS(Model!$E$5:$E$454,Model!$B$5:$B$454,A16,Model!$A$5:$A$454,8) + SUMIFS(Model!$K$5:$K$454,Model!$B$5:$B$454,A16,Model!$A$5:$A$454,8)</f>
        <v>83.444176999999996</v>
      </c>
      <c r="H16" s="252">
        <f>SUMIFS(Model!$E$5:$E$454,Model!$B$5:$B$454,A16,Model!$A$5:$A$454,9) + SUMIFS(Model!$K$5:$K$454,Model!$B$5:$B$454,A16,Model!$A$5:$A$454,9)</f>
        <v>0</v>
      </c>
      <c r="I16" s="252">
        <f>SUMIFS(Model!$E$5:$E$454,Model!$B$5:$B$454,A16,Model!$A$5:$A$454,10) + SUMIFS(Model!$K$5:$K$454,Model!$B$5:$B$454,A16,Model!$A$5:$A$454,10)</f>
        <v>8.2891566000000001</v>
      </c>
      <c r="J16" s="252">
        <f>SUMIFS(Model!$E$5:$E$454,Model!$B$5:$B$454,A16,Model!$A$5:$A$454,11) + SUMIFS(Model!$K$5:$K$454,Model!$B$5:$B$454,A16,Model!$A$5:$A$454,11)</f>
        <v>0</v>
      </c>
      <c r="K16" s="253"/>
      <c r="L16" s="252" t="str">
        <f>Inputs!A16</f>
        <v>M4581200</v>
      </c>
      <c r="M16" s="255">
        <v>0</v>
      </c>
      <c r="N16" s="255">
        <v>0</v>
      </c>
      <c r="O16" s="255">
        <v>0</v>
      </c>
      <c r="P16" s="255">
        <v>0</v>
      </c>
      <c r="Q16" s="255">
        <v>0</v>
      </c>
      <c r="R16" s="255">
        <v>139.98172982522576</v>
      </c>
      <c r="S16" s="255">
        <v>0</v>
      </c>
      <c r="T16" s="256">
        <v>8.0858328410802383</v>
      </c>
      <c r="U16" s="256">
        <v>0</v>
      </c>
      <c r="V16" s="253"/>
      <c r="W16" s="252" t="str">
        <f>Inputs!A16</f>
        <v>M4581200</v>
      </c>
      <c r="X16" s="252">
        <f>MAX(B16-M16,0)</f>
        <v>0</v>
      </c>
      <c r="Y16" s="257">
        <f t="shared" si="3"/>
        <v>0</v>
      </c>
      <c r="Z16" s="257">
        <f t="shared" si="4"/>
        <v>0</v>
      </c>
      <c r="AA16" s="257">
        <f t="shared" si="5"/>
        <v>0</v>
      </c>
      <c r="AB16" s="257">
        <f t="shared" si="6"/>
        <v>45.866667</v>
      </c>
      <c r="AC16" s="257">
        <f t="shared" si="7"/>
        <v>0</v>
      </c>
      <c r="AD16" s="257">
        <f t="shared" si="8"/>
        <v>0</v>
      </c>
      <c r="AE16" s="257">
        <f t="shared" si="9"/>
        <v>0.20332375891976184</v>
      </c>
      <c r="AF16" s="257">
        <f t="shared" si="10"/>
        <v>0.20332375891976184</v>
      </c>
      <c r="AG16" s="253"/>
      <c r="AH16" s="252" t="str">
        <f>Inputs!A16</f>
        <v>M4581200</v>
      </c>
      <c r="AI16" s="252">
        <f t="shared" si="11"/>
        <v>0</v>
      </c>
      <c r="AJ16" s="252">
        <f t="shared" si="12"/>
        <v>0</v>
      </c>
      <c r="AK16" s="252">
        <f t="shared" si="13"/>
        <v>0</v>
      </c>
      <c r="AL16" s="252">
        <f t="shared" si="14"/>
        <v>0</v>
      </c>
      <c r="AM16" s="252">
        <f t="shared" si="15"/>
        <v>0</v>
      </c>
      <c r="AN16" s="252">
        <f t="shared" si="16"/>
        <v>10.670885825225753</v>
      </c>
      <c r="AO16" s="252">
        <f t="shared" si="17"/>
        <v>0</v>
      </c>
      <c r="AP16" s="252">
        <f t="shared" si="18"/>
        <v>0</v>
      </c>
      <c r="AQ16" s="252">
        <f t="shared" si="19"/>
        <v>0</v>
      </c>
      <c r="AR16" s="253"/>
      <c r="AS16" s="252" t="str">
        <f>Inputs!A16</f>
        <v>M4581200</v>
      </c>
      <c r="AT16" s="252">
        <f>X16*Inputs!F16*Inputs!G16</f>
        <v>0</v>
      </c>
      <c r="AU16" s="252">
        <f>Y16*Inputs!F16*Inputs!G16</f>
        <v>0</v>
      </c>
      <c r="AV16" s="252">
        <f>Z16*Inputs!F16*Inputs!G16</f>
        <v>0</v>
      </c>
      <c r="AW16" s="252">
        <f>AA16*Inputs!F16*Inputs!G16</f>
        <v>0</v>
      </c>
      <c r="AX16" s="252">
        <f>AB16*Inputs!F16*Inputs!G16</f>
        <v>125729.936913735</v>
      </c>
      <c r="AY16" s="252">
        <f>AC16*Inputs!F16*Inputs!G16</f>
        <v>0</v>
      </c>
      <c r="AZ16" s="252">
        <f>AD16*Inputs!F16*Inputs!G16</f>
        <v>0</v>
      </c>
      <c r="BA16" s="252">
        <f>AE16*Inputs!F16*Inputs!G16</f>
        <v>557.3521045696458</v>
      </c>
      <c r="BB16" s="252">
        <f>AF16*Inputs!F16*Inputs!H16</f>
        <v>928.92017428274301</v>
      </c>
      <c r="BC16" s="253"/>
      <c r="BD16" s="252" t="str">
        <f>Inputs!A16</f>
        <v>M4581200</v>
      </c>
      <c r="BE16" s="252">
        <f>AI16*Inputs!F16*Inputs!I16</f>
        <v>0</v>
      </c>
      <c r="BF16" s="252">
        <f>AJ16*Inputs!F16*Inputs!I16</f>
        <v>0</v>
      </c>
      <c r="BG16" s="252">
        <f>AK16*Inputs!F16*Inputs!I16</f>
        <v>0</v>
      </c>
      <c r="BH16" s="252">
        <f>AL16*Inputs!F16*Inputs!I16</f>
        <v>0</v>
      </c>
      <c r="BI16" s="252">
        <f>AM16*Inputs!F16*Inputs!I16</f>
        <v>0</v>
      </c>
      <c r="BJ16" s="252">
        <f>AN16*Inputs!F16*Inputs!I16</f>
        <v>97503.618595126536</v>
      </c>
      <c r="BK16" s="252">
        <f>AO16*Inputs!F16*Inputs!I16</f>
        <v>0</v>
      </c>
      <c r="BL16" s="252">
        <f>AP16*Inputs!F16*Inputs!I16</f>
        <v>0</v>
      </c>
      <c r="BM16" s="252">
        <f>AQ16*Inputs!F16*Inputs!I16</f>
        <v>0</v>
      </c>
      <c r="BN16" s="253"/>
      <c r="BO16" s="253"/>
    </row>
    <row r="17" spans="1:67" x14ac:dyDescent="0.25">
      <c r="A17" s="252">
        <f>Inputs!A17</f>
        <v>0</v>
      </c>
      <c r="B17" s="252">
        <f>SUMIFS(Model!$E$5:$E$454,Model!$B$5:$B$454,A17,Model!$A$5:$A$454,3) + SUMIFS(Model!$K$5:$K$454,Model!$B$5:$B$454,A17,Model!$A$5:$A$454,3)</f>
        <v>0</v>
      </c>
      <c r="C17" s="252">
        <f>SUMIFS(Model!$E$5:$E$454,Model!$B$5:$B$454,A17,Model!$A$5:$A$454,4) + SUMIFS(Model!$K$5:$K$454,Model!$B$5:$B$454,A17,Model!$A$5:$A$454,4)</f>
        <v>0</v>
      </c>
      <c r="D17" s="252">
        <f>SUMIFS(Model!$E$5:$E$454,Model!$B$5:$B$454,A17,Model!$A$5:$A$454,5) + SUMIFS(Model!$K$5:$K$454,Model!$B$5:$B$454,A17,Model!$A$5:$A$454,5)</f>
        <v>0</v>
      </c>
      <c r="E17" s="252">
        <f>SUMIFS(Model!$E$5:$E$454,Model!$B$5:$B$454,A17,Model!$A$5:$A$454,6) + SUMIFS(Model!$K$5:$K$454,Model!$B$5:$B$454,A17,Model!$A$5:$A$454,6)</f>
        <v>0</v>
      </c>
      <c r="F17" s="252">
        <f>SUMIFS(Model!$E$5:$E$454,Model!$B$5:$B$454,A17,Model!$A$5:$A$454,7) + SUMIFS(Model!$K$5:$K$454,Model!$B$5:$B$454,A17,Model!$A$5:$A$454,7)</f>
        <v>0</v>
      </c>
      <c r="G17" s="252">
        <f>SUMIFS(Model!$E$5:$E$454,Model!$B$5:$B$454,A17,Model!$A$5:$A$454,8) + SUMIFS(Model!$K$5:$K$454,Model!$B$5:$B$454,A17,Model!$A$5:$A$454,8)</f>
        <v>0</v>
      </c>
      <c r="H17" s="252">
        <f>SUMIFS(Model!$E$5:$E$454,Model!$B$5:$B$454,A17,Model!$A$5:$A$454,9) + SUMIFS(Model!$K$5:$K$454,Model!$B$5:$B$454,A17,Model!$A$5:$A$454,9)</f>
        <v>0</v>
      </c>
      <c r="I17" s="252">
        <f>SUMIFS(Model!$E$5:$E$454,Model!$B$5:$B$454,A17,Model!$A$5:$A$454,10) + SUMIFS(Model!$K$5:$K$454,Model!$B$5:$B$454,A17,Model!$A$5:$A$454,10)</f>
        <v>0</v>
      </c>
      <c r="J17" s="252">
        <f>SUMIFS(Model!$E$5:$E$454,Model!$B$5:$B$454,A17,Model!$A$5:$A$454,11) + SUMIFS(Model!$K$5:$K$454,Model!$B$5:$B$454,A17,Model!$A$5:$A$454,11)</f>
        <v>0</v>
      </c>
      <c r="K17" s="253"/>
      <c r="L17" s="252">
        <f>Inputs!A17</f>
        <v>0</v>
      </c>
      <c r="M17" s="252"/>
      <c r="N17" s="252"/>
      <c r="O17" s="252"/>
      <c r="P17" s="252"/>
      <c r="Q17" s="252"/>
      <c r="R17" s="252"/>
      <c r="S17" s="252"/>
      <c r="T17" s="252"/>
      <c r="U17" s="252"/>
      <c r="V17" s="253"/>
      <c r="W17" s="252">
        <f>Inputs!A17</f>
        <v>0</v>
      </c>
      <c r="X17" s="252">
        <f t="shared" si="2"/>
        <v>0</v>
      </c>
      <c r="Y17" s="257">
        <f t="shared" si="3"/>
        <v>0</v>
      </c>
      <c r="Z17" s="257">
        <f t="shared" si="4"/>
        <v>0</v>
      </c>
      <c r="AA17" s="257">
        <f t="shared" si="5"/>
        <v>0</v>
      </c>
      <c r="AB17" s="257">
        <f t="shared" si="6"/>
        <v>0</v>
      </c>
      <c r="AC17" s="257">
        <f t="shared" si="7"/>
        <v>0</v>
      </c>
      <c r="AD17" s="257">
        <f t="shared" si="8"/>
        <v>0</v>
      </c>
      <c r="AE17" s="257">
        <f t="shared" si="9"/>
        <v>0</v>
      </c>
      <c r="AF17" s="257">
        <f t="shared" si="10"/>
        <v>0</v>
      </c>
      <c r="AG17" s="253"/>
      <c r="AH17" s="252">
        <f>Inputs!A17</f>
        <v>0</v>
      </c>
      <c r="AI17" s="252">
        <f t="shared" si="11"/>
        <v>0</v>
      </c>
      <c r="AJ17" s="252">
        <f t="shared" si="12"/>
        <v>0</v>
      </c>
      <c r="AK17" s="252">
        <f t="shared" si="13"/>
        <v>0</v>
      </c>
      <c r="AL17" s="252">
        <f t="shared" si="14"/>
        <v>0</v>
      </c>
      <c r="AM17" s="252">
        <f t="shared" si="15"/>
        <v>0</v>
      </c>
      <c r="AN17" s="252">
        <f t="shared" si="16"/>
        <v>0</v>
      </c>
      <c r="AO17" s="252">
        <f t="shared" si="17"/>
        <v>0</v>
      </c>
      <c r="AP17" s="252">
        <f t="shared" si="18"/>
        <v>0</v>
      </c>
      <c r="AQ17" s="252">
        <f t="shared" si="19"/>
        <v>0</v>
      </c>
      <c r="AR17" s="253"/>
      <c r="AS17" s="252">
        <f>Inputs!A17</f>
        <v>0</v>
      </c>
      <c r="AT17" s="252">
        <f>X17*Inputs!F17*Inputs!G17</f>
        <v>0</v>
      </c>
      <c r="AU17" s="252">
        <f>Y17*Inputs!F17*Inputs!G17</f>
        <v>0</v>
      </c>
      <c r="AV17" s="252">
        <f>Z17*Inputs!F17*Inputs!G17</f>
        <v>0</v>
      </c>
      <c r="AW17" s="252">
        <f>AA17*Inputs!F17*Inputs!G17</f>
        <v>0</v>
      </c>
      <c r="AX17" s="252">
        <f>AB17*Inputs!F17*Inputs!G17</f>
        <v>0</v>
      </c>
      <c r="AY17" s="252">
        <f>AC17*Inputs!F17*Inputs!G17</f>
        <v>0</v>
      </c>
      <c r="AZ17" s="252">
        <f>AD17*Inputs!F17*Inputs!G17</f>
        <v>0</v>
      </c>
      <c r="BA17" s="252">
        <f>AE17*Inputs!F17*Inputs!G17</f>
        <v>0</v>
      </c>
      <c r="BB17" s="252">
        <f>AF17*Inputs!F17*Inputs!H17</f>
        <v>0</v>
      </c>
      <c r="BC17" s="253"/>
      <c r="BD17" s="252">
        <f>Inputs!A17</f>
        <v>0</v>
      </c>
      <c r="BE17" s="252">
        <f>AI17*Inputs!F17*Inputs!I17</f>
        <v>0</v>
      </c>
      <c r="BF17" s="252">
        <f>AJ17*Inputs!F17*Inputs!I17</f>
        <v>0</v>
      </c>
      <c r="BG17" s="252">
        <f>AK17*Inputs!F17*Inputs!I17</f>
        <v>0</v>
      </c>
      <c r="BH17" s="252">
        <f>AL17*Inputs!F17*Inputs!I17</f>
        <v>0</v>
      </c>
      <c r="BI17" s="252">
        <f>AM17*Inputs!F17*Inputs!I17</f>
        <v>0</v>
      </c>
      <c r="BJ17" s="252">
        <f>AN17*Inputs!F17*Inputs!I17</f>
        <v>0</v>
      </c>
      <c r="BK17" s="252">
        <f>AO17*Inputs!F17*Inputs!I17</f>
        <v>0</v>
      </c>
      <c r="BL17" s="252">
        <f>AP17*Inputs!F17*Inputs!I17</f>
        <v>0</v>
      </c>
      <c r="BM17" s="252">
        <f>AQ17*Inputs!F17*Inputs!I17</f>
        <v>0</v>
      </c>
      <c r="BN17" s="253"/>
      <c r="BO17" s="253"/>
    </row>
    <row r="18" spans="1:67" x14ac:dyDescent="0.25">
      <c r="A18" s="252">
        <f>Inputs!A18</f>
        <v>0</v>
      </c>
      <c r="B18" s="252">
        <f>SUMIFS(Model!$E$5:$E$454,Model!$B$5:$B$454,A18,Model!$A$5:$A$454,3) + SUMIFS(Model!$K$5:$K$454,Model!$B$5:$B$454,A18,Model!$A$5:$A$454,3)</f>
        <v>0</v>
      </c>
      <c r="C18" s="252">
        <f>SUMIFS(Model!$E$5:$E$454,Model!$B$5:$B$454,A18,Model!$A$5:$A$454,4) + SUMIFS(Model!$K$5:$K$454,Model!$B$5:$B$454,A18,Model!$A$5:$A$454,4)</f>
        <v>0</v>
      </c>
      <c r="D18" s="252">
        <f>SUMIFS(Model!$E$5:$E$454,Model!$B$5:$B$454,A18,Model!$A$5:$A$454,5) + SUMIFS(Model!$K$5:$K$454,Model!$B$5:$B$454,A18,Model!$A$5:$A$454,5)</f>
        <v>0</v>
      </c>
      <c r="E18" s="252">
        <f>SUMIFS(Model!$E$5:$E$454,Model!$B$5:$B$454,A18,Model!$A$5:$A$454,6) + SUMIFS(Model!$K$5:$K$454,Model!$B$5:$B$454,A18,Model!$A$5:$A$454,6)</f>
        <v>0</v>
      </c>
      <c r="F18" s="252">
        <f>SUMIFS(Model!$E$5:$E$454,Model!$B$5:$B$454,A18,Model!$A$5:$A$454,7) + SUMIFS(Model!$K$5:$K$454,Model!$B$5:$B$454,A18,Model!$A$5:$A$454,7)</f>
        <v>0</v>
      </c>
      <c r="G18" s="252">
        <f>SUMIFS(Model!$E$5:$E$454,Model!$B$5:$B$454,A18,Model!$A$5:$A$454,8) + SUMIFS(Model!$K$5:$K$454,Model!$B$5:$B$454,A18,Model!$A$5:$A$454,8)</f>
        <v>0</v>
      </c>
      <c r="H18" s="252">
        <f>SUMIFS(Model!$E$5:$E$454,Model!$B$5:$B$454,A18,Model!$A$5:$A$454,9) + SUMIFS(Model!$K$5:$K$454,Model!$B$5:$B$454,A18,Model!$A$5:$A$454,9)</f>
        <v>0</v>
      </c>
      <c r="I18" s="252">
        <f>SUMIFS(Model!$E$5:$E$454,Model!$B$5:$B$454,A18,Model!$A$5:$A$454,10) + SUMIFS(Model!$K$5:$K$454,Model!$B$5:$B$454,A18,Model!$A$5:$A$454,10)</f>
        <v>0</v>
      </c>
      <c r="J18" s="252">
        <f>SUMIFS(Model!$E$5:$E$454,Model!$B$5:$B$454,A18,Model!$A$5:$A$454,11) + SUMIFS(Model!$K$5:$K$454,Model!$B$5:$B$454,A18,Model!$A$5:$A$454,11)</f>
        <v>0</v>
      </c>
      <c r="K18" s="253"/>
      <c r="L18" s="252">
        <f>Inputs!A18</f>
        <v>0</v>
      </c>
      <c r="M18" s="252"/>
      <c r="N18" s="252"/>
      <c r="O18" s="252"/>
      <c r="P18" s="252"/>
      <c r="Q18" s="252"/>
      <c r="R18" s="252"/>
      <c r="S18" s="252"/>
      <c r="T18" s="252"/>
      <c r="U18" s="252"/>
      <c r="V18" s="253"/>
      <c r="W18" s="252">
        <f>Inputs!A18</f>
        <v>0</v>
      </c>
      <c r="X18" s="252">
        <f t="shared" si="2"/>
        <v>0</v>
      </c>
      <c r="Y18" s="257">
        <f t="shared" si="3"/>
        <v>0</v>
      </c>
      <c r="Z18" s="257">
        <f t="shared" ref="Z18:Z51" si="20">MAX(Y18+D18-O18,0)</f>
        <v>0</v>
      </c>
      <c r="AA18" s="257">
        <f t="shared" ref="AA18:AA51" si="21">MAX(Z18+E18-P18,0)</f>
        <v>0</v>
      </c>
      <c r="AB18" s="257">
        <f t="shared" ref="AB18:AB51" si="22">MAX(AA18+F18-Q18,0)</f>
        <v>0</v>
      </c>
      <c r="AC18" s="257">
        <f t="shared" ref="AC18:AC51" si="23">MAX(AB18+G18-R18,0)</f>
        <v>0</v>
      </c>
      <c r="AD18" s="257">
        <f t="shared" ref="AD18:AD51" si="24">MAX(AC18+H18-S18,0)</f>
        <v>0</v>
      </c>
      <c r="AE18" s="257">
        <f t="shared" ref="AE18:AE51" si="25">MAX(AD18+I18-T18,0)</f>
        <v>0</v>
      </c>
      <c r="AF18" s="257">
        <f t="shared" si="10"/>
        <v>0</v>
      </c>
      <c r="AG18" s="253"/>
      <c r="AH18" s="252">
        <f>Inputs!A18</f>
        <v>0</v>
      </c>
      <c r="AI18" s="252">
        <f t="shared" si="11"/>
        <v>0</v>
      </c>
      <c r="AJ18" s="252">
        <f t="shared" si="12"/>
        <v>0</v>
      </c>
      <c r="AK18" s="252">
        <f t="shared" si="13"/>
        <v>0</v>
      </c>
      <c r="AL18" s="252">
        <f t="shared" si="14"/>
        <v>0</v>
      </c>
      <c r="AM18" s="252">
        <f t="shared" si="15"/>
        <v>0</v>
      </c>
      <c r="AN18" s="252">
        <f t="shared" si="16"/>
        <v>0</v>
      </c>
      <c r="AO18" s="252">
        <f t="shared" si="17"/>
        <v>0</v>
      </c>
      <c r="AP18" s="252">
        <f t="shared" si="18"/>
        <v>0</v>
      </c>
      <c r="AQ18" s="252">
        <f t="shared" si="19"/>
        <v>0</v>
      </c>
      <c r="AR18" s="253"/>
      <c r="AS18" s="252">
        <f>Inputs!A18</f>
        <v>0</v>
      </c>
      <c r="AT18" s="252">
        <f>X18*Inputs!F18*Inputs!G18</f>
        <v>0</v>
      </c>
      <c r="AU18" s="252">
        <f>Y18*Inputs!F18*Inputs!G18</f>
        <v>0</v>
      </c>
      <c r="AV18" s="252">
        <f>Z18*Inputs!F18*Inputs!G18</f>
        <v>0</v>
      </c>
      <c r="AW18" s="252">
        <f>AA18*Inputs!F18*Inputs!G18</f>
        <v>0</v>
      </c>
      <c r="AX18" s="252">
        <f>AB18*Inputs!F18*Inputs!G18</f>
        <v>0</v>
      </c>
      <c r="AY18" s="252">
        <f>AC18*Inputs!F18*Inputs!G18</f>
        <v>0</v>
      </c>
      <c r="AZ18" s="252">
        <f>AD18*Inputs!F18*Inputs!G18</f>
        <v>0</v>
      </c>
      <c r="BA18" s="252">
        <f>AE18*Inputs!F18*Inputs!G18</f>
        <v>0</v>
      </c>
      <c r="BB18" s="252">
        <f>AF18*Inputs!F18*Inputs!H18</f>
        <v>0</v>
      </c>
      <c r="BC18" s="253"/>
      <c r="BD18" s="252">
        <f>Inputs!A18</f>
        <v>0</v>
      </c>
      <c r="BE18" s="252">
        <f>AI18*Inputs!F18*Inputs!I18</f>
        <v>0</v>
      </c>
      <c r="BF18" s="252">
        <f>AJ18*Inputs!F18*Inputs!I18</f>
        <v>0</v>
      </c>
      <c r="BG18" s="252">
        <f>AK18*Inputs!F18*Inputs!I18</f>
        <v>0</v>
      </c>
      <c r="BH18" s="252">
        <f>AL18*Inputs!F18*Inputs!I18</f>
        <v>0</v>
      </c>
      <c r="BI18" s="252">
        <f>AM18*Inputs!F18*Inputs!I18</f>
        <v>0</v>
      </c>
      <c r="BJ18" s="252">
        <f>AN18*Inputs!F18*Inputs!I18</f>
        <v>0</v>
      </c>
      <c r="BK18" s="252">
        <f>AO18*Inputs!F18*Inputs!I18</f>
        <v>0</v>
      </c>
      <c r="BL18" s="252">
        <f>AP18*Inputs!F18*Inputs!I18</f>
        <v>0</v>
      </c>
      <c r="BM18" s="252">
        <f>AQ18*Inputs!F18*Inputs!I18</f>
        <v>0</v>
      </c>
      <c r="BN18" s="253"/>
      <c r="BO18" s="253"/>
    </row>
    <row r="19" spans="1:67" x14ac:dyDescent="0.25">
      <c r="A19" s="252">
        <f>Inputs!A19</f>
        <v>0</v>
      </c>
      <c r="B19" s="252">
        <f>SUMIFS(Model!$E$5:$E$454,Model!$B$5:$B$454,A19,Model!$A$5:$A$454,3) + SUMIFS(Model!$K$5:$K$454,Model!$B$5:$B$454,A19,Model!$A$5:$A$454,3)</f>
        <v>0</v>
      </c>
      <c r="C19" s="252">
        <f>SUMIFS(Model!$E$5:$E$454,Model!$B$5:$B$454,A19,Model!$A$5:$A$454,4) + SUMIFS(Model!$K$5:$K$454,Model!$B$5:$B$454,A19,Model!$A$5:$A$454,4)</f>
        <v>0</v>
      </c>
      <c r="D19" s="252">
        <f>SUMIFS(Model!$E$5:$E$454,Model!$B$5:$B$454,A19,Model!$A$5:$A$454,5) + SUMIFS(Model!$K$5:$K$454,Model!$B$5:$B$454,A19,Model!$A$5:$A$454,5)</f>
        <v>0</v>
      </c>
      <c r="E19" s="252">
        <f>SUMIFS(Model!$E$5:$E$454,Model!$B$5:$B$454,A19,Model!$A$5:$A$454,6) + SUMIFS(Model!$K$5:$K$454,Model!$B$5:$B$454,A19,Model!$A$5:$A$454,6)</f>
        <v>0</v>
      </c>
      <c r="F19" s="252">
        <f>SUMIFS(Model!$E$5:$E$454,Model!$B$5:$B$454,A19,Model!$A$5:$A$454,7) + SUMIFS(Model!$K$5:$K$454,Model!$B$5:$B$454,A19,Model!$A$5:$A$454,7)</f>
        <v>0</v>
      </c>
      <c r="G19" s="252">
        <f>SUMIFS(Model!$E$5:$E$454,Model!$B$5:$B$454,A19,Model!$A$5:$A$454,8) + SUMIFS(Model!$K$5:$K$454,Model!$B$5:$B$454,A19,Model!$A$5:$A$454,8)</f>
        <v>0</v>
      </c>
      <c r="H19" s="252">
        <f>SUMIFS(Model!$E$5:$E$454,Model!$B$5:$B$454,A19,Model!$A$5:$A$454,9) + SUMIFS(Model!$K$5:$K$454,Model!$B$5:$B$454,A19,Model!$A$5:$A$454,9)</f>
        <v>0</v>
      </c>
      <c r="I19" s="252">
        <f>SUMIFS(Model!$E$5:$E$454,Model!$B$5:$B$454,A19,Model!$A$5:$A$454,10) + SUMIFS(Model!$K$5:$K$454,Model!$B$5:$B$454,A19,Model!$A$5:$A$454,10)</f>
        <v>0</v>
      </c>
      <c r="J19" s="252">
        <f>SUMIFS(Model!$E$5:$E$454,Model!$B$5:$B$454,A19,Model!$A$5:$A$454,11) + SUMIFS(Model!$K$5:$K$454,Model!$B$5:$B$454,A19,Model!$A$5:$A$454,11)</f>
        <v>0</v>
      </c>
      <c r="K19" s="253"/>
      <c r="L19" s="252">
        <f>Inputs!A19</f>
        <v>0</v>
      </c>
      <c r="M19" s="252"/>
      <c r="N19" s="252"/>
      <c r="O19" s="252"/>
      <c r="P19" s="252"/>
      <c r="Q19" s="252"/>
      <c r="R19" s="252"/>
      <c r="S19" s="252"/>
      <c r="T19" s="252"/>
      <c r="U19" s="252"/>
      <c r="V19" s="253"/>
      <c r="W19" s="252">
        <f>Inputs!A19</f>
        <v>0</v>
      </c>
      <c r="X19" s="252">
        <f t="shared" si="2"/>
        <v>0</v>
      </c>
      <c r="Y19" s="257">
        <f t="shared" si="3"/>
        <v>0</v>
      </c>
      <c r="Z19" s="257">
        <f t="shared" si="20"/>
        <v>0</v>
      </c>
      <c r="AA19" s="257">
        <f t="shared" si="21"/>
        <v>0</v>
      </c>
      <c r="AB19" s="257">
        <f t="shared" si="22"/>
        <v>0</v>
      </c>
      <c r="AC19" s="257">
        <f t="shared" si="23"/>
        <v>0</v>
      </c>
      <c r="AD19" s="257">
        <f t="shared" si="24"/>
        <v>0</v>
      </c>
      <c r="AE19" s="257">
        <f t="shared" si="25"/>
        <v>0</v>
      </c>
      <c r="AF19" s="257">
        <f t="shared" si="10"/>
        <v>0</v>
      </c>
      <c r="AG19" s="253"/>
      <c r="AH19" s="252">
        <f>Inputs!A19</f>
        <v>0</v>
      </c>
      <c r="AI19" s="252">
        <f t="shared" si="11"/>
        <v>0</v>
      </c>
      <c r="AJ19" s="252">
        <f t="shared" si="12"/>
        <v>0</v>
      </c>
      <c r="AK19" s="252">
        <f t="shared" si="13"/>
        <v>0</v>
      </c>
      <c r="AL19" s="252">
        <f t="shared" si="14"/>
        <v>0</v>
      </c>
      <c r="AM19" s="252">
        <f t="shared" si="15"/>
        <v>0</v>
      </c>
      <c r="AN19" s="252">
        <f t="shared" si="16"/>
        <v>0</v>
      </c>
      <c r="AO19" s="252">
        <f t="shared" si="17"/>
        <v>0</v>
      </c>
      <c r="AP19" s="252">
        <f t="shared" si="18"/>
        <v>0</v>
      </c>
      <c r="AQ19" s="252">
        <f t="shared" si="19"/>
        <v>0</v>
      </c>
      <c r="AR19" s="253"/>
      <c r="AS19" s="252">
        <f>Inputs!A19</f>
        <v>0</v>
      </c>
      <c r="AT19" s="252">
        <f>X19*Inputs!F19*Inputs!G19</f>
        <v>0</v>
      </c>
      <c r="AU19" s="252">
        <f>Y19*Inputs!F19*Inputs!G19</f>
        <v>0</v>
      </c>
      <c r="AV19" s="252">
        <f>Z19*Inputs!F19*Inputs!G19</f>
        <v>0</v>
      </c>
      <c r="AW19" s="252">
        <f>AA19*Inputs!F19*Inputs!G19</f>
        <v>0</v>
      </c>
      <c r="AX19" s="252">
        <f>AB19*Inputs!F19*Inputs!G19</f>
        <v>0</v>
      </c>
      <c r="AY19" s="252">
        <f>AC19*Inputs!F19*Inputs!G19</f>
        <v>0</v>
      </c>
      <c r="AZ19" s="252">
        <f>AD19*Inputs!F19*Inputs!G19</f>
        <v>0</v>
      </c>
      <c r="BA19" s="252">
        <f>AE19*Inputs!F19*Inputs!G19</f>
        <v>0</v>
      </c>
      <c r="BB19" s="252">
        <f>AF19*Inputs!F19*Inputs!H19</f>
        <v>0</v>
      </c>
      <c r="BC19" s="253"/>
      <c r="BD19" s="252">
        <f>Inputs!A19</f>
        <v>0</v>
      </c>
      <c r="BE19" s="252">
        <f>AI19*Inputs!F19*Inputs!I19</f>
        <v>0</v>
      </c>
      <c r="BF19" s="252">
        <f>AJ19*Inputs!F19*Inputs!I19</f>
        <v>0</v>
      </c>
      <c r="BG19" s="252">
        <f>AK19*Inputs!F19*Inputs!I19</f>
        <v>0</v>
      </c>
      <c r="BH19" s="252">
        <f>AL19*Inputs!F19*Inputs!I19</f>
        <v>0</v>
      </c>
      <c r="BI19" s="252">
        <f>AM19*Inputs!F19*Inputs!I19</f>
        <v>0</v>
      </c>
      <c r="BJ19" s="252">
        <f>AN19*Inputs!F19*Inputs!I19</f>
        <v>0</v>
      </c>
      <c r="BK19" s="252">
        <f>AO19*Inputs!F19*Inputs!I19</f>
        <v>0</v>
      </c>
      <c r="BL19" s="252">
        <f>AP19*Inputs!F19*Inputs!I19</f>
        <v>0</v>
      </c>
      <c r="BM19" s="252">
        <f>AQ19*Inputs!F19*Inputs!I19</f>
        <v>0</v>
      </c>
      <c r="BN19" s="253"/>
      <c r="BO19" s="253"/>
    </row>
    <row r="20" spans="1:67" x14ac:dyDescent="0.25">
      <c r="A20" s="252">
        <f>Inputs!A20</f>
        <v>0</v>
      </c>
      <c r="B20" s="252">
        <f>SUMIFS(Model!$E$5:$E$454,Model!$B$5:$B$454,A20,Model!$A$5:$A$454,3) + SUMIFS(Model!$K$5:$K$454,Model!$B$5:$B$454,A20,Model!$A$5:$A$454,3)</f>
        <v>0</v>
      </c>
      <c r="C20" s="252">
        <f>SUMIFS(Model!$E$5:$E$454,Model!$B$5:$B$454,A20,Model!$A$5:$A$454,4) + SUMIFS(Model!$K$5:$K$454,Model!$B$5:$B$454,A20,Model!$A$5:$A$454,4)</f>
        <v>0</v>
      </c>
      <c r="D20" s="252">
        <f>SUMIFS(Model!$E$5:$E$454,Model!$B$5:$B$454,A20,Model!$A$5:$A$454,5) + SUMIFS(Model!$K$5:$K$454,Model!$B$5:$B$454,A20,Model!$A$5:$A$454,5)</f>
        <v>0</v>
      </c>
      <c r="E20" s="252">
        <f>SUMIFS(Model!$E$5:$E$454,Model!$B$5:$B$454,A20,Model!$A$5:$A$454,6) + SUMIFS(Model!$K$5:$K$454,Model!$B$5:$B$454,A20,Model!$A$5:$A$454,6)</f>
        <v>0</v>
      </c>
      <c r="F20" s="252">
        <f>SUMIFS(Model!$E$5:$E$454,Model!$B$5:$B$454,A20,Model!$A$5:$A$454,7) + SUMIFS(Model!$K$5:$K$454,Model!$B$5:$B$454,A20,Model!$A$5:$A$454,7)</f>
        <v>0</v>
      </c>
      <c r="G20" s="252">
        <f>SUMIFS(Model!$E$5:$E$454,Model!$B$5:$B$454,A20,Model!$A$5:$A$454,8) + SUMIFS(Model!$K$5:$K$454,Model!$B$5:$B$454,A20,Model!$A$5:$A$454,8)</f>
        <v>0</v>
      </c>
      <c r="H20" s="252">
        <f>SUMIFS(Model!$E$5:$E$454,Model!$B$5:$B$454,A20,Model!$A$5:$A$454,9) + SUMIFS(Model!$K$5:$K$454,Model!$B$5:$B$454,A20,Model!$A$5:$A$454,9)</f>
        <v>0</v>
      </c>
      <c r="I20" s="252">
        <f>SUMIFS(Model!$E$5:$E$454,Model!$B$5:$B$454,A20,Model!$A$5:$A$454,10) + SUMIFS(Model!$K$5:$K$454,Model!$B$5:$B$454,A20,Model!$A$5:$A$454,10)</f>
        <v>0</v>
      </c>
      <c r="J20" s="252">
        <f>SUMIFS(Model!$E$5:$E$454,Model!$B$5:$B$454,A20,Model!$A$5:$A$454,11) + SUMIFS(Model!$K$5:$K$454,Model!$B$5:$B$454,A20,Model!$A$5:$A$454,11)</f>
        <v>0</v>
      </c>
      <c r="K20" s="253"/>
      <c r="L20" s="252">
        <f>Inputs!A20</f>
        <v>0</v>
      </c>
      <c r="M20" s="252"/>
      <c r="N20" s="252"/>
      <c r="O20" s="252"/>
      <c r="P20" s="252"/>
      <c r="Q20" s="252"/>
      <c r="R20" s="252"/>
      <c r="S20" s="252"/>
      <c r="T20" s="252"/>
      <c r="U20" s="252"/>
      <c r="V20" s="253"/>
      <c r="W20" s="252">
        <f>Inputs!A20</f>
        <v>0</v>
      </c>
      <c r="X20" s="252">
        <f t="shared" si="2"/>
        <v>0</v>
      </c>
      <c r="Y20" s="257">
        <f t="shared" si="3"/>
        <v>0</v>
      </c>
      <c r="Z20" s="257">
        <f t="shared" si="20"/>
        <v>0</v>
      </c>
      <c r="AA20" s="257">
        <f t="shared" si="21"/>
        <v>0</v>
      </c>
      <c r="AB20" s="257">
        <f t="shared" si="22"/>
        <v>0</v>
      </c>
      <c r="AC20" s="257">
        <f t="shared" si="23"/>
        <v>0</v>
      </c>
      <c r="AD20" s="257">
        <f t="shared" si="24"/>
        <v>0</v>
      </c>
      <c r="AE20" s="257">
        <f t="shared" si="25"/>
        <v>0</v>
      </c>
      <c r="AF20" s="257">
        <f t="shared" si="10"/>
        <v>0</v>
      </c>
      <c r="AG20" s="253"/>
      <c r="AH20" s="252">
        <f>Inputs!A20</f>
        <v>0</v>
      </c>
      <c r="AI20" s="252">
        <f t="shared" si="11"/>
        <v>0</v>
      </c>
      <c r="AJ20" s="252">
        <f t="shared" si="12"/>
        <v>0</v>
      </c>
      <c r="AK20" s="252">
        <f t="shared" si="13"/>
        <v>0</v>
      </c>
      <c r="AL20" s="252">
        <f t="shared" si="14"/>
        <v>0</v>
      </c>
      <c r="AM20" s="252">
        <f t="shared" si="15"/>
        <v>0</v>
      </c>
      <c r="AN20" s="252">
        <f t="shared" si="16"/>
        <v>0</v>
      </c>
      <c r="AO20" s="252">
        <f t="shared" si="17"/>
        <v>0</v>
      </c>
      <c r="AP20" s="252">
        <f t="shared" si="18"/>
        <v>0</v>
      </c>
      <c r="AQ20" s="252">
        <f t="shared" si="19"/>
        <v>0</v>
      </c>
      <c r="AR20" s="253"/>
      <c r="AS20" s="252">
        <f>Inputs!A20</f>
        <v>0</v>
      </c>
      <c r="AT20" s="252">
        <f>X20*Inputs!F20*Inputs!G20</f>
        <v>0</v>
      </c>
      <c r="AU20" s="252">
        <f>Y20*Inputs!F20*Inputs!G20</f>
        <v>0</v>
      </c>
      <c r="AV20" s="252">
        <f>Z20*Inputs!F20*Inputs!G20</f>
        <v>0</v>
      </c>
      <c r="AW20" s="252">
        <f>AA20*Inputs!F20*Inputs!G20</f>
        <v>0</v>
      </c>
      <c r="AX20" s="252">
        <f>AB20*Inputs!F20*Inputs!G20</f>
        <v>0</v>
      </c>
      <c r="AY20" s="252">
        <f>AC20*Inputs!F20*Inputs!G20</f>
        <v>0</v>
      </c>
      <c r="AZ20" s="252">
        <f>AD20*Inputs!F20*Inputs!G20</f>
        <v>0</v>
      </c>
      <c r="BA20" s="252">
        <f>AE20*Inputs!F20*Inputs!G20</f>
        <v>0</v>
      </c>
      <c r="BB20" s="252">
        <f>AF20*Inputs!F20*Inputs!H20</f>
        <v>0</v>
      </c>
      <c r="BC20" s="253"/>
      <c r="BD20" s="252">
        <f>Inputs!A20</f>
        <v>0</v>
      </c>
      <c r="BE20" s="252">
        <f>AI20*Inputs!F20*Inputs!I20</f>
        <v>0</v>
      </c>
      <c r="BF20" s="252">
        <f>AJ20*Inputs!F20*Inputs!I20</f>
        <v>0</v>
      </c>
      <c r="BG20" s="252">
        <f>AK20*Inputs!F20*Inputs!I20</f>
        <v>0</v>
      </c>
      <c r="BH20" s="252">
        <f>AL20*Inputs!F20*Inputs!I20</f>
        <v>0</v>
      </c>
      <c r="BI20" s="252">
        <f>AM20*Inputs!F20*Inputs!I20</f>
        <v>0</v>
      </c>
      <c r="BJ20" s="252">
        <f>AN20*Inputs!F20*Inputs!I20</f>
        <v>0</v>
      </c>
      <c r="BK20" s="252">
        <f>AO20*Inputs!F20*Inputs!I20</f>
        <v>0</v>
      </c>
      <c r="BL20" s="252">
        <f>AP20*Inputs!F20*Inputs!I20</f>
        <v>0</v>
      </c>
      <c r="BM20" s="252">
        <f>AQ20*Inputs!F20*Inputs!I20</f>
        <v>0</v>
      </c>
      <c r="BN20" s="253"/>
      <c r="BO20" s="253"/>
    </row>
    <row r="21" spans="1:67" x14ac:dyDescent="0.25">
      <c r="A21" s="252">
        <f>Inputs!A21</f>
        <v>0</v>
      </c>
      <c r="B21" s="252">
        <f>SUMIFS(Model!$E$5:$E$454,Model!$B$5:$B$454,A21,Model!$A$5:$A$454,3) + SUMIFS(Model!$K$5:$K$454,Model!$B$5:$B$454,A21,Model!$A$5:$A$454,3)</f>
        <v>0</v>
      </c>
      <c r="C21" s="252">
        <f>SUMIFS(Model!$E$5:$E$454,Model!$B$5:$B$454,A21,Model!$A$5:$A$454,4) + SUMIFS(Model!$K$5:$K$454,Model!$B$5:$B$454,A21,Model!$A$5:$A$454,4)</f>
        <v>0</v>
      </c>
      <c r="D21" s="252">
        <f>SUMIFS(Model!$E$5:$E$454,Model!$B$5:$B$454,A21,Model!$A$5:$A$454,5) + SUMIFS(Model!$K$5:$K$454,Model!$B$5:$B$454,A21,Model!$A$5:$A$454,5)</f>
        <v>0</v>
      </c>
      <c r="E21" s="252">
        <f>SUMIFS(Model!$E$5:$E$454,Model!$B$5:$B$454,A21,Model!$A$5:$A$454,6) + SUMIFS(Model!$K$5:$K$454,Model!$B$5:$B$454,A21,Model!$A$5:$A$454,6)</f>
        <v>0</v>
      </c>
      <c r="F21" s="252">
        <f>SUMIFS(Model!$E$5:$E$454,Model!$B$5:$B$454,A21,Model!$A$5:$A$454,7) + SUMIFS(Model!$K$5:$K$454,Model!$B$5:$B$454,A21,Model!$A$5:$A$454,7)</f>
        <v>0</v>
      </c>
      <c r="G21" s="252">
        <f>SUMIFS(Model!$E$5:$E$454,Model!$B$5:$B$454,A21,Model!$A$5:$A$454,8) + SUMIFS(Model!$K$5:$K$454,Model!$B$5:$B$454,A21,Model!$A$5:$A$454,8)</f>
        <v>0</v>
      </c>
      <c r="H21" s="252">
        <f>SUMIFS(Model!$E$5:$E$454,Model!$B$5:$B$454,A21,Model!$A$5:$A$454,9) + SUMIFS(Model!$K$5:$K$454,Model!$B$5:$B$454,A21,Model!$A$5:$A$454,9)</f>
        <v>0</v>
      </c>
      <c r="I21" s="252">
        <f>SUMIFS(Model!$E$5:$E$454,Model!$B$5:$B$454,A21,Model!$A$5:$A$454,10) + SUMIFS(Model!$K$5:$K$454,Model!$B$5:$B$454,A21,Model!$A$5:$A$454,10)</f>
        <v>0</v>
      </c>
      <c r="J21" s="252">
        <f>SUMIFS(Model!$E$5:$E$454,Model!$B$5:$B$454,A21,Model!$A$5:$A$454,11) + SUMIFS(Model!$K$5:$K$454,Model!$B$5:$B$454,A21,Model!$A$5:$A$454,11)</f>
        <v>0</v>
      </c>
      <c r="K21" s="253"/>
      <c r="L21" s="252">
        <f>Inputs!A21</f>
        <v>0</v>
      </c>
      <c r="M21" s="252"/>
      <c r="N21" s="252"/>
      <c r="O21" s="252"/>
      <c r="P21" s="252"/>
      <c r="Q21" s="252"/>
      <c r="R21" s="252"/>
      <c r="S21" s="252"/>
      <c r="T21" s="252"/>
      <c r="U21" s="252"/>
      <c r="V21" s="253"/>
      <c r="W21" s="252">
        <f>Inputs!A21</f>
        <v>0</v>
      </c>
      <c r="X21" s="252">
        <f t="shared" si="2"/>
        <v>0</v>
      </c>
      <c r="Y21" s="257">
        <f t="shared" si="3"/>
        <v>0</v>
      </c>
      <c r="Z21" s="257">
        <f t="shared" si="20"/>
        <v>0</v>
      </c>
      <c r="AA21" s="257">
        <f t="shared" si="21"/>
        <v>0</v>
      </c>
      <c r="AB21" s="257">
        <f t="shared" si="22"/>
        <v>0</v>
      </c>
      <c r="AC21" s="257">
        <f t="shared" si="23"/>
        <v>0</v>
      </c>
      <c r="AD21" s="257">
        <f t="shared" si="24"/>
        <v>0</v>
      </c>
      <c r="AE21" s="257">
        <f t="shared" si="25"/>
        <v>0</v>
      </c>
      <c r="AF21" s="257">
        <f t="shared" si="10"/>
        <v>0</v>
      </c>
      <c r="AG21" s="253"/>
      <c r="AH21" s="252">
        <f>Inputs!A21</f>
        <v>0</v>
      </c>
      <c r="AI21" s="252">
        <f t="shared" si="11"/>
        <v>0</v>
      </c>
      <c r="AJ21" s="252">
        <f t="shared" si="12"/>
        <v>0</v>
      </c>
      <c r="AK21" s="252">
        <f t="shared" si="13"/>
        <v>0</v>
      </c>
      <c r="AL21" s="252">
        <f t="shared" si="14"/>
        <v>0</v>
      </c>
      <c r="AM21" s="252">
        <f t="shared" si="15"/>
        <v>0</v>
      </c>
      <c r="AN21" s="252">
        <f t="shared" si="16"/>
        <v>0</v>
      </c>
      <c r="AO21" s="252">
        <f t="shared" si="17"/>
        <v>0</v>
      </c>
      <c r="AP21" s="252">
        <f t="shared" si="18"/>
        <v>0</v>
      </c>
      <c r="AQ21" s="252">
        <f t="shared" si="19"/>
        <v>0</v>
      </c>
      <c r="AR21" s="253"/>
      <c r="AS21" s="252">
        <f>Inputs!A21</f>
        <v>0</v>
      </c>
      <c r="AT21" s="252">
        <f>X21*Inputs!F21*Inputs!G21</f>
        <v>0</v>
      </c>
      <c r="AU21" s="252">
        <f>Y21*Inputs!F21*Inputs!G21</f>
        <v>0</v>
      </c>
      <c r="AV21" s="252">
        <f>Z21*Inputs!F21*Inputs!G21</f>
        <v>0</v>
      </c>
      <c r="AW21" s="252">
        <f>AA21*Inputs!F21*Inputs!G21</f>
        <v>0</v>
      </c>
      <c r="AX21" s="252">
        <f>AB21*Inputs!F21*Inputs!G21</f>
        <v>0</v>
      </c>
      <c r="AY21" s="252">
        <f>AC21*Inputs!F21*Inputs!G21</f>
        <v>0</v>
      </c>
      <c r="AZ21" s="252">
        <f>AD21*Inputs!F21*Inputs!G21</f>
        <v>0</v>
      </c>
      <c r="BA21" s="252">
        <f>AE21*Inputs!F21*Inputs!G21</f>
        <v>0</v>
      </c>
      <c r="BB21" s="252">
        <f>AF21*Inputs!F21*Inputs!H21</f>
        <v>0</v>
      </c>
      <c r="BC21" s="253"/>
      <c r="BD21" s="252">
        <f>Inputs!A21</f>
        <v>0</v>
      </c>
      <c r="BE21" s="252">
        <f>AI21*Inputs!F21*Inputs!I21</f>
        <v>0</v>
      </c>
      <c r="BF21" s="252">
        <f>AJ21*Inputs!F21*Inputs!I21</f>
        <v>0</v>
      </c>
      <c r="BG21" s="252">
        <f>AK21*Inputs!F21*Inputs!I21</f>
        <v>0</v>
      </c>
      <c r="BH21" s="252">
        <f>AL21*Inputs!F21*Inputs!I21</f>
        <v>0</v>
      </c>
      <c r="BI21" s="252">
        <f>AM21*Inputs!F21*Inputs!I21</f>
        <v>0</v>
      </c>
      <c r="BJ21" s="252">
        <f>AN21*Inputs!F21*Inputs!I21</f>
        <v>0</v>
      </c>
      <c r="BK21" s="252">
        <f>AO21*Inputs!F21*Inputs!I21</f>
        <v>0</v>
      </c>
      <c r="BL21" s="252">
        <f>AP21*Inputs!F21*Inputs!I21</f>
        <v>0</v>
      </c>
      <c r="BM21" s="252">
        <f>AQ21*Inputs!F21*Inputs!I21</f>
        <v>0</v>
      </c>
      <c r="BN21" s="253"/>
      <c r="BO21" s="253"/>
    </row>
    <row r="22" spans="1:67" x14ac:dyDescent="0.25">
      <c r="A22" s="252">
        <f>Inputs!A22</f>
        <v>0</v>
      </c>
      <c r="B22" s="252">
        <f>SUMIFS(Model!$E$5:$E$454,Model!$B$5:$B$454,A22,Model!$A$5:$A$454,3) + SUMIFS(Model!$K$5:$K$454,Model!$B$5:$B$454,A22,Model!$A$5:$A$454,3)</f>
        <v>0</v>
      </c>
      <c r="C22" s="252">
        <f>SUMIFS(Model!$E$5:$E$454,Model!$B$5:$B$454,A22,Model!$A$5:$A$454,4) + SUMIFS(Model!$K$5:$K$454,Model!$B$5:$B$454,A22,Model!$A$5:$A$454,4)</f>
        <v>0</v>
      </c>
      <c r="D22" s="252">
        <f>SUMIFS(Model!$E$5:$E$454,Model!$B$5:$B$454,A22,Model!$A$5:$A$454,5) + SUMIFS(Model!$K$5:$K$454,Model!$B$5:$B$454,A22,Model!$A$5:$A$454,5)</f>
        <v>0</v>
      </c>
      <c r="E22" s="252">
        <f>SUMIFS(Model!$E$5:$E$454,Model!$B$5:$B$454,A22,Model!$A$5:$A$454,6) + SUMIFS(Model!$K$5:$K$454,Model!$B$5:$B$454,A22,Model!$A$5:$A$454,6)</f>
        <v>0</v>
      </c>
      <c r="F22" s="252">
        <f>SUMIFS(Model!$E$5:$E$454,Model!$B$5:$B$454,A22,Model!$A$5:$A$454,7) + SUMIFS(Model!$K$5:$K$454,Model!$B$5:$B$454,A22,Model!$A$5:$A$454,7)</f>
        <v>0</v>
      </c>
      <c r="G22" s="252">
        <f>SUMIFS(Model!$E$5:$E$454,Model!$B$5:$B$454,A22,Model!$A$5:$A$454,8) + SUMIFS(Model!$K$5:$K$454,Model!$B$5:$B$454,A22,Model!$A$5:$A$454,8)</f>
        <v>0</v>
      </c>
      <c r="H22" s="252">
        <f>SUMIFS(Model!$E$5:$E$454,Model!$B$5:$B$454,A22,Model!$A$5:$A$454,9) + SUMIFS(Model!$K$5:$K$454,Model!$B$5:$B$454,A22,Model!$A$5:$A$454,9)</f>
        <v>0</v>
      </c>
      <c r="I22" s="252">
        <f>SUMIFS(Model!$E$5:$E$454,Model!$B$5:$B$454,A22,Model!$A$5:$A$454,10) + SUMIFS(Model!$K$5:$K$454,Model!$B$5:$B$454,A22,Model!$A$5:$A$454,10)</f>
        <v>0</v>
      </c>
      <c r="J22" s="252">
        <f>SUMIFS(Model!$E$5:$E$454,Model!$B$5:$B$454,A22,Model!$A$5:$A$454,11) + SUMIFS(Model!$K$5:$K$454,Model!$B$5:$B$454,A22,Model!$A$5:$A$454,11)</f>
        <v>0</v>
      </c>
      <c r="K22" s="253"/>
      <c r="L22" s="252">
        <f>Inputs!A22</f>
        <v>0</v>
      </c>
      <c r="M22" s="252"/>
      <c r="N22" s="252"/>
      <c r="O22" s="252"/>
      <c r="P22" s="252"/>
      <c r="Q22" s="252"/>
      <c r="R22" s="252"/>
      <c r="S22" s="252"/>
      <c r="T22" s="252"/>
      <c r="U22" s="252"/>
      <c r="V22" s="253"/>
      <c r="W22" s="252">
        <f>Inputs!A22</f>
        <v>0</v>
      </c>
      <c r="X22" s="252">
        <f t="shared" si="2"/>
        <v>0</v>
      </c>
      <c r="Y22" s="257">
        <f t="shared" si="3"/>
        <v>0</v>
      </c>
      <c r="Z22" s="257">
        <f t="shared" si="20"/>
        <v>0</v>
      </c>
      <c r="AA22" s="257">
        <f t="shared" si="21"/>
        <v>0</v>
      </c>
      <c r="AB22" s="257">
        <f t="shared" si="22"/>
        <v>0</v>
      </c>
      <c r="AC22" s="257">
        <f t="shared" si="23"/>
        <v>0</v>
      </c>
      <c r="AD22" s="257">
        <f t="shared" si="24"/>
        <v>0</v>
      </c>
      <c r="AE22" s="257">
        <f t="shared" si="25"/>
        <v>0</v>
      </c>
      <c r="AF22" s="257">
        <f t="shared" si="10"/>
        <v>0</v>
      </c>
      <c r="AG22" s="253"/>
      <c r="AH22" s="252">
        <f>Inputs!A22</f>
        <v>0</v>
      </c>
      <c r="AI22" s="252">
        <f t="shared" si="11"/>
        <v>0</v>
      </c>
      <c r="AJ22" s="252">
        <f t="shared" si="12"/>
        <v>0</v>
      </c>
      <c r="AK22" s="252">
        <f t="shared" si="13"/>
        <v>0</v>
      </c>
      <c r="AL22" s="252">
        <f t="shared" si="14"/>
        <v>0</v>
      </c>
      <c r="AM22" s="252">
        <f t="shared" si="15"/>
        <v>0</v>
      </c>
      <c r="AN22" s="252">
        <f t="shared" si="16"/>
        <v>0</v>
      </c>
      <c r="AO22" s="252">
        <f t="shared" si="17"/>
        <v>0</v>
      </c>
      <c r="AP22" s="252">
        <f t="shared" si="18"/>
        <v>0</v>
      </c>
      <c r="AQ22" s="252">
        <f t="shared" si="19"/>
        <v>0</v>
      </c>
      <c r="AR22" s="253"/>
      <c r="AS22" s="252">
        <f>Inputs!A22</f>
        <v>0</v>
      </c>
      <c r="AT22" s="252">
        <f>X22*Inputs!F22*Inputs!G22</f>
        <v>0</v>
      </c>
      <c r="AU22" s="252">
        <f>Y22*Inputs!F22*Inputs!G22</f>
        <v>0</v>
      </c>
      <c r="AV22" s="252">
        <f>Z22*Inputs!F22*Inputs!G22</f>
        <v>0</v>
      </c>
      <c r="AW22" s="252">
        <f>AA22*Inputs!F22*Inputs!G22</f>
        <v>0</v>
      </c>
      <c r="AX22" s="252">
        <f>AB22*Inputs!F22*Inputs!G22</f>
        <v>0</v>
      </c>
      <c r="AY22" s="252">
        <f>AC22*Inputs!F22*Inputs!G22</f>
        <v>0</v>
      </c>
      <c r="AZ22" s="252">
        <f>AD22*Inputs!F22*Inputs!G22</f>
        <v>0</v>
      </c>
      <c r="BA22" s="252">
        <f>AE22*Inputs!F22*Inputs!G22</f>
        <v>0</v>
      </c>
      <c r="BB22" s="252">
        <f>AF22*Inputs!F22*Inputs!H22</f>
        <v>0</v>
      </c>
      <c r="BC22" s="253"/>
      <c r="BD22" s="252">
        <f>Inputs!A22</f>
        <v>0</v>
      </c>
      <c r="BE22" s="252">
        <f>AI22*Inputs!F22*Inputs!I22</f>
        <v>0</v>
      </c>
      <c r="BF22" s="252">
        <f>AJ22*Inputs!F22*Inputs!I22</f>
        <v>0</v>
      </c>
      <c r="BG22" s="252">
        <f>AK22*Inputs!F22*Inputs!I22</f>
        <v>0</v>
      </c>
      <c r="BH22" s="252">
        <f>AL22*Inputs!F22*Inputs!I22</f>
        <v>0</v>
      </c>
      <c r="BI22" s="252">
        <f>AM22*Inputs!F22*Inputs!I22</f>
        <v>0</v>
      </c>
      <c r="BJ22" s="252">
        <f>AN22*Inputs!F22*Inputs!I22</f>
        <v>0</v>
      </c>
      <c r="BK22" s="252">
        <f>AO22*Inputs!F22*Inputs!I22</f>
        <v>0</v>
      </c>
      <c r="BL22" s="252">
        <f>AP22*Inputs!F22*Inputs!I22</f>
        <v>0</v>
      </c>
      <c r="BM22" s="252">
        <f>AQ22*Inputs!F22*Inputs!I22</f>
        <v>0</v>
      </c>
      <c r="BN22" s="253"/>
      <c r="BO22" s="253"/>
    </row>
    <row r="23" spans="1:67" x14ac:dyDescent="0.25">
      <c r="A23" s="252">
        <f>Inputs!A23</f>
        <v>0</v>
      </c>
      <c r="B23" s="252">
        <f>SUMIFS(Model!$E$5:$E$454,Model!$B$5:$B$454,A23,Model!$A$5:$A$454,3) + SUMIFS(Model!$K$5:$K$454,Model!$B$5:$B$454,A23,Model!$A$5:$A$454,3)</f>
        <v>0</v>
      </c>
      <c r="C23" s="252">
        <f>SUMIFS(Model!$E$5:$E$454,Model!$B$5:$B$454,A23,Model!$A$5:$A$454,4) + SUMIFS(Model!$K$5:$K$454,Model!$B$5:$B$454,A23,Model!$A$5:$A$454,4)</f>
        <v>0</v>
      </c>
      <c r="D23" s="252">
        <f>SUMIFS(Model!$E$5:$E$454,Model!$B$5:$B$454,A23,Model!$A$5:$A$454,5) + SUMIFS(Model!$K$5:$K$454,Model!$B$5:$B$454,A23,Model!$A$5:$A$454,5)</f>
        <v>0</v>
      </c>
      <c r="E23" s="252">
        <f>SUMIFS(Model!$E$5:$E$454,Model!$B$5:$B$454,A23,Model!$A$5:$A$454,6) + SUMIFS(Model!$K$5:$K$454,Model!$B$5:$B$454,A23,Model!$A$5:$A$454,6)</f>
        <v>0</v>
      </c>
      <c r="F23" s="252">
        <f>SUMIFS(Model!$E$5:$E$454,Model!$B$5:$B$454,A23,Model!$A$5:$A$454,7) + SUMIFS(Model!$K$5:$K$454,Model!$B$5:$B$454,A23,Model!$A$5:$A$454,7)</f>
        <v>0</v>
      </c>
      <c r="G23" s="252">
        <f>SUMIFS(Model!$E$5:$E$454,Model!$B$5:$B$454,A23,Model!$A$5:$A$454,8) + SUMIFS(Model!$K$5:$K$454,Model!$B$5:$B$454,A23,Model!$A$5:$A$454,8)</f>
        <v>0</v>
      </c>
      <c r="H23" s="252">
        <f>SUMIFS(Model!$E$5:$E$454,Model!$B$5:$B$454,A23,Model!$A$5:$A$454,9) + SUMIFS(Model!$K$5:$K$454,Model!$B$5:$B$454,A23,Model!$A$5:$A$454,9)</f>
        <v>0</v>
      </c>
      <c r="I23" s="252">
        <f>SUMIFS(Model!$E$5:$E$454,Model!$B$5:$B$454,A23,Model!$A$5:$A$454,10) + SUMIFS(Model!$K$5:$K$454,Model!$B$5:$B$454,A23,Model!$A$5:$A$454,10)</f>
        <v>0</v>
      </c>
      <c r="J23" s="252">
        <f>SUMIFS(Model!$E$5:$E$454,Model!$B$5:$B$454,A23,Model!$A$5:$A$454,11) + SUMIFS(Model!$K$5:$K$454,Model!$B$5:$B$454,A23,Model!$A$5:$A$454,11)</f>
        <v>0</v>
      </c>
      <c r="K23" s="253"/>
      <c r="L23" s="252">
        <f>Inputs!A23</f>
        <v>0</v>
      </c>
      <c r="M23" s="252"/>
      <c r="N23" s="252"/>
      <c r="O23" s="252"/>
      <c r="P23" s="252"/>
      <c r="Q23" s="252"/>
      <c r="R23" s="252"/>
      <c r="S23" s="252"/>
      <c r="T23" s="252"/>
      <c r="U23" s="252"/>
      <c r="V23" s="253"/>
      <c r="W23" s="252">
        <f>Inputs!A23</f>
        <v>0</v>
      </c>
      <c r="X23" s="252">
        <f t="shared" si="2"/>
        <v>0</v>
      </c>
      <c r="Y23" s="257">
        <f t="shared" si="3"/>
        <v>0</v>
      </c>
      <c r="Z23" s="257">
        <f t="shared" si="20"/>
        <v>0</v>
      </c>
      <c r="AA23" s="257">
        <f t="shared" si="21"/>
        <v>0</v>
      </c>
      <c r="AB23" s="257">
        <f t="shared" si="22"/>
        <v>0</v>
      </c>
      <c r="AC23" s="257">
        <f t="shared" si="23"/>
        <v>0</v>
      </c>
      <c r="AD23" s="257">
        <f t="shared" si="24"/>
        <v>0</v>
      </c>
      <c r="AE23" s="257">
        <f t="shared" si="25"/>
        <v>0</v>
      </c>
      <c r="AF23" s="257">
        <f t="shared" si="10"/>
        <v>0</v>
      </c>
      <c r="AG23" s="253"/>
      <c r="AH23" s="252">
        <f>Inputs!A23</f>
        <v>0</v>
      </c>
      <c r="AI23" s="252">
        <f t="shared" si="11"/>
        <v>0</v>
      </c>
      <c r="AJ23" s="252">
        <f t="shared" si="12"/>
        <v>0</v>
      </c>
      <c r="AK23" s="252">
        <f t="shared" si="13"/>
        <v>0</v>
      </c>
      <c r="AL23" s="252">
        <f t="shared" si="14"/>
        <v>0</v>
      </c>
      <c r="AM23" s="252">
        <f t="shared" si="15"/>
        <v>0</v>
      </c>
      <c r="AN23" s="252">
        <f t="shared" si="16"/>
        <v>0</v>
      </c>
      <c r="AO23" s="252">
        <f t="shared" si="17"/>
        <v>0</v>
      </c>
      <c r="AP23" s="252">
        <f t="shared" si="18"/>
        <v>0</v>
      </c>
      <c r="AQ23" s="252">
        <f t="shared" si="19"/>
        <v>0</v>
      </c>
      <c r="AR23" s="253"/>
      <c r="AS23" s="252">
        <f>Inputs!A23</f>
        <v>0</v>
      </c>
      <c r="AT23" s="252">
        <f>X23*Inputs!F23*Inputs!G23</f>
        <v>0</v>
      </c>
      <c r="AU23" s="252">
        <f>Y23*Inputs!F23*Inputs!G23</f>
        <v>0</v>
      </c>
      <c r="AV23" s="252">
        <f>Z23*Inputs!F23*Inputs!G23</f>
        <v>0</v>
      </c>
      <c r="AW23" s="252">
        <f>AA23*Inputs!F23*Inputs!G23</f>
        <v>0</v>
      </c>
      <c r="AX23" s="252">
        <f>AB23*Inputs!F23*Inputs!G23</f>
        <v>0</v>
      </c>
      <c r="AY23" s="252">
        <f>AC23*Inputs!F23*Inputs!G23</f>
        <v>0</v>
      </c>
      <c r="AZ23" s="252">
        <f>AD23*Inputs!F23*Inputs!G23</f>
        <v>0</v>
      </c>
      <c r="BA23" s="252">
        <f>AE23*Inputs!F23*Inputs!G23</f>
        <v>0</v>
      </c>
      <c r="BB23" s="252">
        <f>AF23*Inputs!F23*Inputs!H23</f>
        <v>0</v>
      </c>
      <c r="BC23" s="253"/>
      <c r="BD23" s="252">
        <f>Inputs!A23</f>
        <v>0</v>
      </c>
      <c r="BE23" s="252">
        <f>AI23*Inputs!F23*Inputs!I23</f>
        <v>0</v>
      </c>
      <c r="BF23" s="252">
        <f>AJ23*Inputs!F23*Inputs!I23</f>
        <v>0</v>
      </c>
      <c r="BG23" s="252">
        <f>AK23*Inputs!F23*Inputs!I23</f>
        <v>0</v>
      </c>
      <c r="BH23" s="252">
        <f>AL23*Inputs!F23*Inputs!I23</f>
        <v>0</v>
      </c>
      <c r="BI23" s="252">
        <f>AM23*Inputs!F23*Inputs!I23</f>
        <v>0</v>
      </c>
      <c r="BJ23" s="252">
        <f>AN23*Inputs!F23*Inputs!I23</f>
        <v>0</v>
      </c>
      <c r="BK23" s="252">
        <f>AO23*Inputs!F23*Inputs!I23</f>
        <v>0</v>
      </c>
      <c r="BL23" s="252">
        <f>AP23*Inputs!F23*Inputs!I23</f>
        <v>0</v>
      </c>
      <c r="BM23" s="252">
        <f>AQ23*Inputs!F23*Inputs!I23</f>
        <v>0</v>
      </c>
      <c r="BN23" s="253"/>
      <c r="BO23" s="253"/>
    </row>
    <row r="24" spans="1:67" x14ac:dyDescent="0.25">
      <c r="A24" s="252">
        <f>Inputs!A24</f>
        <v>0</v>
      </c>
      <c r="B24" s="252">
        <f>SUMIFS(Model!$E$5:$E$454,Model!$B$5:$B$454,A24,Model!$A$5:$A$454,3) + SUMIFS(Model!$K$5:$K$454,Model!$B$5:$B$454,A24,Model!$A$5:$A$454,3)</f>
        <v>0</v>
      </c>
      <c r="C24" s="252">
        <f>SUMIFS(Model!$E$5:$E$454,Model!$B$5:$B$454,A24,Model!$A$5:$A$454,4) + SUMIFS(Model!$K$5:$K$454,Model!$B$5:$B$454,A24,Model!$A$5:$A$454,4)</f>
        <v>0</v>
      </c>
      <c r="D24" s="252">
        <f>SUMIFS(Model!$E$5:$E$454,Model!$B$5:$B$454,A24,Model!$A$5:$A$454,5) + SUMIFS(Model!$K$5:$K$454,Model!$B$5:$B$454,A24,Model!$A$5:$A$454,5)</f>
        <v>0</v>
      </c>
      <c r="E24" s="252">
        <f>SUMIFS(Model!$E$5:$E$454,Model!$B$5:$B$454,A24,Model!$A$5:$A$454,6) + SUMIFS(Model!$K$5:$K$454,Model!$B$5:$B$454,A24,Model!$A$5:$A$454,6)</f>
        <v>0</v>
      </c>
      <c r="F24" s="252">
        <f>SUMIFS(Model!$E$5:$E$454,Model!$B$5:$B$454,A24,Model!$A$5:$A$454,7) + SUMIFS(Model!$K$5:$K$454,Model!$B$5:$B$454,A24,Model!$A$5:$A$454,7)</f>
        <v>0</v>
      </c>
      <c r="G24" s="252">
        <f>SUMIFS(Model!$E$5:$E$454,Model!$B$5:$B$454,A24,Model!$A$5:$A$454,8) + SUMIFS(Model!$K$5:$K$454,Model!$B$5:$B$454,A24,Model!$A$5:$A$454,8)</f>
        <v>0</v>
      </c>
      <c r="H24" s="252">
        <f>SUMIFS(Model!$E$5:$E$454,Model!$B$5:$B$454,A24,Model!$A$5:$A$454,9) + SUMIFS(Model!$K$5:$K$454,Model!$B$5:$B$454,A24,Model!$A$5:$A$454,9)</f>
        <v>0</v>
      </c>
      <c r="I24" s="252">
        <f>SUMIFS(Model!$E$5:$E$454,Model!$B$5:$B$454,A24,Model!$A$5:$A$454,10) + SUMIFS(Model!$K$5:$K$454,Model!$B$5:$B$454,A24,Model!$A$5:$A$454,10)</f>
        <v>0</v>
      </c>
      <c r="J24" s="252">
        <f>SUMIFS(Model!$E$5:$E$454,Model!$B$5:$B$454,A24,Model!$A$5:$A$454,11) + SUMIFS(Model!$K$5:$K$454,Model!$B$5:$B$454,A24,Model!$A$5:$A$454,11)</f>
        <v>0</v>
      </c>
      <c r="K24" s="253"/>
      <c r="L24" s="252">
        <f>Inputs!A24</f>
        <v>0</v>
      </c>
      <c r="M24" s="252"/>
      <c r="N24" s="252"/>
      <c r="O24" s="252"/>
      <c r="P24" s="252"/>
      <c r="Q24" s="252"/>
      <c r="R24" s="252"/>
      <c r="S24" s="252"/>
      <c r="T24" s="252"/>
      <c r="U24" s="252"/>
      <c r="V24" s="253"/>
      <c r="W24" s="252">
        <f>Inputs!A24</f>
        <v>0</v>
      </c>
      <c r="X24" s="252">
        <f t="shared" si="2"/>
        <v>0</v>
      </c>
      <c r="Y24" s="257">
        <f t="shared" si="3"/>
        <v>0</v>
      </c>
      <c r="Z24" s="257">
        <f t="shared" si="20"/>
        <v>0</v>
      </c>
      <c r="AA24" s="257">
        <f t="shared" si="21"/>
        <v>0</v>
      </c>
      <c r="AB24" s="257">
        <f t="shared" si="22"/>
        <v>0</v>
      </c>
      <c r="AC24" s="257">
        <f t="shared" si="23"/>
        <v>0</v>
      </c>
      <c r="AD24" s="257">
        <f t="shared" si="24"/>
        <v>0</v>
      </c>
      <c r="AE24" s="257">
        <f t="shared" si="25"/>
        <v>0</v>
      </c>
      <c r="AF24" s="257">
        <f t="shared" si="10"/>
        <v>0</v>
      </c>
      <c r="AG24" s="253"/>
      <c r="AH24" s="252">
        <f>Inputs!A24</f>
        <v>0</v>
      </c>
      <c r="AI24" s="252">
        <f t="shared" si="11"/>
        <v>0</v>
      </c>
      <c r="AJ24" s="252">
        <f t="shared" si="12"/>
        <v>0</v>
      </c>
      <c r="AK24" s="252">
        <f t="shared" si="13"/>
        <v>0</v>
      </c>
      <c r="AL24" s="252">
        <f t="shared" si="14"/>
        <v>0</v>
      </c>
      <c r="AM24" s="252">
        <f t="shared" si="15"/>
        <v>0</v>
      </c>
      <c r="AN24" s="252">
        <f t="shared" si="16"/>
        <v>0</v>
      </c>
      <c r="AO24" s="252">
        <f t="shared" si="17"/>
        <v>0</v>
      </c>
      <c r="AP24" s="252">
        <f t="shared" si="18"/>
        <v>0</v>
      </c>
      <c r="AQ24" s="252">
        <f t="shared" si="19"/>
        <v>0</v>
      </c>
      <c r="AR24" s="253"/>
      <c r="AS24" s="252">
        <f>Inputs!A24</f>
        <v>0</v>
      </c>
      <c r="AT24" s="252">
        <f>X24*Inputs!F24*Inputs!G24</f>
        <v>0</v>
      </c>
      <c r="AU24" s="252">
        <f>Y24*Inputs!F24*Inputs!G24</f>
        <v>0</v>
      </c>
      <c r="AV24" s="252">
        <f>Z24*Inputs!F24*Inputs!G24</f>
        <v>0</v>
      </c>
      <c r="AW24" s="252">
        <f>AA24*Inputs!F24*Inputs!G24</f>
        <v>0</v>
      </c>
      <c r="AX24" s="252">
        <f>AB24*Inputs!F24*Inputs!G24</f>
        <v>0</v>
      </c>
      <c r="AY24" s="252">
        <f>AC24*Inputs!F24*Inputs!G24</f>
        <v>0</v>
      </c>
      <c r="AZ24" s="252">
        <f>AD24*Inputs!F24*Inputs!G24</f>
        <v>0</v>
      </c>
      <c r="BA24" s="252">
        <f>AE24*Inputs!F24*Inputs!G24</f>
        <v>0</v>
      </c>
      <c r="BB24" s="252">
        <f>AF24*Inputs!F24*Inputs!H24</f>
        <v>0</v>
      </c>
      <c r="BC24" s="253"/>
      <c r="BD24" s="252">
        <f>Inputs!A24</f>
        <v>0</v>
      </c>
      <c r="BE24" s="252">
        <f>AI24*Inputs!F24*Inputs!I24</f>
        <v>0</v>
      </c>
      <c r="BF24" s="252">
        <f>AJ24*Inputs!F24*Inputs!I24</f>
        <v>0</v>
      </c>
      <c r="BG24" s="252">
        <f>AK24*Inputs!F24*Inputs!I24</f>
        <v>0</v>
      </c>
      <c r="BH24" s="252">
        <f>AL24*Inputs!F24*Inputs!I24</f>
        <v>0</v>
      </c>
      <c r="BI24" s="252">
        <f>AM24*Inputs!F24*Inputs!I24</f>
        <v>0</v>
      </c>
      <c r="BJ24" s="252">
        <f>AN24*Inputs!F24*Inputs!I24</f>
        <v>0</v>
      </c>
      <c r="BK24" s="252">
        <f>AO24*Inputs!F24*Inputs!I24</f>
        <v>0</v>
      </c>
      <c r="BL24" s="252">
        <f>AP24*Inputs!F24*Inputs!I24</f>
        <v>0</v>
      </c>
      <c r="BM24" s="252">
        <f>AQ24*Inputs!F24*Inputs!I24</f>
        <v>0</v>
      </c>
      <c r="BN24" s="253"/>
      <c r="BO24" s="253"/>
    </row>
    <row r="25" spans="1:67" x14ac:dyDescent="0.25">
      <c r="A25" s="252">
        <f>Inputs!A25</f>
        <v>0</v>
      </c>
      <c r="B25" s="252">
        <f>SUMIFS(Model!$E$5:$E$454,Model!$B$5:$B$454,A25,Model!$A$5:$A$454,3) + SUMIFS(Model!$K$5:$K$454,Model!$B$5:$B$454,A25,Model!$A$5:$A$454,3)</f>
        <v>0</v>
      </c>
      <c r="C25" s="252">
        <f>SUMIFS(Model!$E$5:$E$454,Model!$B$5:$B$454,A25,Model!$A$5:$A$454,4) + SUMIFS(Model!$K$5:$K$454,Model!$B$5:$B$454,A25,Model!$A$5:$A$454,4)</f>
        <v>0</v>
      </c>
      <c r="D25" s="252">
        <f>SUMIFS(Model!$E$5:$E$454,Model!$B$5:$B$454,A25,Model!$A$5:$A$454,5) + SUMIFS(Model!$K$5:$K$454,Model!$B$5:$B$454,A25,Model!$A$5:$A$454,5)</f>
        <v>0</v>
      </c>
      <c r="E25" s="252">
        <f>SUMIFS(Model!$E$5:$E$454,Model!$B$5:$B$454,A25,Model!$A$5:$A$454,6) + SUMIFS(Model!$K$5:$K$454,Model!$B$5:$B$454,A25,Model!$A$5:$A$454,6)</f>
        <v>0</v>
      </c>
      <c r="F25" s="252">
        <f>SUMIFS(Model!$E$5:$E$454,Model!$B$5:$B$454,A25,Model!$A$5:$A$454,7) + SUMIFS(Model!$K$5:$K$454,Model!$B$5:$B$454,A25,Model!$A$5:$A$454,7)</f>
        <v>0</v>
      </c>
      <c r="G25" s="252">
        <f>SUMIFS(Model!$E$5:$E$454,Model!$B$5:$B$454,A25,Model!$A$5:$A$454,8) + SUMIFS(Model!$K$5:$K$454,Model!$B$5:$B$454,A25,Model!$A$5:$A$454,8)</f>
        <v>0</v>
      </c>
      <c r="H25" s="252">
        <f>SUMIFS(Model!$E$5:$E$454,Model!$B$5:$B$454,A25,Model!$A$5:$A$454,9) + SUMIFS(Model!$K$5:$K$454,Model!$B$5:$B$454,A25,Model!$A$5:$A$454,9)</f>
        <v>0</v>
      </c>
      <c r="I25" s="252">
        <f>SUMIFS(Model!$E$5:$E$454,Model!$B$5:$B$454,A25,Model!$A$5:$A$454,10) + SUMIFS(Model!$K$5:$K$454,Model!$B$5:$B$454,A25,Model!$A$5:$A$454,10)</f>
        <v>0</v>
      </c>
      <c r="J25" s="252">
        <f>SUMIFS(Model!$E$5:$E$454,Model!$B$5:$B$454,A25,Model!$A$5:$A$454,11) + SUMIFS(Model!$K$5:$K$454,Model!$B$5:$B$454,A25,Model!$A$5:$A$454,11)</f>
        <v>0</v>
      </c>
      <c r="K25" s="253"/>
      <c r="L25" s="252">
        <f>Inputs!A25</f>
        <v>0</v>
      </c>
      <c r="M25" s="252"/>
      <c r="N25" s="252"/>
      <c r="O25" s="252"/>
      <c r="P25" s="252"/>
      <c r="Q25" s="252"/>
      <c r="R25" s="252"/>
      <c r="S25" s="252"/>
      <c r="T25" s="252"/>
      <c r="U25" s="252"/>
      <c r="V25" s="253"/>
      <c r="W25" s="252">
        <f>Inputs!A25</f>
        <v>0</v>
      </c>
      <c r="X25" s="252">
        <f t="shared" si="2"/>
        <v>0</v>
      </c>
      <c r="Y25" s="257">
        <f t="shared" si="3"/>
        <v>0</v>
      </c>
      <c r="Z25" s="257">
        <f t="shared" si="20"/>
        <v>0</v>
      </c>
      <c r="AA25" s="257">
        <f t="shared" si="21"/>
        <v>0</v>
      </c>
      <c r="AB25" s="257">
        <f t="shared" si="22"/>
        <v>0</v>
      </c>
      <c r="AC25" s="257">
        <f t="shared" si="23"/>
        <v>0</v>
      </c>
      <c r="AD25" s="257">
        <f t="shared" si="24"/>
        <v>0</v>
      </c>
      <c r="AE25" s="257">
        <f t="shared" si="25"/>
        <v>0</v>
      </c>
      <c r="AF25" s="257">
        <f t="shared" si="10"/>
        <v>0</v>
      </c>
      <c r="AG25" s="253"/>
      <c r="AH25" s="252">
        <f>Inputs!A25</f>
        <v>0</v>
      </c>
      <c r="AI25" s="252">
        <f t="shared" si="11"/>
        <v>0</v>
      </c>
      <c r="AJ25" s="252">
        <f t="shared" si="12"/>
        <v>0</v>
      </c>
      <c r="AK25" s="252">
        <f t="shared" si="13"/>
        <v>0</v>
      </c>
      <c r="AL25" s="252">
        <f t="shared" si="14"/>
        <v>0</v>
      </c>
      <c r="AM25" s="252">
        <f t="shared" si="15"/>
        <v>0</v>
      </c>
      <c r="AN25" s="252">
        <f t="shared" si="16"/>
        <v>0</v>
      </c>
      <c r="AO25" s="252">
        <f t="shared" si="17"/>
        <v>0</v>
      </c>
      <c r="AP25" s="252">
        <f t="shared" si="18"/>
        <v>0</v>
      </c>
      <c r="AQ25" s="252">
        <f t="shared" si="19"/>
        <v>0</v>
      </c>
      <c r="AR25" s="253"/>
      <c r="AS25" s="252">
        <f>Inputs!A25</f>
        <v>0</v>
      </c>
      <c r="AT25" s="252">
        <f>X25*Inputs!F25*Inputs!G25</f>
        <v>0</v>
      </c>
      <c r="AU25" s="252">
        <f>Y25*Inputs!F25*Inputs!G25</f>
        <v>0</v>
      </c>
      <c r="AV25" s="252">
        <f>Z25*Inputs!F25*Inputs!G25</f>
        <v>0</v>
      </c>
      <c r="AW25" s="252">
        <f>AA25*Inputs!F25*Inputs!G25</f>
        <v>0</v>
      </c>
      <c r="AX25" s="252">
        <f>AB25*Inputs!F25*Inputs!G25</f>
        <v>0</v>
      </c>
      <c r="AY25" s="252">
        <f>AC25*Inputs!F25*Inputs!G25</f>
        <v>0</v>
      </c>
      <c r="AZ25" s="252">
        <f>AD25*Inputs!F25*Inputs!G25</f>
        <v>0</v>
      </c>
      <c r="BA25" s="252">
        <f>AE25*Inputs!F25*Inputs!G25</f>
        <v>0</v>
      </c>
      <c r="BB25" s="252">
        <f>AF25*Inputs!F25*Inputs!H25</f>
        <v>0</v>
      </c>
      <c r="BC25" s="253"/>
      <c r="BD25" s="252">
        <f>Inputs!A25</f>
        <v>0</v>
      </c>
      <c r="BE25" s="252">
        <f>AI25*Inputs!F25*Inputs!I25</f>
        <v>0</v>
      </c>
      <c r="BF25" s="252">
        <f>AJ25*Inputs!F25*Inputs!I25</f>
        <v>0</v>
      </c>
      <c r="BG25" s="252">
        <f>AK25*Inputs!F25*Inputs!I25</f>
        <v>0</v>
      </c>
      <c r="BH25" s="252">
        <f>AL25*Inputs!F25*Inputs!I25</f>
        <v>0</v>
      </c>
      <c r="BI25" s="252">
        <f>AM25*Inputs!F25*Inputs!I25</f>
        <v>0</v>
      </c>
      <c r="BJ25" s="252">
        <f>AN25*Inputs!F25*Inputs!I25</f>
        <v>0</v>
      </c>
      <c r="BK25" s="252">
        <f>AO25*Inputs!F25*Inputs!I25</f>
        <v>0</v>
      </c>
      <c r="BL25" s="252">
        <f>AP25*Inputs!F25*Inputs!I25</f>
        <v>0</v>
      </c>
      <c r="BM25" s="252">
        <f>AQ25*Inputs!F25*Inputs!I25</f>
        <v>0</v>
      </c>
      <c r="BN25" s="253"/>
      <c r="BO25" s="253"/>
    </row>
    <row r="26" spans="1:67" x14ac:dyDescent="0.25">
      <c r="A26" s="252">
        <f>Inputs!A26</f>
        <v>0</v>
      </c>
      <c r="B26" s="252">
        <f>SUMIFS(Model!$E$5:$E$454,Model!$B$5:$B$454,A26,Model!$A$5:$A$454,3) + SUMIFS(Model!$K$5:$K$454,Model!$B$5:$B$454,A26,Model!$A$5:$A$454,3)</f>
        <v>0</v>
      </c>
      <c r="C26" s="252">
        <f>SUMIFS(Model!$E$5:$E$454,Model!$B$5:$B$454,A26,Model!$A$5:$A$454,4) + SUMIFS(Model!$K$5:$K$454,Model!$B$5:$B$454,A26,Model!$A$5:$A$454,4)</f>
        <v>0</v>
      </c>
      <c r="D26" s="252">
        <f>SUMIFS(Model!$E$5:$E$454,Model!$B$5:$B$454,A26,Model!$A$5:$A$454,5) + SUMIFS(Model!$K$5:$K$454,Model!$B$5:$B$454,A26,Model!$A$5:$A$454,5)</f>
        <v>0</v>
      </c>
      <c r="E26" s="252">
        <f>SUMIFS(Model!$E$5:$E$454,Model!$B$5:$B$454,A26,Model!$A$5:$A$454,6) + SUMIFS(Model!$K$5:$K$454,Model!$B$5:$B$454,A26,Model!$A$5:$A$454,6)</f>
        <v>0</v>
      </c>
      <c r="F26" s="252">
        <f>SUMIFS(Model!$E$5:$E$454,Model!$B$5:$B$454,A26,Model!$A$5:$A$454,7) + SUMIFS(Model!$K$5:$K$454,Model!$B$5:$B$454,A26,Model!$A$5:$A$454,7)</f>
        <v>0</v>
      </c>
      <c r="G26" s="252">
        <f>SUMIFS(Model!$E$5:$E$454,Model!$B$5:$B$454,A26,Model!$A$5:$A$454,8) + SUMIFS(Model!$K$5:$K$454,Model!$B$5:$B$454,A26,Model!$A$5:$A$454,8)</f>
        <v>0</v>
      </c>
      <c r="H26" s="252">
        <f>SUMIFS(Model!$E$5:$E$454,Model!$B$5:$B$454,A26,Model!$A$5:$A$454,9) + SUMIFS(Model!$K$5:$K$454,Model!$B$5:$B$454,A26,Model!$A$5:$A$454,9)</f>
        <v>0</v>
      </c>
      <c r="I26" s="252">
        <f>SUMIFS(Model!$E$5:$E$454,Model!$B$5:$B$454,A26,Model!$A$5:$A$454,10) + SUMIFS(Model!$K$5:$K$454,Model!$B$5:$B$454,A26,Model!$A$5:$A$454,10)</f>
        <v>0</v>
      </c>
      <c r="J26" s="252">
        <f>SUMIFS(Model!$E$5:$E$454,Model!$B$5:$B$454,A26,Model!$A$5:$A$454,11) + SUMIFS(Model!$K$5:$K$454,Model!$B$5:$B$454,A26,Model!$A$5:$A$454,11)</f>
        <v>0</v>
      </c>
      <c r="K26" s="253"/>
      <c r="L26" s="252">
        <f>Inputs!A26</f>
        <v>0</v>
      </c>
      <c r="M26" s="252"/>
      <c r="N26" s="252"/>
      <c r="O26" s="252"/>
      <c r="P26" s="252"/>
      <c r="Q26" s="252"/>
      <c r="R26" s="252"/>
      <c r="S26" s="252"/>
      <c r="T26" s="252"/>
      <c r="U26" s="252"/>
      <c r="V26" s="253"/>
      <c r="W26" s="252">
        <f>Inputs!A26</f>
        <v>0</v>
      </c>
      <c r="X26" s="252">
        <f t="shared" si="2"/>
        <v>0</v>
      </c>
      <c r="Y26" s="257">
        <f t="shared" si="3"/>
        <v>0</v>
      </c>
      <c r="Z26" s="257">
        <f t="shared" si="20"/>
        <v>0</v>
      </c>
      <c r="AA26" s="257">
        <f t="shared" si="21"/>
        <v>0</v>
      </c>
      <c r="AB26" s="257">
        <f t="shared" si="22"/>
        <v>0</v>
      </c>
      <c r="AC26" s="257">
        <f t="shared" si="23"/>
        <v>0</v>
      </c>
      <c r="AD26" s="257">
        <f t="shared" si="24"/>
        <v>0</v>
      </c>
      <c r="AE26" s="257">
        <f t="shared" si="25"/>
        <v>0</v>
      </c>
      <c r="AF26" s="257">
        <f t="shared" si="10"/>
        <v>0</v>
      </c>
      <c r="AG26" s="253"/>
      <c r="AH26" s="252">
        <f>Inputs!A26</f>
        <v>0</v>
      </c>
      <c r="AI26" s="252">
        <f t="shared" si="11"/>
        <v>0</v>
      </c>
      <c r="AJ26" s="252">
        <f t="shared" si="12"/>
        <v>0</v>
      </c>
      <c r="AK26" s="252">
        <f t="shared" si="13"/>
        <v>0</v>
      </c>
      <c r="AL26" s="252">
        <f t="shared" si="14"/>
        <v>0</v>
      </c>
      <c r="AM26" s="252">
        <f t="shared" si="15"/>
        <v>0</v>
      </c>
      <c r="AN26" s="252">
        <f t="shared" si="16"/>
        <v>0</v>
      </c>
      <c r="AO26" s="252">
        <f t="shared" si="17"/>
        <v>0</v>
      </c>
      <c r="AP26" s="252">
        <f t="shared" si="18"/>
        <v>0</v>
      </c>
      <c r="AQ26" s="252">
        <f t="shared" si="19"/>
        <v>0</v>
      </c>
      <c r="AR26" s="253"/>
      <c r="AS26" s="252">
        <f>Inputs!A26</f>
        <v>0</v>
      </c>
      <c r="AT26" s="252">
        <f>X26*Inputs!F26*Inputs!G26</f>
        <v>0</v>
      </c>
      <c r="AU26" s="252">
        <f>Y26*Inputs!F26*Inputs!G26</f>
        <v>0</v>
      </c>
      <c r="AV26" s="252">
        <f>Z26*Inputs!F26*Inputs!G26</f>
        <v>0</v>
      </c>
      <c r="AW26" s="252">
        <f>AA26*Inputs!F26*Inputs!G26</f>
        <v>0</v>
      </c>
      <c r="AX26" s="252">
        <f>AB26*Inputs!F26*Inputs!G26</f>
        <v>0</v>
      </c>
      <c r="AY26" s="252">
        <f>AC26*Inputs!F26*Inputs!G26</f>
        <v>0</v>
      </c>
      <c r="AZ26" s="252">
        <f>AD26*Inputs!F26*Inputs!G26</f>
        <v>0</v>
      </c>
      <c r="BA26" s="252">
        <f>AE26*Inputs!F26*Inputs!G26</f>
        <v>0</v>
      </c>
      <c r="BB26" s="252">
        <f>AF26*Inputs!F26*Inputs!H26</f>
        <v>0</v>
      </c>
      <c r="BC26" s="253"/>
      <c r="BD26" s="252">
        <f>Inputs!A26</f>
        <v>0</v>
      </c>
      <c r="BE26" s="252">
        <f>AI26*Inputs!F26*Inputs!I26</f>
        <v>0</v>
      </c>
      <c r="BF26" s="252">
        <f>AJ26*Inputs!F26*Inputs!I26</f>
        <v>0</v>
      </c>
      <c r="BG26" s="252">
        <f>AK26*Inputs!F26*Inputs!I26</f>
        <v>0</v>
      </c>
      <c r="BH26" s="252">
        <f>AL26*Inputs!F26*Inputs!I26</f>
        <v>0</v>
      </c>
      <c r="BI26" s="252">
        <f>AM26*Inputs!F26*Inputs!I26</f>
        <v>0</v>
      </c>
      <c r="BJ26" s="252">
        <f>AN26*Inputs!F26*Inputs!I26</f>
        <v>0</v>
      </c>
      <c r="BK26" s="252">
        <f>AO26*Inputs!F26*Inputs!I26</f>
        <v>0</v>
      </c>
      <c r="BL26" s="252">
        <f>AP26*Inputs!F26*Inputs!I26</f>
        <v>0</v>
      </c>
      <c r="BM26" s="252">
        <f>AQ26*Inputs!F26*Inputs!I26</f>
        <v>0</v>
      </c>
      <c r="BN26" s="253"/>
      <c r="BO26" s="253"/>
    </row>
    <row r="27" spans="1:67" x14ac:dyDescent="0.25">
      <c r="A27" s="252">
        <f>Inputs!A27</f>
        <v>0</v>
      </c>
      <c r="B27" s="252">
        <f>SUMIFS(Model!$E$5:$E$454,Model!$B$5:$B$454,A27,Model!$A$5:$A$454,3) + SUMIFS(Model!$K$5:$K$454,Model!$B$5:$B$454,A27,Model!$A$5:$A$454,3)</f>
        <v>0</v>
      </c>
      <c r="C27" s="252">
        <f>SUMIFS(Model!$E$5:$E$454,Model!$B$5:$B$454,A27,Model!$A$5:$A$454,4) + SUMIFS(Model!$K$5:$K$454,Model!$B$5:$B$454,A27,Model!$A$5:$A$454,4)</f>
        <v>0</v>
      </c>
      <c r="D27" s="252">
        <f>SUMIFS(Model!$E$5:$E$454,Model!$B$5:$B$454,A27,Model!$A$5:$A$454,5) + SUMIFS(Model!$K$5:$K$454,Model!$B$5:$B$454,A27,Model!$A$5:$A$454,5)</f>
        <v>0</v>
      </c>
      <c r="E27" s="252">
        <f>SUMIFS(Model!$E$5:$E$454,Model!$B$5:$B$454,A27,Model!$A$5:$A$454,6) + SUMIFS(Model!$K$5:$K$454,Model!$B$5:$B$454,A27,Model!$A$5:$A$454,6)</f>
        <v>0</v>
      </c>
      <c r="F27" s="252">
        <f>SUMIFS(Model!$E$5:$E$454,Model!$B$5:$B$454,A27,Model!$A$5:$A$454,7) + SUMIFS(Model!$K$5:$K$454,Model!$B$5:$B$454,A27,Model!$A$5:$A$454,7)</f>
        <v>0</v>
      </c>
      <c r="G27" s="252">
        <f>SUMIFS(Model!$E$5:$E$454,Model!$B$5:$B$454,A27,Model!$A$5:$A$454,8) + SUMIFS(Model!$K$5:$K$454,Model!$B$5:$B$454,A27,Model!$A$5:$A$454,8)</f>
        <v>0</v>
      </c>
      <c r="H27" s="252">
        <f>SUMIFS(Model!$E$5:$E$454,Model!$B$5:$B$454,A27,Model!$A$5:$A$454,9) + SUMIFS(Model!$K$5:$K$454,Model!$B$5:$B$454,A27,Model!$A$5:$A$454,9)</f>
        <v>0</v>
      </c>
      <c r="I27" s="252">
        <f>SUMIFS(Model!$E$5:$E$454,Model!$B$5:$B$454,A27,Model!$A$5:$A$454,10) + SUMIFS(Model!$K$5:$K$454,Model!$B$5:$B$454,A27,Model!$A$5:$A$454,10)</f>
        <v>0</v>
      </c>
      <c r="J27" s="252">
        <f>SUMIFS(Model!$E$5:$E$454,Model!$B$5:$B$454,A27,Model!$A$5:$A$454,11) + SUMIFS(Model!$K$5:$K$454,Model!$B$5:$B$454,A27,Model!$A$5:$A$454,11)</f>
        <v>0</v>
      </c>
      <c r="K27" s="253"/>
      <c r="L27" s="252">
        <f>Inputs!A27</f>
        <v>0</v>
      </c>
      <c r="M27" s="252"/>
      <c r="N27" s="252"/>
      <c r="O27" s="252"/>
      <c r="P27" s="252"/>
      <c r="Q27" s="252"/>
      <c r="R27" s="252"/>
      <c r="S27" s="252"/>
      <c r="T27" s="252"/>
      <c r="U27" s="252"/>
      <c r="V27" s="253"/>
      <c r="W27" s="252">
        <f>Inputs!A27</f>
        <v>0</v>
      </c>
      <c r="X27" s="252">
        <f t="shared" si="2"/>
        <v>0</v>
      </c>
      <c r="Y27" s="257">
        <f t="shared" si="3"/>
        <v>0</v>
      </c>
      <c r="Z27" s="257">
        <f t="shared" si="20"/>
        <v>0</v>
      </c>
      <c r="AA27" s="257">
        <f t="shared" si="21"/>
        <v>0</v>
      </c>
      <c r="AB27" s="257">
        <f t="shared" si="22"/>
        <v>0</v>
      </c>
      <c r="AC27" s="257">
        <f t="shared" si="23"/>
        <v>0</v>
      </c>
      <c r="AD27" s="257">
        <f t="shared" si="24"/>
        <v>0</v>
      </c>
      <c r="AE27" s="257">
        <f t="shared" si="25"/>
        <v>0</v>
      </c>
      <c r="AF27" s="257">
        <f t="shared" si="10"/>
        <v>0</v>
      </c>
      <c r="AG27" s="253"/>
      <c r="AH27" s="252">
        <f>Inputs!A27</f>
        <v>0</v>
      </c>
      <c r="AI27" s="252">
        <f t="shared" si="11"/>
        <v>0</v>
      </c>
      <c r="AJ27" s="252">
        <f t="shared" si="12"/>
        <v>0</v>
      </c>
      <c r="AK27" s="252">
        <f t="shared" si="13"/>
        <v>0</v>
      </c>
      <c r="AL27" s="252">
        <f t="shared" si="14"/>
        <v>0</v>
      </c>
      <c r="AM27" s="252">
        <f t="shared" si="15"/>
        <v>0</v>
      </c>
      <c r="AN27" s="252">
        <f t="shared" si="16"/>
        <v>0</v>
      </c>
      <c r="AO27" s="252">
        <f t="shared" si="17"/>
        <v>0</v>
      </c>
      <c r="AP27" s="252">
        <f t="shared" si="18"/>
        <v>0</v>
      </c>
      <c r="AQ27" s="252">
        <f t="shared" si="19"/>
        <v>0</v>
      </c>
      <c r="AR27" s="253"/>
      <c r="AS27" s="252">
        <f>Inputs!A27</f>
        <v>0</v>
      </c>
      <c r="AT27" s="252">
        <f>X27*Inputs!F27*Inputs!G27</f>
        <v>0</v>
      </c>
      <c r="AU27" s="252">
        <f>Y27*Inputs!F27*Inputs!G27</f>
        <v>0</v>
      </c>
      <c r="AV27" s="252">
        <f>Z27*Inputs!F27*Inputs!G27</f>
        <v>0</v>
      </c>
      <c r="AW27" s="252">
        <f>AA27*Inputs!F27*Inputs!G27</f>
        <v>0</v>
      </c>
      <c r="AX27" s="252">
        <f>AB27*Inputs!F27*Inputs!G27</f>
        <v>0</v>
      </c>
      <c r="AY27" s="252">
        <f>AC27*Inputs!F27*Inputs!G27</f>
        <v>0</v>
      </c>
      <c r="AZ27" s="252">
        <f>AD27*Inputs!F27*Inputs!G27</f>
        <v>0</v>
      </c>
      <c r="BA27" s="252">
        <f>AE27*Inputs!F27*Inputs!G27</f>
        <v>0</v>
      </c>
      <c r="BB27" s="252">
        <f>AF27*Inputs!F27*Inputs!H27</f>
        <v>0</v>
      </c>
      <c r="BC27" s="253"/>
      <c r="BD27" s="252">
        <f>Inputs!A27</f>
        <v>0</v>
      </c>
      <c r="BE27" s="252">
        <f>AI27*Inputs!F27*Inputs!I27</f>
        <v>0</v>
      </c>
      <c r="BF27" s="252">
        <f>AJ27*Inputs!F27*Inputs!I27</f>
        <v>0</v>
      </c>
      <c r="BG27" s="252">
        <f>AK27*Inputs!F27*Inputs!I27</f>
        <v>0</v>
      </c>
      <c r="BH27" s="252">
        <f>AL27*Inputs!F27*Inputs!I27</f>
        <v>0</v>
      </c>
      <c r="BI27" s="252">
        <f>AM27*Inputs!F27*Inputs!I27</f>
        <v>0</v>
      </c>
      <c r="BJ27" s="252">
        <f>AN27*Inputs!F27*Inputs!I27</f>
        <v>0</v>
      </c>
      <c r="BK27" s="252">
        <f>AO27*Inputs!F27*Inputs!I27</f>
        <v>0</v>
      </c>
      <c r="BL27" s="252">
        <f>AP27*Inputs!F27*Inputs!I27</f>
        <v>0</v>
      </c>
      <c r="BM27" s="252">
        <f>AQ27*Inputs!F27*Inputs!I27</f>
        <v>0</v>
      </c>
      <c r="BN27" s="253"/>
      <c r="BO27" s="253"/>
    </row>
    <row r="28" spans="1:67" x14ac:dyDescent="0.25">
      <c r="A28" s="252">
        <f>Inputs!A28</f>
        <v>0</v>
      </c>
      <c r="B28" s="252">
        <f>SUMIFS(Model!$E$5:$E$454,Model!$B$5:$B$454,A28,Model!$A$5:$A$454,3) + SUMIFS(Model!$K$5:$K$454,Model!$B$5:$B$454,A28,Model!$A$5:$A$454,3)</f>
        <v>0</v>
      </c>
      <c r="C28" s="252">
        <f>SUMIFS(Model!$E$5:$E$454,Model!$B$5:$B$454,A28,Model!$A$5:$A$454,4) + SUMIFS(Model!$K$5:$K$454,Model!$B$5:$B$454,A28,Model!$A$5:$A$454,4)</f>
        <v>0</v>
      </c>
      <c r="D28" s="252">
        <f>SUMIFS(Model!$E$5:$E$454,Model!$B$5:$B$454,A28,Model!$A$5:$A$454,5) + SUMIFS(Model!$K$5:$K$454,Model!$B$5:$B$454,A28,Model!$A$5:$A$454,5)</f>
        <v>0</v>
      </c>
      <c r="E28" s="252">
        <f>SUMIFS(Model!$E$5:$E$454,Model!$B$5:$B$454,A28,Model!$A$5:$A$454,6) + SUMIFS(Model!$K$5:$K$454,Model!$B$5:$B$454,A28,Model!$A$5:$A$454,6)</f>
        <v>0</v>
      </c>
      <c r="F28" s="252">
        <f>SUMIFS(Model!$E$5:$E$454,Model!$B$5:$B$454,A28,Model!$A$5:$A$454,7) + SUMIFS(Model!$K$5:$K$454,Model!$B$5:$B$454,A28,Model!$A$5:$A$454,7)</f>
        <v>0</v>
      </c>
      <c r="G28" s="252">
        <f>SUMIFS(Model!$E$5:$E$454,Model!$B$5:$B$454,A28,Model!$A$5:$A$454,8) + SUMIFS(Model!$K$5:$K$454,Model!$B$5:$B$454,A28,Model!$A$5:$A$454,8)</f>
        <v>0</v>
      </c>
      <c r="H28" s="252">
        <f>SUMIFS(Model!$E$5:$E$454,Model!$B$5:$B$454,A28,Model!$A$5:$A$454,9) + SUMIFS(Model!$K$5:$K$454,Model!$B$5:$B$454,A28,Model!$A$5:$A$454,9)</f>
        <v>0</v>
      </c>
      <c r="I28" s="252">
        <f>SUMIFS(Model!$E$5:$E$454,Model!$B$5:$B$454,A28,Model!$A$5:$A$454,10) + SUMIFS(Model!$K$5:$K$454,Model!$B$5:$B$454,A28,Model!$A$5:$A$454,10)</f>
        <v>0</v>
      </c>
      <c r="J28" s="252">
        <f>SUMIFS(Model!$E$5:$E$454,Model!$B$5:$B$454,A28,Model!$A$5:$A$454,11) + SUMIFS(Model!$K$5:$K$454,Model!$B$5:$B$454,A28,Model!$A$5:$A$454,11)</f>
        <v>0</v>
      </c>
      <c r="K28" s="253"/>
      <c r="L28" s="252">
        <f>Inputs!A28</f>
        <v>0</v>
      </c>
      <c r="M28" s="252"/>
      <c r="N28" s="252"/>
      <c r="O28" s="252"/>
      <c r="P28" s="252"/>
      <c r="Q28" s="252"/>
      <c r="R28" s="252"/>
      <c r="S28" s="252"/>
      <c r="T28" s="252"/>
      <c r="U28" s="252"/>
      <c r="V28" s="253"/>
      <c r="W28" s="252">
        <f>Inputs!A28</f>
        <v>0</v>
      </c>
      <c r="X28" s="252">
        <f t="shared" si="2"/>
        <v>0</v>
      </c>
      <c r="Y28" s="257">
        <f t="shared" si="3"/>
        <v>0</v>
      </c>
      <c r="Z28" s="257">
        <f t="shared" si="20"/>
        <v>0</v>
      </c>
      <c r="AA28" s="257">
        <f t="shared" si="21"/>
        <v>0</v>
      </c>
      <c r="AB28" s="257">
        <f t="shared" si="22"/>
        <v>0</v>
      </c>
      <c r="AC28" s="257">
        <f t="shared" si="23"/>
        <v>0</v>
      </c>
      <c r="AD28" s="257">
        <f t="shared" si="24"/>
        <v>0</v>
      </c>
      <c r="AE28" s="257">
        <f t="shared" si="25"/>
        <v>0</v>
      </c>
      <c r="AF28" s="257">
        <f t="shared" si="10"/>
        <v>0</v>
      </c>
      <c r="AG28" s="253"/>
      <c r="AH28" s="252">
        <f>Inputs!A28</f>
        <v>0</v>
      </c>
      <c r="AI28" s="252">
        <f t="shared" si="11"/>
        <v>0</v>
      </c>
      <c r="AJ28" s="252">
        <f t="shared" si="12"/>
        <v>0</v>
      </c>
      <c r="AK28" s="252">
        <f t="shared" si="13"/>
        <v>0</v>
      </c>
      <c r="AL28" s="252">
        <f t="shared" si="14"/>
        <v>0</v>
      </c>
      <c r="AM28" s="252">
        <f t="shared" si="15"/>
        <v>0</v>
      </c>
      <c r="AN28" s="252">
        <f t="shared" si="16"/>
        <v>0</v>
      </c>
      <c r="AO28" s="252">
        <f t="shared" si="17"/>
        <v>0</v>
      </c>
      <c r="AP28" s="252">
        <f t="shared" si="18"/>
        <v>0</v>
      </c>
      <c r="AQ28" s="252">
        <f t="shared" si="19"/>
        <v>0</v>
      </c>
      <c r="AR28" s="253"/>
      <c r="AS28" s="252">
        <f>Inputs!A28</f>
        <v>0</v>
      </c>
      <c r="AT28" s="252">
        <f>X28*Inputs!F28*Inputs!G28</f>
        <v>0</v>
      </c>
      <c r="AU28" s="252">
        <f>Y28*Inputs!F28*Inputs!G28</f>
        <v>0</v>
      </c>
      <c r="AV28" s="252">
        <f>Z28*Inputs!F28*Inputs!G28</f>
        <v>0</v>
      </c>
      <c r="AW28" s="252">
        <f>AA28*Inputs!F28*Inputs!G28</f>
        <v>0</v>
      </c>
      <c r="AX28" s="252">
        <f>AB28*Inputs!F28*Inputs!G28</f>
        <v>0</v>
      </c>
      <c r="AY28" s="252">
        <f>AC28*Inputs!F28*Inputs!G28</f>
        <v>0</v>
      </c>
      <c r="AZ28" s="252">
        <f>AD28*Inputs!F28*Inputs!G28</f>
        <v>0</v>
      </c>
      <c r="BA28" s="252">
        <f>AE28*Inputs!F28*Inputs!G28</f>
        <v>0</v>
      </c>
      <c r="BB28" s="252">
        <f>AF28*Inputs!F28*Inputs!H28</f>
        <v>0</v>
      </c>
      <c r="BC28" s="253"/>
      <c r="BD28" s="252">
        <f>Inputs!A28</f>
        <v>0</v>
      </c>
      <c r="BE28" s="252">
        <f>AI28*Inputs!F28*Inputs!I28</f>
        <v>0</v>
      </c>
      <c r="BF28" s="252">
        <f>AJ28*Inputs!F28*Inputs!I28</f>
        <v>0</v>
      </c>
      <c r="BG28" s="252">
        <f>AK28*Inputs!F28*Inputs!I28</f>
        <v>0</v>
      </c>
      <c r="BH28" s="252">
        <f>AL28*Inputs!F28*Inputs!I28</f>
        <v>0</v>
      </c>
      <c r="BI28" s="252">
        <f>AM28*Inputs!F28*Inputs!I28</f>
        <v>0</v>
      </c>
      <c r="BJ28" s="252">
        <f>AN28*Inputs!F28*Inputs!I28</f>
        <v>0</v>
      </c>
      <c r="BK28" s="252">
        <f>AO28*Inputs!F28*Inputs!I28</f>
        <v>0</v>
      </c>
      <c r="BL28" s="252">
        <f>AP28*Inputs!F28*Inputs!I28</f>
        <v>0</v>
      </c>
      <c r="BM28" s="252">
        <f>AQ28*Inputs!F28*Inputs!I28</f>
        <v>0</v>
      </c>
      <c r="BN28" s="253"/>
      <c r="BO28" s="253"/>
    </row>
    <row r="29" spans="1:67" x14ac:dyDescent="0.25">
      <c r="A29" s="252">
        <f>Inputs!A29</f>
        <v>0</v>
      </c>
      <c r="B29" s="252">
        <f>SUMIFS(Model!$E$5:$E$454,Model!$B$5:$B$454,A29,Model!$A$5:$A$454,3) + SUMIFS(Model!$K$5:$K$454,Model!$B$5:$B$454,A29,Model!$A$5:$A$454,3)</f>
        <v>0</v>
      </c>
      <c r="C29" s="252">
        <f>SUMIFS(Model!$E$5:$E$454,Model!$B$5:$B$454,A29,Model!$A$5:$A$454,4) + SUMIFS(Model!$K$5:$K$454,Model!$B$5:$B$454,A29,Model!$A$5:$A$454,4)</f>
        <v>0</v>
      </c>
      <c r="D29" s="252">
        <f>SUMIFS(Model!$E$5:$E$454,Model!$B$5:$B$454,A29,Model!$A$5:$A$454,5) + SUMIFS(Model!$K$5:$K$454,Model!$B$5:$B$454,A29,Model!$A$5:$A$454,5)</f>
        <v>0</v>
      </c>
      <c r="E29" s="252">
        <f>SUMIFS(Model!$E$5:$E$454,Model!$B$5:$B$454,A29,Model!$A$5:$A$454,6) + SUMIFS(Model!$K$5:$K$454,Model!$B$5:$B$454,A29,Model!$A$5:$A$454,6)</f>
        <v>0</v>
      </c>
      <c r="F29" s="252">
        <f>SUMIFS(Model!$E$5:$E$454,Model!$B$5:$B$454,A29,Model!$A$5:$A$454,7) + SUMIFS(Model!$K$5:$K$454,Model!$B$5:$B$454,A29,Model!$A$5:$A$454,7)</f>
        <v>0</v>
      </c>
      <c r="G29" s="252">
        <f>SUMIFS(Model!$E$5:$E$454,Model!$B$5:$B$454,A29,Model!$A$5:$A$454,8) + SUMIFS(Model!$K$5:$K$454,Model!$B$5:$B$454,A29,Model!$A$5:$A$454,8)</f>
        <v>0</v>
      </c>
      <c r="H29" s="252">
        <f>SUMIFS(Model!$E$5:$E$454,Model!$B$5:$B$454,A29,Model!$A$5:$A$454,9) + SUMIFS(Model!$K$5:$K$454,Model!$B$5:$B$454,A29,Model!$A$5:$A$454,9)</f>
        <v>0</v>
      </c>
      <c r="I29" s="252">
        <f>SUMIFS(Model!$E$5:$E$454,Model!$B$5:$B$454,A29,Model!$A$5:$A$454,10) + SUMIFS(Model!$K$5:$K$454,Model!$B$5:$B$454,A29,Model!$A$5:$A$454,10)</f>
        <v>0</v>
      </c>
      <c r="J29" s="252">
        <f>SUMIFS(Model!$E$5:$E$454,Model!$B$5:$B$454,A29,Model!$A$5:$A$454,11) + SUMIFS(Model!$K$5:$K$454,Model!$B$5:$B$454,A29,Model!$A$5:$A$454,11)</f>
        <v>0</v>
      </c>
      <c r="K29" s="253"/>
      <c r="L29" s="252">
        <f>Inputs!A29</f>
        <v>0</v>
      </c>
      <c r="M29" s="252"/>
      <c r="N29" s="252"/>
      <c r="O29" s="252"/>
      <c r="P29" s="252"/>
      <c r="Q29" s="252"/>
      <c r="R29" s="252"/>
      <c r="S29" s="252"/>
      <c r="T29" s="252"/>
      <c r="U29" s="252"/>
      <c r="V29" s="253"/>
      <c r="W29" s="252">
        <f>Inputs!A29</f>
        <v>0</v>
      </c>
      <c r="X29" s="252">
        <f t="shared" si="2"/>
        <v>0</v>
      </c>
      <c r="Y29" s="257">
        <f t="shared" si="3"/>
        <v>0</v>
      </c>
      <c r="Z29" s="257">
        <f t="shared" si="20"/>
        <v>0</v>
      </c>
      <c r="AA29" s="257">
        <f t="shared" si="21"/>
        <v>0</v>
      </c>
      <c r="AB29" s="257">
        <f t="shared" si="22"/>
        <v>0</v>
      </c>
      <c r="AC29" s="257">
        <f t="shared" si="23"/>
        <v>0</v>
      </c>
      <c r="AD29" s="257">
        <f t="shared" si="24"/>
        <v>0</v>
      </c>
      <c r="AE29" s="257">
        <f t="shared" si="25"/>
        <v>0</v>
      </c>
      <c r="AF29" s="257">
        <f t="shared" si="10"/>
        <v>0</v>
      </c>
      <c r="AG29" s="253"/>
      <c r="AH29" s="252">
        <f>Inputs!A29</f>
        <v>0</v>
      </c>
      <c r="AI29" s="252">
        <f t="shared" si="11"/>
        <v>0</v>
      </c>
      <c r="AJ29" s="252">
        <f t="shared" si="12"/>
        <v>0</v>
      </c>
      <c r="AK29" s="252">
        <f t="shared" si="13"/>
        <v>0</v>
      </c>
      <c r="AL29" s="252">
        <f t="shared" si="14"/>
        <v>0</v>
      </c>
      <c r="AM29" s="252">
        <f t="shared" si="15"/>
        <v>0</v>
      </c>
      <c r="AN29" s="252">
        <f t="shared" si="16"/>
        <v>0</v>
      </c>
      <c r="AO29" s="252">
        <f t="shared" si="17"/>
        <v>0</v>
      </c>
      <c r="AP29" s="252">
        <f t="shared" si="18"/>
        <v>0</v>
      </c>
      <c r="AQ29" s="252">
        <f t="shared" si="19"/>
        <v>0</v>
      </c>
      <c r="AR29" s="253"/>
      <c r="AS29" s="252">
        <f>Inputs!A29</f>
        <v>0</v>
      </c>
      <c r="AT29" s="252">
        <f>X29*Inputs!F29*Inputs!G29</f>
        <v>0</v>
      </c>
      <c r="AU29" s="252">
        <f>Y29*Inputs!F29*Inputs!G29</f>
        <v>0</v>
      </c>
      <c r="AV29" s="252">
        <f>Z29*Inputs!F29*Inputs!G29</f>
        <v>0</v>
      </c>
      <c r="AW29" s="252">
        <f>AA29*Inputs!F29*Inputs!G29</f>
        <v>0</v>
      </c>
      <c r="AX29" s="252">
        <f>AB29*Inputs!F29*Inputs!G29</f>
        <v>0</v>
      </c>
      <c r="AY29" s="252">
        <f>AC29*Inputs!F29*Inputs!G29</f>
        <v>0</v>
      </c>
      <c r="AZ29" s="252">
        <f>AD29*Inputs!F29*Inputs!G29</f>
        <v>0</v>
      </c>
      <c r="BA29" s="252">
        <f>AE29*Inputs!F29*Inputs!G29</f>
        <v>0</v>
      </c>
      <c r="BB29" s="252">
        <f>AF29*Inputs!F29*Inputs!H29</f>
        <v>0</v>
      </c>
      <c r="BC29" s="253"/>
      <c r="BD29" s="252">
        <f>Inputs!A29</f>
        <v>0</v>
      </c>
      <c r="BE29" s="252">
        <f>AI29*Inputs!F29*Inputs!I29</f>
        <v>0</v>
      </c>
      <c r="BF29" s="252">
        <f>AJ29*Inputs!F29*Inputs!I29</f>
        <v>0</v>
      </c>
      <c r="BG29" s="252">
        <f>AK29*Inputs!F29*Inputs!I29</f>
        <v>0</v>
      </c>
      <c r="BH29" s="252">
        <f>AL29*Inputs!F29*Inputs!I29</f>
        <v>0</v>
      </c>
      <c r="BI29" s="252">
        <f>AM29*Inputs!F29*Inputs!I29</f>
        <v>0</v>
      </c>
      <c r="BJ29" s="252">
        <f>AN29*Inputs!F29*Inputs!I29</f>
        <v>0</v>
      </c>
      <c r="BK29" s="252">
        <f>AO29*Inputs!F29*Inputs!I29</f>
        <v>0</v>
      </c>
      <c r="BL29" s="252">
        <f>AP29*Inputs!F29*Inputs!I29</f>
        <v>0</v>
      </c>
      <c r="BM29" s="252">
        <f>AQ29*Inputs!F29*Inputs!I29</f>
        <v>0</v>
      </c>
      <c r="BN29" s="253"/>
      <c r="BO29" s="253"/>
    </row>
    <row r="30" spans="1:67" x14ac:dyDescent="0.25">
      <c r="A30" s="252">
        <f>Inputs!A30</f>
        <v>0</v>
      </c>
      <c r="B30" s="252">
        <f>SUMIFS(Model!$E$5:$E$454,Model!$B$5:$B$454,A30,Model!$A$5:$A$454,3) + SUMIFS(Model!$K$5:$K$454,Model!$B$5:$B$454,A30,Model!$A$5:$A$454,3)</f>
        <v>0</v>
      </c>
      <c r="C30" s="252">
        <f>SUMIFS(Model!$E$5:$E$454,Model!$B$5:$B$454,A30,Model!$A$5:$A$454,4) + SUMIFS(Model!$K$5:$K$454,Model!$B$5:$B$454,A30,Model!$A$5:$A$454,4)</f>
        <v>0</v>
      </c>
      <c r="D30" s="252">
        <f>SUMIFS(Model!$E$5:$E$454,Model!$B$5:$B$454,A30,Model!$A$5:$A$454,5) + SUMIFS(Model!$K$5:$K$454,Model!$B$5:$B$454,A30,Model!$A$5:$A$454,5)</f>
        <v>0</v>
      </c>
      <c r="E30" s="252">
        <f>SUMIFS(Model!$E$5:$E$454,Model!$B$5:$B$454,A30,Model!$A$5:$A$454,6) + SUMIFS(Model!$K$5:$K$454,Model!$B$5:$B$454,A30,Model!$A$5:$A$454,6)</f>
        <v>0</v>
      </c>
      <c r="F30" s="252">
        <f>SUMIFS(Model!$E$5:$E$454,Model!$B$5:$B$454,A30,Model!$A$5:$A$454,7) + SUMIFS(Model!$K$5:$K$454,Model!$B$5:$B$454,A30,Model!$A$5:$A$454,7)</f>
        <v>0</v>
      </c>
      <c r="G30" s="252">
        <f>SUMIFS(Model!$E$5:$E$454,Model!$B$5:$B$454,A30,Model!$A$5:$A$454,8) + SUMIFS(Model!$K$5:$K$454,Model!$B$5:$B$454,A30,Model!$A$5:$A$454,8)</f>
        <v>0</v>
      </c>
      <c r="H30" s="252">
        <f>SUMIFS(Model!$E$5:$E$454,Model!$B$5:$B$454,A30,Model!$A$5:$A$454,9) + SUMIFS(Model!$K$5:$K$454,Model!$B$5:$B$454,A30,Model!$A$5:$A$454,9)</f>
        <v>0</v>
      </c>
      <c r="I30" s="252">
        <f>SUMIFS(Model!$E$5:$E$454,Model!$B$5:$B$454,A30,Model!$A$5:$A$454,10) + SUMIFS(Model!$K$5:$K$454,Model!$B$5:$B$454,A30,Model!$A$5:$A$454,10)</f>
        <v>0</v>
      </c>
      <c r="J30" s="252">
        <f>SUMIFS(Model!$E$5:$E$454,Model!$B$5:$B$454,A30,Model!$A$5:$A$454,11) + SUMIFS(Model!$K$5:$K$454,Model!$B$5:$B$454,A30,Model!$A$5:$A$454,11)</f>
        <v>0</v>
      </c>
      <c r="K30" s="253"/>
      <c r="L30" s="252">
        <f>Inputs!A30</f>
        <v>0</v>
      </c>
      <c r="M30" s="252"/>
      <c r="N30" s="252"/>
      <c r="O30" s="252"/>
      <c r="P30" s="252"/>
      <c r="Q30" s="252"/>
      <c r="R30" s="252"/>
      <c r="S30" s="252"/>
      <c r="T30" s="252"/>
      <c r="U30" s="252"/>
      <c r="V30" s="253"/>
      <c r="W30" s="252">
        <f>Inputs!A30</f>
        <v>0</v>
      </c>
      <c r="X30" s="252">
        <f t="shared" si="2"/>
        <v>0</v>
      </c>
      <c r="Y30" s="257">
        <f t="shared" si="3"/>
        <v>0</v>
      </c>
      <c r="Z30" s="257">
        <f t="shared" si="20"/>
        <v>0</v>
      </c>
      <c r="AA30" s="257">
        <f t="shared" si="21"/>
        <v>0</v>
      </c>
      <c r="AB30" s="257">
        <f t="shared" si="22"/>
        <v>0</v>
      </c>
      <c r="AC30" s="257">
        <f t="shared" si="23"/>
        <v>0</v>
      </c>
      <c r="AD30" s="257">
        <f t="shared" si="24"/>
        <v>0</v>
      </c>
      <c r="AE30" s="257">
        <f t="shared" si="25"/>
        <v>0</v>
      </c>
      <c r="AF30" s="257">
        <f t="shared" si="10"/>
        <v>0</v>
      </c>
      <c r="AG30" s="253"/>
      <c r="AH30" s="252">
        <f>Inputs!A30</f>
        <v>0</v>
      </c>
      <c r="AI30" s="252">
        <f t="shared" si="11"/>
        <v>0</v>
      </c>
      <c r="AJ30" s="252">
        <f t="shared" si="12"/>
        <v>0</v>
      </c>
      <c r="AK30" s="252">
        <f t="shared" si="13"/>
        <v>0</v>
      </c>
      <c r="AL30" s="252">
        <f t="shared" si="14"/>
        <v>0</v>
      </c>
      <c r="AM30" s="252">
        <f t="shared" si="15"/>
        <v>0</v>
      </c>
      <c r="AN30" s="252">
        <f t="shared" si="16"/>
        <v>0</v>
      </c>
      <c r="AO30" s="252">
        <f t="shared" si="17"/>
        <v>0</v>
      </c>
      <c r="AP30" s="252">
        <f t="shared" si="18"/>
        <v>0</v>
      </c>
      <c r="AQ30" s="252">
        <f t="shared" si="19"/>
        <v>0</v>
      </c>
      <c r="AR30" s="253"/>
      <c r="AS30" s="252">
        <f>Inputs!A30</f>
        <v>0</v>
      </c>
      <c r="AT30" s="252">
        <f>X30*Inputs!F30*Inputs!G30</f>
        <v>0</v>
      </c>
      <c r="AU30" s="252">
        <f>Y30*Inputs!F30*Inputs!G30</f>
        <v>0</v>
      </c>
      <c r="AV30" s="252">
        <f>Z30*Inputs!F30*Inputs!G30</f>
        <v>0</v>
      </c>
      <c r="AW30" s="252">
        <f>AA30*Inputs!F30*Inputs!G30</f>
        <v>0</v>
      </c>
      <c r="AX30" s="252">
        <f>AB30*Inputs!F30*Inputs!G30</f>
        <v>0</v>
      </c>
      <c r="AY30" s="252">
        <f>AC30*Inputs!F30*Inputs!G30</f>
        <v>0</v>
      </c>
      <c r="AZ30" s="252">
        <f>AD30*Inputs!F30*Inputs!G30</f>
        <v>0</v>
      </c>
      <c r="BA30" s="252">
        <f>AE30*Inputs!F30*Inputs!G30</f>
        <v>0</v>
      </c>
      <c r="BB30" s="252">
        <f>AF30*Inputs!F30*Inputs!H30</f>
        <v>0</v>
      </c>
      <c r="BC30" s="253"/>
      <c r="BD30" s="252">
        <f>Inputs!A30</f>
        <v>0</v>
      </c>
      <c r="BE30" s="252">
        <f>AI30*Inputs!F30*Inputs!I30</f>
        <v>0</v>
      </c>
      <c r="BF30" s="252">
        <f>AJ30*Inputs!F30*Inputs!I30</f>
        <v>0</v>
      </c>
      <c r="BG30" s="252">
        <f>AK30*Inputs!F30*Inputs!I30</f>
        <v>0</v>
      </c>
      <c r="BH30" s="252">
        <f>AL30*Inputs!F30*Inputs!I30</f>
        <v>0</v>
      </c>
      <c r="BI30" s="252">
        <f>AM30*Inputs!F30*Inputs!I30</f>
        <v>0</v>
      </c>
      <c r="BJ30" s="252">
        <f>AN30*Inputs!F30*Inputs!I30</f>
        <v>0</v>
      </c>
      <c r="BK30" s="252">
        <f>AO30*Inputs!F30*Inputs!I30</f>
        <v>0</v>
      </c>
      <c r="BL30" s="252">
        <f>AP30*Inputs!F30*Inputs!I30</f>
        <v>0</v>
      </c>
      <c r="BM30" s="252">
        <f>AQ30*Inputs!F30*Inputs!I30</f>
        <v>0</v>
      </c>
      <c r="BN30" s="253"/>
      <c r="BO30" s="253"/>
    </row>
    <row r="31" spans="1:67" x14ac:dyDescent="0.25">
      <c r="A31" s="252">
        <f>Inputs!A31</f>
        <v>0</v>
      </c>
      <c r="B31" s="252">
        <f>SUMIFS(Model!$E$5:$E$454,Model!$B$5:$B$454,A31,Model!$A$5:$A$454,3) + SUMIFS(Model!$K$5:$K$454,Model!$B$5:$B$454,A31,Model!$A$5:$A$454,3)</f>
        <v>0</v>
      </c>
      <c r="C31" s="252">
        <f>SUMIFS(Model!$E$5:$E$454,Model!$B$5:$B$454,A31,Model!$A$5:$A$454,4) + SUMIFS(Model!$K$5:$K$454,Model!$B$5:$B$454,A31,Model!$A$5:$A$454,4)</f>
        <v>0</v>
      </c>
      <c r="D31" s="252">
        <f>SUMIFS(Model!$E$5:$E$454,Model!$B$5:$B$454,A31,Model!$A$5:$A$454,5) + SUMIFS(Model!$K$5:$K$454,Model!$B$5:$B$454,A31,Model!$A$5:$A$454,5)</f>
        <v>0</v>
      </c>
      <c r="E31" s="252">
        <f>SUMIFS(Model!$E$5:$E$454,Model!$B$5:$B$454,A31,Model!$A$5:$A$454,6) + SUMIFS(Model!$K$5:$K$454,Model!$B$5:$B$454,A31,Model!$A$5:$A$454,6)</f>
        <v>0</v>
      </c>
      <c r="F31" s="252">
        <f>SUMIFS(Model!$E$5:$E$454,Model!$B$5:$B$454,A31,Model!$A$5:$A$454,7) + SUMIFS(Model!$K$5:$K$454,Model!$B$5:$B$454,A31,Model!$A$5:$A$454,7)</f>
        <v>0</v>
      </c>
      <c r="G31" s="252">
        <f>SUMIFS(Model!$E$5:$E$454,Model!$B$5:$B$454,A31,Model!$A$5:$A$454,8) + SUMIFS(Model!$K$5:$K$454,Model!$B$5:$B$454,A31,Model!$A$5:$A$454,8)</f>
        <v>0</v>
      </c>
      <c r="H31" s="252">
        <f>SUMIFS(Model!$E$5:$E$454,Model!$B$5:$B$454,A31,Model!$A$5:$A$454,9) + SUMIFS(Model!$K$5:$K$454,Model!$B$5:$B$454,A31,Model!$A$5:$A$454,9)</f>
        <v>0</v>
      </c>
      <c r="I31" s="252">
        <f>SUMIFS(Model!$E$5:$E$454,Model!$B$5:$B$454,A31,Model!$A$5:$A$454,10) + SUMIFS(Model!$K$5:$K$454,Model!$B$5:$B$454,A31,Model!$A$5:$A$454,10)</f>
        <v>0</v>
      </c>
      <c r="J31" s="252">
        <f>SUMIFS(Model!$E$5:$E$454,Model!$B$5:$B$454,A31,Model!$A$5:$A$454,11) + SUMIFS(Model!$K$5:$K$454,Model!$B$5:$B$454,A31,Model!$A$5:$A$454,11)</f>
        <v>0</v>
      </c>
      <c r="K31" s="253"/>
      <c r="L31" s="252">
        <f>Inputs!A31</f>
        <v>0</v>
      </c>
      <c r="M31" s="252"/>
      <c r="N31" s="252"/>
      <c r="O31" s="252"/>
      <c r="P31" s="252"/>
      <c r="Q31" s="252"/>
      <c r="R31" s="252"/>
      <c r="S31" s="252"/>
      <c r="T31" s="252"/>
      <c r="U31" s="252"/>
      <c r="V31" s="253"/>
      <c r="W31" s="252">
        <f>Inputs!A31</f>
        <v>0</v>
      </c>
      <c r="X31" s="252">
        <f t="shared" si="2"/>
        <v>0</v>
      </c>
      <c r="Y31" s="257">
        <f t="shared" si="3"/>
        <v>0</v>
      </c>
      <c r="Z31" s="257">
        <f t="shared" si="20"/>
        <v>0</v>
      </c>
      <c r="AA31" s="257">
        <f t="shared" si="21"/>
        <v>0</v>
      </c>
      <c r="AB31" s="257">
        <f t="shared" si="22"/>
        <v>0</v>
      </c>
      <c r="AC31" s="257">
        <f t="shared" si="23"/>
        <v>0</v>
      </c>
      <c r="AD31" s="257">
        <f t="shared" si="24"/>
        <v>0</v>
      </c>
      <c r="AE31" s="257">
        <f t="shared" si="25"/>
        <v>0</v>
      </c>
      <c r="AF31" s="257">
        <f t="shared" si="10"/>
        <v>0</v>
      </c>
      <c r="AG31" s="253"/>
      <c r="AH31" s="252">
        <f>Inputs!A31</f>
        <v>0</v>
      </c>
      <c r="AI31" s="252">
        <f t="shared" si="11"/>
        <v>0</v>
      </c>
      <c r="AJ31" s="252">
        <f t="shared" si="12"/>
        <v>0</v>
      </c>
      <c r="AK31" s="252">
        <f t="shared" si="13"/>
        <v>0</v>
      </c>
      <c r="AL31" s="252">
        <f t="shared" si="14"/>
        <v>0</v>
      </c>
      <c r="AM31" s="252">
        <f t="shared" si="15"/>
        <v>0</v>
      </c>
      <c r="AN31" s="252">
        <f t="shared" si="16"/>
        <v>0</v>
      </c>
      <c r="AO31" s="252">
        <f t="shared" si="17"/>
        <v>0</v>
      </c>
      <c r="AP31" s="252">
        <f t="shared" si="18"/>
        <v>0</v>
      </c>
      <c r="AQ31" s="252">
        <f t="shared" si="19"/>
        <v>0</v>
      </c>
      <c r="AR31" s="253"/>
      <c r="AS31" s="252">
        <f>Inputs!A31</f>
        <v>0</v>
      </c>
      <c r="AT31" s="252">
        <f>X31*Inputs!F31*Inputs!G31</f>
        <v>0</v>
      </c>
      <c r="AU31" s="252">
        <f>Y31*Inputs!F31*Inputs!G31</f>
        <v>0</v>
      </c>
      <c r="AV31" s="252">
        <f>Z31*Inputs!F31*Inputs!G31</f>
        <v>0</v>
      </c>
      <c r="AW31" s="252">
        <f>AA31*Inputs!F31*Inputs!G31</f>
        <v>0</v>
      </c>
      <c r="AX31" s="252">
        <f>AB31*Inputs!F31*Inputs!G31</f>
        <v>0</v>
      </c>
      <c r="AY31" s="252">
        <f>AC31*Inputs!F31*Inputs!G31</f>
        <v>0</v>
      </c>
      <c r="AZ31" s="252">
        <f>AD31*Inputs!F31*Inputs!G31</f>
        <v>0</v>
      </c>
      <c r="BA31" s="252">
        <f>AE31*Inputs!F31*Inputs!G31</f>
        <v>0</v>
      </c>
      <c r="BB31" s="252">
        <f>AF31*Inputs!F31*Inputs!H31</f>
        <v>0</v>
      </c>
      <c r="BC31" s="253"/>
      <c r="BD31" s="252">
        <f>Inputs!A31</f>
        <v>0</v>
      </c>
      <c r="BE31" s="252">
        <f>AI31*Inputs!F31*Inputs!I31</f>
        <v>0</v>
      </c>
      <c r="BF31" s="252">
        <f>AJ31*Inputs!F31*Inputs!I31</f>
        <v>0</v>
      </c>
      <c r="BG31" s="252">
        <f>AK31*Inputs!F31*Inputs!I31</f>
        <v>0</v>
      </c>
      <c r="BH31" s="252">
        <f>AL31*Inputs!F31*Inputs!I31</f>
        <v>0</v>
      </c>
      <c r="BI31" s="252">
        <f>AM31*Inputs!F31*Inputs!I31</f>
        <v>0</v>
      </c>
      <c r="BJ31" s="252">
        <f>AN31*Inputs!F31*Inputs!I31</f>
        <v>0</v>
      </c>
      <c r="BK31" s="252">
        <f>AO31*Inputs!F31*Inputs!I31</f>
        <v>0</v>
      </c>
      <c r="BL31" s="252">
        <f>AP31*Inputs!F31*Inputs!I31</f>
        <v>0</v>
      </c>
      <c r="BM31" s="252">
        <f>AQ31*Inputs!F31*Inputs!I31</f>
        <v>0</v>
      </c>
      <c r="BN31" s="253"/>
      <c r="BO31" s="253"/>
    </row>
    <row r="32" spans="1:67" x14ac:dyDescent="0.25">
      <c r="A32" s="252">
        <f>Inputs!A32</f>
        <v>0</v>
      </c>
      <c r="B32" s="252">
        <f>SUMIFS(Model!$E$5:$E$454,Model!$B$5:$B$454,A32,Model!$A$5:$A$454,3) + SUMIFS(Model!$K$5:$K$454,Model!$B$5:$B$454,A32,Model!$A$5:$A$454,3)</f>
        <v>0</v>
      </c>
      <c r="C32" s="252">
        <f>SUMIFS(Model!$E$5:$E$454,Model!$B$5:$B$454,A32,Model!$A$5:$A$454,4) + SUMIFS(Model!$K$5:$K$454,Model!$B$5:$B$454,A32,Model!$A$5:$A$454,4)</f>
        <v>0</v>
      </c>
      <c r="D32" s="252">
        <f>SUMIFS(Model!$E$5:$E$454,Model!$B$5:$B$454,A32,Model!$A$5:$A$454,5) + SUMIFS(Model!$K$5:$K$454,Model!$B$5:$B$454,A32,Model!$A$5:$A$454,5)</f>
        <v>0</v>
      </c>
      <c r="E32" s="252">
        <f>SUMIFS(Model!$E$5:$E$454,Model!$B$5:$B$454,A32,Model!$A$5:$A$454,6) + SUMIFS(Model!$K$5:$K$454,Model!$B$5:$B$454,A32,Model!$A$5:$A$454,6)</f>
        <v>0</v>
      </c>
      <c r="F32" s="252">
        <f>SUMIFS(Model!$E$5:$E$454,Model!$B$5:$B$454,A32,Model!$A$5:$A$454,7) + SUMIFS(Model!$K$5:$K$454,Model!$B$5:$B$454,A32,Model!$A$5:$A$454,7)</f>
        <v>0</v>
      </c>
      <c r="G32" s="252">
        <f>SUMIFS(Model!$E$5:$E$454,Model!$B$5:$B$454,A32,Model!$A$5:$A$454,8) + SUMIFS(Model!$K$5:$K$454,Model!$B$5:$B$454,A32,Model!$A$5:$A$454,8)</f>
        <v>0</v>
      </c>
      <c r="H32" s="252">
        <f>SUMIFS(Model!$E$5:$E$454,Model!$B$5:$B$454,A32,Model!$A$5:$A$454,9) + SUMIFS(Model!$K$5:$K$454,Model!$B$5:$B$454,A32,Model!$A$5:$A$454,9)</f>
        <v>0</v>
      </c>
      <c r="I32" s="252">
        <f>SUMIFS(Model!$E$5:$E$454,Model!$B$5:$B$454,A32,Model!$A$5:$A$454,10) + SUMIFS(Model!$K$5:$K$454,Model!$B$5:$B$454,A32,Model!$A$5:$A$454,10)</f>
        <v>0</v>
      </c>
      <c r="J32" s="252">
        <f>SUMIFS(Model!$E$5:$E$454,Model!$B$5:$B$454,A32,Model!$A$5:$A$454,11) + SUMIFS(Model!$K$5:$K$454,Model!$B$5:$B$454,A32,Model!$A$5:$A$454,11)</f>
        <v>0</v>
      </c>
      <c r="K32" s="253"/>
      <c r="L32" s="252">
        <f>Inputs!A32</f>
        <v>0</v>
      </c>
      <c r="M32" s="252"/>
      <c r="N32" s="252"/>
      <c r="O32" s="252"/>
      <c r="P32" s="252"/>
      <c r="Q32" s="252"/>
      <c r="R32" s="252"/>
      <c r="S32" s="252"/>
      <c r="T32" s="252"/>
      <c r="U32" s="252"/>
      <c r="V32" s="253"/>
      <c r="W32" s="252">
        <f>Inputs!A32</f>
        <v>0</v>
      </c>
      <c r="X32" s="252">
        <f t="shared" si="2"/>
        <v>0</v>
      </c>
      <c r="Y32" s="257">
        <f t="shared" si="3"/>
        <v>0</v>
      </c>
      <c r="Z32" s="257">
        <f t="shared" si="20"/>
        <v>0</v>
      </c>
      <c r="AA32" s="257">
        <f t="shared" si="21"/>
        <v>0</v>
      </c>
      <c r="AB32" s="257">
        <f t="shared" si="22"/>
        <v>0</v>
      </c>
      <c r="AC32" s="257">
        <f t="shared" si="23"/>
        <v>0</v>
      </c>
      <c r="AD32" s="257">
        <f t="shared" si="24"/>
        <v>0</v>
      </c>
      <c r="AE32" s="257">
        <f t="shared" si="25"/>
        <v>0</v>
      </c>
      <c r="AF32" s="257">
        <f t="shared" si="10"/>
        <v>0</v>
      </c>
      <c r="AG32" s="253"/>
      <c r="AH32" s="252">
        <f>Inputs!A32</f>
        <v>0</v>
      </c>
      <c r="AI32" s="252">
        <f t="shared" si="11"/>
        <v>0</v>
      </c>
      <c r="AJ32" s="252">
        <f t="shared" si="12"/>
        <v>0</v>
      </c>
      <c r="AK32" s="252">
        <f t="shared" si="13"/>
        <v>0</v>
      </c>
      <c r="AL32" s="252">
        <f t="shared" si="14"/>
        <v>0</v>
      </c>
      <c r="AM32" s="252">
        <f t="shared" si="15"/>
        <v>0</v>
      </c>
      <c r="AN32" s="252">
        <f t="shared" si="16"/>
        <v>0</v>
      </c>
      <c r="AO32" s="252">
        <f t="shared" si="17"/>
        <v>0</v>
      </c>
      <c r="AP32" s="252">
        <f t="shared" si="18"/>
        <v>0</v>
      </c>
      <c r="AQ32" s="252">
        <f t="shared" si="19"/>
        <v>0</v>
      </c>
      <c r="AR32" s="253"/>
      <c r="AS32" s="252">
        <f>Inputs!A32</f>
        <v>0</v>
      </c>
      <c r="AT32" s="252">
        <f>X32*Inputs!F32*Inputs!G32</f>
        <v>0</v>
      </c>
      <c r="AU32" s="252">
        <f>Y32*Inputs!F32*Inputs!G32</f>
        <v>0</v>
      </c>
      <c r="AV32" s="252">
        <f>Z32*Inputs!F32*Inputs!G32</f>
        <v>0</v>
      </c>
      <c r="AW32" s="252">
        <f>AA32*Inputs!F32*Inputs!G32</f>
        <v>0</v>
      </c>
      <c r="AX32" s="252">
        <f>AB32*Inputs!F32*Inputs!G32</f>
        <v>0</v>
      </c>
      <c r="AY32" s="252">
        <f>AC32*Inputs!F32*Inputs!G32</f>
        <v>0</v>
      </c>
      <c r="AZ32" s="252">
        <f>AD32*Inputs!F32*Inputs!G32</f>
        <v>0</v>
      </c>
      <c r="BA32" s="252">
        <f>AE32*Inputs!F32*Inputs!G32</f>
        <v>0</v>
      </c>
      <c r="BB32" s="252">
        <f>AF32*Inputs!F32*Inputs!H32</f>
        <v>0</v>
      </c>
      <c r="BC32" s="253"/>
      <c r="BD32" s="252">
        <f>Inputs!A32</f>
        <v>0</v>
      </c>
      <c r="BE32" s="252">
        <f>AI32*Inputs!F32*Inputs!I32</f>
        <v>0</v>
      </c>
      <c r="BF32" s="252">
        <f>AJ32*Inputs!F32*Inputs!I32</f>
        <v>0</v>
      </c>
      <c r="BG32" s="252">
        <f>AK32*Inputs!F32*Inputs!I32</f>
        <v>0</v>
      </c>
      <c r="BH32" s="252">
        <f>AL32*Inputs!F32*Inputs!I32</f>
        <v>0</v>
      </c>
      <c r="BI32" s="252">
        <f>AM32*Inputs!F32*Inputs!I32</f>
        <v>0</v>
      </c>
      <c r="BJ32" s="252">
        <f>AN32*Inputs!F32*Inputs!I32</f>
        <v>0</v>
      </c>
      <c r="BK32" s="252">
        <f>AO32*Inputs!F32*Inputs!I32</f>
        <v>0</v>
      </c>
      <c r="BL32" s="252">
        <f>AP32*Inputs!F32*Inputs!I32</f>
        <v>0</v>
      </c>
      <c r="BM32" s="252">
        <f>AQ32*Inputs!F32*Inputs!I32</f>
        <v>0</v>
      </c>
      <c r="BN32" s="253"/>
      <c r="BO32" s="253"/>
    </row>
    <row r="33" spans="1:67" x14ac:dyDescent="0.25">
      <c r="A33" s="252">
        <f>Inputs!A33</f>
        <v>0</v>
      </c>
      <c r="B33" s="252">
        <f>SUMIFS(Model!$E$5:$E$454,Model!$B$5:$B$454,A33,Model!$A$5:$A$454,3) + SUMIFS(Model!$K$5:$K$454,Model!$B$5:$B$454,A33,Model!$A$5:$A$454,3)</f>
        <v>0</v>
      </c>
      <c r="C33" s="252">
        <f>SUMIFS(Model!$E$5:$E$454,Model!$B$5:$B$454,A33,Model!$A$5:$A$454,4) + SUMIFS(Model!$K$5:$K$454,Model!$B$5:$B$454,A33,Model!$A$5:$A$454,4)</f>
        <v>0</v>
      </c>
      <c r="D33" s="252">
        <f>SUMIFS(Model!$E$5:$E$454,Model!$B$5:$B$454,A33,Model!$A$5:$A$454,5) + SUMIFS(Model!$K$5:$K$454,Model!$B$5:$B$454,A33,Model!$A$5:$A$454,5)</f>
        <v>0</v>
      </c>
      <c r="E33" s="252">
        <f>SUMIFS(Model!$E$5:$E$454,Model!$B$5:$B$454,A33,Model!$A$5:$A$454,6) + SUMIFS(Model!$K$5:$K$454,Model!$B$5:$B$454,A33,Model!$A$5:$A$454,6)</f>
        <v>0</v>
      </c>
      <c r="F33" s="252">
        <f>SUMIFS(Model!$E$5:$E$454,Model!$B$5:$B$454,A33,Model!$A$5:$A$454,7) + SUMIFS(Model!$K$5:$K$454,Model!$B$5:$B$454,A33,Model!$A$5:$A$454,7)</f>
        <v>0</v>
      </c>
      <c r="G33" s="252">
        <f>SUMIFS(Model!$E$5:$E$454,Model!$B$5:$B$454,A33,Model!$A$5:$A$454,8) + SUMIFS(Model!$K$5:$K$454,Model!$B$5:$B$454,A33,Model!$A$5:$A$454,8)</f>
        <v>0</v>
      </c>
      <c r="H33" s="252">
        <f>SUMIFS(Model!$E$5:$E$454,Model!$B$5:$B$454,A33,Model!$A$5:$A$454,9) + SUMIFS(Model!$K$5:$K$454,Model!$B$5:$B$454,A33,Model!$A$5:$A$454,9)</f>
        <v>0</v>
      </c>
      <c r="I33" s="252">
        <f>SUMIFS(Model!$E$5:$E$454,Model!$B$5:$B$454,A33,Model!$A$5:$A$454,10) + SUMIFS(Model!$K$5:$K$454,Model!$B$5:$B$454,A33,Model!$A$5:$A$454,10)</f>
        <v>0</v>
      </c>
      <c r="J33" s="252">
        <f>SUMIFS(Model!$E$5:$E$454,Model!$B$5:$B$454,A33,Model!$A$5:$A$454,11) + SUMIFS(Model!$K$5:$K$454,Model!$B$5:$B$454,A33,Model!$A$5:$A$454,11)</f>
        <v>0</v>
      </c>
      <c r="K33" s="253"/>
      <c r="L33" s="252">
        <f>Inputs!A33</f>
        <v>0</v>
      </c>
      <c r="M33" s="252"/>
      <c r="N33" s="252"/>
      <c r="O33" s="252"/>
      <c r="P33" s="252"/>
      <c r="Q33" s="252"/>
      <c r="R33" s="252"/>
      <c r="S33" s="252"/>
      <c r="T33" s="252"/>
      <c r="U33" s="252"/>
      <c r="V33" s="253"/>
      <c r="W33" s="252">
        <f>Inputs!A33</f>
        <v>0</v>
      </c>
      <c r="X33" s="252">
        <f t="shared" si="2"/>
        <v>0</v>
      </c>
      <c r="Y33" s="257">
        <f t="shared" si="3"/>
        <v>0</v>
      </c>
      <c r="Z33" s="257">
        <f t="shared" si="20"/>
        <v>0</v>
      </c>
      <c r="AA33" s="257">
        <f t="shared" si="21"/>
        <v>0</v>
      </c>
      <c r="AB33" s="257">
        <f t="shared" si="22"/>
        <v>0</v>
      </c>
      <c r="AC33" s="257">
        <f t="shared" si="23"/>
        <v>0</v>
      </c>
      <c r="AD33" s="257">
        <f t="shared" si="24"/>
        <v>0</v>
      </c>
      <c r="AE33" s="257">
        <f t="shared" si="25"/>
        <v>0</v>
      </c>
      <c r="AF33" s="257">
        <f t="shared" si="10"/>
        <v>0</v>
      </c>
      <c r="AG33" s="253"/>
      <c r="AH33" s="252">
        <f>Inputs!A33</f>
        <v>0</v>
      </c>
      <c r="AI33" s="252">
        <f t="shared" si="11"/>
        <v>0</v>
      </c>
      <c r="AJ33" s="252">
        <f t="shared" si="12"/>
        <v>0</v>
      </c>
      <c r="AK33" s="252">
        <f t="shared" si="13"/>
        <v>0</v>
      </c>
      <c r="AL33" s="252">
        <f t="shared" si="14"/>
        <v>0</v>
      </c>
      <c r="AM33" s="252">
        <f t="shared" si="15"/>
        <v>0</v>
      </c>
      <c r="AN33" s="252">
        <f t="shared" si="16"/>
        <v>0</v>
      </c>
      <c r="AO33" s="252">
        <f t="shared" si="17"/>
        <v>0</v>
      </c>
      <c r="AP33" s="252">
        <f t="shared" si="18"/>
        <v>0</v>
      </c>
      <c r="AQ33" s="252">
        <f t="shared" si="19"/>
        <v>0</v>
      </c>
      <c r="AR33" s="253"/>
      <c r="AS33" s="252">
        <f>Inputs!A33</f>
        <v>0</v>
      </c>
      <c r="AT33" s="252">
        <f>X33*Inputs!F33*Inputs!G33</f>
        <v>0</v>
      </c>
      <c r="AU33" s="252">
        <f>Y33*Inputs!F33*Inputs!G33</f>
        <v>0</v>
      </c>
      <c r="AV33" s="252">
        <f>Z33*Inputs!F33*Inputs!G33</f>
        <v>0</v>
      </c>
      <c r="AW33" s="252">
        <f>AA33*Inputs!F33*Inputs!G33</f>
        <v>0</v>
      </c>
      <c r="AX33" s="252">
        <f>AB33*Inputs!F33*Inputs!G33</f>
        <v>0</v>
      </c>
      <c r="AY33" s="252">
        <f>AC33*Inputs!F33*Inputs!G33</f>
        <v>0</v>
      </c>
      <c r="AZ33" s="252">
        <f>AD33*Inputs!F33*Inputs!G33</f>
        <v>0</v>
      </c>
      <c r="BA33" s="252">
        <f>AE33*Inputs!F33*Inputs!G33</f>
        <v>0</v>
      </c>
      <c r="BB33" s="252">
        <f>AF33*Inputs!F33*Inputs!H33</f>
        <v>0</v>
      </c>
      <c r="BC33" s="253"/>
      <c r="BD33" s="252">
        <f>Inputs!A33</f>
        <v>0</v>
      </c>
      <c r="BE33" s="252">
        <f>AI33*Inputs!F33*Inputs!I33</f>
        <v>0</v>
      </c>
      <c r="BF33" s="252">
        <f>AJ33*Inputs!F33*Inputs!I33</f>
        <v>0</v>
      </c>
      <c r="BG33" s="252">
        <f>AK33*Inputs!F33*Inputs!I33</f>
        <v>0</v>
      </c>
      <c r="BH33" s="252">
        <f>AL33*Inputs!F33*Inputs!I33</f>
        <v>0</v>
      </c>
      <c r="BI33" s="252">
        <f>AM33*Inputs!F33*Inputs!I33</f>
        <v>0</v>
      </c>
      <c r="BJ33" s="252">
        <f>AN33*Inputs!F33*Inputs!I33</f>
        <v>0</v>
      </c>
      <c r="BK33" s="252">
        <f>AO33*Inputs!F33*Inputs!I33</f>
        <v>0</v>
      </c>
      <c r="BL33" s="252">
        <f>AP33*Inputs!F33*Inputs!I33</f>
        <v>0</v>
      </c>
      <c r="BM33" s="252">
        <f>AQ33*Inputs!F33*Inputs!I33</f>
        <v>0</v>
      </c>
      <c r="BN33" s="253"/>
      <c r="BO33" s="253"/>
    </row>
    <row r="34" spans="1:67" x14ac:dyDescent="0.25">
      <c r="A34" s="252">
        <f>Inputs!A34</f>
        <v>0</v>
      </c>
      <c r="B34" s="252">
        <f>SUMIFS(Model!$E$5:$E$454,Model!$B$5:$B$454,A34,Model!$A$5:$A$454,3) + SUMIFS(Model!$K$5:$K$454,Model!$B$5:$B$454,A34,Model!$A$5:$A$454,3)</f>
        <v>0</v>
      </c>
      <c r="C34" s="252">
        <f>SUMIFS(Model!$E$5:$E$454,Model!$B$5:$B$454,A34,Model!$A$5:$A$454,4) + SUMIFS(Model!$K$5:$K$454,Model!$B$5:$B$454,A34,Model!$A$5:$A$454,4)</f>
        <v>0</v>
      </c>
      <c r="D34" s="252">
        <f>SUMIFS(Model!$E$5:$E$454,Model!$B$5:$B$454,A34,Model!$A$5:$A$454,5) + SUMIFS(Model!$K$5:$K$454,Model!$B$5:$B$454,A34,Model!$A$5:$A$454,5)</f>
        <v>0</v>
      </c>
      <c r="E34" s="252">
        <f>SUMIFS(Model!$E$5:$E$454,Model!$B$5:$B$454,A34,Model!$A$5:$A$454,6) + SUMIFS(Model!$K$5:$K$454,Model!$B$5:$B$454,A34,Model!$A$5:$A$454,6)</f>
        <v>0</v>
      </c>
      <c r="F34" s="252">
        <f>SUMIFS(Model!$E$5:$E$454,Model!$B$5:$B$454,A34,Model!$A$5:$A$454,7) + SUMIFS(Model!$K$5:$K$454,Model!$B$5:$B$454,A34,Model!$A$5:$A$454,7)</f>
        <v>0</v>
      </c>
      <c r="G34" s="252">
        <f>SUMIFS(Model!$E$5:$E$454,Model!$B$5:$B$454,A34,Model!$A$5:$A$454,8) + SUMIFS(Model!$K$5:$K$454,Model!$B$5:$B$454,A34,Model!$A$5:$A$454,8)</f>
        <v>0</v>
      </c>
      <c r="H34" s="252">
        <f>SUMIFS(Model!$E$5:$E$454,Model!$B$5:$B$454,A34,Model!$A$5:$A$454,9) + SUMIFS(Model!$K$5:$K$454,Model!$B$5:$B$454,A34,Model!$A$5:$A$454,9)</f>
        <v>0</v>
      </c>
      <c r="I34" s="252">
        <f>SUMIFS(Model!$E$5:$E$454,Model!$B$5:$B$454,A34,Model!$A$5:$A$454,10) + SUMIFS(Model!$K$5:$K$454,Model!$B$5:$B$454,A34,Model!$A$5:$A$454,10)</f>
        <v>0</v>
      </c>
      <c r="J34" s="252">
        <f>SUMIFS(Model!$E$5:$E$454,Model!$B$5:$B$454,A34,Model!$A$5:$A$454,11) + SUMIFS(Model!$K$5:$K$454,Model!$B$5:$B$454,A34,Model!$A$5:$A$454,11)</f>
        <v>0</v>
      </c>
      <c r="K34" s="253"/>
      <c r="L34" s="252">
        <f>Inputs!A34</f>
        <v>0</v>
      </c>
      <c r="M34" s="252"/>
      <c r="N34" s="252"/>
      <c r="O34" s="252"/>
      <c r="P34" s="252"/>
      <c r="Q34" s="252"/>
      <c r="R34" s="252"/>
      <c r="S34" s="252"/>
      <c r="T34" s="252"/>
      <c r="U34" s="252"/>
      <c r="V34" s="253"/>
      <c r="W34" s="252">
        <f>Inputs!A34</f>
        <v>0</v>
      </c>
      <c r="X34" s="252">
        <f t="shared" si="2"/>
        <v>0</v>
      </c>
      <c r="Y34" s="257">
        <f t="shared" si="3"/>
        <v>0</v>
      </c>
      <c r="Z34" s="257">
        <f t="shared" si="20"/>
        <v>0</v>
      </c>
      <c r="AA34" s="257">
        <f t="shared" si="21"/>
        <v>0</v>
      </c>
      <c r="AB34" s="257">
        <f t="shared" si="22"/>
        <v>0</v>
      </c>
      <c r="AC34" s="257">
        <f t="shared" si="23"/>
        <v>0</v>
      </c>
      <c r="AD34" s="257">
        <f t="shared" si="24"/>
        <v>0</v>
      </c>
      <c r="AE34" s="257">
        <f t="shared" si="25"/>
        <v>0</v>
      </c>
      <c r="AF34" s="257">
        <f t="shared" si="10"/>
        <v>0</v>
      </c>
      <c r="AG34" s="253"/>
      <c r="AH34" s="252">
        <f>Inputs!A34</f>
        <v>0</v>
      </c>
      <c r="AI34" s="252">
        <f t="shared" si="11"/>
        <v>0</v>
      </c>
      <c r="AJ34" s="252">
        <f t="shared" si="12"/>
        <v>0</v>
      </c>
      <c r="AK34" s="252">
        <f t="shared" si="13"/>
        <v>0</v>
      </c>
      <c r="AL34" s="252">
        <f t="shared" si="14"/>
        <v>0</v>
      </c>
      <c r="AM34" s="252">
        <f t="shared" si="15"/>
        <v>0</v>
      </c>
      <c r="AN34" s="252">
        <f t="shared" si="16"/>
        <v>0</v>
      </c>
      <c r="AO34" s="252">
        <f t="shared" si="17"/>
        <v>0</v>
      </c>
      <c r="AP34" s="252">
        <f t="shared" si="18"/>
        <v>0</v>
      </c>
      <c r="AQ34" s="252">
        <f t="shared" si="19"/>
        <v>0</v>
      </c>
      <c r="AR34" s="253"/>
      <c r="AS34" s="252">
        <f>Inputs!A34</f>
        <v>0</v>
      </c>
      <c r="AT34" s="252">
        <f>X34*Inputs!F34*Inputs!G34</f>
        <v>0</v>
      </c>
      <c r="AU34" s="252">
        <f>Y34*Inputs!F34*Inputs!G34</f>
        <v>0</v>
      </c>
      <c r="AV34" s="252">
        <f>Z34*Inputs!F34*Inputs!G34</f>
        <v>0</v>
      </c>
      <c r="AW34" s="252">
        <f>AA34*Inputs!F34*Inputs!G34</f>
        <v>0</v>
      </c>
      <c r="AX34" s="252">
        <f>AB34*Inputs!F34*Inputs!G34</f>
        <v>0</v>
      </c>
      <c r="AY34" s="252">
        <f>AC34*Inputs!F34*Inputs!G34</f>
        <v>0</v>
      </c>
      <c r="AZ34" s="252">
        <f>AD34*Inputs!F34*Inputs!G34</f>
        <v>0</v>
      </c>
      <c r="BA34" s="252">
        <f>AE34*Inputs!F34*Inputs!G34</f>
        <v>0</v>
      </c>
      <c r="BB34" s="252">
        <f>AF34*Inputs!F34*Inputs!H34</f>
        <v>0</v>
      </c>
      <c r="BC34" s="253"/>
      <c r="BD34" s="252">
        <f>Inputs!A34</f>
        <v>0</v>
      </c>
      <c r="BE34" s="252">
        <f>AI34*Inputs!F34*Inputs!I34</f>
        <v>0</v>
      </c>
      <c r="BF34" s="252">
        <f>AJ34*Inputs!F34*Inputs!I34</f>
        <v>0</v>
      </c>
      <c r="BG34" s="252">
        <f>AK34*Inputs!F34*Inputs!I34</f>
        <v>0</v>
      </c>
      <c r="BH34" s="252">
        <f>AL34*Inputs!F34*Inputs!I34</f>
        <v>0</v>
      </c>
      <c r="BI34" s="252">
        <f>AM34*Inputs!F34*Inputs!I34</f>
        <v>0</v>
      </c>
      <c r="BJ34" s="252">
        <f>AN34*Inputs!F34*Inputs!I34</f>
        <v>0</v>
      </c>
      <c r="BK34" s="252">
        <f>AO34*Inputs!F34*Inputs!I34</f>
        <v>0</v>
      </c>
      <c r="BL34" s="252">
        <f>AP34*Inputs!F34*Inputs!I34</f>
        <v>0</v>
      </c>
      <c r="BM34" s="252">
        <f>AQ34*Inputs!F34*Inputs!I34</f>
        <v>0</v>
      </c>
      <c r="BN34" s="253"/>
      <c r="BO34" s="253"/>
    </row>
    <row r="35" spans="1:67" x14ac:dyDescent="0.25">
      <c r="A35" s="252">
        <f>Inputs!A35</f>
        <v>0</v>
      </c>
      <c r="B35" s="252">
        <f>SUMIFS(Model!$E$5:$E$454,Model!$B$5:$B$454,A35,Model!$A$5:$A$454,3) + SUMIFS(Model!$K$5:$K$454,Model!$B$5:$B$454,A35,Model!$A$5:$A$454,3)</f>
        <v>0</v>
      </c>
      <c r="C35" s="252">
        <f>SUMIFS(Model!$E$5:$E$454,Model!$B$5:$B$454,A35,Model!$A$5:$A$454,4) + SUMIFS(Model!$K$5:$K$454,Model!$B$5:$B$454,A35,Model!$A$5:$A$454,4)</f>
        <v>0</v>
      </c>
      <c r="D35" s="252">
        <f>SUMIFS(Model!$E$5:$E$454,Model!$B$5:$B$454,A35,Model!$A$5:$A$454,5) + SUMIFS(Model!$K$5:$K$454,Model!$B$5:$B$454,A35,Model!$A$5:$A$454,5)</f>
        <v>0</v>
      </c>
      <c r="E35" s="252">
        <f>SUMIFS(Model!$E$5:$E$454,Model!$B$5:$B$454,A35,Model!$A$5:$A$454,6) + SUMIFS(Model!$K$5:$K$454,Model!$B$5:$B$454,A35,Model!$A$5:$A$454,6)</f>
        <v>0</v>
      </c>
      <c r="F35" s="252">
        <f>SUMIFS(Model!$E$5:$E$454,Model!$B$5:$B$454,A35,Model!$A$5:$A$454,7) + SUMIFS(Model!$K$5:$K$454,Model!$B$5:$B$454,A35,Model!$A$5:$A$454,7)</f>
        <v>0</v>
      </c>
      <c r="G35" s="252">
        <f>SUMIFS(Model!$E$5:$E$454,Model!$B$5:$B$454,A35,Model!$A$5:$A$454,8) + SUMIFS(Model!$K$5:$K$454,Model!$B$5:$B$454,A35,Model!$A$5:$A$454,8)</f>
        <v>0</v>
      </c>
      <c r="H35" s="252">
        <f>SUMIFS(Model!$E$5:$E$454,Model!$B$5:$B$454,A35,Model!$A$5:$A$454,9) + SUMIFS(Model!$K$5:$K$454,Model!$B$5:$B$454,A35,Model!$A$5:$A$454,9)</f>
        <v>0</v>
      </c>
      <c r="I35" s="252">
        <f>SUMIFS(Model!$E$5:$E$454,Model!$B$5:$B$454,A35,Model!$A$5:$A$454,10) + SUMIFS(Model!$K$5:$K$454,Model!$B$5:$B$454,A35,Model!$A$5:$A$454,10)</f>
        <v>0</v>
      </c>
      <c r="J35" s="252">
        <f>SUMIFS(Model!$E$5:$E$454,Model!$B$5:$B$454,A35,Model!$A$5:$A$454,11) + SUMIFS(Model!$K$5:$K$454,Model!$B$5:$B$454,A35,Model!$A$5:$A$454,11)</f>
        <v>0</v>
      </c>
      <c r="K35" s="253"/>
      <c r="L35" s="252">
        <f>Inputs!A35</f>
        <v>0</v>
      </c>
      <c r="M35" s="252"/>
      <c r="N35" s="252"/>
      <c r="O35" s="252"/>
      <c r="P35" s="252"/>
      <c r="Q35" s="252"/>
      <c r="R35" s="252"/>
      <c r="S35" s="252"/>
      <c r="T35" s="252"/>
      <c r="U35" s="252"/>
      <c r="V35" s="253"/>
      <c r="W35" s="252">
        <f>Inputs!A35</f>
        <v>0</v>
      </c>
      <c r="X35" s="252">
        <f t="shared" si="2"/>
        <v>0</v>
      </c>
      <c r="Y35" s="257">
        <f t="shared" si="3"/>
        <v>0</v>
      </c>
      <c r="Z35" s="257">
        <f t="shared" si="20"/>
        <v>0</v>
      </c>
      <c r="AA35" s="257">
        <f t="shared" si="21"/>
        <v>0</v>
      </c>
      <c r="AB35" s="257">
        <f t="shared" si="22"/>
        <v>0</v>
      </c>
      <c r="AC35" s="257">
        <f t="shared" si="23"/>
        <v>0</v>
      </c>
      <c r="AD35" s="257">
        <f t="shared" si="24"/>
        <v>0</v>
      </c>
      <c r="AE35" s="257">
        <f t="shared" si="25"/>
        <v>0</v>
      </c>
      <c r="AF35" s="257">
        <f t="shared" si="10"/>
        <v>0</v>
      </c>
      <c r="AG35" s="253"/>
      <c r="AH35" s="252">
        <f>Inputs!A35</f>
        <v>0</v>
      </c>
      <c r="AI35" s="252">
        <f t="shared" si="11"/>
        <v>0</v>
      </c>
      <c r="AJ35" s="252">
        <f t="shared" si="12"/>
        <v>0</v>
      </c>
      <c r="AK35" s="252">
        <f t="shared" si="13"/>
        <v>0</v>
      </c>
      <c r="AL35" s="252">
        <f t="shared" si="14"/>
        <v>0</v>
      </c>
      <c r="AM35" s="252">
        <f t="shared" si="15"/>
        <v>0</v>
      </c>
      <c r="AN35" s="252">
        <f t="shared" si="16"/>
        <v>0</v>
      </c>
      <c r="AO35" s="252">
        <f t="shared" si="17"/>
        <v>0</v>
      </c>
      <c r="AP35" s="252">
        <f t="shared" si="18"/>
        <v>0</v>
      </c>
      <c r="AQ35" s="252">
        <f t="shared" si="19"/>
        <v>0</v>
      </c>
      <c r="AR35" s="253"/>
      <c r="AS35" s="252">
        <f>Inputs!A35</f>
        <v>0</v>
      </c>
      <c r="AT35" s="252">
        <f>X35*Inputs!F35*Inputs!G35</f>
        <v>0</v>
      </c>
      <c r="AU35" s="252">
        <f>Y35*Inputs!F35*Inputs!G35</f>
        <v>0</v>
      </c>
      <c r="AV35" s="252">
        <f>Z35*Inputs!F35*Inputs!G35</f>
        <v>0</v>
      </c>
      <c r="AW35" s="252">
        <f>AA35*Inputs!F35*Inputs!G35</f>
        <v>0</v>
      </c>
      <c r="AX35" s="252">
        <f>AB35*Inputs!F35*Inputs!G35</f>
        <v>0</v>
      </c>
      <c r="AY35" s="252">
        <f>AC35*Inputs!F35*Inputs!G35</f>
        <v>0</v>
      </c>
      <c r="AZ35" s="252">
        <f>AD35*Inputs!F35*Inputs!G35</f>
        <v>0</v>
      </c>
      <c r="BA35" s="252">
        <f>AE35*Inputs!F35*Inputs!G35</f>
        <v>0</v>
      </c>
      <c r="BB35" s="252">
        <f>AF35*Inputs!F35*Inputs!H35</f>
        <v>0</v>
      </c>
      <c r="BC35" s="253"/>
      <c r="BD35" s="252">
        <f>Inputs!A35</f>
        <v>0</v>
      </c>
      <c r="BE35" s="252">
        <f>AI35*Inputs!F35*Inputs!I35</f>
        <v>0</v>
      </c>
      <c r="BF35" s="252">
        <f>AJ35*Inputs!F35*Inputs!I35</f>
        <v>0</v>
      </c>
      <c r="BG35" s="252">
        <f>AK35*Inputs!F35*Inputs!I35</f>
        <v>0</v>
      </c>
      <c r="BH35" s="252">
        <f>AL35*Inputs!F35*Inputs!I35</f>
        <v>0</v>
      </c>
      <c r="BI35" s="252">
        <f>AM35*Inputs!F35*Inputs!I35</f>
        <v>0</v>
      </c>
      <c r="BJ35" s="252">
        <f>AN35*Inputs!F35*Inputs!I35</f>
        <v>0</v>
      </c>
      <c r="BK35" s="252">
        <f>AO35*Inputs!F35*Inputs!I35</f>
        <v>0</v>
      </c>
      <c r="BL35" s="252">
        <f>AP35*Inputs!F35*Inputs!I35</f>
        <v>0</v>
      </c>
      <c r="BM35" s="252">
        <f>AQ35*Inputs!F35*Inputs!I35</f>
        <v>0</v>
      </c>
      <c r="BN35" s="253"/>
      <c r="BO35" s="253"/>
    </row>
    <row r="36" spans="1:67" x14ac:dyDescent="0.25">
      <c r="A36" s="252">
        <f>Inputs!A36</f>
        <v>0</v>
      </c>
      <c r="B36" s="252">
        <f>SUMIFS(Model!$E$5:$E$454,Model!$B$5:$B$454,A36,Model!$A$5:$A$454,3) + SUMIFS(Model!$K$5:$K$454,Model!$B$5:$B$454,A36,Model!$A$5:$A$454,3)</f>
        <v>0</v>
      </c>
      <c r="C36" s="252">
        <f>SUMIFS(Model!$E$5:$E$454,Model!$B$5:$B$454,A36,Model!$A$5:$A$454,4) + SUMIFS(Model!$K$5:$K$454,Model!$B$5:$B$454,A36,Model!$A$5:$A$454,4)</f>
        <v>0</v>
      </c>
      <c r="D36" s="252">
        <f>SUMIFS(Model!$E$5:$E$454,Model!$B$5:$B$454,A36,Model!$A$5:$A$454,5) + SUMIFS(Model!$K$5:$K$454,Model!$B$5:$B$454,A36,Model!$A$5:$A$454,5)</f>
        <v>0</v>
      </c>
      <c r="E36" s="252">
        <f>SUMIFS(Model!$E$5:$E$454,Model!$B$5:$B$454,A36,Model!$A$5:$A$454,6) + SUMIFS(Model!$K$5:$K$454,Model!$B$5:$B$454,A36,Model!$A$5:$A$454,6)</f>
        <v>0</v>
      </c>
      <c r="F36" s="252">
        <f>SUMIFS(Model!$E$5:$E$454,Model!$B$5:$B$454,A36,Model!$A$5:$A$454,7) + SUMIFS(Model!$K$5:$K$454,Model!$B$5:$B$454,A36,Model!$A$5:$A$454,7)</f>
        <v>0</v>
      </c>
      <c r="G36" s="252">
        <f>SUMIFS(Model!$E$5:$E$454,Model!$B$5:$B$454,A36,Model!$A$5:$A$454,8) + SUMIFS(Model!$K$5:$K$454,Model!$B$5:$B$454,A36,Model!$A$5:$A$454,8)</f>
        <v>0</v>
      </c>
      <c r="H36" s="252">
        <f>SUMIFS(Model!$E$5:$E$454,Model!$B$5:$B$454,A36,Model!$A$5:$A$454,9) + SUMIFS(Model!$K$5:$K$454,Model!$B$5:$B$454,A36,Model!$A$5:$A$454,9)</f>
        <v>0</v>
      </c>
      <c r="I36" s="252">
        <f>SUMIFS(Model!$E$5:$E$454,Model!$B$5:$B$454,A36,Model!$A$5:$A$454,10) + SUMIFS(Model!$K$5:$K$454,Model!$B$5:$B$454,A36,Model!$A$5:$A$454,10)</f>
        <v>0</v>
      </c>
      <c r="J36" s="252">
        <f>SUMIFS(Model!$E$5:$E$454,Model!$B$5:$B$454,A36,Model!$A$5:$A$454,11) + SUMIFS(Model!$K$5:$K$454,Model!$B$5:$B$454,A36,Model!$A$5:$A$454,11)</f>
        <v>0</v>
      </c>
      <c r="K36" s="253"/>
      <c r="L36" s="252">
        <f>Inputs!A36</f>
        <v>0</v>
      </c>
      <c r="M36" s="252"/>
      <c r="N36" s="252"/>
      <c r="O36" s="252"/>
      <c r="P36" s="252"/>
      <c r="Q36" s="252"/>
      <c r="R36" s="252"/>
      <c r="S36" s="252"/>
      <c r="T36" s="252"/>
      <c r="U36" s="252"/>
      <c r="V36" s="253"/>
      <c r="W36" s="252">
        <f>Inputs!A36</f>
        <v>0</v>
      </c>
      <c r="X36" s="252">
        <f t="shared" si="2"/>
        <v>0</v>
      </c>
      <c r="Y36" s="257">
        <f t="shared" si="3"/>
        <v>0</v>
      </c>
      <c r="Z36" s="257">
        <f t="shared" si="20"/>
        <v>0</v>
      </c>
      <c r="AA36" s="257">
        <f t="shared" si="21"/>
        <v>0</v>
      </c>
      <c r="AB36" s="257">
        <f t="shared" si="22"/>
        <v>0</v>
      </c>
      <c r="AC36" s="257">
        <f t="shared" si="23"/>
        <v>0</v>
      </c>
      <c r="AD36" s="257">
        <f t="shared" si="24"/>
        <v>0</v>
      </c>
      <c r="AE36" s="257">
        <f t="shared" si="25"/>
        <v>0</v>
      </c>
      <c r="AF36" s="257">
        <f t="shared" si="10"/>
        <v>0</v>
      </c>
      <c r="AG36" s="253"/>
      <c r="AH36" s="252">
        <f>Inputs!A36</f>
        <v>0</v>
      </c>
      <c r="AI36" s="252">
        <f t="shared" si="11"/>
        <v>0</v>
      </c>
      <c r="AJ36" s="252">
        <f t="shared" si="12"/>
        <v>0</v>
      </c>
      <c r="AK36" s="252">
        <f t="shared" si="13"/>
        <v>0</v>
      </c>
      <c r="AL36" s="252">
        <f t="shared" si="14"/>
        <v>0</v>
      </c>
      <c r="AM36" s="252">
        <f t="shared" si="15"/>
        <v>0</v>
      </c>
      <c r="AN36" s="252">
        <f t="shared" si="16"/>
        <v>0</v>
      </c>
      <c r="AO36" s="252">
        <f t="shared" si="17"/>
        <v>0</v>
      </c>
      <c r="AP36" s="252">
        <f t="shared" si="18"/>
        <v>0</v>
      </c>
      <c r="AQ36" s="252">
        <f t="shared" si="19"/>
        <v>0</v>
      </c>
      <c r="AR36" s="253"/>
      <c r="AS36" s="252">
        <f>Inputs!A36</f>
        <v>0</v>
      </c>
      <c r="AT36" s="252">
        <f>X36*Inputs!F36*Inputs!G36</f>
        <v>0</v>
      </c>
      <c r="AU36" s="252">
        <f>Y36*Inputs!F36*Inputs!G36</f>
        <v>0</v>
      </c>
      <c r="AV36" s="252">
        <f>Z36*Inputs!F36*Inputs!G36</f>
        <v>0</v>
      </c>
      <c r="AW36" s="252">
        <f>AA36*Inputs!F36*Inputs!G36</f>
        <v>0</v>
      </c>
      <c r="AX36" s="252">
        <f>AB36*Inputs!F36*Inputs!G36</f>
        <v>0</v>
      </c>
      <c r="AY36" s="252">
        <f>AC36*Inputs!F36*Inputs!G36</f>
        <v>0</v>
      </c>
      <c r="AZ36" s="252">
        <f>AD36*Inputs!F36*Inputs!G36</f>
        <v>0</v>
      </c>
      <c r="BA36" s="252">
        <f>AE36*Inputs!F36*Inputs!G36</f>
        <v>0</v>
      </c>
      <c r="BB36" s="252">
        <f>AF36*Inputs!F36*Inputs!H36</f>
        <v>0</v>
      </c>
      <c r="BC36" s="253"/>
      <c r="BD36" s="252">
        <f>Inputs!A36</f>
        <v>0</v>
      </c>
      <c r="BE36" s="252">
        <f>AI36*Inputs!F36*Inputs!I36</f>
        <v>0</v>
      </c>
      <c r="BF36" s="252">
        <f>AJ36*Inputs!F36*Inputs!I36</f>
        <v>0</v>
      </c>
      <c r="BG36" s="252">
        <f>AK36*Inputs!F36*Inputs!I36</f>
        <v>0</v>
      </c>
      <c r="BH36" s="252">
        <f>AL36*Inputs!F36*Inputs!I36</f>
        <v>0</v>
      </c>
      <c r="BI36" s="252">
        <f>AM36*Inputs!F36*Inputs!I36</f>
        <v>0</v>
      </c>
      <c r="BJ36" s="252">
        <f>AN36*Inputs!F36*Inputs!I36</f>
        <v>0</v>
      </c>
      <c r="BK36" s="252">
        <f>AO36*Inputs!F36*Inputs!I36</f>
        <v>0</v>
      </c>
      <c r="BL36" s="252">
        <f>AP36*Inputs!F36*Inputs!I36</f>
        <v>0</v>
      </c>
      <c r="BM36" s="252">
        <f>AQ36*Inputs!F36*Inputs!I36</f>
        <v>0</v>
      </c>
      <c r="BN36" s="253"/>
      <c r="BO36" s="253"/>
    </row>
    <row r="37" spans="1:67" x14ac:dyDescent="0.25">
      <c r="A37" s="252">
        <f>Inputs!A37</f>
        <v>0</v>
      </c>
      <c r="B37" s="252">
        <f>SUMIFS(Model!$E$5:$E$454,Model!$B$5:$B$454,A37,Model!$A$5:$A$454,3) + SUMIFS(Model!$K$5:$K$454,Model!$B$5:$B$454,A37,Model!$A$5:$A$454,3)</f>
        <v>0</v>
      </c>
      <c r="C37" s="252">
        <f>SUMIFS(Model!$E$5:$E$454,Model!$B$5:$B$454,A37,Model!$A$5:$A$454,4) + SUMIFS(Model!$K$5:$K$454,Model!$B$5:$B$454,A37,Model!$A$5:$A$454,4)</f>
        <v>0</v>
      </c>
      <c r="D37" s="252">
        <f>SUMIFS(Model!$E$5:$E$454,Model!$B$5:$B$454,A37,Model!$A$5:$A$454,5) + SUMIFS(Model!$K$5:$K$454,Model!$B$5:$B$454,A37,Model!$A$5:$A$454,5)</f>
        <v>0</v>
      </c>
      <c r="E37" s="252">
        <f>SUMIFS(Model!$E$5:$E$454,Model!$B$5:$B$454,A37,Model!$A$5:$A$454,6) + SUMIFS(Model!$K$5:$K$454,Model!$B$5:$B$454,A37,Model!$A$5:$A$454,6)</f>
        <v>0</v>
      </c>
      <c r="F37" s="252">
        <f>SUMIFS(Model!$E$5:$E$454,Model!$B$5:$B$454,A37,Model!$A$5:$A$454,7) + SUMIFS(Model!$K$5:$K$454,Model!$B$5:$B$454,A37,Model!$A$5:$A$454,7)</f>
        <v>0</v>
      </c>
      <c r="G37" s="252">
        <f>SUMIFS(Model!$E$5:$E$454,Model!$B$5:$B$454,A37,Model!$A$5:$A$454,8) + SUMIFS(Model!$K$5:$K$454,Model!$B$5:$B$454,A37,Model!$A$5:$A$454,8)</f>
        <v>0</v>
      </c>
      <c r="H37" s="252">
        <f>SUMIFS(Model!$E$5:$E$454,Model!$B$5:$B$454,A37,Model!$A$5:$A$454,9) + SUMIFS(Model!$K$5:$K$454,Model!$B$5:$B$454,A37,Model!$A$5:$A$454,9)</f>
        <v>0</v>
      </c>
      <c r="I37" s="252">
        <f>SUMIFS(Model!$E$5:$E$454,Model!$B$5:$B$454,A37,Model!$A$5:$A$454,10) + SUMIFS(Model!$K$5:$K$454,Model!$B$5:$B$454,A37,Model!$A$5:$A$454,10)</f>
        <v>0</v>
      </c>
      <c r="J37" s="252">
        <f>SUMIFS(Model!$E$5:$E$454,Model!$B$5:$B$454,A37,Model!$A$5:$A$454,11) + SUMIFS(Model!$K$5:$K$454,Model!$B$5:$B$454,A37,Model!$A$5:$A$454,11)</f>
        <v>0</v>
      </c>
      <c r="K37" s="253"/>
      <c r="L37" s="252">
        <f>Inputs!A37</f>
        <v>0</v>
      </c>
      <c r="M37" s="252"/>
      <c r="N37" s="252"/>
      <c r="O37" s="252"/>
      <c r="P37" s="252"/>
      <c r="Q37" s="252"/>
      <c r="R37" s="252"/>
      <c r="S37" s="252"/>
      <c r="T37" s="252"/>
      <c r="U37" s="252"/>
      <c r="V37" s="253"/>
      <c r="W37" s="252">
        <f>Inputs!A37</f>
        <v>0</v>
      </c>
      <c r="X37" s="252">
        <f t="shared" si="2"/>
        <v>0</v>
      </c>
      <c r="Y37" s="257">
        <f t="shared" si="3"/>
        <v>0</v>
      </c>
      <c r="Z37" s="257">
        <f t="shared" si="20"/>
        <v>0</v>
      </c>
      <c r="AA37" s="257">
        <f t="shared" si="21"/>
        <v>0</v>
      </c>
      <c r="AB37" s="257">
        <f t="shared" si="22"/>
        <v>0</v>
      </c>
      <c r="AC37" s="257">
        <f t="shared" si="23"/>
        <v>0</v>
      </c>
      <c r="AD37" s="257">
        <f t="shared" si="24"/>
        <v>0</v>
      </c>
      <c r="AE37" s="257">
        <f t="shared" si="25"/>
        <v>0</v>
      </c>
      <c r="AF37" s="257">
        <f t="shared" si="10"/>
        <v>0</v>
      </c>
      <c r="AG37" s="253"/>
      <c r="AH37" s="252">
        <f>Inputs!A37</f>
        <v>0</v>
      </c>
      <c r="AI37" s="252">
        <f t="shared" si="11"/>
        <v>0</v>
      </c>
      <c r="AJ37" s="252">
        <f t="shared" si="12"/>
        <v>0</v>
      </c>
      <c r="AK37" s="252">
        <f t="shared" si="13"/>
        <v>0</v>
      </c>
      <c r="AL37" s="252">
        <f t="shared" si="14"/>
        <v>0</v>
      </c>
      <c r="AM37" s="252">
        <f t="shared" si="15"/>
        <v>0</v>
      </c>
      <c r="AN37" s="252">
        <f t="shared" si="16"/>
        <v>0</v>
      </c>
      <c r="AO37" s="252">
        <f t="shared" si="17"/>
        <v>0</v>
      </c>
      <c r="AP37" s="252">
        <f t="shared" si="18"/>
        <v>0</v>
      </c>
      <c r="AQ37" s="252">
        <f t="shared" si="19"/>
        <v>0</v>
      </c>
      <c r="AR37" s="253"/>
      <c r="AS37" s="252">
        <f>Inputs!A37</f>
        <v>0</v>
      </c>
      <c r="AT37" s="252">
        <f>X37*Inputs!F37*Inputs!G37</f>
        <v>0</v>
      </c>
      <c r="AU37" s="252">
        <f>Y37*Inputs!F37*Inputs!G37</f>
        <v>0</v>
      </c>
      <c r="AV37" s="252">
        <f>Z37*Inputs!F37*Inputs!G37</f>
        <v>0</v>
      </c>
      <c r="AW37" s="252">
        <f>AA37*Inputs!F37*Inputs!G37</f>
        <v>0</v>
      </c>
      <c r="AX37" s="252">
        <f>AB37*Inputs!F37*Inputs!G37</f>
        <v>0</v>
      </c>
      <c r="AY37" s="252">
        <f>AC37*Inputs!F37*Inputs!G37</f>
        <v>0</v>
      </c>
      <c r="AZ37" s="252">
        <f>AD37*Inputs!F37*Inputs!G37</f>
        <v>0</v>
      </c>
      <c r="BA37" s="252">
        <f>AE37*Inputs!F37*Inputs!G37</f>
        <v>0</v>
      </c>
      <c r="BB37" s="252">
        <f>AF37*Inputs!F37*Inputs!H37</f>
        <v>0</v>
      </c>
      <c r="BC37" s="253"/>
      <c r="BD37" s="252">
        <f>Inputs!A37</f>
        <v>0</v>
      </c>
      <c r="BE37" s="252">
        <f>AI37*Inputs!F37*Inputs!I37</f>
        <v>0</v>
      </c>
      <c r="BF37" s="252">
        <f>AJ37*Inputs!F37*Inputs!I37</f>
        <v>0</v>
      </c>
      <c r="BG37" s="252">
        <f>AK37*Inputs!F37*Inputs!I37</f>
        <v>0</v>
      </c>
      <c r="BH37" s="252">
        <f>AL37*Inputs!F37*Inputs!I37</f>
        <v>0</v>
      </c>
      <c r="BI37" s="252">
        <f>AM37*Inputs!F37*Inputs!I37</f>
        <v>0</v>
      </c>
      <c r="BJ37" s="252">
        <f>AN37*Inputs!F37*Inputs!I37</f>
        <v>0</v>
      </c>
      <c r="BK37" s="252">
        <f>AO37*Inputs!F37*Inputs!I37</f>
        <v>0</v>
      </c>
      <c r="BL37" s="252">
        <f>AP37*Inputs!F37*Inputs!I37</f>
        <v>0</v>
      </c>
      <c r="BM37" s="252">
        <f>AQ37*Inputs!F37*Inputs!I37</f>
        <v>0</v>
      </c>
      <c r="BN37" s="253"/>
      <c r="BO37" s="253"/>
    </row>
    <row r="38" spans="1:67" x14ac:dyDescent="0.25">
      <c r="A38" s="252">
        <f>Inputs!A38</f>
        <v>0</v>
      </c>
      <c r="B38" s="252">
        <f>SUMIFS(Model!$E$5:$E$454,Model!$B$5:$B$454,A38,Model!$A$5:$A$454,3) + SUMIFS(Model!$K$5:$K$454,Model!$B$5:$B$454,A38,Model!$A$5:$A$454,3)</f>
        <v>0</v>
      </c>
      <c r="C38" s="252">
        <f>SUMIFS(Model!$E$5:$E$454,Model!$B$5:$B$454,A38,Model!$A$5:$A$454,4) + SUMIFS(Model!$K$5:$K$454,Model!$B$5:$B$454,A38,Model!$A$5:$A$454,4)</f>
        <v>0</v>
      </c>
      <c r="D38" s="252">
        <f>SUMIFS(Model!$E$5:$E$454,Model!$B$5:$B$454,A38,Model!$A$5:$A$454,5) + SUMIFS(Model!$K$5:$K$454,Model!$B$5:$B$454,A38,Model!$A$5:$A$454,5)</f>
        <v>0</v>
      </c>
      <c r="E38" s="252">
        <f>SUMIFS(Model!$E$5:$E$454,Model!$B$5:$B$454,A38,Model!$A$5:$A$454,6) + SUMIFS(Model!$K$5:$K$454,Model!$B$5:$B$454,A38,Model!$A$5:$A$454,6)</f>
        <v>0</v>
      </c>
      <c r="F38" s="252">
        <f>SUMIFS(Model!$E$5:$E$454,Model!$B$5:$B$454,A38,Model!$A$5:$A$454,7) + SUMIFS(Model!$K$5:$K$454,Model!$B$5:$B$454,A38,Model!$A$5:$A$454,7)</f>
        <v>0</v>
      </c>
      <c r="G38" s="252">
        <f>SUMIFS(Model!$E$5:$E$454,Model!$B$5:$B$454,A38,Model!$A$5:$A$454,8) + SUMIFS(Model!$K$5:$K$454,Model!$B$5:$B$454,A38,Model!$A$5:$A$454,8)</f>
        <v>0</v>
      </c>
      <c r="H38" s="252">
        <f>SUMIFS(Model!$E$5:$E$454,Model!$B$5:$B$454,A38,Model!$A$5:$A$454,9) + SUMIFS(Model!$K$5:$K$454,Model!$B$5:$B$454,A38,Model!$A$5:$A$454,9)</f>
        <v>0</v>
      </c>
      <c r="I38" s="252">
        <f>SUMIFS(Model!$E$5:$E$454,Model!$B$5:$B$454,A38,Model!$A$5:$A$454,10) + SUMIFS(Model!$K$5:$K$454,Model!$B$5:$B$454,A38,Model!$A$5:$A$454,10)</f>
        <v>0</v>
      </c>
      <c r="J38" s="252">
        <f>SUMIFS(Model!$E$5:$E$454,Model!$B$5:$B$454,A38,Model!$A$5:$A$454,11) + SUMIFS(Model!$K$5:$K$454,Model!$B$5:$B$454,A38,Model!$A$5:$A$454,11)</f>
        <v>0</v>
      </c>
      <c r="K38" s="253"/>
      <c r="L38" s="252">
        <f>Inputs!A38</f>
        <v>0</v>
      </c>
      <c r="M38" s="252"/>
      <c r="N38" s="252"/>
      <c r="O38" s="252"/>
      <c r="P38" s="252"/>
      <c r="Q38" s="252"/>
      <c r="R38" s="252"/>
      <c r="S38" s="252"/>
      <c r="T38" s="252"/>
      <c r="U38" s="252"/>
      <c r="V38" s="253"/>
      <c r="W38" s="252">
        <f>Inputs!A38</f>
        <v>0</v>
      </c>
      <c r="X38" s="252">
        <f t="shared" si="2"/>
        <v>0</v>
      </c>
      <c r="Y38" s="257">
        <f t="shared" si="3"/>
        <v>0</v>
      </c>
      <c r="Z38" s="257">
        <f t="shared" si="20"/>
        <v>0</v>
      </c>
      <c r="AA38" s="257">
        <f t="shared" si="21"/>
        <v>0</v>
      </c>
      <c r="AB38" s="257">
        <f t="shared" si="22"/>
        <v>0</v>
      </c>
      <c r="AC38" s="257">
        <f t="shared" si="23"/>
        <v>0</v>
      </c>
      <c r="AD38" s="257">
        <f t="shared" si="24"/>
        <v>0</v>
      </c>
      <c r="AE38" s="257">
        <f t="shared" si="25"/>
        <v>0</v>
      </c>
      <c r="AF38" s="257">
        <f t="shared" si="10"/>
        <v>0</v>
      </c>
      <c r="AG38" s="253"/>
      <c r="AH38" s="252">
        <f>Inputs!A38</f>
        <v>0</v>
      </c>
      <c r="AI38" s="252">
        <f t="shared" si="11"/>
        <v>0</v>
      </c>
      <c r="AJ38" s="252">
        <f t="shared" si="12"/>
        <v>0</v>
      </c>
      <c r="AK38" s="252">
        <f t="shared" si="13"/>
        <v>0</v>
      </c>
      <c r="AL38" s="252">
        <f t="shared" si="14"/>
        <v>0</v>
      </c>
      <c r="AM38" s="252">
        <f t="shared" si="15"/>
        <v>0</v>
      </c>
      <c r="AN38" s="252">
        <f t="shared" si="16"/>
        <v>0</v>
      </c>
      <c r="AO38" s="252">
        <f t="shared" si="17"/>
        <v>0</v>
      </c>
      <c r="AP38" s="252">
        <f t="shared" si="18"/>
        <v>0</v>
      </c>
      <c r="AQ38" s="252">
        <f t="shared" si="19"/>
        <v>0</v>
      </c>
      <c r="AR38" s="253"/>
      <c r="AS38" s="252">
        <f>Inputs!A38</f>
        <v>0</v>
      </c>
      <c r="AT38" s="252">
        <f>X38*Inputs!F38*Inputs!G38</f>
        <v>0</v>
      </c>
      <c r="AU38" s="252">
        <f>Y38*Inputs!F38*Inputs!G38</f>
        <v>0</v>
      </c>
      <c r="AV38" s="252">
        <f>Z38*Inputs!F38*Inputs!G38</f>
        <v>0</v>
      </c>
      <c r="AW38" s="252">
        <f>AA38*Inputs!F38*Inputs!G38</f>
        <v>0</v>
      </c>
      <c r="AX38" s="252">
        <f>AB38*Inputs!F38*Inputs!G38</f>
        <v>0</v>
      </c>
      <c r="AY38" s="252">
        <f>AC38*Inputs!F38*Inputs!G38</f>
        <v>0</v>
      </c>
      <c r="AZ38" s="252">
        <f>AD38*Inputs!F38*Inputs!G38</f>
        <v>0</v>
      </c>
      <c r="BA38" s="252">
        <f>AE38*Inputs!F38*Inputs!G38</f>
        <v>0</v>
      </c>
      <c r="BB38" s="252">
        <f>AF38*Inputs!F38*Inputs!H38</f>
        <v>0</v>
      </c>
      <c r="BC38" s="253"/>
      <c r="BD38" s="252">
        <f>Inputs!A38</f>
        <v>0</v>
      </c>
      <c r="BE38" s="252">
        <f>AI38*Inputs!F38*Inputs!I38</f>
        <v>0</v>
      </c>
      <c r="BF38" s="252">
        <f>AJ38*Inputs!F38*Inputs!I38</f>
        <v>0</v>
      </c>
      <c r="BG38" s="252">
        <f>AK38*Inputs!F38*Inputs!I38</f>
        <v>0</v>
      </c>
      <c r="BH38" s="252">
        <f>AL38*Inputs!F38*Inputs!I38</f>
        <v>0</v>
      </c>
      <c r="BI38" s="252">
        <f>AM38*Inputs!F38*Inputs!I38</f>
        <v>0</v>
      </c>
      <c r="BJ38" s="252">
        <f>AN38*Inputs!F38*Inputs!I38</f>
        <v>0</v>
      </c>
      <c r="BK38" s="252">
        <f>AO38*Inputs!F38*Inputs!I38</f>
        <v>0</v>
      </c>
      <c r="BL38" s="252">
        <f>AP38*Inputs!F38*Inputs!I38</f>
        <v>0</v>
      </c>
      <c r="BM38" s="252">
        <f>AQ38*Inputs!F38*Inputs!I38</f>
        <v>0</v>
      </c>
      <c r="BN38" s="253"/>
      <c r="BO38" s="253"/>
    </row>
    <row r="39" spans="1:67" x14ac:dyDescent="0.25">
      <c r="A39" s="252">
        <f>Inputs!A39</f>
        <v>0</v>
      </c>
      <c r="B39" s="252">
        <f>SUMIFS(Model!$E$5:$E$454,Model!$B$5:$B$454,A39,Model!$A$5:$A$454,3) + SUMIFS(Model!$K$5:$K$454,Model!$B$5:$B$454,A39,Model!$A$5:$A$454,3)</f>
        <v>0</v>
      </c>
      <c r="C39" s="252">
        <f>SUMIFS(Model!$E$5:$E$454,Model!$B$5:$B$454,A39,Model!$A$5:$A$454,4) + SUMIFS(Model!$K$5:$K$454,Model!$B$5:$B$454,A39,Model!$A$5:$A$454,4)</f>
        <v>0</v>
      </c>
      <c r="D39" s="252">
        <f>SUMIFS(Model!$E$5:$E$454,Model!$B$5:$B$454,A39,Model!$A$5:$A$454,5) + SUMIFS(Model!$K$5:$K$454,Model!$B$5:$B$454,A39,Model!$A$5:$A$454,5)</f>
        <v>0</v>
      </c>
      <c r="E39" s="252">
        <f>SUMIFS(Model!$E$5:$E$454,Model!$B$5:$B$454,A39,Model!$A$5:$A$454,6) + SUMIFS(Model!$K$5:$K$454,Model!$B$5:$B$454,A39,Model!$A$5:$A$454,6)</f>
        <v>0</v>
      </c>
      <c r="F39" s="252">
        <f>SUMIFS(Model!$E$5:$E$454,Model!$B$5:$B$454,A39,Model!$A$5:$A$454,7) + SUMIFS(Model!$K$5:$K$454,Model!$B$5:$B$454,A39,Model!$A$5:$A$454,7)</f>
        <v>0</v>
      </c>
      <c r="G39" s="252">
        <f>SUMIFS(Model!$E$5:$E$454,Model!$B$5:$B$454,A39,Model!$A$5:$A$454,8) + SUMIFS(Model!$K$5:$K$454,Model!$B$5:$B$454,A39,Model!$A$5:$A$454,8)</f>
        <v>0</v>
      </c>
      <c r="H39" s="252">
        <f>SUMIFS(Model!$E$5:$E$454,Model!$B$5:$B$454,A39,Model!$A$5:$A$454,9) + SUMIFS(Model!$K$5:$K$454,Model!$B$5:$B$454,A39,Model!$A$5:$A$454,9)</f>
        <v>0</v>
      </c>
      <c r="I39" s="252">
        <f>SUMIFS(Model!$E$5:$E$454,Model!$B$5:$B$454,A39,Model!$A$5:$A$454,10) + SUMIFS(Model!$K$5:$K$454,Model!$B$5:$B$454,A39,Model!$A$5:$A$454,10)</f>
        <v>0</v>
      </c>
      <c r="J39" s="252">
        <f>SUMIFS(Model!$E$5:$E$454,Model!$B$5:$B$454,A39,Model!$A$5:$A$454,11) + SUMIFS(Model!$K$5:$K$454,Model!$B$5:$B$454,A39,Model!$A$5:$A$454,11)</f>
        <v>0</v>
      </c>
      <c r="K39" s="253"/>
      <c r="L39" s="252">
        <f>Inputs!A39</f>
        <v>0</v>
      </c>
      <c r="M39" s="252"/>
      <c r="N39" s="252"/>
      <c r="O39" s="252"/>
      <c r="P39" s="252"/>
      <c r="Q39" s="252"/>
      <c r="R39" s="252"/>
      <c r="S39" s="252"/>
      <c r="T39" s="252"/>
      <c r="U39" s="252"/>
      <c r="V39" s="253"/>
      <c r="W39" s="252">
        <f>Inputs!A39</f>
        <v>0</v>
      </c>
      <c r="X39" s="252">
        <f t="shared" si="2"/>
        <v>0</v>
      </c>
      <c r="Y39" s="257">
        <f t="shared" si="3"/>
        <v>0</v>
      </c>
      <c r="Z39" s="257">
        <f t="shared" si="20"/>
        <v>0</v>
      </c>
      <c r="AA39" s="257">
        <f t="shared" si="21"/>
        <v>0</v>
      </c>
      <c r="AB39" s="257">
        <f t="shared" si="22"/>
        <v>0</v>
      </c>
      <c r="AC39" s="257">
        <f t="shared" si="23"/>
        <v>0</v>
      </c>
      <c r="AD39" s="257">
        <f t="shared" si="24"/>
        <v>0</v>
      </c>
      <c r="AE39" s="257">
        <f t="shared" si="25"/>
        <v>0</v>
      </c>
      <c r="AF39" s="257">
        <f t="shared" si="10"/>
        <v>0</v>
      </c>
      <c r="AG39" s="253"/>
      <c r="AH39" s="252">
        <f>Inputs!A39</f>
        <v>0</v>
      </c>
      <c r="AI39" s="252">
        <f t="shared" si="11"/>
        <v>0</v>
      </c>
      <c r="AJ39" s="252">
        <f t="shared" si="12"/>
        <v>0</v>
      </c>
      <c r="AK39" s="252">
        <f t="shared" si="13"/>
        <v>0</v>
      </c>
      <c r="AL39" s="252">
        <f t="shared" si="14"/>
        <v>0</v>
      </c>
      <c r="AM39" s="252">
        <f t="shared" si="15"/>
        <v>0</v>
      </c>
      <c r="AN39" s="252">
        <f t="shared" si="16"/>
        <v>0</v>
      </c>
      <c r="AO39" s="252">
        <f t="shared" si="17"/>
        <v>0</v>
      </c>
      <c r="AP39" s="252">
        <f t="shared" si="18"/>
        <v>0</v>
      </c>
      <c r="AQ39" s="252">
        <f t="shared" si="19"/>
        <v>0</v>
      </c>
      <c r="AR39" s="253"/>
      <c r="AS39" s="252">
        <f>Inputs!A39</f>
        <v>0</v>
      </c>
      <c r="AT39" s="252">
        <f>X39*Inputs!F39*Inputs!G39</f>
        <v>0</v>
      </c>
      <c r="AU39" s="252">
        <f>Y39*Inputs!F39*Inputs!G39</f>
        <v>0</v>
      </c>
      <c r="AV39" s="252">
        <f>Z39*Inputs!F39*Inputs!G39</f>
        <v>0</v>
      </c>
      <c r="AW39" s="252">
        <f>AA39*Inputs!F39*Inputs!G39</f>
        <v>0</v>
      </c>
      <c r="AX39" s="252">
        <f>AB39*Inputs!F39*Inputs!G39</f>
        <v>0</v>
      </c>
      <c r="AY39" s="252">
        <f>AC39*Inputs!F39*Inputs!G39</f>
        <v>0</v>
      </c>
      <c r="AZ39" s="252">
        <f>AD39*Inputs!F39*Inputs!G39</f>
        <v>0</v>
      </c>
      <c r="BA39" s="252">
        <f>AE39*Inputs!F39*Inputs!G39</f>
        <v>0</v>
      </c>
      <c r="BB39" s="252">
        <f>AF39*Inputs!F39*Inputs!H39</f>
        <v>0</v>
      </c>
      <c r="BC39" s="253"/>
      <c r="BD39" s="252">
        <f>Inputs!A39</f>
        <v>0</v>
      </c>
      <c r="BE39" s="252">
        <f>AI39*Inputs!F39*Inputs!I39</f>
        <v>0</v>
      </c>
      <c r="BF39" s="252">
        <f>AJ39*Inputs!F39*Inputs!I39</f>
        <v>0</v>
      </c>
      <c r="BG39" s="252">
        <f>AK39*Inputs!F39*Inputs!I39</f>
        <v>0</v>
      </c>
      <c r="BH39" s="252">
        <f>AL39*Inputs!F39*Inputs!I39</f>
        <v>0</v>
      </c>
      <c r="BI39" s="252">
        <f>AM39*Inputs!F39*Inputs!I39</f>
        <v>0</v>
      </c>
      <c r="BJ39" s="252">
        <f>AN39*Inputs!F39*Inputs!I39</f>
        <v>0</v>
      </c>
      <c r="BK39" s="252">
        <f>AO39*Inputs!F39*Inputs!I39</f>
        <v>0</v>
      </c>
      <c r="BL39" s="252">
        <f>AP39*Inputs!F39*Inputs!I39</f>
        <v>0</v>
      </c>
      <c r="BM39" s="252">
        <f>AQ39*Inputs!F39*Inputs!I39</f>
        <v>0</v>
      </c>
      <c r="BN39" s="253"/>
      <c r="BO39" s="253"/>
    </row>
    <row r="40" spans="1:67" x14ac:dyDescent="0.25">
      <c r="A40" s="252">
        <f>Inputs!A40</f>
        <v>0</v>
      </c>
      <c r="B40" s="252">
        <f>SUMIFS(Model!$E$5:$E$454,Model!$B$5:$B$454,A40,Model!$A$5:$A$454,3) + SUMIFS(Model!$K$5:$K$454,Model!$B$5:$B$454,A40,Model!$A$5:$A$454,3)</f>
        <v>0</v>
      </c>
      <c r="C40" s="252">
        <f>SUMIFS(Model!$E$5:$E$454,Model!$B$5:$B$454,A40,Model!$A$5:$A$454,4) + SUMIFS(Model!$K$5:$K$454,Model!$B$5:$B$454,A40,Model!$A$5:$A$454,4)</f>
        <v>0</v>
      </c>
      <c r="D40" s="252">
        <f>SUMIFS(Model!$E$5:$E$454,Model!$B$5:$B$454,A40,Model!$A$5:$A$454,5) + SUMIFS(Model!$K$5:$K$454,Model!$B$5:$B$454,A40,Model!$A$5:$A$454,5)</f>
        <v>0</v>
      </c>
      <c r="E40" s="252">
        <f>SUMIFS(Model!$E$5:$E$454,Model!$B$5:$B$454,A40,Model!$A$5:$A$454,6) + SUMIFS(Model!$K$5:$K$454,Model!$B$5:$B$454,A40,Model!$A$5:$A$454,6)</f>
        <v>0</v>
      </c>
      <c r="F40" s="252">
        <f>SUMIFS(Model!$E$5:$E$454,Model!$B$5:$B$454,A40,Model!$A$5:$A$454,7) + SUMIFS(Model!$K$5:$K$454,Model!$B$5:$B$454,A40,Model!$A$5:$A$454,7)</f>
        <v>0</v>
      </c>
      <c r="G40" s="252">
        <f>SUMIFS(Model!$E$5:$E$454,Model!$B$5:$B$454,A40,Model!$A$5:$A$454,8) + SUMIFS(Model!$K$5:$K$454,Model!$B$5:$B$454,A40,Model!$A$5:$A$454,8)</f>
        <v>0</v>
      </c>
      <c r="H40" s="252">
        <f>SUMIFS(Model!$E$5:$E$454,Model!$B$5:$B$454,A40,Model!$A$5:$A$454,9) + SUMIFS(Model!$K$5:$K$454,Model!$B$5:$B$454,A40,Model!$A$5:$A$454,9)</f>
        <v>0</v>
      </c>
      <c r="I40" s="252">
        <f>SUMIFS(Model!$E$5:$E$454,Model!$B$5:$B$454,A40,Model!$A$5:$A$454,10) + SUMIFS(Model!$K$5:$K$454,Model!$B$5:$B$454,A40,Model!$A$5:$A$454,10)</f>
        <v>0</v>
      </c>
      <c r="J40" s="252">
        <f>SUMIFS(Model!$E$5:$E$454,Model!$B$5:$B$454,A40,Model!$A$5:$A$454,11) + SUMIFS(Model!$K$5:$K$454,Model!$B$5:$B$454,A40,Model!$A$5:$A$454,11)</f>
        <v>0</v>
      </c>
      <c r="K40" s="253"/>
      <c r="L40" s="252">
        <f>Inputs!A40</f>
        <v>0</v>
      </c>
      <c r="M40" s="252"/>
      <c r="N40" s="252"/>
      <c r="O40" s="252"/>
      <c r="P40" s="252"/>
      <c r="Q40" s="252"/>
      <c r="R40" s="252"/>
      <c r="S40" s="252"/>
      <c r="T40" s="252"/>
      <c r="U40" s="252"/>
      <c r="V40" s="253"/>
      <c r="W40" s="252">
        <f>Inputs!A40</f>
        <v>0</v>
      </c>
      <c r="X40" s="252">
        <f t="shared" si="2"/>
        <v>0</v>
      </c>
      <c r="Y40" s="257">
        <f t="shared" si="3"/>
        <v>0</v>
      </c>
      <c r="Z40" s="257">
        <f t="shared" si="20"/>
        <v>0</v>
      </c>
      <c r="AA40" s="257">
        <f t="shared" si="21"/>
        <v>0</v>
      </c>
      <c r="AB40" s="257">
        <f t="shared" si="22"/>
        <v>0</v>
      </c>
      <c r="AC40" s="257">
        <f t="shared" si="23"/>
        <v>0</v>
      </c>
      <c r="AD40" s="257">
        <f t="shared" si="24"/>
        <v>0</v>
      </c>
      <c r="AE40" s="257">
        <f t="shared" si="25"/>
        <v>0</v>
      </c>
      <c r="AF40" s="257">
        <f t="shared" si="10"/>
        <v>0</v>
      </c>
      <c r="AG40" s="253"/>
      <c r="AH40" s="252">
        <f>Inputs!A40</f>
        <v>0</v>
      </c>
      <c r="AI40" s="252">
        <f t="shared" si="11"/>
        <v>0</v>
      </c>
      <c r="AJ40" s="252">
        <f t="shared" si="12"/>
        <v>0</v>
      </c>
      <c r="AK40" s="252">
        <f t="shared" si="13"/>
        <v>0</v>
      </c>
      <c r="AL40" s="252">
        <f t="shared" si="14"/>
        <v>0</v>
      </c>
      <c r="AM40" s="252">
        <f t="shared" si="15"/>
        <v>0</v>
      </c>
      <c r="AN40" s="252">
        <f t="shared" si="16"/>
        <v>0</v>
      </c>
      <c r="AO40" s="252">
        <f t="shared" si="17"/>
        <v>0</v>
      </c>
      <c r="AP40" s="252">
        <f t="shared" si="18"/>
        <v>0</v>
      </c>
      <c r="AQ40" s="252">
        <f t="shared" si="19"/>
        <v>0</v>
      </c>
      <c r="AR40" s="253"/>
      <c r="AS40" s="252">
        <f>Inputs!A40</f>
        <v>0</v>
      </c>
      <c r="AT40" s="252">
        <f>X40*Inputs!F40*Inputs!G40</f>
        <v>0</v>
      </c>
      <c r="AU40" s="252">
        <f>Y40*Inputs!F40*Inputs!G40</f>
        <v>0</v>
      </c>
      <c r="AV40" s="252">
        <f>Z40*Inputs!F40*Inputs!G40</f>
        <v>0</v>
      </c>
      <c r="AW40" s="252">
        <f>AA40*Inputs!F40*Inputs!G40</f>
        <v>0</v>
      </c>
      <c r="AX40" s="252">
        <f>AB40*Inputs!F40*Inputs!G40</f>
        <v>0</v>
      </c>
      <c r="AY40" s="252">
        <f>AC40*Inputs!F40*Inputs!G40</f>
        <v>0</v>
      </c>
      <c r="AZ40" s="252">
        <f>AD40*Inputs!F40*Inputs!G40</f>
        <v>0</v>
      </c>
      <c r="BA40" s="252">
        <f>AE40*Inputs!F40*Inputs!G40</f>
        <v>0</v>
      </c>
      <c r="BB40" s="252">
        <f>AF40*Inputs!F40*Inputs!H40</f>
        <v>0</v>
      </c>
      <c r="BC40" s="253"/>
      <c r="BD40" s="252">
        <f>Inputs!A40</f>
        <v>0</v>
      </c>
      <c r="BE40" s="252">
        <f>AI40*Inputs!F40*Inputs!I40</f>
        <v>0</v>
      </c>
      <c r="BF40" s="252">
        <f>AJ40*Inputs!F40*Inputs!I40</f>
        <v>0</v>
      </c>
      <c r="BG40" s="252">
        <f>AK40*Inputs!F40*Inputs!I40</f>
        <v>0</v>
      </c>
      <c r="BH40" s="252">
        <f>AL40*Inputs!F40*Inputs!I40</f>
        <v>0</v>
      </c>
      <c r="BI40" s="252">
        <f>AM40*Inputs!F40*Inputs!I40</f>
        <v>0</v>
      </c>
      <c r="BJ40" s="252">
        <f>AN40*Inputs!F40*Inputs!I40</f>
        <v>0</v>
      </c>
      <c r="BK40" s="252">
        <f>AO40*Inputs!F40*Inputs!I40</f>
        <v>0</v>
      </c>
      <c r="BL40" s="252">
        <f>AP40*Inputs!F40*Inputs!I40</f>
        <v>0</v>
      </c>
      <c r="BM40" s="252">
        <f>AQ40*Inputs!F40*Inputs!I40</f>
        <v>0</v>
      </c>
      <c r="BN40" s="253"/>
      <c r="BO40" s="253"/>
    </row>
    <row r="41" spans="1:67" x14ac:dyDescent="0.25">
      <c r="A41" s="252">
        <f>Inputs!A41</f>
        <v>0</v>
      </c>
      <c r="B41" s="252">
        <f>SUMIFS(Model!$E$5:$E$454,Model!$B$5:$B$454,A41,Model!$A$5:$A$454,3) + SUMIFS(Model!$K$5:$K$454,Model!$B$5:$B$454,A41,Model!$A$5:$A$454,3)</f>
        <v>0</v>
      </c>
      <c r="C41" s="252">
        <f>SUMIFS(Model!$E$5:$E$454,Model!$B$5:$B$454,A41,Model!$A$5:$A$454,4) + SUMIFS(Model!$K$5:$K$454,Model!$B$5:$B$454,A41,Model!$A$5:$A$454,4)</f>
        <v>0</v>
      </c>
      <c r="D41" s="252">
        <f>SUMIFS(Model!$E$5:$E$454,Model!$B$5:$B$454,A41,Model!$A$5:$A$454,5) + SUMIFS(Model!$K$5:$K$454,Model!$B$5:$B$454,A41,Model!$A$5:$A$454,5)</f>
        <v>0</v>
      </c>
      <c r="E41" s="252">
        <f>SUMIFS(Model!$E$5:$E$454,Model!$B$5:$B$454,A41,Model!$A$5:$A$454,6) + SUMIFS(Model!$K$5:$K$454,Model!$B$5:$B$454,A41,Model!$A$5:$A$454,6)</f>
        <v>0</v>
      </c>
      <c r="F41" s="252">
        <f>SUMIFS(Model!$E$5:$E$454,Model!$B$5:$B$454,A41,Model!$A$5:$A$454,7) + SUMIFS(Model!$K$5:$K$454,Model!$B$5:$B$454,A41,Model!$A$5:$A$454,7)</f>
        <v>0</v>
      </c>
      <c r="G41" s="252">
        <f>SUMIFS(Model!$E$5:$E$454,Model!$B$5:$B$454,A41,Model!$A$5:$A$454,8) + SUMIFS(Model!$K$5:$K$454,Model!$B$5:$B$454,A41,Model!$A$5:$A$454,8)</f>
        <v>0</v>
      </c>
      <c r="H41" s="252">
        <f>SUMIFS(Model!$E$5:$E$454,Model!$B$5:$B$454,A41,Model!$A$5:$A$454,9) + SUMIFS(Model!$K$5:$K$454,Model!$B$5:$B$454,A41,Model!$A$5:$A$454,9)</f>
        <v>0</v>
      </c>
      <c r="I41" s="252">
        <f>SUMIFS(Model!$E$5:$E$454,Model!$B$5:$B$454,A41,Model!$A$5:$A$454,10) + SUMIFS(Model!$K$5:$K$454,Model!$B$5:$B$454,A41,Model!$A$5:$A$454,10)</f>
        <v>0</v>
      </c>
      <c r="J41" s="252">
        <f>SUMIFS(Model!$E$5:$E$454,Model!$B$5:$B$454,A41,Model!$A$5:$A$454,11) + SUMIFS(Model!$K$5:$K$454,Model!$B$5:$B$454,A41,Model!$A$5:$A$454,11)</f>
        <v>0</v>
      </c>
      <c r="K41" s="253"/>
      <c r="L41" s="252">
        <f>Inputs!A41</f>
        <v>0</v>
      </c>
      <c r="M41" s="252"/>
      <c r="N41" s="252"/>
      <c r="O41" s="252"/>
      <c r="P41" s="252"/>
      <c r="Q41" s="252"/>
      <c r="R41" s="252"/>
      <c r="S41" s="252"/>
      <c r="T41" s="252"/>
      <c r="U41" s="252"/>
      <c r="V41" s="253"/>
      <c r="W41" s="252">
        <f>Inputs!A41</f>
        <v>0</v>
      </c>
      <c r="X41" s="252">
        <f t="shared" si="2"/>
        <v>0</v>
      </c>
      <c r="Y41" s="257">
        <f t="shared" si="3"/>
        <v>0</v>
      </c>
      <c r="Z41" s="257">
        <f t="shared" si="20"/>
        <v>0</v>
      </c>
      <c r="AA41" s="257">
        <f t="shared" si="21"/>
        <v>0</v>
      </c>
      <c r="AB41" s="257">
        <f t="shared" si="22"/>
        <v>0</v>
      </c>
      <c r="AC41" s="257">
        <f t="shared" si="23"/>
        <v>0</v>
      </c>
      <c r="AD41" s="257">
        <f t="shared" si="24"/>
        <v>0</v>
      </c>
      <c r="AE41" s="257">
        <f t="shared" si="25"/>
        <v>0</v>
      </c>
      <c r="AF41" s="257">
        <f t="shared" si="10"/>
        <v>0</v>
      </c>
      <c r="AG41" s="253"/>
      <c r="AH41" s="252">
        <f>Inputs!A41</f>
        <v>0</v>
      </c>
      <c r="AI41" s="252">
        <f t="shared" si="11"/>
        <v>0</v>
      </c>
      <c r="AJ41" s="252">
        <f t="shared" si="12"/>
        <v>0</v>
      </c>
      <c r="AK41" s="252">
        <f t="shared" si="13"/>
        <v>0</v>
      </c>
      <c r="AL41" s="252">
        <f t="shared" si="14"/>
        <v>0</v>
      </c>
      <c r="AM41" s="252">
        <f t="shared" si="15"/>
        <v>0</v>
      </c>
      <c r="AN41" s="252">
        <f t="shared" si="16"/>
        <v>0</v>
      </c>
      <c r="AO41" s="252">
        <f t="shared" si="17"/>
        <v>0</v>
      </c>
      <c r="AP41" s="252">
        <f t="shared" si="18"/>
        <v>0</v>
      </c>
      <c r="AQ41" s="252">
        <f t="shared" si="19"/>
        <v>0</v>
      </c>
      <c r="AR41" s="253"/>
      <c r="AS41" s="252">
        <f>Inputs!A41</f>
        <v>0</v>
      </c>
      <c r="AT41" s="252">
        <f>X41*Inputs!F41*Inputs!G41</f>
        <v>0</v>
      </c>
      <c r="AU41" s="252">
        <f>Y41*Inputs!F41*Inputs!G41</f>
        <v>0</v>
      </c>
      <c r="AV41" s="252">
        <f>Z41*Inputs!F41*Inputs!G41</f>
        <v>0</v>
      </c>
      <c r="AW41" s="252">
        <f>AA41*Inputs!F41*Inputs!G41</f>
        <v>0</v>
      </c>
      <c r="AX41" s="252">
        <f>AB41*Inputs!F41*Inputs!G41</f>
        <v>0</v>
      </c>
      <c r="AY41" s="252">
        <f>AC41*Inputs!F41*Inputs!G41</f>
        <v>0</v>
      </c>
      <c r="AZ41" s="252">
        <f>AD41*Inputs!F41*Inputs!G41</f>
        <v>0</v>
      </c>
      <c r="BA41" s="252">
        <f>AE41*Inputs!F41*Inputs!G41</f>
        <v>0</v>
      </c>
      <c r="BB41" s="252">
        <f>AF41*Inputs!F41*Inputs!H41</f>
        <v>0</v>
      </c>
      <c r="BC41" s="253"/>
      <c r="BD41" s="252">
        <f>Inputs!A41</f>
        <v>0</v>
      </c>
      <c r="BE41" s="252">
        <f>AI41*Inputs!F41*Inputs!I41</f>
        <v>0</v>
      </c>
      <c r="BF41" s="252">
        <f>AJ41*Inputs!F41*Inputs!I41</f>
        <v>0</v>
      </c>
      <c r="BG41" s="252">
        <f>AK41*Inputs!F41*Inputs!I41</f>
        <v>0</v>
      </c>
      <c r="BH41" s="252">
        <f>AL41*Inputs!F41*Inputs!I41</f>
        <v>0</v>
      </c>
      <c r="BI41" s="252">
        <f>AM41*Inputs!F41*Inputs!I41</f>
        <v>0</v>
      </c>
      <c r="BJ41" s="252">
        <f>AN41*Inputs!F41*Inputs!I41</f>
        <v>0</v>
      </c>
      <c r="BK41" s="252">
        <f>AO41*Inputs!F41*Inputs!I41</f>
        <v>0</v>
      </c>
      <c r="BL41" s="252">
        <f>AP41*Inputs!F41*Inputs!I41</f>
        <v>0</v>
      </c>
      <c r="BM41" s="252">
        <f>AQ41*Inputs!F41*Inputs!I41</f>
        <v>0</v>
      </c>
      <c r="BN41" s="253"/>
      <c r="BO41" s="253"/>
    </row>
    <row r="42" spans="1:67" x14ac:dyDescent="0.25">
      <c r="A42" s="252">
        <f>Inputs!A42</f>
        <v>0</v>
      </c>
      <c r="B42" s="252">
        <f>SUMIFS(Model!$E$5:$E$454,Model!$B$5:$B$454,A42,Model!$A$5:$A$454,3) + SUMIFS(Model!$K$5:$K$454,Model!$B$5:$B$454,A42,Model!$A$5:$A$454,3)</f>
        <v>0</v>
      </c>
      <c r="C42" s="252">
        <f>SUMIFS(Model!$E$5:$E$454,Model!$B$5:$B$454,A42,Model!$A$5:$A$454,4) + SUMIFS(Model!$K$5:$K$454,Model!$B$5:$B$454,A42,Model!$A$5:$A$454,4)</f>
        <v>0</v>
      </c>
      <c r="D42" s="252">
        <f>SUMIFS(Model!$E$5:$E$454,Model!$B$5:$B$454,A42,Model!$A$5:$A$454,5) + SUMIFS(Model!$K$5:$K$454,Model!$B$5:$B$454,A42,Model!$A$5:$A$454,5)</f>
        <v>0</v>
      </c>
      <c r="E42" s="252">
        <f>SUMIFS(Model!$E$5:$E$454,Model!$B$5:$B$454,A42,Model!$A$5:$A$454,6) + SUMIFS(Model!$K$5:$K$454,Model!$B$5:$B$454,A42,Model!$A$5:$A$454,6)</f>
        <v>0</v>
      </c>
      <c r="F42" s="252">
        <f>SUMIFS(Model!$E$5:$E$454,Model!$B$5:$B$454,A42,Model!$A$5:$A$454,7) + SUMIFS(Model!$K$5:$K$454,Model!$B$5:$B$454,A42,Model!$A$5:$A$454,7)</f>
        <v>0</v>
      </c>
      <c r="G42" s="252">
        <f>SUMIFS(Model!$E$5:$E$454,Model!$B$5:$B$454,A42,Model!$A$5:$A$454,8) + SUMIFS(Model!$K$5:$K$454,Model!$B$5:$B$454,A42,Model!$A$5:$A$454,8)</f>
        <v>0</v>
      </c>
      <c r="H42" s="252">
        <f>SUMIFS(Model!$E$5:$E$454,Model!$B$5:$B$454,A42,Model!$A$5:$A$454,9) + SUMIFS(Model!$K$5:$K$454,Model!$B$5:$B$454,A42,Model!$A$5:$A$454,9)</f>
        <v>0</v>
      </c>
      <c r="I42" s="252">
        <f>SUMIFS(Model!$E$5:$E$454,Model!$B$5:$B$454,A42,Model!$A$5:$A$454,10) + SUMIFS(Model!$K$5:$K$454,Model!$B$5:$B$454,A42,Model!$A$5:$A$454,10)</f>
        <v>0</v>
      </c>
      <c r="J42" s="252">
        <f>SUMIFS(Model!$E$5:$E$454,Model!$B$5:$B$454,A42,Model!$A$5:$A$454,11) + SUMIFS(Model!$K$5:$K$454,Model!$B$5:$B$454,A42,Model!$A$5:$A$454,11)</f>
        <v>0</v>
      </c>
      <c r="K42" s="253"/>
      <c r="L42" s="252">
        <f>Inputs!A42</f>
        <v>0</v>
      </c>
      <c r="M42" s="252"/>
      <c r="N42" s="252"/>
      <c r="O42" s="252"/>
      <c r="P42" s="252"/>
      <c r="Q42" s="252"/>
      <c r="R42" s="252"/>
      <c r="S42" s="252"/>
      <c r="T42" s="252"/>
      <c r="U42" s="252"/>
      <c r="V42" s="253"/>
      <c r="W42" s="252">
        <f>Inputs!A42</f>
        <v>0</v>
      </c>
      <c r="X42" s="252">
        <f t="shared" si="2"/>
        <v>0</v>
      </c>
      <c r="Y42" s="257">
        <f t="shared" si="3"/>
        <v>0</v>
      </c>
      <c r="Z42" s="257">
        <f t="shared" si="20"/>
        <v>0</v>
      </c>
      <c r="AA42" s="257">
        <f t="shared" si="21"/>
        <v>0</v>
      </c>
      <c r="AB42" s="257">
        <f t="shared" si="22"/>
        <v>0</v>
      </c>
      <c r="AC42" s="257">
        <f t="shared" si="23"/>
        <v>0</v>
      </c>
      <c r="AD42" s="257">
        <f t="shared" si="24"/>
        <v>0</v>
      </c>
      <c r="AE42" s="257">
        <f t="shared" si="25"/>
        <v>0</v>
      </c>
      <c r="AF42" s="257">
        <f t="shared" si="10"/>
        <v>0</v>
      </c>
      <c r="AG42" s="253"/>
      <c r="AH42" s="252">
        <f>Inputs!A42</f>
        <v>0</v>
      </c>
      <c r="AI42" s="252">
        <f t="shared" si="11"/>
        <v>0</v>
      </c>
      <c r="AJ42" s="252">
        <f t="shared" si="12"/>
        <v>0</v>
      </c>
      <c r="AK42" s="252">
        <f t="shared" si="13"/>
        <v>0</v>
      </c>
      <c r="AL42" s="252">
        <f t="shared" si="14"/>
        <v>0</v>
      </c>
      <c r="AM42" s="252">
        <f t="shared" si="15"/>
        <v>0</v>
      </c>
      <c r="AN42" s="252">
        <f t="shared" si="16"/>
        <v>0</v>
      </c>
      <c r="AO42" s="252">
        <f t="shared" si="17"/>
        <v>0</v>
      </c>
      <c r="AP42" s="252">
        <f t="shared" si="18"/>
        <v>0</v>
      </c>
      <c r="AQ42" s="252">
        <f t="shared" si="19"/>
        <v>0</v>
      </c>
      <c r="AR42" s="253"/>
      <c r="AS42" s="252">
        <f>Inputs!A42</f>
        <v>0</v>
      </c>
      <c r="AT42" s="252">
        <f>X42*Inputs!F42*Inputs!G42</f>
        <v>0</v>
      </c>
      <c r="AU42" s="252">
        <f>Y42*Inputs!F42*Inputs!G42</f>
        <v>0</v>
      </c>
      <c r="AV42" s="252">
        <f>Z42*Inputs!F42*Inputs!G42</f>
        <v>0</v>
      </c>
      <c r="AW42" s="252">
        <f>AA42*Inputs!F42*Inputs!G42</f>
        <v>0</v>
      </c>
      <c r="AX42" s="252">
        <f>AB42*Inputs!F42*Inputs!G42</f>
        <v>0</v>
      </c>
      <c r="AY42" s="252">
        <f>AC42*Inputs!F42*Inputs!G42</f>
        <v>0</v>
      </c>
      <c r="AZ42" s="252">
        <f>AD42*Inputs!F42*Inputs!G42</f>
        <v>0</v>
      </c>
      <c r="BA42" s="252">
        <f>AE42*Inputs!F42*Inputs!G42</f>
        <v>0</v>
      </c>
      <c r="BB42" s="252">
        <f>AF42*Inputs!F42*Inputs!H42</f>
        <v>0</v>
      </c>
      <c r="BC42" s="253"/>
      <c r="BD42" s="252">
        <f>Inputs!A42</f>
        <v>0</v>
      </c>
      <c r="BE42" s="252">
        <f>AI42*Inputs!F42*Inputs!I42</f>
        <v>0</v>
      </c>
      <c r="BF42" s="252">
        <f>AJ42*Inputs!F42*Inputs!I42</f>
        <v>0</v>
      </c>
      <c r="BG42" s="252">
        <f>AK42*Inputs!F42*Inputs!I42</f>
        <v>0</v>
      </c>
      <c r="BH42" s="252">
        <f>AL42*Inputs!F42*Inputs!I42</f>
        <v>0</v>
      </c>
      <c r="BI42" s="252">
        <f>AM42*Inputs!F42*Inputs!I42</f>
        <v>0</v>
      </c>
      <c r="BJ42" s="252">
        <f>AN42*Inputs!F42*Inputs!I42</f>
        <v>0</v>
      </c>
      <c r="BK42" s="252">
        <f>AO42*Inputs!F42*Inputs!I42</f>
        <v>0</v>
      </c>
      <c r="BL42" s="252">
        <f>AP42*Inputs!F42*Inputs!I42</f>
        <v>0</v>
      </c>
      <c r="BM42" s="252">
        <f>AQ42*Inputs!F42*Inputs!I42</f>
        <v>0</v>
      </c>
      <c r="BN42" s="253"/>
      <c r="BO42" s="253"/>
    </row>
    <row r="43" spans="1:67" x14ac:dyDescent="0.25">
      <c r="A43" s="252">
        <f>Inputs!A43</f>
        <v>0</v>
      </c>
      <c r="B43" s="252">
        <f>SUMIFS(Model!$E$5:$E$454,Model!$B$5:$B$454,A43,Model!$A$5:$A$454,3) + SUMIFS(Model!$K$5:$K$454,Model!$B$5:$B$454,A43,Model!$A$5:$A$454,3)</f>
        <v>0</v>
      </c>
      <c r="C43" s="252">
        <f>SUMIFS(Model!$E$5:$E$454,Model!$B$5:$B$454,A43,Model!$A$5:$A$454,4) + SUMIFS(Model!$K$5:$K$454,Model!$B$5:$B$454,A43,Model!$A$5:$A$454,4)</f>
        <v>0</v>
      </c>
      <c r="D43" s="252">
        <f>SUMIFS(Model!$E$5:$E$454,Model!$B$5:$B$454,A43,Model!$A$5:$A$454,5) + SUMIFS(Model!$K$5:$K$454,Model!$B$5:$B$454,A43,Model!$A$5:$A$454,5)</f>
        <v>0</v>
      </c>
      <c r="E43" s="252">
        <f>SUMIFS(Model!$E$5:$E$454,Model!$B$5:$B$454,A43,Model!$A$5:$A$454,6) + SUMIFS(Model!$K$5:$K$454,Model!$B$5:$B$454,A43,Model!$A$5:$A$454,6)</f>
        <v>0</v>
      </c>
      <c r="F43" s="252">
        <f>SUMIFS(Model!$E$5:$E$454,Model!$B$5:$B$454,A43,Model!$A$5:$A$454,7) + SUMIFS(Model!$K$5:$K$454,Model!$B$5:$B$454,A43,Model!$A$5:$A$454,7)</f>
        <v>0</v>
      </c>
      <c r="G43" s="252">
        <f>SUMIFS(Model!$E$5:$E$454,Model!$B$5:$B$454,A43,Model!$A$5:$A$454,8) + SUMIFS(Model!$K$5:$K$454,Model!$B$5:$B$454,A43,Model!$A$5:$A$454,8)</f>
        <v>0</v>
      </c>
      <c r="H43" s="252">
        <f>SUMIFS(Model!$E$5:$E$454,Model!$B$5:$B$454,A43,Model!$A$5:$A$454,9) + SUMIFS(Model!$K$5:$K$454,Model!$B$5:$B$454,A43,Model!$A$5:$A$454,9)</f>
        <v>0</v>
      </c>
      <c r="I43" s="252">
        <f>SUMIFS(Model!$E$5:$E$454,Model!$B$5:$B$454,A43,Model!$A$5:$A$454,10) + SUMIFS(Model!$K$5:$K$454,Model!$B$5:$B$454,A43,Model!$A$5:$A$454,10)</f>
        <v>0</v>
      </c>
      <c r="J43" s="252">
        <f>SUMIFS(Model!$E$5:$E$454,Model!$B$5:$B$454,A43,Model!$A$5:$A$454,11) + SUMIFS(Model!$K$5:$K$454,Model!$B$5:$B$454,A43,Model!$A$5:$A$454,11)</f>
        <v>0</v>
      </c>
      <c r="K43" s="253"/>
      <c r="L43" s="252">
        <f>Inputs!A43</f>
        <v>0</v>
      </c>
      <c r="M43" s="252"/>
      <c r="N43" s="252"/>
      <c r="O43" s="252"/>
      <c r="P43" s="252"/>
      <c r="Q43" s="252"/>
      <c r="R43" s="252"/>
      <c r="S43" s="252"/>
      <c r="T43" s="252"/>
      <c r="U43" s="252"/>
      <c r="V43" s="253"/>
      <c r="W43" s="252">
        <f>Inputs!A43</f>
        <v>0</v>
      </c>
      <c r="X43" s="252">
        <f t="shared" si="2"/>
        <v>0</v>
      </c>
      <c r="Y43" s="257">
        <f t="shared" si="3"/>
        <v>0</v>
      </c>
      <c r="Z43" s="257">
        <f t="shared" si="20"/>
        <v>0</v>
      </c>
      <c r="AA43" s="257">
        <f t="shared" si="21"/>
        <v>0</v>
      </c>
      <c r="AB43" s="257">
        <f t="shared" si="22"/>
        <v>0</v>
      </c>
      <c r="AC43" s="257">
        <f t="shared" si="23"/>
        <v>0</v>
      </c>
      <c r="AD43" s="257">
        <f t="shared" si="24"/>
        <v>0</v>
      </c>
      <c r="AE43" s="257">
        <f t="shared" si="25"/>
        <v>0</v>
      </c>
      <c r="AF43" s="257">
        <f t="shared" si="10"/>
        <v>0</v>
      </c>
      <c r="AG43" s="253"/>
      <c r="AH43" s="252">
        <f>Inputs!A43</f>
        <v>0</v>
      </c>
      <c r="AI43" s="252">
        <f t="shared" si="11"/>
        <v>0</v>
      </c>
      <c r="AJ43" s="252">
        <f t="shared" si="12"/>
        <v>0</v>
      </c>
      <c r="AK43" s="252">
        <f t="shared" si="13"/>
        <v>0</v>
      </c>
      <c r="AL43" s="252">
        <f t="shared" si="14"/>
        <v>0</v>
      </c>
      <c r="AM43" s="252">
        <f t="shared" si="15"/>
        <v>0</v>
      </c>
      <c r="AN43" s="252">
        <f t="shared" si="16"/>
        <v>0</v>
      </c>
      <c r="AO43" s="252">
        <f t="shared" si="17"/>
        <v>0</v>
      </c>
      <c r="AP43" s="252">
        <f t="shared" si="18"/>
        <v>0</v>
      </c>
      <c r="AQ43" s="252">
        <f t="shared" si="19"/>
        <v>0</v>
      </c>
      <c r="AR43" s="253"/>
      <c r="AS43" s="252">
        <f>Inputs!A43</f>
        <v>0</v>
      </c>
      <c r="AT43" s="252">
        <f>X43*Inputs!F43*Inputs!G43</f>
        <v>0</v>
      </c>
      <c r="AU43" s="252">
        <f>Y43*Inputs!F43*Inputs!G43</f>
        <v>0</v>
      </c>
      <c r="AV43" s="252">
        <f>Z43*Inputs!F43*Inputs!G43</f>
        <v>0</v>
      </c>
      <c r="AW43" s="252">
        <f>AA43*Inputs!F43*Inputs!G43</f>
        <v>0</v>
      </c>
      <c r="AX43" s="252">
        <f>AB43*Inputs!F43*Inputs!G43</f>
        <v>0</v>
      </c>
      <c r="AY43" s="252">
        <f>AC43*Inputs!F43*Inputs!G43</f>
        <v>0</v>
      </c>
      <c r="AZ43" s="252">
        <f>AD43*Inputs!F43*Inputs!G43</f>
        <v>0</v>
      </c>
      <c r="BA43" s="252">
        <f>AE43*Inputs!F43*Inputs!G43</f>
        <v>0</v>
      </c>
      <c r="BB43" s="252">
        <f>AF43*Inputs!F43*Inputs!H43</f>
        <v>0</v>
      </c>
      <c r="BC43" s="253"/>
      <c r="BD43" s="252">
        <f>Inputs!A43</f>
        <v>0</v>
      </c>
      <c r="BE43" s="252">
        <f>AI43*Inputs!F43*Inputs!I43</f>
        <v>0</v>
      </c>
      <c r="BF43" s="252">
        <f>AJ43*Inputs!F43*Inputs!I43</f>
        <v>0</v>
      </c>
      <c r="BG43" s="252">
        <f>AK43*Inputs!F43*Inputs!I43</f>
        <v>0</v>
      </c>
      <c r="BH43" s="252">
        <f>AL43*Inputs!F43*Inputs!I43</f>
        <v>0</v>
      </c>
      <c r="BI43" s="252">
        <f>AM43*Inputs!F43*Inputs!I43</f>
        <v>0</v>
      </c>
      <c r="BJ43" s="252">
        <f>AN43*Inputs!F43*Inputs!I43</f>
        <v>0</v>
      </c>
      <c r="BK43" s="252">
        <f>AO43*Inputs!F43*Inputs!I43</f>
        <v>0</v>
      </c>
      <c r="BL43" s="252">
        <f>AP43*Inputs!F43*Inputs!I43</f>
        <v>0</v>
      </c>
      <c r="BM43" s="252">
        <f>AQ43*Inputs!F43*Inputs!I43</f>
        <v>0</v>
      </c>
      <c r="BN43" s="253"/>
      <c r="BO43" s="253"/>
    </row>
    <row r="44" spans="1:67" x14ac:dyDescent="0.25">
      <c r="A44" s="252">
        <f>Inputs!A44</f>
        <v>0</v>
      </c>
      <c r="B44" s="252">
        <f>SUMIFS(Model!$E$5:$E$454,Model!$B$5:$B$454,A44,Model!$A$5:$A$454,3) + SUMIFS(Model!$K$5:$K$454,Model!$B$5:$B$454,A44,Model!$A$5:$A$454,3)</f>
        <v>0</v>
      </c>
      <c r="C44" s="252">
        <f>SUMIFS(Model!$E$5:$E$454,Model!$B$5:$B$454,A44,Model!$A$5:$A$454,4) + SUMIFS(Model!$K$5:$K$454,Model!$B$5:$B$454,A44,Model!$A$5:$A$454,4)</f>
        <v>0</v>
      </c>
      <c r="D44" s="252">
        <f>SUMIFS(Model!$E$5:$E$454,Model!$B$5:$B$454,A44,Model!$A$5:$A$454,5) + SUMIFS(Model!$K$5:$K$454,Model!$B$5:$B$454,A44,Model!$A$5:$A$454,5)</f>
        <v>0</v>
      </c>
      <c r="E44" s="252">
        <f>SUMIFS(Model!$E$5:$E$454,Model!$B$5:$B$454,A44,Model!$A$5:$A$454,6) + SUMIFS(Model!$K$5:$K$454,Model!$B$5:$B$454,A44,Model!$A$5:$A$454,6)</f>
        <v>0</v>
      </c>
      <c r="F44" s="252">
        <f>SUMIFS(Model!$E$5:$E$454,Model!$B$5:$B$454,A44,Model!$A$5:$A$454,7) + SUMIFS(Model!$K$5:$K$454,Model!$B$5:$B$454,A44,Model!$A$5:$A$454,7)</f>
        <v>0</v>
      </c>
      <c r="G44" s="252">
        <f>SUMIFS(Model!$E$5:$E$454,Model!$B$5:$B$454,A44,Model!$A$5:$A$454,8) + SUMIFS(Model!$K$5:$K$454,Model!$B$5:$B$454,A44,Model!$A$5:$A$454,8)</f>
        <v>0</v>
      </c>
      <c r="H44" s="252">
        <f>SUMIFS(Model!$E$5:$E$454,Model!$B$5:$B$454,A44,Model!$A$5:$A$454,9) + SUMIFS(Model!$K$5:$K$454,Model!$B$5:$B$454,A44,Model!$A$5:$A$454,9)</f>
        <v>0</v>
      </c>
      <c r="I44" s="252">
        <f>SUMIFS(Model!$E$5:$E$454,Model!$B$5:$B$454,A44,Model!$A$5:$A$454,10) + SUMIFS(Model!$K$5:$K$454,Model!$B$5:$B$454,A44,Model!$A$5:$A$454,10)</f>
        <v>0</v>
      </c>
      <c r="J44" s="252">
        <f>SUMIFS(Model!$E$5:$E$454,Model!$B$5:$B$454,A44,Model!$A$5:$A$454,11) + SUMIFS(Model!$K$5:$K$454,Model!$B$5:$B$454,A44,Model!$A$5:$A$454,11)</f>
        <v>0</v>
      </c>
      <c r="K44" s="253"/>
      <c r="L44" s="252">
        <f>Inputs!A44</f>
        <v>0</v>
      </c>
      <c r="M44" s="252"/>
      <c r="N44" s="252"/>
      <c r="O44" s="252"/>
      <c r="P44" s="252"/>
      <c r="Q44" s="252"/>
      <c r="R44" s="252"/>
      <c r="S44" s="252"/>
      <c r="T44" s="252"/>
      <c r="U44" s="252"/>
      <c r="V44" s="253"/>
      <c r="W44" s="252">
        <f>Inputs!A44</f>
        <v>0</v>
      </c>
      <c r="X44" s="252">
        <f t="shared" si="2"/>
        <v>0</v>
      </c>
      <c r="Y44" s="257">
        <f t="shared" si="3"/>
        <v>0</v>
      </c>
      <c r="Z44" s="257">
        <f t="shared" si="20"/>
        <v>0</v>
      </c>
      <c r="AA44" s="257">
        <f t="shared" si="21"/>
        <v>0</v>
      </c>
      <c r="AB44" s="257">
        <f t="shared" si="22"/>
        <v>0</v>
      </c>
      <c r="AC44" s="257">
        <f t="shared" si="23"/>
        <v>0</v>
      </c>
      <c r="AD44" s="257">
        <f t="shared" si="24"/>
        <v>0</v>
      </c>
      <c r="AE44" s="257">
        <f t="shared" si="25"/>
        <v>0</v>
      </c>
      <c r="AF44" s="257">
        <f t="shared" si="10"/>
        <v>0</v>
      </c>
      <c r="AG44" s="253"/>
      <c r="AH44" s="252">
        <f>Inputs!A44</f>
        <v>0</v>
      </c>
      <c r="AI44" s="252">
        <f t="shared" si="11"/>
        <v>0</v>
      </c>
      <c r="AJ44" s="252">
        <f t="shared" si="12"/>
        <v>0</v>
      </c>
      <c r="AK44" s="252">
        <f t="shared" si="13"/>
        <v>0</v>
      </c>
      <c r="AL44" s="252">
        <f t="shared" si="14"/>
        <v>0</v>
      </c>
      <c r="AM44" s="252">
        <f t="shared" si="15"/>
        <v>0</v>
      </c>
      <c r="AN44" s="252">
        <f t="shared" si="16"/>
        <v>0</v>
      </c>
      <c r="AO44" s="252">
        <f t="shared" si="17"/>
        <v>0</v>
      </c>
      <c r="AP44" s="252">
        <f t="shared" si="18"/>
        <v>0</v>
      </c>
      <c r="AQ44" s="252">
        <f t="shared" si="19"/>
        <v>0</v>
      </c>
      <c r="AR44" s="253"/>
      <c r="AS44" s="252">
        <f>Inputs!A44</f>
        <v>0</v>
      </c>
      <c r="AT44" s="252">
        <f>X44*Inputs!F44*Inputs!G44</f>
        <v>0</v>
      </c>
      <c r="AU44" s="252">
        <f>Y44*Inputs!F44*Inputs!G44</f>
        <v>0</v>
      </c>
      <c r="AV44" s="252">
        <f>Z44*Inputs!F44*Inputs!G44</f>
        <v>0</v>
      </c>
      <c r="AW44" s="252">
        <f>AA44*Inputs!F44*Inputs!G44</f>
        <v>0</v>
      </c>
      <c r="AX44" s="252">
        <f>AB44*Inputs!F44*Inputs!G44</f>
        <v>0</v>
      </c>
      <c r="AY44" s="252">
        <f>AC44*Inputs!F44*Inputs!G44</f>
        <v>0</v>
      </c>
      <c r="AZ44" s="252">
        <f>AD44*Inputs!F44*Inputs!G44</f>
        <v>0</v>
      </c>
      <c r="BA44" s="252">
        <f>AE44*Inputs!F44*Inputs!G44</f>
        <v>0</v>
      </c>
      <c r="BB44" s="252">
        <f>AF44*Inputs!F44*Inputs!H44</f>
        <v>0</v>
      </c>
      <c r="BC44" s="253"/>
      <c r="BD44" s="252">
        <f>Inputs!A44</f>
        <v>0</v>
      </c>
      <c r="BE44" s="252">
        <f>AI44*Inputs!F44*Inputs!I44</f>
        <v>0</v>
      </c>
      <c r="BF44" s="252">
        <f>AJ44*Inputs!F44*Inputs!I44</f>
        <v>0</v>
      </c>
      <c r="BG44" s="252">
        <f>AK44*Inputs!F44*Inputs!I44</f>
        <v>0</v>
      </c>
      <c r="BH44" s="252">
        <f>AL44*Inputs!F44*Inputs!I44</f>
        <v>0</v>
      </c>
      <c r="BI44" s="252">
        <f>AM44*Inputs!F44*Inputs!I44</f>
        <v>0</v>
      </c>
      <c r="BJ44" s="252">
        <f>AN44*Inputs!F44*Inputs!I44</f>
        <v>0</v>
      </c>
      <c r="BK44" s="252">
        <f>AO44*Inputs!F44*Inputs!I44</f>
        <v>0</v>
      </c>
      <c r="BL44" s="252">
        <f>AP44*Inputs!F44*Inputs!I44</f>
        <v>0</v>
      </c>
      <c r="BM44" s="252">
        <f>AQ44*Inputs!F44*Inputs!I44</f>
        <v>0</v>
      </c>
      <c r="BN44" s="253"/>
      <c r="BO44" s="253"/>
    </row>
    <row r="45" spans="1:67" x14ac:dyDescent="0.25">
      <c r="A45" s="252">
        <f>Inputs!A45</f>
        <v>0</v>
      </c>
      <c r="B45" s="252">
        <f>SUMIFS(Model!$E$5:$E$454,Model!$B$5:$B$454,A45,Model!$A$5:$A$454,3) + SUMIFS(Model!$K$5:$K$454,Model!$B$5:$B$454,A45,Model!$A$5:$A$454,3)</f>
        <v>0</v>
      </c>
      <c r="C45" s="252">
        <f>SUMIFS(Model!$E$5:$E$454,Model!$B$5:$B$454,A45,Model!$A$5:$A$454,4) + SUMIFS(Model!$K$5:$K$454,Model!$B$5:$B$454,A45,Model!$A$5:$A$454,4)</f>
        <v>0</v>
      </c>
      <c r="D45" s="252">
        <f>SUMIFS(Model!$E$5:$E$454,Model!$B$5:$B$454,A45,Model!$A$5:$A$454,5) + SUMIFS(Model!$K$5:$K$454,Model!$B$5:$B$454,A45,Model!$A$5:$A$454,5)</f>
        <v>0</v>
      </c>
      <c r="E45" s="252">
        <f>SUMIFS(Model!$E$5:$E$454,Model!$B$5:$B$454,A45,Model!$A$5:$A$454,6) + SUMIFS(Model!$K$5:$K$454,Model!$B$5:$B$454,A45,Model!$A$5:$A$454,6)</f>
        <v>0</v>
      </c>
      <c r="F45" s="252">
        <f>SUMIFS(Model!$E$5:$E$454,Model!$B$5:$B$454,A45,Model!$A$5:$A$454,7) + SUMIFS(Model!$K$5:$K$454,Model!$B$5:$B$454,A45,Model!$A$5:$A$454,7)</f>
        <v>0</v>
      </c>
      <c r="G45" s="252">
        <f>SUMIFS(Model!$E$5:$E$454,Model!$B$5:$B$454,A45,Model!$A$5:$A$454,8) + SUMIFS(Model!$K$5:$K$454,Model!$B$5:$B$454,A45,Model!$A$5:$A$454,8)</f>
        <v>0</v>
      </c>
      <c r="H45" s="252">
        <f>SUMIFS(Model!$E$5:$E$454,Model!$B$5:$B$454,A45,Model!$A$5:$A$454,9) + SUMIFS(Model!$K$5:$K$454,Model!$B$5:$B$454,A45,Model!$A$5:$A$454,9)</f>
        <v>0</v>
      </c>
      <c r="I45" s="252">
        <f>SUMIFS(Model!$E$5:$E$454,Model!$B$5:$B$454,A45,Model!$A$5:$A$454,10) + SUMIFS(Model!$K$5:$K$454,Model!$B$5:$B$454,A45,Model!$A$5:$A$454,10)</f>
        <v>0</v>
      </c>
      <c r="J45" s="252">
        <f>SUMIFS(Model!$E$5:$E$454,Model!$B$5:$B$454,A45,Model!$A$5:$A$454,11) + SUMIFS(Model!$K$5:$K$454,Model!$B$5:$B$454,A45,Model!$A$5:$A$454,11)</f>
        <v>0</v>
      </c>
      <c r="K45" s="253"/>
      <c r="L45" s="252">
        <f>Inputs!A45</f>
        <v>0</v>
      </c>
      <c r="M45" s="252"/>
      <c r="N45" s="252"/>
      <c r="O45" s="252"/>
      <c r="P45" s="252"/>
      <c r="Q45" s="252"/>
      <c r="R45" s="252"/>
      <c r="S45" s="252"/>
      <c r="T45" s="252"/>
      <c r="U45" s="252"/>
      <c r="V45" s="253"/>
      <c r="W45" s="252">
        <f>Inputs!A45</f>
        <v>0</v>
      </c>
      <c r="X45" s="252">
        <f t="shared" si="2"/>
        <v>0</v>
      </c>
      <c r="Y45" s="257">
        <f t="shared" si="3"/>
        <v>0</v>
      </c>
      <c r="Z45" s="257">
        <f t="shared" si="20"/>
        <v>0</v>
      </c>
      <c r="AA45" s="257">
        <f t="shared" si="21"/>
        <v>0</v>
      </c>
      <c r="AB45" s="257">
        <f t="shared" si="22"/>
        <v>0</v>
      </c>
      <c r="AC45" s="257">
        <f t="shared" si="23"/>
        <v>0</v>
      </c>
      <c r="AD45" s="257">
        <f t="shared" si="24"/>
        <v>0</v>
      </c>
      <c r="AE45" s="257">
        <f t="shared" si="25"/>
        <v>0</v>
      </c>
      <c r="AF45" s="257">
        <f t="shared" si="10"/>
        <v>0</v>
      </c>
      <c r="AG45" s="253"/>
      <c r="AH45" s="252">
        <f>Inputs!A45</f>
        <v>0</v>
      </c>
      <c r="AI45" s="252">
        <f t="shared" si="11"/>
        <v>0</v>
      </c>
      <c r="AJ45" s="252">
        <f t="shared" si="12"/>
        <v>0</v>
      </c>
      <c r="AK45" s="252">
        <f t="shared" si="13"/>
        <v>0</v>
      </c>
      <c r="AL45" s="252">
        <f t="shared" si="14"/>
        <v>0</v>
      </c>
      <c r="AM45" s="252">
        <f t="shared" si="15"/>
        <v>0</v>
      </c>
      <c r="AN45" s="252">
        <f t="shared" si="16"/>
        <v>0</v>
      </c>
      <c r="AO45" s="252">
        <f t="shared" si="17"/>
        <v>0</v>
      </c>
      <c r="AP45" s="252">
        <f t="shared" si="18"/>
        <v>0</v>
      </c>
      <c r="AQ45" s="252">
        <f t="shared" si="19"/>
        <v>0</v>
      </c>
      <c r="AR45" s="253"/>
      <c r="AS45" s="252">
        <f>Inputs!A45</f>
        <v>0</v>
      </c>
      <c r="AT45" s="252">
        <f>X45*Inputs!F45*Inputs!G45</f>
        <v>0</v>
      </c>
      <c r="AU45" s="252">
        <f>Y45*Inputs!F45*Inputs!G45</f>
        <v>0</v>
      </c>
      <c r="AV45" s="252">
        <f>Z45*Inputs!F45*Inputs!G45</f>
        <v>0</v>
      </c>
      <c r="AW45" s="252">
        <f>AA45*Inputs!F45*Inputs!G45</f>
        <v>0</v>
      </c>
      <c r="AX45" s="252">
        <f>AB45*Inputs!F45*Inputs!G45</f>
        <v>0</v>
      </c>
      <c r="AY45" s="252">
        <f>AC45*Inputs!F45*Inputs!G45</f>
        <v>0</v>
      </c>
      <c r="AZ45" s="252">
        <f>AD45*Inputs!F45*Inputs!G45</f>
        <v>0</v>
      </c>
      <c r="BA45" s="252">
        <f>AE45*Inputs!F45*Inputs!G45</f>
        <v>0</v>
      </c>
      <c r="BB45" s="252">
        <f>AF45*Inputs!F45*Inputs!H45</f>
        <v>0</v>
      </c>
      <c r="BC45" s="253"/>
      <c r="BD45" s="252">
        <f>Inputs!A45</f>
        <v>0</v>
      </c>
      <c r="BE45" s="252">
        <f>AI45*Inputs!F45*Inputs!I45</f>
        <v>0</v>
      </c>
      <c r="BF45" s="252">
        <f>AJ45*Inputs!F45*Inputs!I45</f>
        <v>0</v>
      </c>
      <c r="BG45" s="252">
        <f>AK45*Inputs!F45*Inputs!I45</f>
        <v>0</v>
      </c>
      <c r="BH45" s="252">
        <f>AL45*Inputs!F45*Inputs!I45</f>
        <v>0</v>
      </c>
      <c r="BI45" s="252">
        <f>AM45*Inputs!F45*Inputs!I45</f>
        <v>0</v>
      </c>
      <c r="BJ45" s="252">
        <f>AN45*Inputs!F45*Inputs!I45</f>
        <v>0</v>
      </c>
      <c r="BK45" s="252">
        <f>AO45*Inputs!F45*Inputs!I45</f>
        <v>0</v>
      </c>
      <c r="BL45" s="252">
        <f>AP45*Inputs!F45*Inputs!I45</f>
        <v>0</v>
      </c>
      <c r="BM45" s="252">
        <f>AQ45*Inputs!F45*Inputs!I45</f>
        <v>0</v>
      </c>
      <c r="BN45" s="253"/>
      <c r="BO45" s="253"/>
    </row>
    <row r="46" spans="1:67" x14ac:dyDescent="0.25">
      <c r="A46" s="252">
        <f>Inputs!A46</f>
        <v>0</v>
      </c>
      <c r="B46" s="252">
        <f>SUMIFS(Model!$E$5:$E$454,Model!$B$5:$B$454,A46,Model!$A$5:$A$454,3) + SUMIFS(Model!$K$5:$K$454,Model!$B$5:$B$454,A46,Model!$A$5:$A$454,3)</f>
        <v>0</v>
      </c>
      <c r="C46" s="252">
        <f>SUMIFS(Model!$E$5:$E$454,Model!$B$5:$B$454,A46,Model!$A$5:$A$454,4) + SUMIFS(Model!$K$5:$K$454,Model!$B$5:$B$454,A46,Model!$A$5:$A$454,4)</f>
        <v>0</v>
      </c>
      <c r="D46" s="252">
        <f>SUMIFS(Model!$E$5:$E$454,Model!$B$5:$B$454,A46,Model!$A$5:$A$454,5) + SUMIFS(Model!$K$5:$K$454,Model!$B$5:$B$454,A46,Model!$A$5:$A$454,5)</f>
        <v>0</v>
      </c>
      <c r="E46" s="252">
        <f>SUMIFS(Model!$E$5:$E$454,Model!$B$5:$B$454,A46,Model!$A$5:$A$454,6) + SUMIFS(Model!$K$5:$K$454,Model!$B$5:$B$454,A46,Model!$A$5:$A$454,6)</f>
        <v>0</v>
      </c>
      <c r="F46" s="252">
        <f>SUMIFS(Model!$E$5:$E$454,Model!$B$5:$B$454,A46,Model!$A$5:$A$454,7) + SUMIFS(Model!$K$5:$K$454,Model!$B$5:$B$454,A46,Model!$A$5:$A$454,7)</f>
        <v>0</v>
      </c>
      <c r="G46" s="252">
        <f>SUMIFS(Model!$E$5:$E$454,Model!$B$5:$B$454,A46,Model!$A$5:$A$454,8) + SUMIFS(Model!$K$5:$K$454,Model!$B$5:$B$454,A46,Model!$A$5:$A$454,8)</f>
        <v>0</v>
      </c>
      <c r="H46" s="252">
        <f>SUMIFS(Model!$E$5:$E$454,Model!$B$5:$B$454,A46,Model!$A$5:$A$454,9) + SUMIFS(Model!$K$5:$K$454,Model!$B$5:$B$454,A46,Model!$A$5:$A$454,9)</f>
        <v>0</v>
      </c>
      <c r="I46" s="252">
        <f>SUMIFS(Model!$E$5:$E$454,Model!$B$5:$B$454,A46,Model!$A$5:$A$454,10) + SUMIFS(Model!$K$5:$K$454,Model!$B$5:$B$454,A46,Model!$A$5:$A$454,10)</f>
        <v>0</v>
      </c>
      <c r="J46" s="252">
        <f>SUMIFS(Model!$E$5:$E$454,Model!$B$5:$B$454,A46,Model!$A$5:$A$454,11) + SUMIFS(Model!$K$5:$K$454,Model!$B$5:$B$454,A46,Model!$A$5:$A$454,11)</f>
        <v>0</v>
      </c>
      <c r="K46" s="253"/>
      <c r="L46" s="252">
        <f>Inputs!A46</f>
        <v>0</v>
      </c>
      <c r="M46" s="252"/>
      <c r="N46" s="252"/>
      <c r="O46" s="252"/>
      <c r="P46" s="252"/>
      <c r="Q46" s="252"/>
      <c r="R46" s="252"/>
      <c r="S46" s="252"/>
      <c r="T46" s="252"/>
      <c r="U46" s="252"/>
      <c r="V46" s="253"/>
      <c r="W46" s="252">
        <f>Inputs!A46</f>
        <v>0</v>
      </c>
      <c r="X46" s="252">
        <f t="shared" si="2"/>
        <v>0</v>
      </c>
      <c r="Y46" s="257">
        <f t="shared" si="3"/>
        <v>0</v>
      </c>
      <c r="Z46" s="257">
        <f t="shared" si="20"/>
        <v>0</v>
      </c>
      <c r="AA46" s="257">
        <f t="shared" si="21"/>
        <v>0</v>
      </c>
      <c r="AB46" s="257">
        <f t="shared" si="22"/>
        <v>0</v>
      </c>
      <c r="AC46" s="257">
        <f t="shared" si="23"/>
        <v>0</v>
      </c>
      <c r="AD46" s="257">
        <f t="shared" si="24"/>
        <v>0</v>
      </c>
      <c r="AE46" s="257">
        <f t="shared" si="25"/>
        <v>0</v>
      </c>
      <c r="AF46" s="257">
        <f t="shared" si="10"/>
        <v>0</v>
      </c>
      <c r="AG46" s="253"/>
      <c r="AH46" s="252">
        <f>Inputs!A46</f>
        <v>0</v>
      </c>
      <c r="AI46" s="252">
        <f t="shared" si="11"/>
        <v>0</v>
      </c>
      <c r="AJ46" s="252">
        <f t="shared" si="12"/>
        <v>0</v>
      </c>
      <c r="AK46" s="252">
        <f t="shared" si="13"/>
        <v>0</v>
      </c>
      <c r="AL46" s="252">
        <f t="shared" si="14"/>
        <v>0</v>
      </c>
      <c r="AM46" s="252">
        <f t="shared" si="15"/>
        <v>0</v>
      </c>
      <c r="AN46" s="252">
        <f t="shared" si="16"/>
        <v>0</v>
      </c>
      <c r="AO46" s="252">
        <f t="shared" si="17"/>
        <v>0</v>
      </c>
      <c r="AP46" s="252">
        <f t="shared" si="18"/>
        <v>0</v>
      </c>
      <c r="AQ46" s="252">
        <f t="shared" si="19"/>
        <v>0</v>
      </c>
      <c r="AR46" s="253"/>
      <c r="AS46" s="252">
        <f>Inputs!A46</f>
        <v>0</v>
      </c>
      <c r="AT46" s="252">
        <f>X46*Inputs!F46*Inputs!G46</f>
        <v>0</v>
      </c>
      <c r="AU46" s="252">
        <f>Y46*Inputs!F46*Inputs!G46</f>
        <v>0</v>
      </c>
      <c r="AV46" s="252">
        <f>Z46*Inputs!F46*Inputs!G46</f>
        <v>0</v>
      </c>
      <c r="AW46" s="252">
        <f>AA46*Inputs!F46*Inputs!G46</f>
        <v>0</v>
      </c>
      <c r="AX46" s="252">
        <f>AB46*Inputs!F46*Inputs!G46</f>
        <v>0</v>
      </c>
      <c r="AY46" s="252">
        <f>AC46*Inputs!F46*Inputs!G46</f>
        <v>0</v>
      </c>
      <c r="AZ46" s="252">
        <f>AD46*Inputs!F46*Inputs!G46</f>
        <v>0</v>
      </c>
      <c r="BA46" s="252">
        <f>AE46*Inputs!F46*Inputs!G46</f>
        <v>0</v>
      </c>
      <c r="BB46" s="252">
        <f>AF46*Inputs!F46*Inputs!H46</f>
        <v>0</v>
      </c>
      <c r="BC46" s="253"/>
      <c r="BD46" s="252">
        <f>Inputs!A46</f>
        <v>0</v>
      </c>
      <c r="BE46" s="252">
        <f>AI46*Inputs!F46*Inputs!I46</f>
        <v>0</v>
      </c>
      <c r="BF46" s="252">
        <f>AJ46*Inputs!F46*Inputs!I46</f>
        <v>0</v>
      </c>
      <c r="BG46" s="252">
        <f>AK46*Inputs!F46*Inputs!I46</f>
        <v>0</v>
      </c>
      <c r="BH46" s="252">
        <f>AL46*Inputs!F46*Inputs!I46</f>
        <v>0</v>
      </c>
      <c r="BI46" s="252">
        <f>AM46*Inputs!F46*Inputs!I46</f>
        <v>0</v>
      </c>
      <c r="BJ46" s="252">
        <f>AN46*Inputs!F46*Inputs!I46</f>
        <v>0</v>
      </c>
      <c r="BK46" s="252">
        <f>AO46*Inputs!F46*Inputs!I46</f>
        <v>0</v>
      </c>
      <c r="BL46" s="252">
        <f>AP46*Inputs!F46*Inputs!I46</f>
        <v>0</v>
      </c>
      <c r="BM46" s="252">
        <f>AQ46*Inputs!F46*Inputs!I46</f>
        <v>0</v>
      </c>
      <c r="BN46" s="253"/>
      <c r="BO46" s="253"/>
    </row>
    <row r="47" spans="1:67" x14ac:dyDescent="0.25">
      <c r="A47" s="252">
        <f>Inputs!A47</f>
        <v>0</v>
      </c>
      <c r="B47" s="252">
        <f>SUMIFS(Model!$E$5:$E$454,Model!$B$5:$B$454,A47,Model!$A$5:$A$454,3) + SUMIFS(Model!$K$5:$K$454,Model!$B$5:$B$454,A47,Model!$A$5:$A$454,3)</f>
        <v>0</v>
      </c>
      <c r="C47" s="252">
        <f>SUMIFS(Model!$E$5:$E$454,Model!$B$5:$B$454,A47,Model!$A$5:$A$454,4) + SUMIFS(Model!$K$5:$K$454,Model!$B$5:$B$454,A47,Model!$A$5:$A$454,4)</f>
        <v>0</v>
      </c>
      <c r="D47" s="252">
        <f>SUMIFS(Model!$E$5:$E$454,Model!$B$5:$B$454,A47,Model!$A$5:$A$454,5) + SUMIFS(Model!$K$5:$K$454,Model!$B$5:$B$454,A47,Model!$A$5:$A$454,5)</f>
        <v>0</v>
      </c>
      <c r="E47" s="252">
        <f>SUMIFS(Model!$E$5:$E$454,Model!$B$5:$B$454,A47,Model!$A$5:$A$454,6) + SUMIFS(Model!$K$5:$K$454,Model!$B$5:$B$454,A47,Model!$A$5:$A$454,6)</f>
        <v>0</v>
      </c>
      <c r="F47" s="252">
        <f>SUMIFS(Model!$E$5:$E$454,Model!$B$5:$B$454,A47,Model!$A$5:$A$454,7) + SUMIFS(Model!$K$5:$K$454,Model!$B$5:$B$454,A47,Model!$A$5:$A$454,7)</f>
        <v>0</v>
      </c>
      <c r="G47" s="252">
        <f>SUMIFS(Model!$E$5:$E$454,Model!$B$5:$B$454,A47,Model!$A$5:$A$454,8) + SUMIFS(Model!$K$5:$K$454,Model!$B$5:$B$454,A47,Model!$A$5:$A$454,8)</f>
        <v>0</v>
      </c>
      <c r="H47" s="252">
        <f>SUMIFS(Model!$E$5:$E$454,Model!$B$5:$B$454,A47,Model!$A$5:$A$454,9) + SUMIFS(Model!$K$5:$K$454,Model!$B$5:$B$454,A47,Model!$A$5:$A$454,9)</f>
        <v>0</v>
      </c>
      <c r="I47" s="252">
        <f>SUMIFS(Model!$E$5:$E$454,Model!$B$5:$B$454,A47,Model!$A$5:$A$454,10) + SUMIFS(Model!$K$5:$K$454,Model!$B$5:$B$454,A47,Model!$A$5:$A$454,10)</f>
        <v>0</v>
      </c>
      <c r="J47" s="252">
        <f>SUMIFS(Model!$E$5:$E$454,Model!$B$5:$B$454,A47,Model!$A$5:$A$454,11) + SUMIFS(Model!$K$5:$K$454,Model!$B$5:$B$454,A47,Model!$A$5:$A$454,11)</f>
        <v>0</v>
      </c>
      <c r="K47" s="253"/>
      <c r="L47" s="252">
        <f>Inputs!A47</f>
        <v>0</v>
      </c>
      <c r="M47" s="252"/>
      <c r="N47" s="252"/>
      <c r="O47" s="252"/>
      <c r="P47" s="252"/>
      <c r="Q47" s="252"/>
      <c r="R47" s="252"/>
      <c r="S47" s="252"/>
      <c r="T47" s="252"/>
      <c r="U47" s="252"/>
      <c r="V47" s="253"/>
      <c r="W47" s="252">
        <f>Inputs!A47</f>
        <v>0</v>
      </c>
      <c r="X47" s="252">
        <f t="shared" si="2"/>
        <v>0</v>
      </c>
      <c r="Y47" s="257">
        <f t="shared" si="3"/>
        <v>0</v>
      </c>
      <c r="Z47" s="257">
        <f t="shared" si="20"/>
        <v>0</v>
      </c>
      <c r="AA47" s="257">
        <f t="shared" si="21"/>
        <v>0</v>
      </c>
      <c r="AB47" s="257">
        <f t="shared" si="22"/>
        <v>0</v>
      </c>
      <c r="AC47" s="257">
        <f t="shared" si="23"/>
        <v>0</v>
      </c>
      <c r="AD47" s="257">
        <f t="shared" si="24"/>
        <v>0</v>
      </c>
      <c r="AE47" s="257">
        <f t="shared" si="25"/>
        <v>0</v>
      </c>
      <c r="AF47" s="257">
        <f t="shared" si="10"/>
        <v>0</v>
      </c>
      <c r="AG47" s="253"/>
      <c r="AH47" s="252">
        <f>Inputs!A47</f>
        <v>0</v>
      </c>
      <c r="AI47" s="252">
        <f t="shared" si="11"/>
        <v>0</v>
      </c>
      <c r="AJ47" s="252">
        <f t="shared" si="12"/>
        <v>0</v>
      </c>
      <c r="AK47" s="252">
        <f t="shared" si="13"/>
        <v>0</v>
      </c>
      <c r="AL47" s="252">
        <f t="shared" si="14"/>
        <v>0</v>
      </c>
      <c r="AM47" s="252">
        <f t="shared" si="15"/>
        <v>0</v>
      </c>
      <c r="AN47" s="252">
        <f t="shared" si="16"/>
        <v>0</v>
      </c>
      <c r="AO47" s="252">
        <f t="shared" si="17"/>
        <v>0</v>
      </c>
      <c r="AP47" s="252">
        <f t="shared" si="18"/>
        <v>0</v>
      </c>
      <c r="AQ47" s="252">
        <f t="shared" si="19"/>
        <v>0</v>
      </c>
      <c r="AR47" s="253"/>
      <c r="AS47" s="252">
        <f>Inputs!A47</f>
        <v>0</v>
      </c>
      <c r="AT47" s="252">
        <f>X47*Inputs!F47*Inputs!G47</f>
        <v>0</v>
      </c>
      <c r="AU47" s="252">
        <f>Y47*Inputs!F47*Inputs!G47</f>
        <v>0</v>
      </c>
      <c r="AV47" s="252">
        <f>Z47*Inputs!F47*Inputs!G47</f>
        <v>0</v>
      </c>
      <c r="AW47" s="252">
        <f>AA47*Inputs!F47*Inputs!G47</f>
        <v>0</v>
      </c>
      <c r="AX47" s="252">
        <f>AB47*Inputs!F47*Inputs!G47</f>
        <v>0</v>
      </c>
      <c r="AY47" s="252">
        <f>AC47*Inputs!F47*Inputs!G47</f>
        <v>0</v>
      </c>
      <c r="AZ47" s="252">
        <f>AD47*Inputs!F47*Inputs!G47</f>
        <v>0</v>
      </c>
      <c r="BA47" s="252">
        <f>AE47*Inputs!F47*Inputs!G47</f>
        <v>0</v>
      </c>
      <c r="BB47" s="252">
        <f>AF47*Inputs!F47*Inputs!H47</f>
        <v>0</v>
      </c>
      <c r="BC47" s="253"/>
      <c r="BD47" s="252">
        <f>Inputs!A47</f>
        <v>0</v>
      </c>
      <c r="BE47" s="252">
        <f>AI47*Inputs!F47*Inputs!I47</f>
        <v>0</v>
      </c>
      <c r="BF47" s="252">
        <f>AJ47*Inputs!F47*Inputs!I47</f>
        <v>0</v>
      </c>
      <c r="BG47" s="252">
        <f>AK47*Inputs!F47*Inputs!I47</f>
        <v>0</v>
      </c>
      <c r="BH47" s="252">
        <f>AL47*Inputs!F47*Inputs!I47</f>
        <v>0</v>
      </c>
      <c r="BI47" s="252">
        <f>AM47*Inputs!F47*Inputs!I47</f>
        <v>0</v>
      </c>
      <c r="BJ47" s="252">
        <f>AN47*Inputs!F47*Inputs!I47</f>
        <v>0</v>
      </c>
      <c r="BK47" s="252">
        <f>AO47*Inputs!F47*Inputs!I47</f>
        <v>0</v>
      </c>
      <c r="BL47" s="252">
        <f>AP47*Inputs!F47*Inputs!I47</f>
        <v>0</v>
      </c>
      <c r="BM47" s="252">
        <f>AQ47*Inputs!F47*Inputs!I47</f>
        <v>0</v>
      </c>
      <c r="BN47" s="253"/>
      <c r="BO47" s="253"/>
    </row>
    <row r="48" spans="1:67" x14ac:dyDescent="0.25">
      <c r="A48" s="252">
        <f>Inputs!A48</f>
        <v>0</v>
      </c>
      <c r="B48" s="252">
        <f>SUMIFS(Model!$E$5:$E$454,Model!$B$5:$B$454,A48,Model!$A$5:$A$454,3) + SUMIFS(Model!$K$5:$K$454,Model!$B$5:$B$454,A48,Model!$A$5:$A$454,3)</f>
        <v>0</v>
      </c>
      <c r="C48" s="252">
        <f>SUMIFS(Model!$E$5:$E$454,Model!$B$5:$B$454,A48,Model!$A$5:$A$454,4) + SUMIFS(Model!$K$5:$K$454,Model!$B$5:$B$454,A48,Model!$A$5:$A$454,4)</f>
        <v>0</v>
      </c>
      <c r="D48" s="252">
        <f>SUMIFS(Model!$E$5:$E$454,Model!$B$5:$B$454,A48,Model!$A$5:$A$454,5) + SUMIFS(Model!$K$5:$K$454,Model!$B$5:$B$454,A48,Model!$A$5:$A$454,5)</f>
        <v>0</v>
      </c>
      <c r="E48" s="252">
        <f>SUMIFS(Model!$E$5:$E$454,Model!$B$5:$B$454,A48,Model!$A$5:$A$454,6) + SUMIFS(Model!$K$5:$K$454,Model!$B$5:$B$454,A48,Model!$A$5:$A$454,6)</f>
        <v>0</v>
      </c>
      <c r="F48" s="252">
        <f>SUMIFS(Model!$E$5:$E$454,Model!$B$5:$B$454,A48,Model!$A$5:$A$454,7) + SUMIFS(Model!$K$5:$K$454,Model!$B$5:$B$454,A48,Model!$A$5:$A$454,7)</f>
        <v>0</v>
      </c>
      <c r="G48" s="252">
        <f>SUMIFS(Model!$E$5:$E$454,Model!$B$5:$B$454,A48,Model!$A$5:$A$454,8) + SUMIFS(Model!$K$5:$K$454,Model!$B$5:$B$454,A48,Model!$A$5:$A$454,8)</f>
        <v>0</v>
      </c>
      <c r="H48" s="252">
        <f>SUMIFS(Model!$E$5:$E$454,Model!$B$5:$B$454,A48,Model!$A$5:$A$454,9) + SUMIFS(Model!$K$5:$K$454,Model!$B$5:$B$454,A48,Model!$A$5:$A$454,9)</f>
        <v>0</v>
      </c>
      <c r="I48" s="252">
        <f>SUMIFS(Model!$E$5:$E$454,Model!$B$5:$B$454,A48,Model!$A$5:$A$454,10) + SUMIFS(Model!$K$5:$K$454,Model!$B$5:$B$454,A48,Model!$A$5:$A$454,10)</f>
        <v>0</v>
      </c>
      <c r="J48" s="252">
        <f>SUMIFS(Model!$E$5:$E$454,Model!$B$5:$B$454,A48,Model!$A$5:$A$454,11) + SUMIFS(Model!$K$5:$K$454,Model!$B$5:$B$454,A48,Model!$A$5:$A$454,11)</f>
        <v>0</v>
      </c>
      <c r="K48" s="253"/>
      <c r="L48" s="252">
        <f>Inputs!A48</f>
        <v>0</v>
      </c>
      <c r="M48" s="252"/>
      <c r="N48" s="252"/>
      <c r="O48" s="252"/>
      <c r="P48" s="252"/>
      <c r="Q48" s="252"/>
      <c r="R48" s="252"/>
      <c r="S48" s="252"/>
      <c r="T48" s="252"/>
      <c r="U48" s="252"/>
      <c r="V48" s="253"/>
      <c r="W48" s="252">
        <f>Inputs!A48</f>
        <v>0</v>
      </c>
      <c r="X48" s="252">
        <f t="shared" si="2"/>
        <v>0</v>
      </c>
      <c r="Y48" s="257">
        <f t="shared" si="3"/>
        <v>0</v>
      </c>
      <c r="Z48" s="257">
        <f t="shared" si="20"/>
        <v>0</v>
      </c>
      <c r="AA48" s="257">
        <f t="shared" si="21"/>
        <v>0</v>
      </c>
      <c r="AB48" s="257">
        <f t="shared" si="22"/>
        <v>0</v>
      </c>
      <c r="AC48" s="257">
        <f t="shared" si="23"/>
        <v>0</v>
      </c>
      <c r="AD48" s="257">
        <f t="shared" si="24"/>
        <v>0</v>
      </c>
      <c r="AE48" s="257">
        <f t="shared" si="25"/>
        <v>0</v>
      </c>
      <c r="AF48" s="257">
        <f t="shared" si="10"/>
        <v>0</v>
      </c>
      <c r="AG48" s="253"/>
      <c r="AH48" s="252">
        <f>Inputs!A48</f>
        <v>0</v>
      </c>
      <c r="AI48" s="252">
        <f t="shared" si="11"/>
        <v>0</v>
      </c>
      <c r="AJ48" s="252">
        <f t="shared" si="12"/>
        <v>0</v>
      </c>
      <c r="AK48" s="252">
        <f t="shared" si="13"/>
        <v>0</v>
      </c>
      <c r="AL48" s="252">
        <f t="shared" si="14"/>
        <v>0</v>
      </c>
      <c r="AM48" s="252">
        <f t="shared" si="15"/>
        <v>0</v>
      </c>
      <c r="AN48" s="252">
        <f t="shared" si="16"/>
        <v>0</v>
      </c>
      <c r="AO48" s="252">
        <f t="shared" si="17"/>
        <v>0</v>
      </c>
      <c r="AP48" s="252">
        <f t="shared" si="18"/>
        <v>0</v>
      </c>
      <c r="AQ48" s="252">
        <f t="shared" si="19"/>
        <v>0</v>
      </c>
      <c r="AR48" s="253"/>
      <c r="AS48" s="252">
        <f>Inputs!A48</f>
        <v>0</v>
      </c>
      <c r="AT48" s="252">
        <f>X48*Inputs!F48*Inputs!G48</f>
        <v>0</v>
      </c>
      <c r="AU48" s="252">
        <f>Y48*Inputs!F48*Inputs!G48</f>
        <v>0</v>
      </c>
      <c r="AV48" s="252">
        <f>Z48*Inputs!F48*Inputs!G48</f>
        <v>0</v>
      </c>
      <c r="AW48" s="252">
        <f>AA48*Inputs!F48*Inputs!G48</f>
        <v>0</v>
      </c>
      <c r="AX48" s="252">
        <f>AB48*Inputs!F48*Inputs!G48</f>
        <v>0</v>
      </c>
      <c r="AY48" s="252">
        <f>AC48*Inputs!F48*Inputs!G48</f>
        <v>0</v>
      </c>
      <c r="AZ48" s="252">
        <f>AD48*Inputs!F48*Inputs!G48</f>
        <v>0</v>
      </c>
      <c r="BA48" s="252">
        <f>AE48*Inputs!F48*Inputs!G48</f>
        <v>0</v>
      </c>
      <c r="BB48" s="252">
        <f>AF48*Inputs!F48*Inputs!H48</f>
        <v>0</v>
      </c>
      <c r="BC48" s="253"/>
      <c r="BD48" s="252">
        <f>Inputs!A48</f>
        <v>0</v>
      </c>
      <c r="BE48" s="252">
        <f>AI48*Inputs!F48*Inputs!I48</f>
        <v>0</v>
      </c>
      <c r="BF48" s="252">
        <f>AJ48*Inputs!F48*Inputs!I48</f>
        <v>0</v>
      </c>
      <c r="BG48" s="252">
        <f>AK48*Inputs!F48*Inputs!I48</f>
        <v>0</v>
      </c>
      <c r="BH48" s="252">
        <f>AL48*Inputs!F48*Inputs!I48</f>
        <v>0</v>
      </c>
      <c r="BI48" s="252">
        <f>AM48*Inputs!F48*Inputs!I48</f>
        <v>0</v>
      </c>
      <c r="BJ48" s="252">
        <f>AN48*Inputs!F48*Inputs!I48</f>
        <v>0</v>
      </c>
      <c r="BK48" s="252">
        <f>AO48*Inputs!F48*Inputs!I48</f>
        <v>0</v>
      </c>
      <c r="BL48" s="252">
        <f>AP48*Inputs!F48*Inputs!I48</f>
        <v>0</v>
      </c>
      <c r="BM48" s="252">
        <f>AQ48*Inputs!F48*Inputs!I48</f>
        <v>0</v>
      </c>
      <c r="BN48" s="253"/>
      <c r="BO48" s="253"/>
    </row>
    <row r="49" spans="1:67" x14ac:dyDescent="0.25">
      <c r="A49" s="252">
        <f>Inputs!A49</f>
        <v>0</v>
      </c>
      <c r="B49" s="252">
        <f>SUMIFS(Model!$E$5:$E$454,Model!$B$5:$B$454,A49,Model!$A$5:$A$454,3) + SUMIFS(Model!$K$5:$K$454,Model!$B$5:$B$454,A49,Model!$A$5:$A$454,3)</f>
        <v>0</v>
      </c>
      <c r="C49" s="252">
        <f>SUMIFS(Model!$E$5:$E$454,Model!$B$5:$B$454,A49,Model!$A$5:$A$454,4) + SUMIFS(Model!$K$5:$K$454,Model!$B$5:$B$454,A49,Model!$A$5:$A$454,4)</f>
        <v>0</v>
      </c>
      <c r="D49" s="252">
        <f>SUMIFS(Model!$E$5:$E$454,Model!$B$5:$B$454,A49,Model!$A$5:$A$454,5) + SUMIFS(Model!$K$5:$K$454,Model!$B$5:$B$454,A49,Model!$A$5:$A$454,5)</f>
        <v>0</v>
      </c>
      <c r="E49" s="252">
        <f>SUMIFS(Model!$E$5:$E$454,Model!$B$5:$B$454,A49,Model!$A$5:$A$454,6) + SUMIFS(Model!$K$5:$K$454,Model!$B$5:$B$454,A49,Model!$A$5:$A$454,6)</f>
        <v>0</v>
      </c>
      <c r="F49" s="252">
        <f>SUMIFS(Model!$E$5:$E$454,Model!$B$5:$B$454,A49,Model!$A$5:$A$454,7) + SUMIFS(Model!$K$5:$K$454,Model!$B$5:$B$454,A49,Model!$A$5:$A$454,7)</f>
        <v>0</v>
      </c>
      <c r="G49" s="252">
        <f>SUMIFS(Model!$E$5:$E$454,Model!$B$5:$B$454,A49,Model!$A$5:$A$454,8) + SUMIFS(Model!$K$5:$K$454,Model!$B$5:$B$454,A49,Model!$A$5:$A$454,8)</f>
        <v>0</v>
      </c>
      <c r="H49" s="252">
        <f>SUMIFS(Model!$E$5:$E$454,Model!$B$5:$B$454,A49,Model!$A$5:$A$454,9) + SUMIFS(Model!$K$5:$K$454,Model!$B$5:$B$454,A49,Model!$A$5:$A$454,9)</f>
        <v>0</v>
      </c>
      <c r="I49" s="252">
        <f>SUMIFS(Model!$E$5:$E$454,Model!$B$5:$B$454,A49,Model!$A$5:$A$454,10) + SUMIFS(Model!$K$5:$K$454,Model!$B$5:$B$454,A49,Model!$A$5:$A$454,10)</f>
        <v>0</v>
      </c>
      <c r="J49" s="252">
        <f>SUMIFS(Model!$E$5:$E$454,Model!$B$5:$B$454,A49,Model!$A$5:$A$454,11) + SUMIFS(Model!$K$5:$K$454,Model!$B$5:$B$454,A49,Model!$A$5:$A$454,11)</f>
        <v>0</v>
      </c>
      <c r="K49" s="253"/>
      <c r="L49" s="252">
        <f>Inputs!A49</f>
        <v>0</v>
      </c>
      <c r="M49" s="252"/>
      <c r="N49" s="252"/>
      <c r="O49" s="252"/>
      <c r="P49" s="252"/>
      <c r="Q49" s="252"/>
      <c r="R49" s="252"/>
      <c r="S49" s="252"/>
      <c r="T49" s="252"/>
      <c r="U49" s="252"/>
      <c r="V49" s="253"/>
      <c r="W49" s="252">
        <f>Inputs!A49</f>
        <v>0</v>
      </c>
      <c r="X49" s="252">
        <f t="shared" si="2"/>
        <v>0</v>
      </c>
      <c r="Y49" s="257">
        <f t="shared" si="3"/>
        <v>0</v>
      </c>
      <c r="Z49" s="257">
        <f t="shared" si="20"/>
        <v>0</v>
      </c>
      <c r="AA49" s="257">
        <f t="shared" si="21"/>
        <v>0</v>
      </c>
      <c r="AB49" s="257">
        <f t="shared" si="22"/>
        <v>0</v>
      </c>
      <c r="AC49" s="257">
        <f t="shared" si="23"/>
        <v>0</v>
      </c>
      <c r="AD49" s="257">
        <f t="shared" si="24"/>
        <v>0</v>
      </c>
      <c r="AE49" s="257">
        <f t="shared" si="25"/>
        <v>0</v>
      </c>
      <c r="AF49" s="257">
        <f t="shared" si="10"/>
        <v>0</v>
      </c>
      <c r="AG49" s="253"/>
      <c r="AH49" s="252">
        <f>Inputs!A49</f>
        <v>0</v>
      </c>
      <c r="AI49" s="252">
        <f t="shared" si="11"/>
        <v>0</v>
      </c>
      <c r="AJ49" s="252">
        <f t="shared" si="12"/>
        <v>0</v>
      </c>
      <c r="AK49" s="252">
        <f t="shared" si="13"/>
        <v>0</v>
      </c>
      <c r="AL49" s="252">
        <f t="shared" si="14"/>
        <v>0</v>
      </c>
      <c r="AM49" s="252">
        <f t="shared" si="15"/>
        <v>0</v>
      </c>
      <c r="AN49" s="252">
        <f t="shared" si="16"/>
        <v>0</v>
      </c>
      <c r="AO49" s="252">
        <f t="shared" si="17"/>
        <v>0</v>
      </c>
      <c r="AP49" s="252">
        <f t="shared" si="18"/>
        <v>0</v>
      </c>
      <c r="AQ49" s="252">
        <f t="shared" si="19"/>
        <v>0</v>
      </c>
      <c r="AR49" s="253"/>
      <c r="AS49" s="252">
        <f>Inputs!A49</f>
        <v>0</v>
      </c>
      <c r="AT49" s="252">
        <f>X49*Inputs!F49*Inputs!G49</f>
        <v>0</v>
      </c>
      <c r="AU49" s="252">
        <f>Y49*Inputs!F49*Inputs!G49</f>
        <v>0</v>
      </c>
      <c r="AV49" s="252">
        <f>Z49*Inputs!F49*Inputs!G49</f>
        <v>0</v>
      </c>
      <c r="AW49" s="252">
        <f>AA49*Inputs!F49*Inputs!G49</f>
        <v>0</v>
      </c>
      <c r="AX49" s="252">
        <f>AB49*Inputs!F49*Inputs!G49</f>
        <v>0</v>
      </c>
      <c r="AY49" s="252">
        <f>AC49*Inputs!F49*Inputs!G49</f>
        <v>0</v>
      </c>
      <c r="AZ49" s="252">
        <f>AD49*Inputs!F49*Inputs!G49</f>
        <v>0</v>
      </c>
      <c r="BA49" s="252">
        <f>AE49*Inputs!F49*Inputs!G49</f>
        <v>0</v>
      </c>
      <c r="BB49" s="252">
        <f>AF49*Inputs!F49*Inputs!H49</f>
        <v>0</v>
      </c>
      <c r="BC49" s="253"/>
      <c r="BD49" s="252">
        <f>Inputs!A49</f>
        <v>0</v>
      </c>
      <c r="BE49" s="252">
        <f>AI49*Inputs!F49*Inputs!I49</f>
        <v>0</v>
      </c>
      <c r="BF49" s="252">
        <f>AJ49*Inputs!F49*Inputs!I49</f>
        <v>0</v>
      </c>
      <c r="BG49" s="252">
        <f>AK49*Inputs!F49*Inputs!I49</f>
        <v>0</v>
      </c>
      <c r="BH49" s="252">
        <f>AL49*Inputs!F49*Inputs!I49</f>
        <v>0</v>
      </c>
      <c r="BI49" s="252">
        <f>AM49*Inputs!F49*Inputs!I49</f>
        <v>0</v>
      </c>
      <c r="BJ49" s="252">
        <f>AN49*Inputs!F49*Inputs!I49</f>
        <v>0</v>
      </c>
      <c r="BK49" s="252">
        <f>AO49*Inputs!F49*Inputs!I49</f>
        <v>0</v>
      </c>
      <c r="BL49" s="252">
        <f>AP49*Inputs!F49*Inputs!I49</f>
        <v>0</v>
      </c>
      <c r="BM49" s="252">
        <f>AQ49*Inputs!F49*Inputs!I49</f>
        <v>0</v>
      </c>
      <c r="BN49" s="253"/>
      <c r="BO49" s="253"/>
    </row>
    <row r="50" spans="1:67" x14ac:dyDescent="0.25">
      <c r="A50" s="252">
        <f>Inputs!A50</f>
        <v>0</v>
      </c>
      <c r="B50" s="252">
        <f>SUMIFS(Model!$E$5:$E$454,Model!$B$5:$B$454,A50,Model!$A$5:$A$454,3) + SUMIFS(Model!$K$5:$K$454,Model!$B$5:$B$454,A50,Model!$A$5:$A$454,3)</f>
        <v>0</v>
      </c>
      <c r="C50" s="252">
        <f>SUMIFS(Model!$E$5:$E$454,Model!$B$5:$B$454,A50,Model!$A$5:$A$454,4) + SUMIFS(Model!$K$5:$K$454,Model!$B$5:$B$454,A50,Model!$A$5:$A$454,4)</f>
        <v>0</v>
      </c>
      <c r="D50" s="252">
        <f>SUMIFS(Model!$E$5:$E$454,Model!$B$5:$B$454,A50,Model!$A$5:$A$454,5) + SUMIFS(Model!$K$5:$K$454,Model!$B$5:$B$454,A50,Model!$A$5:$A$454,5)</f>
        <v>0</v>
      </c>
      <c r="E50" s="252">
        <f>SUMIFS(Model!$E$5:$E$454,Model!$B$5:$B$454,A50,Model!$A$5:$A$454,6) + SUMIFS(Model!$K$5:$K$454,Model!$B$5:$B$454,A50,Model!$A$5:$A$454,6)</f>
        <v>0</v>
      </c>
      <c r="F50" s="252">
        <f>SUMIFS(Model!$E$5:$E$454,Model!$B$5:$B$454,A50,Model!$A$5:$A$454,7) + SUMIFS(Model!$K$5:$K$454,Model!$B$5:$B$454,A50,Model!$A$5:$A$454,7)</f>
        <v>0</v>
      </c>
      <c r="G50" s="252">
        <f>SUMIFS(Model!$E$5:$E$454,Model!$B$5:$B$454,A50,Model!$A$5:$A$454,8) + SUMIFS(Model!$K$5:$K$454,Model!$B$5:$B$454,A50,Model!$A$5:$A$454,8)</f>
        <v>0</v>
      </c>
      <c r="H50" s="252">
        <f>SUMIFS(Model!$E$5:$E$454,Model!$B$5:$B$454,A50,Model!$A$5:$A$454,9) + SUMIFS(Model!$K$5:$K$454,Model!$B$5:$B$454,A50,Model!$A$5:$A$454,9)</f>
        <v>0</v>
      </c>
      <c r="I50" s="252">
        <f>SUMIFS(Model!$E$5:$E$454,Model!$B$5:$B$454,A50,Model!$A$5:$A$454,10) + SUMIFS(Model!$K$5:$K$454,Model!$B$5:$B$454,A50,Model!$A$5:$A$454,10)</f>
        <v>0</v>
      </c>
      <c r="J50" s="252">
        <f>SUMIFS(Model!$E$5:$E$454,Model!$B$5:$B$454,A50,Model!$A$5:$A$454,11) + SUMIFS(Model!$K$5:$K$454,Model!$B$5:$B$454,A50,Model!$A$5:$A$454,11)</f>
        <v>0</v>
      </c>
      <c r="K50" s="253"/>
      <c r="L50" s="252">
        <f>Inputs!A50</f>
        <v>0</v>
      </c>
      <c r="M50" s="252"/>
      <c r="N50" s="252"/>
      <c r="O50" s="252"/>
      <c r="P50" s="252"/>
      <c r="Q50" s="252"/>
      <c r="R50" s="252"/>
      <c r="S50" s="252"/>
      <c r="T50" s="252"/>
      <c r="U50" s="252"/>
      <c r="V50" s="253"/>
      <c r="W50" s="252">
        <f>Inputs!A50</f>
        <v>0</v>
      </c>
      <c r="X50" s="252">
        <f t="shared" si="2"/>
        <v>0</v>
      </c>
      <c r="Y50" s="257">
        <f t="shared" si="3"/>
        <v>0</v>
      </c>
      <c r="Z50" s="257">
        <f t="shared" si="20"/>
        <v>0</v>
      </c>
      <c r="AA50" s="257">
        <f t="shared" si="21"/>
        <v>0</v>
      </c>
      <c r="AB50" s="257">
        <f t="shared" si="22"/>
        <v>0</v>
      </c>
      <c r="AC50" s="257">
        <f t="shared" si="23"/>
        <v>0</v>
      </c>
      <c r="AD50" s="257">
        <f t="shared" si="24"/>
        <v>0</v>
      </c>
      <c r="AE50" s="257">
        <f t="shared" si="25"/>
        <v>0</v>
      </c>
      <c r="AF50" s="257">
        <f t="shared" si="10"/>
        <v>0</v>
      </c>
      <c r="AG50" s="253"/>
      <c r="AH50" s="252">
        <f>Inputs!A50</f>
        <v>0</v>
      </c>
      <c r="AI50" s="252">
        <f t="shared" si="11"/>
        <v>0</v>
      </c>
      <c r="AJ50" s="252">
        <f t="shared" si="12"/>
        <v>0</v>
      </c>
      <c r="AK50" s="252">
        <f t="shared" si="13"/>
        <v>0</v>
      </c>
      <c r="AL50" s="252">
        <f t="shared" si="14"/>
        <v>0</v>
      </c>
      <c r="AM50" s="252">
        <f t="shared" si="15"/>
        <v>0</v>
      </c>
      <c r="AN50" s="252">
        <f t="shared" si="16"/>
        <v>0</v>
      </c>
      <c r="AO50" s="252">
        <f t="shared" si="17"/>
        <v>0</v>
      </c>
      <c r="AP50" s="252">
        <f t="shared" si="18"/>
        <v>0</v>
      </c>
      <c r="AQ50" s="252">
        <f t="shared" si="19"/>
        <v>0</v>
      </c>
      <c r="AR50" s="253"/>
      <c r="AS50" s="252">
        <f>Inputs!A50</f>
        <v>0</v>
      </c>
      <c r="AT50" s="252">
        <f>X50*Inputs!F50*Inputs!G50</f>
        <v>0</v>
      </c>
      <c r="AU50" s="252">
        <f>Y50*Inputs!F50*Inputs!G50</f>
        <v>0</v>
      </c>
      <c r="AV50" s="252">
        <f>Z50*Inputs!F50*Inputs!G50</f>
        <v>0</v>
      </c>
      <c r="AW50" s="252">
        <f>AA50*Inputs!F50*Inputs!G50</f>
        <v>0</v>
      </c>
      <c r="AX50" s="252">
        <f>AB50*Inputs!F50*Inputs!G50</f>
        <v>0</v>
      </c>
      <c r="AY50" s="252">
        <f>AC50*Inputs!F50*Inputs!G50</f>
        <v>0</v>
      </c>
      <c r="AZ50" s="252">
        <f>AD50*Inputs!F50*Inputs!G50</f>
        <v>0</v>
      </c>
      <c r="BA50" s="252">
        <f>AE50*Inputs!F50*Inputs!G50</f>
        <v>0</v>
      </c>
      <c r="BB50" s="252">
        <f>AF50*Inputs!F50*Inputs!H50</f>
        <v>0</v>
      </c>
      <c r="BC50" s="253"/>
      <c r="BD50" s="252">
        <f>Inputs!A50</f>
        <v>0</v>
      </c>
      <c r="BE50" s="252">
        <f>AI50*Inputs!F50*Inputs!I50</f>
        <v>0</v>
      </c>
      <c r="BF50" s="252">
        <f>AJ50*Inputs!F50*Inputs!I50</f>
        <v>0</v>
      </c>
      <c r="BG50" s="252">
        <f>AK50*Inputs!F50*Inputs!I50</f>
        <v>0</v>
      </c>
      <c r="BH50" s="252">
        <f>AL50*Inputs!F50*Inputs!I50</f>
        <v>0</v>
      </c>
      <c r="BI50" s="252">
        <f>AM50*Inputs!F50*Inputs!I50</f>
        <v>0</v>
      </c>
      <c r="BJ50" s="252">
        <f>AN50*Inputs!F50*Inputs!I50</f>
        <v>0</v>
      </c>
      <c r="BK50" s="252">
        <f>AO50*Inputs!F50*Inputs!I50</f>
        <v>0</v>
      </c>
      <c r="BL50" s="252">
        <f>AP50*Inputs!F50*Inputs!I50</f>
        <v>0</v>
      </c>
      <c r="BM50" s="252">
        <f>AQ50*Inputs!F50*Inputs!I50</f>
        <v>0</v>
      </c>
      <c r="BN50" s="253"/>
      <c r="BO50" s="253"/>
    </row>
    <row r="51" spans="1:67" x14ac:dyDescent="0.25">
      <c r="A51" s="252">
        <f>Inputs!A51</f>
        <v>0</v>
      </c>
      <c r="B51" s="252">
        <f>SUMIFS(Model!$E$5:$E$454,Model!$B$5:$B$454,A51,Model!$A$5:$A$454,3) + SUMIFS(Model!$K$5:$K$454,Model!$B$5:$B$454,A51,Model!$A$5:$A$454,3)</f>
        <v>0</v>
      </c>
      <c r="C51" s="252">
        <f>SUMIFS(Model!$E$5:$E$454,Model!$B$5:$B$454,A51,Model!$A$5:$A$454,4) + SUMIFS(Model!$K$5:$K$454,Model!$B$5:$B$454,A51,Model!$A$5:$A$454,4)</f>
        <v>0</v>
      </c>
      <c r="D51" s="252">
        <f>SUMIFS(Model!$E$5:$E$454,Model!$B$5:$B$454,A51,Model!$A$5:$A$454,5) + SUMIFS(Model!$K$5:$K$454,Model!$B$5:$B$454,A51,Model!$A$5:$A$454,5)</f>
        <v>0</v>
      </c>
      <c r="E51" s="252">
        <f>SUMIFS(Model!$E$5:$E$454,Model!$B$5:$B$454,A51,Model!$A$5:$A$454,6) + SUMIFS(Model!$K$5:$K$454,Model!$B$5:$B$454,A51,Model!$A$5:$A$454,6)</f>
        <v>0</v>
      </c>
      <c r="F51" s="252">
        <f>SUMIFS(Model!$E$5:$E$454,Model!$B$5:$B$454,A51,Model!$A$5:$A$454,7) + SUMIFS(Model!$K$5:$K$454,Model!$B$5:$B$454,A51,Model!$A$5:$A$454,7)</f>
        <v>0</v>
      </c>
      <c r="G51" s="252">
        <f>SUMIFS(Model!$E$5:$E$454,Model!$B$5:$B$454,A51,Model!$A$5:$A$454,8) + SUMIFS(Model!$K$5:$K$454,Model!$B$5:$B$454,A51,Model!$A$5:$A$454,8)</f>
        <v>0</v>
      </c>
      <c r="H51" s="252">
        <f>SUMIFS(Model!$E$5:$E$454,Model!$B$5:$B$454,A51,Model!$A$5:$A$454,9) + SUMIFS(Model!$K$5:$K$454,Model!$B$5:$B$454,A51,Model!$A$5:$A$454,9)</f>
        <v>0</v>
      </c>
      <c r="I51" s="252">
        <f>SUMIFS(Model!$E$5:$E$454,Model!$B$5:$B$454,A51,Model!$A$5:$A$454,10) + SUMIFS(Model!$K$5:$K$454,Model!$B$5:$B$454,A51,Model!$A$5:$A$454,10)</f>
        <v>0</v>
      </c>
      <c r="J51" s="252">
        <f>SUMIFS(Model!$E$5:$E$454,Model!$B$5:$B$454,A51,Model!$A$5:$A$454,11) + SUMIFS(Model!$K$5:$K$454,Model!$B$5:$B$454,A51,Model!$A$5:$A$454,11)</f>
        <v>0</v>
      </c>
      <c r="K51" s="253"/>
      <c r="L51" s="252">
        <f>Inputs!A51</f>
        <v>0</v>
      </c>
      <c r="M51" s="252"/>
      <c r="N51" s="252"/>
      <c r="O51" s="252"/>
      <c r="P51" s="252"/>
      <c r="Q51" s="252"/>
      <c r="R51" s="252"/>
      <c r="S51" s="252"/>
      <c r="T51" s="252"/>
      <c r="U51" s="252"/>
      <c r="V51" s="253"/>
      <c r="W51" s="252">
        <f>Inputs!A51</f>
        <v>0</v>
      </c>
      <c r="X51" s="252">
        <f t="shared" si="2"/>
        <v>0</v>
      </c>
      <c r="Y51" s="257">
        <f t="shared" si="3"/>
        <v>0</v>
      </c>
      <c r="Z51" s="257">
        <f t="shared" si="20"/>
        <v>0</v>
      </c>
      <c r="AA51" s="257">
        <f t="shared" si="21"/>
        <v>0</v>
      </c>
      <c r="AB51" s="257">
        <f t="shared" si="22"/>
        <v>0</v>
      </c>
      <c r="AC51" s="257">
        <f t="shared" si="23"/>
        <v>0</v>
      </c>
      <c r="AD51" s="257">
        <f t="shared" si="24"/>
        <v>0</v>
      </c>
      <c r="AE51" s="257">
        <f t="shared" si="25"/>
        <v>0</v>
      </c>
      <c r="AF51" s="257">
        <f t="shared" si="10"/>
        <v>0</v>
      </c>
      <c r="AG51" s="253"/>
      <c r="AH51" s="252">
        <f>Inputs!A51</f>
        <v>0</v>
      </c>
      <c r="AI51" s="252">
        <f t="shared" si="11"/>
        <v>0</v>
      </c>
      <c r="AJ51" s="252">
        <f t="shared" si="12"/>
        <v>0</v>
      </c>
      <c r="AK51" s="252">
        <f t="shared" si="13"/>
        <v>0</v>
      </c>
      <c r="AL51" s="252">
        <f t="shared" si="14"/>
        <v>0</v>
      </c>
      <c r="AM51" s="252">
        <f t="shared" si="15"/>
        <v>0</v>
      </c>
      <c r="AN51" s="252">
        <f t="shared" si="16"/>
        <v>0</v>
      </c>
      <c r="AO51" s="252">
        <f t="shared" si="17"/>
        <v>0</v>
      </c>
      <c r="AP51" s="252">
        <f t="shared" si="18"/>
        <v>0</v>
      </c>
      <c r="AQ51" s="252">
        <f t="shared" si="19"/>
        <v>0</v>
      </c>
      <c r="AR51" s="253"/>
      <c r="AS51" s="252">
        <f>Inputs!A51</f>
        <v>0</v>
      </c>
      <c r="AT51" s="252">
        <f>X51*Inputs!F51*Inputs!G51</f>
        <v>0</v>
      </c>
      <c r="AU51" s="252">
        <f>Y51*Inputs!F51*Inputs!G51</f>
        <v>0</v>
      </c>
      <c r="AV51" s="252">
        <f>Z51*Inputs!F51*Inputs!G51</f>
        <v>0</v>
      </c>
      <c r="AW51" s="252">
        <f>AA51*Inputs!F51*Inputs!G51</f>
        <v>0</v>
      </c>
      <c r="AX51" s="252">
        <f>AB51*Inputs!F51*Inputs!G51</f>
        <v>0</v>
      </c>
      <c r="AY51" s="252">
        <f>AC51*Inputs!F51*Inputs!G51</f>
        <v>0</v>
      </c>
      <c r="AZ51" s="252">
        <f>AD51*Inputs!F51*Inputs!G51</f>
        <v>0</v>
      </c>
      <c r="BA51" s="252">
        <f>AE51*Inputs!F51*Inputs!G51</f>
        <v>0</v>
      </c>
      <c r="BB51" s="252">
        <f>AF51*Inputs!F51*Inputs!H51</f>
        <v>0</v>
      </c>
      <c r="BC51" s="253"/>
      <c r="BD51" s="252">
        <f>Inputs!A51</f>
        <v>0</v>
      </c>
      <c r="BE51" s="252">
        <f>AI51*Inputs!F51*Inputs!I51</f>
        <v>0</v>
      </c>
      <c r="BF51" s="252">
        <f>AJ51*Inputs!F51*Inputs!I51</f>
        <v>0</v>
      </c>
      <c r="BG51" s="252">
        <f>AK51*Inputs!F51*Inputs!I51</f>
        <v>0</v>
      </c>
      <c r="BH51" s="252">
        <f>AL51*Inputs!F51*Inputs!I51</f>
        <v>0</v>
      </c>
      <c r="BI51" s="252">
        <f>AM51*Inputs!F51*Inputs!I51</f>
        <v>0</v>
      </c>
      <c r="BJ51" s="252">
        <f>AN51*Inputs!F51*Inputs!I51</f>
        <v>0</v>
      </c>
      <c r="BK51" s="252">
        <f>AO51*Inputs!F51*Inputs!I51</f>
        <v>0</v>
      </c>
      <c r="BL51" s="252">
        <f>AP51*Inputs!F51*Inputs!I51</f>
        <v>0</v>
      </c>
      <c r="BM51" s="252">
        <f>AQ51*Inputs!F51*Inputs!I51</f>
        <v>0</v>
      </c>
      <c r="BN51" s="253"/>
      <c r="BO51" s="253"/>
    </row>
    <row r="52" spans="1:67" x14ac:dyDescent="0.25">
      <c r="A52" s="253"/>
      <c r="B52" s="253"/>
      <c r="C52" s="253"/>
      <c r="D52" s="253"/>
      <c r="E52" s="253"/>
      <c r="F52" s="253"/>
      <c r="G52" s="253"/>
      <c r="H52" s="253"/>
      <c r="I52" s="253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53"/>
      <c r="W52" s="253"/>
      <c r="X52" s="253"/>
      <c r="Y52" s="258"/>
      <c r="Z52" s="258"/>
      <c r="AA52" s="258"/>
      <c r="AB52" s="258"/>
      <c r="AC52" s="258"/>
      <c r="AD52" s="258"/>
      <c r="AE52" s="258"/>
      <c r="AF52" s="258"/>
      <c r="AG52" s="253"/>
      <c r="AH52" s="253"/>
      <c r="AI52" s="253"/>
      <c r="AJ52" s="253"/>
      <c r="AK52" s="253"/>
      <c r="AL52" s="253"/>
      <c r="AM52" s="253"/>
      <c r="AN52" s="253"/>
      <c r="AO52" s="253"/>
      <c r="AP52" s="253"/>
      <c r="AQ52" s="253"/>
      <c r="AR52" s="253"/>
      <c r="AS52" s="253"/>
      <c r="AT52" s="253"/>
      <c r="AU52" s="253"/>
      <c r="AV52" s="253"/>
      <c r="AW52" s="253"/>
      <c r="AX52" s="253"/>
      <c r="AY52" s="253"/>
      <c r="AZ52" s="253"/>
      <c r="BA52" s="253"/>
      <c r="BB52" s="253"/>
      <c r="BC52" s="253"/>
      <c r="BD52" s="253"/>
      <c r="BE52" s="253"/>
      <c r="BF52" s="253"/>
      <c r="BG52" s="253"/>
      <c r="BH52" s="253"/>
      <c r="BI52" s="253"/>
      <c r="BJ52" s="253"/>
      <c r="BK52" s="253"/>
      <c r="BL52" s="253"/>
      <c r="BM52" s="253"/>
      <c r="BN52" s="253"/>
      <c r="BO52" s="253"/>
    </row>
    <row r="53" spans="1:67" x14ac:dyDescent="0.25">
      <c r="A53" s="253"/>
      <c r="B53" s="253"/>
      <c r="C53" s="253"/>
      <c r="D53" s="253"/>
      <c r="E53" s="253"/>
      <c r="F53" s="253"/>
      <c r="G53" s="253"/>
      <c r="H53" s="253"/>
      <c r="I53" s="253"/>
      <c r="J53" s="253"/>
      <c r="K53" s="253"/>
      <c r="L53" s="253"/>
      <c r="M53" s="253"/>
      <c r="N53" s="253"/>
      <c r="O53" s="253"/>
      <c r="P53" s="253"/>
      <c r="Q53" s="253"/>
      <c r="R53" s="253"/>
      <c r="S53" s="253"/>
      <c r="T53" s="253"/>
      <c r="U53" s="253"/>
      <c r="V53" s="253"/>
      <c r="W53" s="253"/>
      <c r="X53" s="253"/>
      <c r="Y53" s="253"/>
      <c r="Z53" s="253"/>
      <c r="AA53" s="253"/>
      <c r="AB53" s="253"/>
      <c r="AC53" s="253"/>
      <c r="AD53" s="253"/>
      <c r="AE53" s="253"/>
      <c r="AF53" s="253"/>
      <c r="AG53" s="253"/>
      <c r="AH53" s="253"/>
      <c r="AI53" s="253"/>
      <c r="AJ53" s="253"/>
      <c r="AK53" s="253"/>
      <c r="AL53" s="253"/>
      <c r="AM53" s="253"/>
      <c r="AN53" s="253"/>
      <c r="AO53" s="253"/>
      <c r="AP53" s="253"/>
      <c r="AQ53" s="253"/>
      <c r="AR53" s="253"/>
      <c r="AS53" s="253"/>
      <c r="AT53" s="253"/>
      <c r="AU53" s="253"/>
      <c r="AV53" s="253"/>
      <c r="AW53" s="253"/>
      <c r="AX53" s="253"/>
      <c r="AY53" s="253"/>
      <c r="AZ53" s="253"/>
      <c r="BA53" s="253"/>
      <c r="BB53" s="253"/>
      <c r="BC53" s="253"/>
      <c r="BD53" s="253"/>
      <c r="BE53" s="253"/>
      <c r="BF53" s="253"/>
      <c r="BG53" s="253"/>
      <c r="BH53" s="253"/>
      <c r="BI53" s="253"/>
      <c r="BJ53" s="253"/>
      <c r="BK53" s="259"/>
      <c r="BL53" s="253"/>
      <c r="BM53" s="253"/>
      <c r="BN53" s="253"/>
      <c r="BO53" s="253"/>
    </row>
    <row r="54" spans="1:67" x14ac:dyDescent="0.25">
      <c r="A54" s="253"/>
      <c r="B54" s="253"/>
      <c r="C54" s="253"/>
      <c r="D54" s="253"/>
      <c r="E54" s="253"/>
      <c r="F54" s="253"/>
      <c r="G54" s="253"/>
      <c r="H54" s="253"/>
      <c r="I54" s="253"/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Z54" s="253"/>
      <c r="AA54" s="253"/>
      <c r="AB54" s="253"/>
      <c r="AC54" s="253"/>
      <c r="AD54" s="253"/>
      <c r="AE54" s="253"/>
      <c r="AF54" s="253"/>
      <c r="AG54" s="253"/>
      <c r="AH54" s="253"/>
      <c r="AI54" s="253"/>
      <c r="AJ54" s="253"/>
      <c r="AK54" s="253"/>
      <c r="AL54" s="253"/>
      <c r="AM54" s="253"/>
      <c r="AN54" s="253"/>
      <c r="AO54" s="253"/>
      <c r="AP54" s="253"/>
      <c r="AQ54" s="253"/>
      <c r="AR54" s="253"/>
      <c r="AS54" s="253"/>
      <c r="AT54" s="253"/>
      <c r="AU54" s="253"/>
      <c r="AV54" s="253"/>
      <c r="AW54" s="253"/>
      <c r="AX54" s="253"/>
      <c r="AY54" s="253"/>
      <c r="AZ54" s="253"/>
      <c r="BA54" s="253"/>
      <c r="BB54" s="253"/>
      <c r="BC54" s="253"/>
      <c r="BD54" s="253"/>
      <c r="BE54" s="253"/>
      <c r="BF54" s="253"/>
      <c r="BG54" s="253"/>
      <c r="BH54" s="253"/>
      <c r="BI54" s="253"/>
      <c r="BJ54" s="253"/>
      <c r="BK54" s="259"/>
      <c r="BL54" s="253"/>
      <c r="BM54" s="253"/>
      <c r="BN54" s="253"/>
      <c r="BO54" s="253"/>
    </row>
    <row r="55" spans="1:67" x14ac:dyDescent="0.25">
      <c r="A55" s="253"/>
      <c r="B55" s="253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3"/>
      <c r="AC55" s="253"/>
      <c r="AD55" s="253"/>
      <c r="AE55" s="253"/>
      <c r="AF55" s="253"/>
      <c r="AG55" s="253"/>
      <c r="AH55" s="253"/>
      <c r="AI55" s="253"/>
      <c r="AJ55" s="253"/>
      <c r="AK55" s="253"/>
      <c r="AL55" s="253"/>
      <c r="AM55" s="253"/>
      <c r="AN55" s="253"/>
      <c r="AO55" s="253"/>
      <c r="AP55" s="253"/>
      <c r="AQ55" s="253"/>
      <c r="AR55" s="253"/>
      <c r="AS55" s="253"/>
      <c r="AT55" s="253"/>
      <c r="AU55" s="253"/>
      <c r="AV55" s="253"/>
      <c r="AW55" s="253"/>
      <c r="AX55" s="253"/>
      <c r="AY55" s="253"/>
      <c r="AZ55" s="253"/>
      <c r="BA55" s="253"/>
      <c r="BB55" s="253"/>
      <c r="BC55" s="253"/>
      <c r="BD55" s="253"/>
      <c r="BE55" s="253"/>
      <c r="BF55" s="253"/>
      <c r="BG55" s="253"/>
      <c r="BH55" s="253"/>
      <c r="BI55" s="253"/>
      <c r="BJ55" s="253"/>
      <c r="BK55" s="259"/>
      <c r="BL55" s="253"/>
      <c r="BM55" s="253"/>
      <c r="BN55" s="253"/>
      <c r="BO55" s="253"/>
    </row>
    <row r="56" spans="1:67" x14ac:dyDescent="0.25">
      <c r="A56" s="253"/>
      <c r="B56" s="253"/>
      <c r="C56" s="253"/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253"/>
      <c r="P56" s="253"/>
      <c r="Q56" s="253"/>
      <c r="R56" s="253"/>
      <c r="S56" s="253"/>
      <c r="T56" s="253"/>
      <c r="U56" s="253"/>
      <c r="V56" s="253"/>
      <c r="W56" s="253"/>
      <c r="X56" s="253"/>
      <c r="Y56" s="253"/>
      <c r="Z56" s="253"/>
      <c r="AA56" s="253"/>
      <c r="AB56" s="253"/>
      <c r="AC56" s="253"/>
      <c r="AD56" s="253"/>
      <c r="AE56" s="253"/>
      <c r="AF56" s="253"/>
      <c r="AG56" s="253"/>
      <c r="AH56" s="253"/>
      <c r="AI56" s="253"/>
      <c r="AJ56" s="253"/>
      <c r="AK56" s="253"/>
      <c r="AL56" s="253"/>
      <c r="AM56" s="253"/>
      <c r="AN56" s="253"/>
      <c r="AO56" s="253"/>
      <c r="AP56" s="253"/>
      <c r="AQ56" s="253"/>
      <c r="AR56" s="253"/>
      <c r="AS56" s="253"/>
      <c r="AT56" s="253"/>
      <c r="AU56" s="253"/>
      <c r="AV56" s="253"/>
      <c r="AW56" s="253"/>
      <c r="AX56" s="253"/>
      <c r="AY56" s="253"/>
      <c r="AZ56" s="253"/>
      <c r="BA56" s="253"/>
      <c r="BB56" s="253"/>
      <c r="BC56" s="253"/>
      <c r="BD56" s="253"/>
      <c r="BE56" s="253"/>
      <c r="BF56" s="253"/>
      <c r="BG56" s="253"/>
      <c r="BH56" s="253"/>
      <c r="BI56" s="253"/>
      <c r="BJ56" s="253"/>
      <c r="BK56" s="259"/>
      <c r="BL56" s="253"/>
      <c r="BM56" s="253"/>
      <c r="BN56" s="253"/>
      <c r="BO56" s="253"/>
    </row>
    <row r="57" spans="1:67" x14ac:dyDescent="0.25">
      <c r="A57" s="253"/>
      <c r="B57" s="253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253"/>
      <c r="P57" s="253"/>
      <c r="Q57" s="253"/>
      <c r="R57" s="253"/>
      <c r="S57" s="253"/>
      <c r="T57" s="253"/>
      <c r="U57" s="253"/>
      <c r="V57" s="253"/>
      <c r="W57" s="253"/>
      <c r="X57" s="253"/>
      <c r="Y57" s="253"/>
      <c r="Z57" s="253"/>
      <c r="AA57" s="253"/>
      <c r="AB57" s="253"/>
      <c r="AC57" s="253"/>
      <c r="AD57" s="253"/>
      <c r="AE57" s="253"/>
      <c r="AF57" s="253"/>
      <c r="AG57" s="253"/>
      <c r="AH57" s="253"/>
      <c r="AI57" s="253"/>
      <c r="AJ57" s="253"/>
      <c r="AK57" s="253"/>
      <c r="AL57" s="253"/>
      <c r="AM57" s="253"/>
      <c r="AN57" s="253"/>
      <c r="AO57" s="253"/>
      <c r="AP57" s="253"/>
      <c r="AQ57" s="253"/>
      <c r="AR57" s="253"/>
      <c r="AS57" s="253"/>
      <c r="AT57" s="253"/>
      <c r="AU57" s="253"/>
      <c r="AV57" s="253"/>
      <c r="AW57" s="253"/>
      <c r="AX57" s="253"/>
      <c r="AY57" s="253"/>
      <c r="AZ57" s="253"/>
      <c r="BA57" s="253"/>
      <c r="BB57" s="253"/>
      <c r="BC57" s="253"/>
      <c r="BD57" s="253"/>
      <c r="BE57" s="253"/>
      <c r="BF57" s="253"/>
      <c r="BG57" s="253"/>
      <c r="BH57" s="253"/>
      <c r="BI57" s="253"/>
      <c r="BJ57" s="253"/>
      <c r="BK57" s="259"/>
      <c r="BL57" s="253"/>
      <c r="BM57" s="253"/>
      <c r="BN57" s="253"/>
      <c r="BO57" s="253"/>
    </row>
    <row r="58" spans="1:67" x14ac:dyDescent="0.25">
      <c r="A58" s="253"/>
      <c r="B58" s="253"/>
      <c r="C58" s="253"/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3"/>
      <c r="W58" s="253"/>
      <c r="X58" s="253"/>
      <c r="Y58" s="253"/>
      <c r="Z58" s="253"/>
      <c r="AA58" s="253"/>
      <c r="AB58" s="253"/>
      <c r="AC58" s="253"/>
      <c r="AD58" s="253"/>
      <c r="AE58" s="253"/>
      <c r="AF58" s="253"/>
      <c r="AG58" s="253"/>
      <c r="AH58" s="253"/>
      <c r="AI58" s="253"/>
      <c r="AJ58" s="253"/>
      <c r="AK58" s="253"/>
      <c r="AL58" s="253"/>
      <c r="AM58" s="253"/>
      <c r="AN58" s="253"/>
      <c r="AO58" s="253"/>
      <c r="AP58" s="253"/>
      <c r="AQ58" s="253"/>
      <c r="AR58" s="253"/>
      <c r="AS58" s="253"/>
      <c r="AT58" s="253"/>
      <c r="AU58" s="253"/>
      <c r="AV58" s="253"/>
      <c r="AW58" s="253"/>
      <c r="AX58" s="253"/>
      <c r="AY58" s="253"/>
      <c r="AZ58" s="253"/>
      <c r="BA58" s="253"/>
      <c r="BB58" s="253"/>
      <c r="BC58" s="253"/>
      <c r="BD58" s="253"/>
      <c r="BE58" s="253"/>
      <c r="BF58" s="253"/>
      <c r="BG58" s="253"/>
      <c r="BH58" s="253"/>
      <c r="BI58" s="253"/>
      <c r="BJ58" s="253"/>
      <c r="BK58" s="259"/>
      <c r="BL58" s="253"/>
      <c r="BM58" s="253"/>
      <c r="BN58" s="253"/>
      <c r="BO58" s="253"/>
    </row>
    <row r="59" spans="1:67" x14ac:dyDescent="0.25">
      <c r="A59" s="253"/>
      <c r="B59" s="253"/>
      <c r="C59" s="253"/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3"/>
      <c r="AX59" s="253"/>
      <c r="AY59" s="253"/>
      <c r="AZ59" s="253"/>
      <c r="BA59" s="253"/>
      <c r="BB59" s="253"/>
      <c r="BC59" s="253"/>
      <c r="BD59" s="253"/>
      <c r="BE59" s="253"/>
      <c r="BF59" s="253"/>
      <c r="BG59" s="253"/>
      <c r="BH59" s="253"/>
      <c r="BI59" s="253"/>
      <c r="BJ59" s="253"/>
      <c r="BK59" s="259"/>
      <c r="BL59" s="253"/>
      <c r="BM59" s="253"/>
      <c r="BN59" s="253"/>
      <c r="BO59" s="253"/>
    </row>
    <row r="60" spans="1:67" x14ac:dyDescent="0.25">
      <c r="A60" s="253"/>
      <c r="B60" s="253"/>
      <c r="C60" s="253"/>
      <c r="D60" s="253"/>
      <c r="E60" s="253"/>
      <c r="F60" s="253"/>
      <c r="G60" s="253"/>
      <c r="H60" s="253"/>
      <c r="I60" s="253"/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  <c r="U60" s="253"/>
      <c r="V60" s="253"/>
      <c r="W60" s="253"/>
      <c r="X60" s="253"/>
      <c r="Y60" s="253"/>
      <c r="Z60" s="253"/>
      <c r="AA60" s="253"/>
      <c r="AB60" s="253"/>
      <c r="AC60" s="253"/>
      <c r="AD60" s="253"/>
      <c r="AE60" s="253"/>
      <c r="AF60" s="253"/>
      <c r="AG60" s="253"/>
      <c r="AH60" s="253"/>
      <c r="AI60" s="253"/>
      <c r="AJ60" s="253"/>
      <c r="AK60" s="253"/>
      <c r="AL60" s="253"/>
      <c r="AM60" s="253"/>
      <c r="AN60" s="253"/>
      <c r="AO60" s="253"/>
      <c r="AP60" s="253"/>
      <c r="AQ60" s="253"/>
      <c r="AR60" s="253"/>
      <c r="AS60" s="253"/>
      <c r="AT60" s="253"/>
      <c r="AU60" s="253"/>
      <c r="AV60" s="253"/>
      <c r="AW60" s="253"/>
      <c r="AX60" s="253"/>
      <c r="AY60" s="253"/>
      <c r="AZ60" s="253"/>
      <c r="BA60" s="253"/>
      <c r="BB60" s="253"/>
      <c r="BC60" s="253"/>
      <c r="BD60" s="253"/>
      <c r="BE60" s="253"/>
      <c r="BF60" s="253"/>
      <c r="BG60" s="253"/>
      <c r="BH60" s="253"/>
      <c r="BI60" s="253"/>
      <c r="BJ60" s="253"/>
      <c r="BK60" s="259"/>
      <c r="BL60" s="253"/>
      <c r="BM60" s="253"/>
      <c r="BN60" s="253"/>
      <c r="BO60" s="253"/>
    </row>
    <row r="61" spans="1:67" x14ac:dyDescent="0.25">
      <c r="A61" s="253"/>
      <c r="B61" s="253"/>
      <c r="C61" s="253"/>
      <c r="D61" s="253"/>
      <c r="E61" s="253"/>
      <c r="F61" s="253"/>
      <c r="G61" s="253"/>
      <c r="H61" s="253"/>
      <c r="I61" s="253"/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  <c r="U61" s="253"/>
      <c r="V61" s="253"/>
      <c r="W61" s="253"/>
      <c r="X61" s="253"/>
      <c r="Y61" s="253"/>
      <c r="Z61" s="253"/>
      <c r="AA61" s="253"/>
      <c r="AB61" s="253"/>
      <c r="AC61" s="253"/>
      <c r="AD61" s="253"/>
      <c r="AE61" s="253"/>
      <c r="AF61" s="253"/>
      <c r="AG61" s="253"/>
      <c r="AH61" s="253"/>
      <c r="AI61" s="253"/>
      <c r="AJ61" s="253"/>
      <c r="AK61" s="253"/>
      <c r="AL61" s="253"/>
      <c r="AM61" s="253"/>
      <c r="AN61" s="253"/>
      <c r="AO61" s="253"/>
      <c r="AP61" s="253"/>
      <c r="AQ61" s="253"/>
      <c r="AR61" s="253"/>
      <c r="AS61" s="253"/>
      <c r="AT61" s="253"/>
      <c r="AU61" s="253"/>
      <c r="AV61" s="253"/>
      <c r="AW61" s="253"/>
      <c r="AX61" s="253"/>
      <c r="AY61" s="253"/>
      <c r="AZ61" s="253"/>
      <c r="BA61" s="253"/>
      <c r="BB61" s="253"/>
      <c r="BC61" s="253"/>
      <c r="BD61" s="253"/>
      <c r="BE61" s="253"/>
      <c r="BF61" s="253"/>
      <c r="BG61" s="253"/>
      <c r="BH61" s="253"/>
      <c r="BI61" s="253"/>
      <c r="BJ61" s="253"/>
      <c r="BK61" s="259"/>
      <c r="BL61" s="253"/>
      <c r="BM61" s="253"/>
      <c r="BN61" s="253"/>
      <c r="BO61" s="253"/>
    </row>
    <row r="62" spans="1:67" x14ac:dyDescent="0.25">
      <c r="A62" s="253"/>
      <c r="B62" s="253"/>
      <c r="C62" s="253"/>
      <c r="D62" s="253"/>
      <c r="E62" s="253"/>
      <c r="F62" s="253"/>
      <c r="G62" s="253"/>
      <c r="H62" s="253"/>
      <c r="I62" s="253"/>
      <c r="J62" s="253"/>
      <c r="K62" s="253"/>
      <c r="L62" s="253"/>
      <c r="M62" s="253"/>
      <c r="N62" s="253"/>
      <c r="O62" s="253"/>
      <c r="P62" s="253"/>
      <c r="Q62" s="253"/>
      <c r="R62" s="253"/>
      <c r="S62" s="253"/>
      <c r="T62" s="253"/>
      <c r="U62" s="253"/>
      <c r="V62" s="253"/>
      <c r="W62" s="253"/>
      <c r="X62" s="253"/>
      <c r="Y62" s="253"/>
      <c r="Z62" s="253"/>
      <c r="AA62" s="253"/>
      <c r="AB62" s="253"/>
      <c r="AC62" s="253"/>
      <c r="AD62" s="253"/>
      <c r="AE62" s="253"/>
      <c r="AF62" s="253"/>
      <c r="AG62" s="253"/>
      <c r="AH62" s="253"/>
      <c r="AI62" s="253"/>
      <c r="AJ62" s="253"/>
      <c r="AK62" s="253"/>
      <c r="AL62" s="253"/>
      <c r="AM62" s="253"/>
      <c r="AN62" s="253"/>
      <c r="AO62" s="253"/>
      <c r="AP62" s="253"/>
      <c r="AQ62" s="253"/>
      <c r="AR62" s="253"/>
      <c r="AS62" s="253"/>
      <c r="AT62" s="253"/>
      <c r="AU62" s="253"/>
      <c r="AV62" s="253"/>
      <c r="AW62" s="253"/>
      <c r="AX62" s="253"/>
      <c r="AY62" s="253"/>
      <c r="AZ62" s="253"/>
      <c r="BA62" s="253"/>
      <c r="BB62" s="253"/>
      <c r="BC62" s="253"/>
      <c r="BD62" s="253"/>
      <c r="BE62" s="253"/>
      <c r="BF62" s="253"/>
      <c r="BG62" s="253"/>
      <c r="BH62" s="253"/>
      <c r="BI62" s="253"/>
      <c r="BJ62" s="253"/>
      <c r="BK62" s="259"/>
      <c r="BL62" s="253"/>
      <c r="BM62" s="253"/>
      <c r="BN62" s="253"/>
      <c r="BO62" s="253"/>
    </row>
    <row r="63" spans="1:67" x14ac:dyDescent="0.25">
      <c r="A63" s="253"/>
      <c r="B63" s="253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  <c r="U63" s="253"/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9"/>
      <c r="BL63" s="253"/>
      <c r="BM63" s="253"/>
      <c r="BN63" s="253"/>
      <c r="BO63" s="253"/>
    </row>
    <row r="64" spans="1:67" x14ac:dyDescent="0.25">
      <c r="A64" s="253"/>
      <c r="B64" s="253"/>
      <c r="C64" s="253"/>
      <c r="D64" s="253"/>
      <c r="E64" s="253"/>
      <c r="F64" s="253"/>
      <c r="G64" s="253"/>
      <c r="H64" s="253"/>
      <c r="I64" s="253"/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  <c r="U64" s="253"/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9"/>
      <c r="BL64" s="253"/>
      <c r="BM64" s="253"/>
      <c r="BN64" s="253"/>
      <c r="BO64" s="253"/>
    </row>
    <row r="65" spans="1:67" x14ac:dyDescent="0.25">
      <c r="A65" s="253"/>
      <c r="B65" s="253"/>
      <c r="C65" s="253"/>
      <c r="D65" s="253"/>
      <c r="E65" s="253"/>
      <c r="F65" s="253"/>
      <c r="G65" s="253"/>
      <c r="H65" s="253"/>
      <c r="I65" s="253"/>
      <c r="J65" s="253"/>
      <c r="K65" s="253"/>
      <c r="L65" s="253"/>
      <c r="M65" s="253"/>
      <c r="N65" s="253"/>
      <c r="O65" s="253"/>
      <c r="P65" s="253"/>
      <c r="Q65" s="253"/>
      <c r="R65" s="253"/>
      <c r="S65" s="253"/>
      <c r="T65" s="253"/>
      <c r="U65" s="253"/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9"/>
      <c r="BL65" s="253"/>
      <c r="BM65" s="253"/>
      <c r="BN65" s="253"/>
      <c r="BO65" s="253"/>
    </row>
    <row r="66" spans="1:67" x14ac:dyDescent="0.25">
      <c r="A66" s="253"/>
      <c r="B66" s="253"/>
      <c r="C66" s="253"/>
      <c r="D66" s="253"/>
      <c r="E66" s="253"/>
      <c r="F66" s="253"/>
      <c r="G66" s="253"/>
      <c r="H66" s="253"/>
      <c r="I66" s="253"/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V66" s="253"/>
      <c r="W66" s="253"/>
      <c r="X66" s="253"/>
      <c r="Y66" s="253"/>
      <c r="Z66" s="253"/>
      <c r="AA66" s="253"/>
      <c r="AB66" s="253"/>
      <c r="AC66" s="253"/>
      <c r="AD66" s="253"/>
      <c r="AE66" s="253"/>
      <c r="AF66" s="253"/>
      <c r="AG66" s="253"/>
      <c r="AH66" s="253"/>
      <c r="AI66" s="253"/>
      <c r="AJ66" s="253"/>
      <c r="AK66" s="253"/>
      <c r="AL66" s="253"/>
      <c r="AM66" s="253"/>
      <c r="AN66" s="253"/>
      <c r="AO66" s="253"/>
      <c r="AP66" s="253"/>
      <c r="AQ66" s="253"/>
      <c r="AR66" s="253"/>
      <c r="AS66" s="253"/>
      <c r="AT66" s="253"/>
      <c r="AU66" s="253"/>
      <c r="AV66" s="253"/>
      <c r="AW66" s="253"/>
      <c r="AX66" s="253"/>
      <c r="AY66" s="253"/>
      <c r="AZ66" s="253"/>
      <c r="BA66" s="253"/>
      <c r="BB66" s="253"/>
      <c r="BC66" s="253"/>
      <c r="BD66" s="253"/>
      <c r="BE66" s="253"/>
      <c r="BF66" s="253"/>
      <c r="BG66" s="253"/>
      <c r="BH66" s="253"/>
      <c r="BI66" s="253"/>
      <c r="BJ66" s="253"/>
      <c r="BK66" s="259"/>
      <c r="BL66" s="253"/>
      <c r="BM66" s="253"/>
      <c r="BN66" s="253"/>
      <c r="BO66" s="253"/>
    </row>
    <row r="67" spans="1:67" x14ac:dyDescent="0.25">
      <c r="A67" s="253"/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9"/>
      <c r="BL67" s="253"/>
      <c r="BM67" s="253"/>
      <c r="BN67" s="253"/>
      <c r="BO67" s="253"/>
    </row>
    <row r="68" spans="1:67" x14ac:dyDescent="0.25">
      <c r="A68" s="253"/>
      <c r="B68" s="253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Z68" s="253"/>
      <c r="AA68" s="253"/>
      <c r="AB68" s="253"/>
      <c r="AC68" s="253"/>
      <c r="AD68" s="253"/>
      <c r="AE68" s="253"/>
      <c r="AF68" s="253"/>
      <c r="AG68" s="253"/>
      <c r="AH68" s="253"/>
      <c r="AI68" s="253"/>
      <c r="AJ68" s="253"/>
      <c r="AK68" s="253"/>
      <c r="AL68" s="253"/>
      <c r="AM68" s="253"/>
      <c r="AN68" s="253"/>
      <c r="AO68" s="253"/>
      <c r="AP68" s="253"/>
      <c r="AQ68" s="253"/>
      <c r="AR68" s="253"/>
      <c r="AS68" s="253"/>
      <c r="AT68" s="253"/>
      <c r="AU68" s="253"/>
      <c r="AV68" s="253"/>
      <c r="AW68" s="253"/>
      <c r="AX68" s="253"/>
      <c r="AY68" s="253"/>
      <c r="AZ68" s="253"/>
      <c r="BA68" s="253"/>
      <c r="BB68" s="253"/>
      <c r="BC68" s="253"/>
      <c r="BD68" s="253"/>
      <c r="BE68" s="253"/>
      <c r="BF68" s="253"/>
      <c r="BG68" s="253"/>
      <c r="BH68" s="253"/>
      <c r="BI68" s="253"/>
      <c r="BJ68" s="253"/>
      <c r="BK68" s="259"/>
      <c r="BL68" s="253"/>
      <c r="BM68" s="253"/>
      <c r="BN68" s="253"/>
      <c r="BO68" s="253"/>
    </row>
    <row r="69" spans="1:67" x14ac:dyDescent="0.25">
      <c r="A69" s="253"/>
      <c r="B69" s="253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3"/>
      <c r="V69" s="253"/>
      <c r="W69" s="253"/>
      <c r="X69" s="253"/>
      <c r="Y69" s="253"/>
      <c r="Z69" s="253"/>
      <c r="AA69" s="253"/>
      <c r="AB69" s="253"/>
      <c r="AC69" s="253"/>
      <c r="AD69" s="253"/>
      <c r="AE69" s="253"/>
      <c r="AF69" s="253"/>
      <c r="AG69" s="253"/>
      <c r="AH69" s="253"/>
      <c r="AI69" s="253"/>
      <c r="AJ69" s="253"/>
      <c r="AK69" s="253"/>
      <c r="AL69" s="253"/>
      <c r="AM69" s="253"/>
      <c r="AN69" s="253"/>
      <c r="AO69" s="253"/>
      <c r="AP69" s="253"/>
      <c r="AQ69" s="253"/>
      <c r="AR69" s="253"/>
      <c r="AS69" s="253"/>
      <c r="AT69" s="253"/>
      <c r="AU69" s="253"/>
      <c r="AV69" s="253"/>
      <c r="AW69" s="253"/>
      <c r="AX69" s="253"/>
      <c r="AY69" s="253"/>
      <c r="AZ69" s="253"/>
      <c r="BA69" s="253"/>
      <c r="BB69" s="253"/>
      <c r="BC69" s="253"/>
      <c r="BD69" s="253"/>
      <c r="BE69" s="253"/>
      <c r="BF69" s="253"/>
      <c r="BG69" s="253"/>
      <c r="BH69" s="253"/>
      <c r="BI69" s="253"/>
      <c r="BJ69" s="253"/>
      <c r="BK69" s="259"/>
      <c r="BL69" s="253"/>
      <c r="BM69" s="253"/>
      <c r="BN69" s="253"/>
      <c r="BO69" s="253"/>
    </row>
    <row r="70" spans="1:67" x14ac:dyDescent="0.25">
      <c r="A70" s="253"/>
      <c r="B70" s="253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  <c r="U70" s="253"/>
      <c r="V70" s="253"/>
      <c r="W70" s="253"/>
      <c r="X70" s="253"/>
      <c r="Y70" s="253"/>
      <c r="Z70" s="253"/>
      <c r="AA70" s="253"/>
      <c r="AB70" s="253"/>
      <c r="AC70" s="253"/>
      <c r="AD70" s="253"/>
      <c r="AE70" s="253"/>
      <c r="AF70" s="253"/>
      <c r="AG70" s="253"/>
      <c r="AH70" s="253"/>
      <c r="AI70" s="253"/>
      <c r="AJ70" s="253"/>
      <c r="AK70" s="253"/>
      <c r="AL70" s="253"/>
      <c r="AM70" s="253"/>
      <c r="AN70" s="253"/>
      <c r="AO70" s="253"/>
      <c r="AP70" s="253"/>
      <c r="AQ70" s="253"/>
      <c r="AR70" s="253"/>
      <c r="AS70" s="253"/>
      <c r="AT70" s="253"/>
      <c r="AU70" s="253"/>
      <c r="AV70" s="253"/>
      <c r="AW70" s="253"/>
      <c r="AX70" s="253"/>
      <c r="AY70" s="253"/>
      <c r="AZ70" s="253"/>
      <c r="BA70" s="253"/>
      <c r="BB70" s="253"/>
      <c r="BC70" s="253"/>
      <c r="BD70" s="253"/>
      <c r="BE70" s="253"/>
      <c r="BF70" s="253"/>
      <c r="BG70" s="253"/>
      <c r="BH70" s="253"/>
      <c r="BI70" s="253"/>
      <c r="BJ70" s="253"/>
      <c r="BK70" s="259"/>
      <c r="BL70" s="253"/>
      <c r="BM70" s="253"/>
      <c r="BN70" s="253"/>
      <c r="BO70" s="253"/>
    </row>
    <row r="71" spans="1:67" x14ac:dyDescent="0.25">
      <c r="A71" s="253"/>
      <c r="B71" s="253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253"/>
      <c r="P71" s="253"/>
      <c r="Q71" s="253"/>
      <c r="R71" s="253"/>
      <c r="S71" s="253"/>
      <c r="T71" s="253"/>
      <c r="U71" s="253"/>
      <c r="V71" s="253"/>
      <c r="W71" s="253"/>
      <c r="X71" s="253"/>
      <c r="Y71" s="253"/>
      <c r="Z71" s="253"/>
      <c r="AA71" s="253"/>
      <c r="AB71" s="253"/>
      <c r="AC71" s="253"/>
      <c r="AD71" s="253"/>
      <c r="AE71" s="253"/>
      <c r="AF71" s="253"/>
      <c r="AG71" s="253"/>
      <c r="AH71" s="253"/>
      <c r="AI71" s="253"/>
      <c r="AJ71" s="253"/>
      <c r="AK71" s="253"/>
      <c r="AL71" s="253"/>
      <c r="AM71" s="253"/>
      <c r="AN71" s="253"/>
      <c r="AO71" s="253"/>
      <c r="AP71" s="253"/>
      <c r="AQ71" s="253"/>
      <c r="AR71" s="253"/>
      <c r="AS71" s="253"/>
      <c r="AT71" s="253"/>
      <c r="AU71" s="253"/>
      <c r="AV71" s="253"/>
      <c r="AW71" s="253"/>
      <c r="AX71" s="253"/>
      <c r="AY71" s="253"/>
      <c r="AZ71" s="253"/>
      <c r="BA71" s="253"/>
      <c r="BB71" s="253"/>
      <c r="BC71" s="253"/>
      <c r="BD71" s="253"/>
      <c r="BE71" s="253"/>
      <c r="BF71" s="253"/>
      <c r="BG71" s="253"/>
      <c r="BH71" s="253"/>
      <c r="BI71" s="253"/>
      <c r="BJ71" s="253"/>
      <c r="BK71" s="259"/>
      <c r="BL71" s="253"/>
      <c r="BM71" s="253"/>
      <c r="BN71" s="253"/>
      <c r="BO71" s="253"/>
    </row>
    <row r="72" spans="1:67" x14ac:dyDescent="0.25">
      <c r="A72" s="253"/>
      <c r="B72" s="253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V72" s="253"/>
      <c r="W72" s="253"/>
      <c r="X72" s="253"/>
      <c r="Y72" s="253"/>
      <c r="Z72" s="253"/>
      <c r="AA72" s="253"/>
      <c r="AB72" s="253"/>
      <c r="AC72" s="253"/>
      <c r="AD72" s="253"/>
      <c r="AE72" s="253"/>
      <c r="AF72" s="253"/>
      <c r="AG72" s="253"/>
      <c r="AH72" s="253"/>
      <c r="AI72" s="253"/>
      <c r="AJ72" s="253"/>
      <c r="AK72" s="253"/>
      <c r="AL72" s="253"/>
      <c r="AM72" s="253"/>
      <c r="AN72" s="253"/>
      <c r="AO72" s="253"/>
      <c r="AP72" s="253"/>
      <c r="AQ72" s="253"/>
      <c r="AR72" s="253"/>
      <c r="AS72" s="253"/>
      <c r="AT72" s="253"/>
      <c r="AU72" s="253"/>
      <c r="AV72" s="253"/>
      <c r="AW72" s="253"/>
      <c r="AX72" s="253"/>
      <c r="AY72" s="253"/>
      <c r="AZ72" s="253"/>
      <c r="BA72" s="253"/>
      <c r="BB72" s="253"/>
      <c r="BC72" s="253"/>
      <c r="BD72" s="253"/>
      <c r="BE72" s="253"/>
      <c r="BF72" s="253"/>
      <c r="BG72" s="253"/>
      <c r="BH72" s="253"/>
      <c r="BI72" s="253"/>
      <c r="BJ72" s="253"/>
      <c r="BK72" s="259"/>
      <c r="BL72" s="253"/>
      <c r="BM72" s="253"/>
      <c r="BN72" s="253"/>
      <c r="BO72" s="253"/>
    </row>
    <row r="73" spans="1:67" x14ac:dyDescent="0.25">
      <c r="A73" s="253"/>
      <c r="B73" s="253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253"/>
      <c r="P73" s="253"/>
      <c r="Q73" s="253"/>
      <c r="R73" s="253"/>
      <c r="S73" s="253"/>
      <c r="T73" s="253"/>
      <c r="U73" s="253"/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9"/>
      <c r="BL73" s="253"/>
      <c r="BM73" s="253"/>
      <c r="BN73" s="253"/>
      <c r="BO73" s="253"/>
    </row>
    <row r="74" spans="1:67" x14ac:dyDescent="0.25">
      <c r="A74" s="253"/>
      <c r="B74" s="253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253"/>
      <c r="P74" s="253"/>
      <c r="Q74" s="253"/>
      <c r="R74" s="253"/>
      <c r="S74" s="253"/>
      <c r="T74" s="253"/>
      <c r="U74" s="253"/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9"/>
      <c r="BL74" s="253"/>
      <c r="BM74" s="253"/>
      <c r="BN74" s="253"/>
      <c r="BO74" s="253"/>
    </row>
    <row r="75" spans="1:67" x14ac:dyDescent="0.25">
      <c r="A75" s="253"/>
      <c r="B75" s="253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253"/>
      <c r="P75" s="253"/>
      <c r="Q75" s="253"/>
      <c r="R75" s="253"/>
      <c r="S75" s="253"/>
      <c r="T75" s="253"/>
      <c r="U75" s="253"/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9"/>
      <c r="BL75" s="253"/>
      <c r="BM75" s="253"/>
      <c r="BN75" s="253"/>
      <c r="BO75" s="253"/>
    </row>
    <row r="76" spans="1:67" x14ac:dyDescent="0.25">
      <c r="A76" s="253"/>
      <c r="B76" s="253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253"/>
      <c r="P76" s="253"/>
      <c r="Q76" s="253"/>
      <c r="R76" s="253"/>
      <c r="S76" s="253"/>
      <c r="T76" s="253"/>
      <c r="U76" s="253"/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9"/>
      <c r="BL76" s="253"/>
      <c r="BM76" s="253"/>
      <c r="BN76" s="253"/>
      <c r="BO76" s="253"/>
    </row>
    <row r="77" spans="1:67" x14ac:dyDescent="0.25">
      <c r="A77" s="253"/>
      <c r="B77" s="253"/>
      <c r="C77" s="253"/>
      <c r="D77" s="253"/>
      <c r="E77" s="253"/>
      <c r="F77" s="253"/>
      <c r="G77" s="253"/>
      <c r="H77" s="253"/>
      <c r="I77" s="253"/>
      <c r="J77" s="253"/>
      <c r="K77" s="253"/>
      <c r="L77" s="253"/>
      <c r="M77" s="253"/>
      <c r="N77" s="253"/>
      <c r="O77" s="253"/>
      <c r="P77" s="253"/>
      <c r="Q77" s="253"/>
      <c r="R77" s="253"/>
      <c r="S77" s="253"/>
      <c r="T77" s="253"/>
      <c r="U77" s="253"/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9"/>
      <c r="BL77" s="253"/>
      <c r="BM77" s="253"/>
      <c r="BN77" s="253"/>
      <c r="BO77" s="253"/>
    </row>
    <row r="78" spans="1:67" x14ac:dyDescent="0.25">
      <c r="A78" s="253"/>
      <c r="B78" s="253"/>
      <c r="C78" s="253"/>
      <c r="D78" s="253"/>
      <c r="E78" s="253"/>
      <c r="F78" s="253"/>
      <c r="G78" s="253"/>
      <c r="H78" s="253"/>
      <c r="I78" s="253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  <c r="Z78" s="253"/>
      <c r="AA78" s="253"/>
      <c r="AB78" s="253"/>
      <c r="AC78" s="253"/>
      <c r="AD78" s="253"/>
      <c r="AE78" s="253"/>
      <c r="AF78" s="253"/>
      <c r="AG78" s="253"/>
      <c r="AH78" s="253"/>
      <c r="AI78" s="253"/>
      <c r="AJ78" s="253"/>
      <c r="AK78" s="253"/>
      <c r="AL78" s="253"/>
      <c r="AM78" s="253"/>
      <c r="AN78" s="253"/>
      <c r="AO78" s="253"/>
      <c r="AP78" s="253"/>
      <c r="AQ78" s="253"/>
      <c r="AR78" s="253"/>
      <c r="AS78" s="253"/>
      <c r="AT78" s="253"/>
      <c r="AU78" s="253"/>
      <c r="AV78" s="253"/>
      <c r="AW78" s="253"/>
      <c r="AX78" s="253"/>
      <c r="AY78" s="253"/>
      <c r="AZ78" s="253"/>
      <c r="BA78" s="253"/>
      <c r="BB78" s="253"/>
      <c r="BC78" s="253"/>
      <c r="BD78" s="253"/>
      <c r="BE78" s="253"/>
      <c r="BF78" s="253"/>
      <c r="BG78" s="253"/>
      <c r="BH78" s="253"/>
      <c r="BI78" s="253"/>
      <c r="BJ78" s="253"/>
      <c r="BK78" s="259"/>
      <c r="BL78" s="253"/>
      <c r="BM78" s="253"/>
      <c r="BN78" s="253"/>
      <c r="BO78" s="253"/>
    </row>
    <row r="79" spans="1:67" x14ac:dyDescent="0.25">
      <c r="A79" s="253"/>
      <c r="B79" s="253"/>
      <c r="C79" s="253"/>
      <c r="D79" s="253"/>
      <c r="E79" s="253"/>
      <c r="F79" s="253"/>
      <c r="G79" s="253"/>
      <c r="H79" s="253"/>
      <c r="I79" s="253"/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253"/>
      <c r="AH79" s="253"/>
      <c r="AI79" s="253"/>
      <c r="AJ79" s="253"/>
      <c r="AK79" s="253"/>
      <c r="AL79" s="253"/>
      <c r="AM79" s="253"/>
      <c r="AN79" s="253"/>
      <c r="AO79" s="253"/>
      <c r="AP79" s="253"/>
      <c r="AQ79" s="253"/>
      <c r="AR79" s="253"/>
      <c r="AS79" s="253"/>
      <c r="AT79" s="253"/>
      <c r="AU79" s="253"/>
      <c r="AV79" s="253"/>
      <c r="AW79" s="253"/>
      <c r="AX79" s="253"/>
      <c r="AY79" s="253"/>
      <c r="AZ79" s="253"/>
      <c r="BA79" s="253"/>
      <c r="BB79" s="253"/>
      <c r="BC79" s="253"/>
      <c r="BD79" s="253"/>
      <c r="BE79" s="253"/>
      <c r="BF79" s="253"/>
      <c r="BG79" s="253"/>
      <c r="BH79" s="253"/>
      <c r="BI79" s="253"/>
      <c r="BJ79" s="253"/>
      <c r="BK79" s="259"/>
      <c r="BL79" s="253"/>
      <c r="BM79" s="253"/>
      <c r="BN79" s="253"/>
      <c r="BO79" s="253"/>
    </row>
    <row r="80" spans="1:67" x14ac:dyDescent="0.25">
      <c r="A80" s="253"/>
      <c r="B80" s="253"/>
      <c r="C80" s="253"/>
      <c r="D80" s="253"/>
      <c r="E80" s="253"/>
      <c r="F80" s="253"/>
      <c r="G80" s="253"/>
      <c r="H80" s="253"/>
      <c r="I80" s="253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Z80" s="253"/>
      <c r="AA80" s="253"/>
      <c r="AB80" s="253"/>
      <c r="AC80" s="253"/>
      <c r="AD80" s="253"/>
      <c r="AE80" s="253"/>
      <c r="AF80" s="253"/>
      <c r="AG80" s="253"/>
      <c r="AH80" s="253"/>
      <c r="AI80" s="253"/>
      <c r="AJ80" s="253"/>
      <c r="AK80" s="253"/>
      <c r="AL80" s="253"/>
      <c r="AM80" s="253"/>
      <c r="AN80" s="253"/>
      <c r="AO80" s="253"/>
      <c r="AP80" s="253"/>
      <c r="AQ80" s="253"/>
      <c r="AR80" s="253"/>
      <c r="AS80" s="253"/>
      <c r="AT80" s="253"/>
      <c r="AU80" s="253"/>
      <c r="AV80" s="253"/>
      <c r="AW80" s="253"/>
      <c r="AX80" s="253"/>
      <c r="AY80" s="253"/>
      <c r="AZ80" s="253"/>
      <c r="BA80" s="253"/>
      <c r="BB80" s="253"/>
      <c r="BC80" s="253"/>
      <c r="BD80" s="253"/>
      <c r="BE80" s="253"/>
      <c r="BF80" s="253"/>
      <c r="BG80" s="253"/>
      <c r="BH80" s="253"/>
      <c r="BI80" s="253"/>
      <c r="BJ80" s="253"/>
      <c r="BK80" s="259"/>
      <c r="BL80" s="253"/>
      <c r="BM80" s="253"/>
      <c r="BN80" s="253"/>
      <c r="BO80" s="253"/>
    </row>
    <row r="81" spans="1:67" x14ac:dyDescent="0.25">
      <c r="A81" s="253"/>
      <c r="B81" s="253"/>
      <c r="C81" s="253"/>
      <c r="D81" s="253"/>
      <c r="E81" s="253"/>
      <c r="F81" s="253"/>
      <c r="G81" s="253"/>
      <c r="H81" s="253"/>
      <c r="I81" s="253"/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  <c r="Z81" s="253"/>
      <c r="AA81" s="253"/>
      <c r="AB81" s="253"/>
      <c r="AC81" s="253"/>
      <c r="AD81" s="253"/>
      <c r="AE81" s="253"/>
      <c r="AF81" s="253"/>
      <c r="AG81" s="253"/>
      <c r="AH81" s="253"/>
      <c r="AI81" s="253"/>
      <c r="AJ81" s="253"/>
      <c r="AK81" s="253"/>
      <c r="AL81" s="253"/>
      <c r="AM81" s="253"/>
      <c r="AN81" s="253"/>
      <c r="AO81" s="253"/>
      <c r="AP81" s="253"/>
      <c r="AQ81" s="253"/>
      <c r="AR81" s="253"/>
      <c r="AS81" s="253"/>
      <c r="AT81" s="253"/>
      <c r="AU81" s="253"/>
      <c r="AV81" s="253"/>
      <c r="AW81" s="253"/>
      <c r="AX81" s="253"/>
      <c r="AY81" s="253"/>
      <c r="AZ81" s="253"/>
      <c r="BA81" s="253"/>
      <c r="BB81" s="253"/>
      <c r="BC81" s="253"/>
      <c r="BD81" s="253"/>
      <c r="BE81" s="253"/>
      <c r="BF81" s="253"/>
      <c r="BG81" s="253"/>
      <c r="BH81" s="253"/>
      <c r="BI81" s="253"/>
      <c r="BJ81" s="253"/>
      <c r="BK81" s="259"/>
      <c r="BL81" s="253"/>
      <c r="BM81" s="253"/>
      <c r="BN81" s="253"/>
      <c r="BO81" s="253"/>
    </row>
    <row r="82" spans="1:67" x14ac:dyDescent="0.25">
      <c r="A82" s="253"/>
      <c r="B82" s="253"/>
      <c r="C82" s="253"/>
      <c r="D82" s="253"/>
      <c r="E82" s="253"/>
      <c r="F82" s="253"/>
      <c r="G82" s="253"/>
      <c r="H82" s="253"/>
      <c r="I82" s="253"/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V82" s="253"/>
      <c r="W82" s="253"/>
      <c r="X82" s="253"/>
      <c r="Y82" s="253"/>
      <c r="Z82" s="253"/>
      <c r="AA82" s="253"/>
      <c r="AB82" s="253"/>
      <c r="AC82" s="253"/>
      <c r="AD82" s="253"/>
      <c r="AE82" s="253"/>
      <c r="AF82" s="253"/>
      <c r="AG82" s="253"/>
      <c r="AH82" s="253"/>
      <c r="AI82" s="253"/>
      <c r="AJ82" s="253"/>
      <c r="AK82" s="253"/>
      <c r="AL82" s="253"/>
      <c r="AM82" s="253"/>
      <c r="AN82" s="253"/>
      <c r="AO82" s="253"/>
      <c r="AP82" s="253"/>
      <c r="AQ82" s="253"/>
      <c r="AR82" s="253"/>
      <c r="AS82" s="253"/>
      <c r="AT82" s="253"/>
      <c r="AU82" s="253"/>
      <c r="AV82" s="253"/>
      <c r="AW82" s="253"/>
      <c r="AX82" s="253"/>
      <c r="AY82" s="253"/>
      <c r="AZ82" s="253"/>
      <c r="BA82" s="253"/>
      <c r="BB82" s="253"/>
      <c r="BC82" s="253"/>
      <c r="BD82" s="253"/>
      <c r="BE82" s="253"/>
      <c r="BF82" s="253"/>
      <c r="BG82" s="253"/>
      <c r="BH82" s="253"/>
      <c r="BI82" s="253"/>
      <c r="BJ82" s="253"/>
      <c r="BK82" s="259"/>
      <c r="BL82" s="253"/>
      <c r="BM82" s="253"/>
      <c r="BN82" s="253"/>
      <c r="BO82" s="253"/>
    </row>
    <row r="83" spans="1:67" x14ac:dyDescent="0.25">
      <c r="A83" s="253"/>
      <c r="B83" s="253"/>
      <c r="C83" s="253"/>
      <c r="D83" s="253"/>
      <c r="E83" s="253"/>
      <c r="F83" s="253"/>
      <c r="G83" s="253"/>
      <c r="H83" s="253"/>
      <c r="I83" s="253"/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  <c r="V83" s="253"/>
      <c r="W83" s="253"/>
      <c r="X83" s="253"/>
      <c r="Y83" s="253"/>
      <c r="Z83" s="253"/>
      <c r="AA83" s="253"/>
      <c r="AB83" s="253"/>
      <c r="AC83" s="253"/>
      <c r="AD83" s="253"/>
      <c r="AE83" s="253"/>
      <c r="AF83" s="253"/>
      <c r="AG83" s="253"/>
      <c r="AH83" s="253"/>
      <c r="AI83" s="253"/>
      <c r="AJ83" s="253"/>
      <c r="AK83" s="253"/>
      <c r="AL83" s="253"/>
      <c r="AM83" s="253"/>
      <c r="AN83" s="253"/>
      <c r="AO83" s="253"/>
      <c r="AP83" s="253"/>
      <c r="AQ83" s="253"/>
      <c r="AR83" s="253"/>
      <c r="AS83" s="253"/>
      <c r="AT83" s="253"/>
      <c r="AU83" s="253"/>
      <c r="AV83" s="253"/>
      <c r="AW83" s="253"/>
      <c r="AX83" s="253"/>
      <c r="AY83" s="253"/>
      <c r="AZ83" s="253"/>
      <c r="BA83" s="253"/>
      <c r="BB83" s="253"/>
      <c r="BC83" s="253"/>
      <c r="BD83" s="253"/>
      <c r="BE83" s="253"/>
      <c r="BF83" s="253"/>
      <c r="BG83" s="253"/>
      <c r="BH83" s="253"/>
      <c r="BI83" s="253"/>
      <c r="BJ83" s="253"/>
      <c r="BK83" s="259"/>
      <c r="BL83" s="253"/>
      <c r="BM83" s="253"/>
      <c r="BN83" s="253"/>
      <c r="BO83" s="253"/>
    </row>
    <row r="84" spans="1:67" x14ac:dyDescent="0.25">
      <c r="A84" s="253"/>
      <c r="B84" s="253"/>
      <c r="C84" s="253"/>
      <c r="D84" s="253"/>
      <c r="E84" s="253"/>
      <c r="F84" s="253"/>
      <c r="G84" s="253"/>
      <c r="H84" s="253"/>
      <c r="I84" s="253"/>
      <c r="J84" s="253"/>
      <c r="K84" s="253"/>
      <c r="L84" s="253"/>
      <c r="M84" s="253"/>
      <c r="N84" s="253"/>
      <c r="O84" s="253"/>
      <c r="P84" s="253"/>
      <c r="Q84" s="253"/>
      <c r="R84" s="253"/>
      <c r="S84" s="253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253"/>
      <c r="AH84" s="253"/>
      <c r="AI84" s="253"/>
      <c r="AJ84" s="253"/>
      <c r="AK84" s="253"/>
      <c r="AL84" s="253"/>
      <c r="AM84" s="253"/>
      <c r="AN84" s="253"/>
      <c r="AO84" s="253"/>
      <c r="AP84" s="253"/>
      <c r="AQ84" s="253"/>
      <c r="AR84" s="253"/>
      <c r="AS84" s="253"/>
      <c r="AT84" s="253"/>
      <c r="AU84" s="253"/>
      <c r="AV84" s="253"/>
      <c r="AW84" s="253"/>
      <c r="AX84" s="253"/>
      <c r="AY84" s="253"/>
      <c r="AZ84" s="253"/>
      <c r="BA84" s="253"/>
      <c r="BB84" s="253"/>
      <c r="BC84" s="253"/>
      <c r="BD84" s="253"/>
      <c r="BE84" s="253"/>
      <c r="BF84" s="253"/>
      <c r="BG84" s="253"/>
      <c r="BH84" s="253"/>
      <c r="BI84" s="253"/>
      <c r="BJ84" s="253"/>
      <c r="BK84" s="259"/>
      <c r="BL84" s="253"/>
      <c r="BM84" s="253"/>
      <c r="BN84" s="253"/>
      <c r="BO84" s="253"/>
    </row>
    <row r="85" spans="1:67" x14ac:dyDescent="0.25">
      <c r="A85" s="253"/>
      <c r="B85" s="253"/>
      <c r="C85" s="253"/>
      <c r="D85" s="253"/>
      <c r="E85" s="253"/>
      <c r="F85" s="253"/>
      <c r="G85" s="253"/>
      <c r="H85" s="253"/>
      <c r="I85" s="253"/>
      <c r="J85" s="253"/>
      <c r="K85" s="253"/>
      <c r="L85" s="253"/>
      <c r="M85" s="253"/>
      <c r="N85" s="253"/>
      <c r="O85" s="253"/>
      <c r="P85" s="253"/>
      <c r="Q85" s="253"/>
      <c r="R85" s="253"/>
      <c r="S85" s="253"/>
      <c r="T85" s="253"/>
      <c r="U85" s="253"/>
      <c r="V85" s="253"/>
      <c r="W85" s="253"/>
      <c r="X85" s="253"/>
      <c r="Y85" s="253"/>
      <c r="Z85" s="253"/>
      <c r="AA85" s="253"/>
      <c r="AB85" s="253"/>
      <c r="AC85" s="253"/>
      <c r="AD85" s="253"/>
      <c r="AE85" s="253"/>
      <c r="AF85" s="253"/>
      <c r="AG85" s="253"/>
      <c r="AH85" s="253"/>
      <c r="AI85" s="253"/>
      <c r="AJ85" s="253"/>
      <c r="AK85" s="253"/>
      <c r="AL85" s="253"/>
      <c r="AM85" s="253"/>
      <c r="AN85" s="253"/>
      <c r="AO85" s="253"/>
      <c r="AP85" s="253"/>
      <c r="AQ85" s="253"/>
      <c r="AR85" s="253"/>
      <c r="AS85" s="253"/>
      <c r="AT85" s="253"/>
      <c r="AU85" s="253"/>
      <c r="AV85" s="253"/>
      <c r="AW85" s="253"/>
      <c r="AX85" s="253"/>
      <c r="AY85" s="253"/>
      <c r="AZ85" s="253"/>
      <c r="BA85" s="253"/>
      <c r="BB85" s="253"/>
      <c r="BC85" s="253"/>
      <c r="BD85" s="253"/>
      <c r="BE85" s="253"/>
      <c r="BF85" s="253"/>
      <c r="BG85" s="253"/>
      <c r="BH85" s="253"/>
      <c r="BI85" s="253"/>
      <c r="BJ85" s="253"/>
      <c r="BK85" s="259"/>
      <c r="BL85" s="253"/>
      <c r="BM85" s="253"/>
      <c r="BN85" s="253"/>
      <c r="BO85" s="253"/>
    </row>
    <row r="86" spans="1:67" x14ac:dyDescent="0.25">
      <c r="A86" s="253"/>
      <c r="B86" s="253"/>
      <c r="C86" s="253"/>
      <c r="D86" s="253"/>
      <c r="E86" s="253"/>
      <c r="F86" s="253"/>
      <c r="G86" s="253"/>
      <c r="H86" s="253"/>
      <c r="I86" s="253"/>
      <c r="J86" s="253"/>
      <c r="K86" s="253"/>
      <c r="L86" s="253"/>
      <c r="M86" s="253"/>
      <c r="N86" s="253"/>
      <c r="O86" s="253"/>
      <c r="P86" s="253"/>
      <c r="Q86" s="253"/>
      <c r="R86" s="253"/>
      <c r="S86" s="253"/>
      <c r="T86" s="253"/>
      <c r="U86" s="253"/>
      <c r="V86" s="253"/>
      <c r="W86" s="253"/>
      <c r="X86" s="253"/>
      <c r="Y86" s="253"/>
      <c r="Z86" s="253"/>
      <c r="AA86" s="253"/>
      <c r="AB86" s="253"/>
      <c r="AC86" s="253"/>
      <c r="AD86" s="253"/>
      <c r="AE86" s="253"/>
      <c r="AF86" s="253"/>
      <c r="AG86" s="253"/>
      <c r="AH86" s="253"/>
      <c r="AI86" s="253"/>
      <c r="AJ86" s="253"/>
      <c r="AK86" s="253"/>
      <c r="AL86" s="253"/>
      <c r="AM86" s="253"/>
      <c r="AN86" s="253"/>
      <c r="AO86" s="253"/>
      <c r="AP86" s="253"/>
      <c r="AQ86" s="253"/>
      <c r="AR86" s="253"/>
      <c r="AS86" s="253"/>
      <c r="AT86" s="253"/>
      <c r="AU86" s="253"/>
      <c r="AV86" s="253"/>
      <c r="AW86" s="253"/>
      <c r="AX86" s="253"/>
      <c r="AY86" s="253"/>
      <c r="AZ86" s="253"/>
      <c r="BA86" s="253"/>
      <c r="BB86" s="253"/>
      <c r="BC86" s="253"/>
      <c r="BD86" s="253"/>
      <c r="BE86" s="253"/>
      <c r="BF86" s="253"/>
      <c r="BG86" s="253"/>
      <c r="BH86" s="253"/>
      <c r="BI86" s="253"/>
      <c r="BJ86" s="253"/>
      <c r="BK86" s="259"/>
      <c r="BL86" s="253"/>
      <c r="BM86" s="253"/>
      <c r="BN86" s="253"/>
      <c r="BO86" s="253"/>
    </row>
    <row r="87" spans="1:67" x14ac:dyDescent="0.25">
      <c r="A87" s="253"/>
      <c r="B87" s="253"/>
      <c r="C87" s="253"/>
      <c r="D87" s="253"/>
      <c r="E87" s="253"/>
      <c r="F87" s="253"/>
      <c r="G87" s="253"/>
      <c r="H87" s="253"/>
      <c r="I87" s="253"/>
      <c r="J87" s="253"/>
      <c r="K87" s="253"/>
      <c r="L87" s="253"/>
      <c r="M87" s="253"/>
      <c r="N87" s="253"/>
      <c r="O87" s="253"/>
      <c r="P87" s="253"/>
      <c r="Q87" s="253"/>
      <c r="R87" s="253"/>
      <c r="S87" s="253"/>
      <c r="T87" s="253"/>
      <c r="U87" s="253"/>
      <c r="V87" s="253"/>
      <c r="W87" s="253"/>
      <c r="X87" s="253"/>
      <c r="Y87" s="253"/>
      <c r="Z87" s="253"/>
      <c r="AA87" s="253"/>
      <c r="AB87" s="253"/>
      <c r="AC87" s="253"/>
      <c r="AD87" s="253"/>
      <c r="AE87" s="253"/>
      <c r="AF87" s="253"/>
      <c r="AG87" s="253"/>
      <c r="AH87" s="253"/>
      <c r="AI87" s="253"/>
      <c r="AJ87" s="253"/>
      <c r="AK87" s="253"/>
      <c r="AL87" s="253"/>
      <c r="AM87" s="253"/>
      <c r="AN87" s="253"/>
      <c r="AO87" s="253"/>
      <c r="AP87" s="253"/>
      <c r="AQ87" s="253"/>
      <c r="AR87" s="253"/>
      <c r="AS87" s="253"/>
      <c r="AT87" s="253"/>
      <c r="AU87" s="253"/>
      <c r="AV87" s="253"/>
      <c r="AW87" s="253"/>
      <c r="AX87" s="253"/>
      <c r="AY87" s="253"/>
      <c r="AZ87" s="253"/>
      <c r="BA87" s="253"/>
      <c r="BB87" s="253"/>
      <c r="BC87" s="253"/>
      <c r="BD87" s="253"/>
      <c r="BE87" s="253"/>
      <c r="BF87" s="253"/>
      <c r="BG87" s="253"/>
      <c r="BH87" s="253"/>
      <c r="BI87" s="253"/>
      <c r="BJ87" s="253"/>
      <c r="BK87" s="259"/>
      <c r="BL87" s="253"/>
      <c r="BM87" s="253"/>
      <c r="BN87" s="253"/>
      <c r="BO87" s="253"/>
    </row>
    <row r="88" spans="1:67" x14ac:dyDescent="0.25">
      <c r="A88" s="253"/>
      <c r="B88" s="253"/>
      <c r="C88" s="253"/>
      <c r="D88" s="253"/>
      <c r="E88" s="253"/>
      <c r="F88" s="253"/>
      <c r="G88" s="253"/>
      <c r="H88" s="253"/>
      <c r="I88" s="253"/>
      <c r="J88" s="253"/>
      <c r="K88" s="253"/>
      <c r="L88" s="253"/>
      <c r="M88" s="253"/>
      <c r="N88" s="253"/>
      <c r="O88" s="253"/>
      <c r="P88" s="253"/>
      <c r="Q88" s="253"/>
      <c r="R88" s="253"/>
      <c r="S88" s="253"/>
      <c r="T88" s="253"/>
      <c r="U88" s="253"/>
      <c r="V88" s="253"/>
      <c r="W88" s="253"/>
      <c r="X88" s="253"/>
      <c r="Y88" s="253"/>
      <c r="Z88" s="253"/>
      <c r="AA88" s="253"/>
      <c r="AB88" s="253"/>
      <c r="AC88" s="253"/>
      <c r="AD88" s="253"/>
      <c r="AE88" s="253"/>
      <c r="AF88" s="253"/>
      <c r="AG88" s="253"/>
      <c r="AH88" s="253"/>
      <c r="AI88" s="253"/>
      <c r="AJ88" s="253"/>
      <c r="AK88" s="253"/>
      <c r="AL88" s="253"/>
      <c r="AM88" s="253"/>
      <c r="AN88" s="253"/>
      <c r="AO88" s="253"/>
      <c r="AP88" s="253"/>
      <c r="AQ88" s="253"/>
      <c r="AR88" s="253"/>
      <c r="AS88" s="253"/>
      <c r="AT88" s="253"/>
      <c r="AU88" s="253"/>
      <c r="AV88" s="253"/>
      <c r="AW88" s="253"/>
      <c r="AX88" s="253"/>
      <c r="AY88" s="253"/>
      <c r="AZ88" s="253"/>
      <c r="BA88" s="253"/>
      <c r="BB88" s="253"/>
      <c r="BC88" s="253"/>
      <c r="BD88" s="253"/>
      <c r="BE88" s="253"/>
      <c r="BF88" s="253"/>
      <c r="BG88" s="253"/>
      <c r="BH88" s="253"/>
      <c r="BI88" s="253"/>
      <c r="BJ88" s="253"/>
      <c r="BK88" s="259"/>
      <c r="BL88" s="253"/>
      <c r="BM88" s="253"/>
      <c r="BN88" s="253"/>
      <c r="BO88" s="253"/>
    </row>
    <row r="89" spans="1:67" x14ac:dyDescent="0.25">
      <c r="A89" s="253"/>
      <c r="B89" s="253"/>
      <c r="C89" s="253"/>
      <c r="D89" s="253"/>
      <c r="E89" s="253"/>
      <c r="F89" s="253"/>
      <c r="G89" s="253"/>
      <c r="H89" s="253"/>
      <c r="I89" s="253"/>
      <c r="J89" s="253"/>
      <c r="K89" s="253"/>
      <c r="L89" s="253"/>
      <c r="M89" s="253"/>
      <c r="N89" s="253"/>
      <c r="O89" s="253"/>
      <c r="P89" s="253"/>
      <c r="Q89" s="253"/>
      <c r="R89" s="253"/>
      <c r="S89" s="253"/>
      <c r="T89" s="253"/>
      <c r="U89" s="253"/>
      <c r="V89" s="253"/>
      <c r="W89" s="253"/>
      <c r="X89" s="253"/>
      <c r="Y89" s="253"/>
      <c r="Z89" s="253"/>
      <c r="AA89" s="253"/>
      <c r="AB89" s="253"/>
      <c r="AC89" s="253"/>
      <c r="AD89" s="253"/>
      <c r="AE89" s="253"/>
      <c r="AF89" s="253"/>
      <c r="AG89" s="253"/>
      <c r="AH89" s="253"/>
      <c r="AI89" s="253"/>
      <c r="AJ89" s="253"/>
      <c r="AK89" s="253"/>
      <c r="AL89" s="253"/>
      <c r="AM89" s="253"/>
      <c r="AN89" s="253"/>
      <c r="AO89" s="253"/>
      <c r="AP89" s="253"/>
      <c r="AQ89" s="253"/>
      <c r="AR89" s="253"/>
      <c r="AS89" s="253"/>
      <c r="AT89" s="253"/>
      <c r="AU89" s="253"/>
      <c r="AV89" s="253"/>
      <c r="AW89" s="253"/>
      <c r="AX89" s="253"/>
      <c r="AY89" s="253"/>
      <c r="AZ89" s="253"/>
      <c r="BA89" s="253"/>
      <c r="BB89" s="253"/>
      <c r="BC89" s="253"/>
      <c r="BD89" s="253"/>
      <c r="BE89" s="253"/>
      <c r="BF89" s="253"/>
      <c r="BG89" s="253"/>
      <c r="BH89" s="253"/>
      <c r="BI89" s="253"/>
      <c r="BJ89" s="253"/>
      <c r="BK89" s="253"/>
      <c r="BL89" s="253"/>
      <c r="BM89" s="253"/>
      <c r="BN89" s="253"/>
      <c r="BO89" s="253"/>
    </row>
    <row r="90" spans="1:67" x14ac:dyDescent="0.25">
      <c r="A90" s="253"/>
      <c r="B90" s="253"/>
      <c r="C90" s="253"/>
      <c r="D90" s="253"/>
      <c r="E90" s="253"/>
      <c r="F90" s="253"/>
      <c r="G90" s="253"/>
      <c r="H90" s="253"/>
      <c r="I90" s="253"/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  <c r="U90" s="253"/>
      <c r="V90" s="253"/>
      <c r="W90" s="253"/>
      <c r="X90" s="253"/>
      <c r="Y90" s="253"/>
      <c r="Z90" s="253"/>
      <c r="AA90" s="253"/>
      <c r="AB90" s="253"/>
      <c r="AC90" s="253"/>
      <c r="AD90" s="253"/>
      <c r="AE90" s="253"/>
      <c r="AF90" s="253"/>
      <c r="AG90" s="253"/>
      <c r="AH90" s="253"/>
      <c r="AI90" s="253"/>
      <c r="AJ90" s="253"/>
      <c r="AK90" s="253"/>
      <c r="AL90" s="253"/>
      <c r="AM90" s="253"/>
      <c r="AN90" s="253"/>
      <c r="AO90" s="253"/>
      <c r="AP90" s="253"/>
      <c r="AQ90" s="253"/>
      <c r="AR90" s="253"/>
      <c r="AS90" s="253"/>
      <c r="AT90" s="253"/>
      <c r="AU90" s="253"/>
      <c r="AV90" s="253"/>
      <c r="AW90" s="253"/>
      <c r="AX90" s="253"/>
      <c r="AY90" s="253"/>
      <c r="AZ90" s="253"/>
      <c r="BA90" s="253"/>
      <c r="BB90" s="253"/>
      <c r="BC90" s="253"/>
      <c r="BD90" s="253"/>
      <c r="BE90" s="253"/>
      <c r="BF90" s="253"/>
      <c r="BG90" s="253"/>
      <c r="BH90" s="253"/>
      <c r="BI90" s="253"/>
      <c r="BJ90" s="253"/>
      <c r="BK90" s="253"/>
      <c r="BL90" s="253"/>
      <c r="BM90" s="253"/>
      <c r="BN90" s="253"/>
      <c r="BO90" s="253"/>
    </row>
    <row r="91" spans="1:67" x14ac:dyDescent="0.25">
      <c r="A91" s="253"/>
      <c r="B91" s="253"/>
      <c r="C91" s="253"/>
      <c r="D91" s="253"/>
      <c r="E91" s="253"/>
      <c r="F91" s="253"/>
      <c r="G91" s="253"/>
      <c r="H91" s="253"/>
      <c r="I91" s="253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Z91" s="253"/>
      <c r="AA91" s="253"/>
      <c r="AB91" s="253"/>
      <c r="AC91" s="253"/>
      <c r="AD91" s="253"/>
      <c r="AE91" s="253"/>
      <c r="AF91" s="253"/>
      <c r="AG91" s="253"/>
      <c r="AH91" s="253"/>
      <c r="AI91" s="253"/>
      <c r="AJ91" s="253"/>
      <c r="AK91" s="253"/>
      <c r="AL91" s="253"/>
      <c r="AM91" s="253"/>
      <c r="AN91" s="253"/>
      <c r="AO91" s="253"/>
      <c r="AP91" s="253"/>
      <c r="AQ91" s="253"/>
      <c r="AR91" s="253"/>
      <c r="AS91" s="253"/>
      <c r="AT91" s="253"/>
      <c r="AU91" s="253"/>
      <c r="AV91" s="253"/>
      <c r="AW91" s="253"/>
      <c r="AX91" s="253"/>
      <c r="AY91" s="253"/>
      <c r="AZ91" s="253"/>
      <c r="BA91" s="253"/>
      <c r="BB91" s="253"/>
      <c r="BC91" s="253"/>
      <c r="BD91" s="253"/>
      <c r="BE91" s="253"/>
      <c r="BF91" s="253"/>
      <c r="BG91" s="253"/>
      <c r="BH91" s="253"/>
      <c r="BI91" s="253"/>
      <c r="BJ91" s="253"/>
      <c r="BK91" s="253"/>
      <c r="BL91" s="253"/>
      <c r="BM91" s="253"/>
      <c r="BN91" s="253"/>
      <c r="BO91" s="253"/>
    </row>
    <row r="92" spans="1:67" x14ac:dyDescent="0.25">
      <c r="A92" s="253"/>
      <c r="B92" s="253"/>
      <c r="C92" s="253"/>
      <c r="D92" s="253"/>
      <c r="E92" s="253"/>
      <c r="F92" s="253"/>
      <c r="G92" s="253"/>
      <c r="H92" s="253"/>
      <c r="I92" s="253"/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  <c r="Z92" s="253"/>
      <c r="AA92" s="253"/>
      <c r="AB92" s="253"/>
      <c r="AC92" s="253"/>
      <c r="AD92" s="253"/>
      <c r="AE92" s="253"/>
      <c r="AF92" s="253"/>
      <c r="AG92" s="253"/>
      <c r="AH92" s="253"/>
      <c r="AI92" s="253"/>
      <c r="AJ92" s="253"/>
      <c r="AK92" s="253"/>
      <c r="AL92" s="253"/>
      <c r="AM92" s="253"/>
      <c r="AN92" s="253"/>
      <c r="AO92" s="253"/>
      <c r="AP92" s="253"/>
      <c r="AQ92" s="253"/>
      <c r="AR92" s="253"/>
      <c r="AS92" s="253"/>
      <c r="AT92" s="253"/>
      <c r="AU92" s="253"/>
      <c r="AV92" s="253"/>
      <c r="AW92" s="253"/>
      <c r="AX92" s="253"/>
      <c r="AY92" s="253"/>
      <c r="AZ92" s="253"/>
      <c r="BA92" s="253"/>
      <c r="BB92" s="253"/>
      <c r="BC92" s="253"/>
      <c r="BD92" s="253"/>
      <c r="BE92" s="253"/>
      <c r="BF92" s="253"/>
      <c r="BG92" s="253"/>
      <c r="BH92" s="253"/>
      <c r="BI92" s="253"/>
      <c r="BJ92" s="253"/>
      <c r="BK92" s="253"/>
      <c r="BL92" s="253"/>
      <c r="BM92" s="253"/>
      <c r="BN92" s="253"/>
      <c r="BO92" s="253"/>
    </row>
    <row r="93" spans="1:67" x14ac:dyDescent="0.25">
      <c r="A93" s="253"/>
      <c r="B93" s="253"/>
      <c r="C93" s="253"/>
      <c r="D93" s="253"/>
      <c r="E93" s="253"/>
      <c r="F93" s="253"/>
      <c r="G93" s="253"/>
      <c r="H93" s="253"/>
      <c r="I93" s="253"/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  <c r="Z93" s="253"/>
      <c r="AA93" s="253"/>
      <c r="AB93" s="253"/>
      <c r="AC93" s="253"/>
      <c r="AD93" s="253"/>
      <c r="AE93" s="253"/>
      <c r="AF93" s="253"/>
      <c r="AG93" s="253"/>
      <c r="AH93" s="253"/>
      <c r="AI93" s="253"/>
      <c r="AJ93" s="253"/>
      <c r="AK93" s="253"/>
      <c r="AL93" s="253"/>
      <c r="AM93" s="253"/>
      <c r="AN93" s="253"/>
      <c r="AO93" s="253"/>
      <c r="AP93" s="253"/>
      <c r="AQ93" s="253"/>
      <c r="AR93" s="253"/>
      <c r="AS93" s="253"/>
      <c r="AT93" s="253"/>
      <c r="AU93" s="253"/>
      <c r="AV93" s="253"/>
      <c r="AW93" s="253"/>
      <c r="AX93" s="253"/>
      <c r="AY93" s="253"/>
      <c r="AZ93" s="253"/>
      <c r="BA93" s="253"/>
      <c r="BB93" s="253"/>
      <c r="BC93" s="253"/>
      <c r="BD93" s="253"/>
      <c r="BE93" s="253"/>
      <c r="BF93" s="253"/>
      <c r="BG93" s="253"/>
      <c r="BH93" s="253"/>
      <c r="BI93" s="253"/>
      <c r="BJ93" s="253"/>
      <c r="BK93" s="253"/>
      <c r="BL93" s="253"/>
      <c r="BM93" s="253"/>
      <c r="BN93" s="253"/>
      <c r="BO93" s="253"/>
    </row>
    <row r="94" spans="1:67" x14ac:dyDescent="0.25">
      <c r="A94" s="253"/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253"/>
      <c r="AH94" s="253"/>
      <c r="AI94" s="253"/>
      <c r="AJ94" s="253"/>
      <c r="AK94" s="253"/>
      <c r="AL94" s="253"/>
      <c r="AM94" s="253"/>
      <c r="AN94" s="253"/>
      <c r="AO94" s="253"/>
      <c r="AP94" s="253"/>
      <c r="AQ94" s="253"/>
      <c r="AR94" s="253"/>
      <c r="AS94" s="253"/>
      <c r="AT94" s="253"/>
      <c r="AU94" s="253"/>
      <c r="AV94" s="253"/>
      <c r="AW94" s="253"/>
      <c r="AX94" s="253"/>
      <c r="AY94" s="253"/>
      <c r="AZ94" s="253"/>
      <c r="BA94" s="253"/>
      <c r="BB94" s="253"/>
      <c r="BC94" s="253"/>
      <c r="BD94" s="253"/>
      <c r="BE94" s="253"/>
      <c r="BF94" s="253"/>
      <c r="BG94" s="253"/>
      <c r="BH94" s="253"/>
      <c r="BI94" s="253"/>
      <c r="BJ94" s="253"/>
      <c r="BK94" s="253"/>
      <c r="BL94" s="253"/>
      <c r="BM94" s="253"/>
      <c r="BN94" s="253"/>
      <c r="BO94" s="253"/>
    </row>
    <row r="95" spans="1:67" x14ac:dyDescent="0.25">
      <c r="A95" s="253"/>
      <c r="B95" s="253"/>
      <c r="C95" s="253"/>
      <c r="D95" s="253"/>
      <c r="E95" s="253"/>
      <c r="F95" s="253"/>
      <c r="G95" s="253"/>
      <c r="H95" s="253"/>
      <c r="I95" s="253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Z95" s="253"/>
      <c r="AA95" s="253"/>
      <c r="AB95" s="253"/>
      <c r="AC95" s="253"/>
      <c r="AD95" s="253"/>
      <c r="AE95" s="253"/>
      <c r="AF95" s="253"/>
      <c r="AG95" s="253"/>
      <c r="AH95" s="253"/>
      <c r="AI95" s="253"/>
      <c r="AJ95" s="253"/>
      <c r="AK95" s="253"/>
      <c r="AL95" s="253"/>
      <c r="AM95" s="253"/>
      <c r="AN95" s="253"/>
      <c r="AO95" s="253"/>
      <c r="AP95" s="253"/>
      <c r="AQ95" s="253"/>
      <c r="AR95" s="253"/>
      <c r="AS95" s="253"/>
      <c r="AT95" s="253"/>
      <c r="AU95" s="253"/>
      <c r="AV95" s="253"/>
      <c r="AW95" s="253"/>
      <c r="AX95" s="253"/>
      <c r="AY95" s="253"/>
      <c r="AZ95" s="253"/>
      <c r="BA95" s="253"/>
      <c r="BB95" s="253"/>
      <c r="BC95" s="253"/>
      <c r="BD95" s="253"/>
      <c r="BE95" s="253"/>
      <c r="BF95" s="253"/>
      <c r="BG95" s="253"/>
      <c r="BH95" s="253"/>
      <c r="BI95" s="253"/>
      <c r="BJ95" s="253"/>
      <c r="BK95" s="253"/>
      <c r="BL95" s="253"/>
      <c r="BM95" s="253"/>
      <c r="BN95" s="253"/>
      <c r="BO95" s="253"/>
    </row>
    <row r="96" spans="1:67" x14ac:dyDescent="0.25">
      <c r="A96" s="253"/>
      <c r="B96" s="253"/>
      <c r="C96" s="253"/>
      <c r="D96" s="253"/>
      <c r="E96" s="253"/>
      <c r="F96" s="253"/>
      <c r="G96" s="253"/>
      <c r="H96" s="253"/>
      <c r="I96" s="253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53"/>
      <c r="V96" s="253"/>
      <c r="W96" s="253"/>
      <c r="X96" s="253"/>
      <c r="Y96" s="253"/>
      <c r="Z96" s="253"/>
      <c r="AA96" s="253"/>
      <c r="AB96" s="253"/>
      <c r="AC96" s="253"/>
      <c r="AD96" s="253"/>
      <c r="AE96" s="253"/>
      <c r="AF96" s="253"/>
      <c r="AG96" s="253"/>
      <c r="AH96" s="253"/>
      <c r="AI96" s="253"/>
      <c r="AJ96" s="253"/>
      <c r="AK96" s="253"/>
      <c r="AL96" s="253"/>
      <c r="AM96" s="253"/>
      <c r="AN96" s="253"/>
      <c r="AO96" s="253"/>
      <c r="AP96" s="253"/>
      <c r="AQ96" s="253"/>
      <c r="AR96" s="253"/>
      <c r="AS96" s="253"/>
      <c r="AT96" s="253"/>
      <c r="AU96" s="253"/>
      <c r="AV96" s="253"/>
      <c r="AW96" s="253"/>
      <c r="AX96" s="253"/>
      <c r="AY96" s="253"/>
      <c r="AZ96" s="253"/>
      <c r="BA96" s="253"/>
      <c r="BB96" s="253"/>
      <c r="BC96" s="253"/>
      <c r="BD96" s="253"/>
      <c r="BE96" s="253"/>
      <c r="BF96" s="253"/>
      <c r="BG96" s="253"/>
      <c r="BH96" s="253"/>
      <c r="BI96" s="253"/>
      <c r="BJ96" s="253"/>
      <c r="BK96" s="253"/>
      <c r="BL96" s="253"/>
      <c r="BM96" s="253"/>
      <c r="BN96" s="253"/>
      <c r="BO96" s="253"/>
    </row>
    <row r="97" spans="1:67" x14ac:dyDescent="0.25">
      <c r="A97" s="253"/>
      <c r="B97" s="253"/>
      <c r="C97" s="253"/>
      <c r="D97" s="253"/>
      <c r="E97" s="253"/>
      <c r="F97" s="253"/>
      <c r="G97" s="253"/>
      <c r="H97" s="253"/>
      <c r="I97" s="253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  <c r="V97" s="253"/>
      <c r="W97" s="253"/>
      <c r="X97" s="253"/>
      <c r="Y97" s="253"/>
      <c r="Z97" s="253"/>
      <c r="AA97" s="253"/>
      <c r="AB97" s="253"/>
      <c r="AC97" s="253"/>
      <c r="AD97" s="253"/>
      <c r="AE97" s="253"/>
      <c r="AF97" s="253"/>
      <c r="AG97" s="253"/>
      <c r="AH97" s="253"/>
      <c r="AI97" s="253"/>
      <c r="AJ97" s="253"/>
      <c r="AK97" s="253"/>
      <c r="AL97" s="253"/>
      <c r="AM97" s="253"/>
      <c r="AN97" s="253"/>
      <c r="AO97" s="253"/>
      <c r="AP97" s="253"/>
      <c r="AQ97" s="253"/>
      <c r="AR97" s="253"/>
      <c r="AS97" s="253"/>
      <c r="AT97" s="253"/>
      <c r="AU97" s="253"/>
      <c r="AV97" s="253"/>
      <c r="AW97" s="253"/>
      <c r="AX97" s="253"/>
      <c r="AY97" s="253"/>
      <c r="AZ97" s="253"/>
      <c r="BA97" s="253"/>
      <c r="BB97" s="253"/>
      <c r="BC97" s="253"/>
      <c r="BD97" s="253"/>
      <c r="BE97" s="253"/>
      <c r="BF97" s="253"/>
      <c r="BG97" s="253"/>
      <c r="BH97" s="253"/>
      <c r="BI97" s="253"/>
      <c r="BJ97" s="253"/>
      <c r="BK97" s="253"/>
      <c r="BL97" s="253"/>
      <c r="BM97" s="253"/>
      <c r="BN97" s="253"/>
      <c r="BO97" s="253"/>
    </row>
    <row r="98" spans="1:67" x14ac:dyDescent="0.25">
      <c r="A98" s="253"/>
      <c r="B98" s="253"/>
      <c r="C98" s="253"/>
      <c r="D98" s="253"/>
      <c r="E98" s="253"/>
      <c r="F98" s="253"/>
      <c r="G98" s="253"/>
      <c r="H98" s="253"/>
      <c r="I98" s="253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Z98" s="253"/>
      <c r="AA98" s="253"/>
      <c r="AB98" s="253"/>
      <c r="AC98" s="253"/>
      <c r="AD98" s="253"/>
      <c r="AE98" s="253"/>
      <c r="AF98" s="253"/>
      <c r="AG98" s="253"/>
      <c r="AH98" s="253"/>
      <c r="AI98" s="253"/>
      <c r="AJ98" s="253"/>
      <c r="AK98" s="253"/>
      <c r="AL98" s="253"/>
      <c r="AM98" s="253"/>
      <c r="AN98" s="253"/>
      <c r="AO98" s="253"/>
      <c r="AP98" s="253"/>
      <c r="AQ98" s="253"/>
      <c r="AR98" s="253"/>
      <c r="AS98" s="253"/>
      <c r="AT98" s="253"/>
      <c r="AU98" s="253"/>
      <c r="AV98" s="253"/>
      <c r="AW98" s="253"/>
      <c r="AX98" s="253"/>
      <c r="AY98" s="253"/>
      <c r="AZ98" s="253"/>
      <c r="BA98" s="253"/>
      <c r="BB98" s="253"/>
      <c r="BC98" s="253"/>
      <c r="BD98" s="253"/>
      <c r="BE98" s="253"/>
      <c r="BF98" s="253"/>
      <c r="BG98" s="253"/>
      <c r="BH98" s="253"/>
      <c r="BI98" s="253"/>
      <c r="BJ98" s="253"/>
      <c r="BK98" s="253"/>
      <c r="BL98" s="253"/>
      <c r="BM98" s="253"/>
      <c r="BN98" s="253"/>
      <c r="BO98" s="253"/>
    </row>
    <row r="99" spans="1:67" x14ac:dyDescent="0.25">
      <c r="A99" s="253"/>
      <c r="B99" s="253"/>
      <c r="C99" s="253"/>
      <c r="D99" s="253"/>
      <c r="E99" s="253"/>
      <c r="F99" s="253"/>
      <c r="G99" s="253"/>
      <c r="H99" s="253"/>
      <c r="I99" s="253"/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253"/>
      <c r="Z99" s="253"/>
      <c r="AA99" s="253"/>
      <c r="AB99" s="253"/>
      <c r="AC99" s="253"/>
      <c r="AD99" s="253"/>
      <c r="AE99" s="253"/>
      <c r="AF99" s="253"/>
      <c r="AG99" s="253"/>
      <c r="AH99" s="253"/>
      <c r="AI99" s="253"/>
      <c r="AJ99" s="253"/>
      <c r="AK99" s="253"/>
      <c r="AL99" s="253"/>
      <c r="AM99" s="253"/>
      <c r="AN99" s="253"/>
      <c r="AO99" s="253"/>
      <c r="AP99" s="253"/>
      <c r="AQ99" s="253"/>
      <c r="AR99" s="253"/>
      <c r="AS99" s="253"/>
      <c r="AT99" s="253"/>
      <c r="AU99" s="253"/>
      <c r="AV99" s="253"/>
      <c r="AW99" s="253"/>
      <c r="AX99" s="253"/>
      <c r="AY99" s="253"/>
      <c r="AZ99" s="253"/>
      <c r="BA99" s="253"/>
      <c r="BB99" s="253"/>
      <c r="BC99" s="253"/>
      <c r="BD99" s="253"/>
      <c r="BE99" s="253"/>
      <c r="BF99" s="253"/>
      <c r="BG99" s="253"/>
      <c r="BH99" s="253"/>
      <c r="BI99" s="253"/>
      <c r="BJ99" s="253"/>
      <c r="BK99" s="253"/>
      <c r="BL99" s="253"/>
      <c r="BM99" s="253"/>
      <c r="BN99" s="253"/>
      <c r="BO99" s="253"/>
    </row>
    <row r="100" spans="1:67" x14ac:dyDescent="0.25">
      <c r="A100" s="253"/>
      <c r="B100" s="253"/>
      <c r="C100" s="253"/>
      <c r="D100" s="253"/>
      <c r="E100" s="253"/>
      <c r="F100" s="253"/>
      <c r="G100" s="253"/>
      <c r="H100" s="253"/>
      <c r="I100" s="253"/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  <c r="V100" s="253"/>
      <c r="W100" s="253"/>
      <c r="X100" s="253"/>
      <c r="Y100" s="253"/>
      <c r="Z100" s="253"/>
      <c r="AA100" s="253"/>
      <c r="AB100" s="253"/>
      <c r="AC100" s="253"/>
      <c r="AD100" s="253"/>
      <c r="AE100" s="253"/>
      <c r="AF100" s="253"/>
      <c r="AG100" s="253"/>
      <c r="AH100" s="253"/>
      <c r="AI100" s="253"/>
      <c r="AJ100" s="253"/>
      <c r="AK100" s="253"/>
      <c r="AL100" s="253"/>
      <c r="AM100" s="253"/>
      <c r="AN100" s="253"/>
      <c r="AO100" s="253"/>
      <c r="AP100" s="253"/>
      <c r="AQ100" s="253"/>
      <c r="AR100" s="253"/>
      <c r="AS100" s="253"/>
      <c r="AT100" s="253"/>
      <c r="AU100" s="253"/>
      <c r="AV100" s="253"/>
      <c r="AW100" s="253"/>
      <c r="AX100" s="253"/>
      <c r="AY100" s="253"/>
      <c r="AZ100" s="253"/>
      <c r="BA100" s="253"/>
      <c r="BB100" s="253"/>
      <c r="BC100" s="253"/>
      <c r="BD100" s="253"/>
      <c r="BE100" s="253"/>
      <c r="BF100" s="253"/>
      <c r="BG100" s="253"/>
      <c r="BH100" s="253"/>
      <c r="BI100" s="253"/>
      <c r="BJ100" s="253"/>
      <c r="BK100" s="253"/>
      <c r="BL100" s="253"/>
      <c r="BM100" s="253"/>
      <c r="BN100" s="253"/>
      <c r="BO100" s="253"/>
    </row>
  </sheetData>
  <conditionalFormatting sqref="A2:BM51">
    <cfRule type="expression" dxfId="5" priority="1">
      <formula>$A2=0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7030A0"/>
  </sheetPr>
  <dimension ref="A1:BQ100"/>
  <sheetViews>
    <sheetView workbookViewId="0"/>
  </sheetViews>
  <sheetFormatPr defaultRowHeight="15" x14ac:dyDescent="0.25"/>
  <cols>
    <col min="1" max="1" width="32" style="269" bestFit="1" customWidth="1"/>
    <col min="2" max="2" width="9.42578125" style="269" bestFit="1" customWidth="1"/>
    <col min="3" max="9" width="10.42578125" style="269" bestFit="1" customWidth="1"/>
    <col min="10" max="10" width="7.140625" style="269" bestFit="1" customWidth="1"/>
    <col min="11" max="11" width="15" style="269" customWidth="1"/>
    <col min="12" max="12" width="42.85546875" style="269" bestFit="1" customWidth="1"/>
    <col min="13" max="13" width="8" style="269" bestFit="1" customWidth="1"/>
    <col min="14" max="15" width="6.5703125" style="269" bestFit="1" customWidth="1"/>
    <col min="16" max="19" width="8" style="269" bestFit="1" customWidth="1"/>
    <col min="20" max="20" width="6.5703125" style="269" bestFit="1" customWidth="1"/>
    <col min="21" max="21" width="12.140625" style="269" bestFit="1" customWidth="1"/>
    <col min="22" max="22" width="8.140625" style="269" customWidth="1"/>
    <col min="23" max="23" width="19.85546875" style="269" bestFit="1" customWidth="1"/>
    <col min="24" max="24" width="7.85546875" style="269" bestFit="1" customWidth="1"/>
    <col min="25" max="32" width="8.85546875" style="269" bestFit="1" customWidth="1"/>
    <col min="33" max="33" width="8.140625" style="269" customWidth="1"/>
    <col min="34" max="34" width="32.140625" style="269" hidden="1" customWidth="1"/>
    <col min="35" max="35" width="3.140625" style="269" hidden="1" customWidth="1"/>
    <col min="36" max="37" width="4.7109375" style="269" hidden="1" customWidth="1"/>
    <col min="38" max="41" width="7.7109375" style="269" hidden="1" customWidth="1"/>
    <col min="42" max="42" width="5.7109375" style="269" hidden="1" customWidth="1"/>
    <col min="43" max="43" width="4.7109375" style="269" hidden="1" customWidth="1"/>
    <col min="44" max="44" width="9.140625" style="269"/>
    <col min="45" max="45" width="29.42578125" style="269" bestFit="1" customWidth="1"/>
    <col min="46" max="52" width="15.42578125" style="269" bestFit="1" customWidth="1"/>
    <col min="53" max="54" width="16.42578125" style="269" bestFit="1" customWidth="1"/>
    <col min="55" max="55" width="9.140625" style="269"/>
    <col min="56" max="56" width="24.42578125" style="269" bestFit="1" customWidth="1"/>
    <col min="57" max="59" width="6.28515625" style="269" bestFit="1" customWidth="1"/>
    <col min="60" max="63" width="15.42578125" style="269" bestFit="1" customWidth="1"/>
    <col min="64" max="64" width="12.7109375" style="269" bestFit="1" customWidth="1"/>
    <col min="65" max="65" width="11.7109375" style="269" bestFit="1" customWidth="1"/>
    <col min="66" max="67" width="9.140625" style="269"/>
    <col min="68" max="68" width="9.5703125" style="262" bestFit="1" customWidth="1"/>
    <col min="69" max="69" width="18.140625" style="262" bestFit="1" customWidth="1"/>
    <col min="70" max="16384" width="9.140625" style="262"/>
  </cols>
  <sheetData>
    <row r="1" spans="1:69" ht="31.5" x14ac:dyDescent="0.5">
      <c r="A1" s="261" t="s">
        <v>90</v>
      </c>
      <c r="B1" s="262" t="s">
        <v>15</v>
      </c>
      <c r="C1" s="262" t="s">
        <v>16</v>
      </c>
      <c r="D1" s="262" t="s">
        <v>17</v>
      </c>
      <c r="E1" s="262" t="s">
        <v>18</v>
      </c>
      <c r="F1" s="262" t="s">
        <v>29</v>
      </c>
      <c r="G1" s="262" t="s">
        <v>19</v>
      </c>
      <c r="H1" s="262" t="s">
        <v>20</v>
      </c>
      <c r="I1" s="262" t="s">
        <v>21</v>
      </c>
      <c r="J1" s="262" t="s">
        <v>105</v>
      </c>
      <c r="K1" s="263"/>
      <c r="L1" s="261" t="s">
        <v>91</v>
      </c>
      <c r="M1" s="262" t="s">
        <v>15</v>
      </c>
      <c r="N1" s="262" t="s">
        <v>16</v>
      </c>
      <c r="O1" s="262" t="s">
        <v>17</v>
      </c>
      <c r="P1" s="262" t="s">
        <v>18</v>
      </c>
      <c r="Q1" s="262" t="s">
        <v>29</v>
      </c>
      <c r="R1" s="262" t="s">
        <v>19</v>
      </c>
      <c r="S1" s="262" t="s">
        <v>20</v>
      </c>
      <c r="T1" s="262" t="s">
        <v>21</v>
      </c>
      <c r="U1" s="262" t="s">
        <v>105</v>
      </c>
      <c r="V1" s="263"/>
      <c r="W1" s="261" t="s">
        <v>92</v>
      </c>
      <c r="X1" s="262" t="s">
        <v>15</v>
      </c>
      <c r="Y1" s="262" t="s">
        <v>16</v>
      </c>
      <c r="Z1" s="262" t="s">
        <v>17</v>
      </c>
      <c r="AA1" s="262" t="s">
        <v>18</v>
      </c>
      <c r="AB1" s="262" t="s">
        <v>29</v>
      </c>
      <c r="AC1" s="262" t="s">
        <v>19</v>
      </c>
      <c r="AD1" s="262" t="s">
        <v>20</v>
      </c>
      <c r="AE1" s="262" t="s">
        <v>21</v>
      </c>
      <c r="AF1" s="262" t="s">
        <v>105</v>
      </c>
      <c r="AG1" s="263"/>
      <c r="AH1" s="261" t="s">
        <v>37</v>
      </c>
      <c r="AI1" s="262" t="s">
        <v>15</v>
      </c>
      <c r="AJ1" s="262" t="s">
        <v>16</v>
      </c>
      <c r="AK1" s="262" t="s">
        <v>17</v>
      </c>
      <c r="AL1" s="262" t="s">
        <v>18</v>
      </c>
      <c r="AM1" s="262" t="s">
        <v>29</v>
      </c>
      <c r="AN1" s="262" t="s">
        <v>19</v>
      </c>
      <c r="AO1" s="262" t="s">
        <v>20</v>
      </c>
      <c r="AP1" s="262" t="s">
        <v>21</v>
      </c>
      <c r="AQ1" s="262" t="s">
        <v>105</v>
      </c>
      <c r="AR1" s="263"/>
      <c r="AS1" s="261" t="s">
        <v>93</v>
      </c>
      <c r="AT1" s="262" t="s">
        <v>15</v>
      </c>
      <c r="AU1" s="262" t="s">
        <v>16</v>
      </c>
      <c r="AV1" s="262" t="s">
        <v>17</v>
      </c>
      <c r="AW1" s="262" t="s">
        <v>18</v>
      </c>
      <c r="AX1" s="262" t="s">
        <v>29</v>
      </c>
      <c r="AY1" s="262" t="s">
        <v>19</v>
      </c>
      <c r="AZ1" s="262" t="s">
        <v>20</v>
      </c>
      <c r="BA1" s="262" t="s">
        <v>21</v>
      </c>
      <c r="BB1" s="262" t="s">
        <v>105</v>
      </c>
      <c r="BC1" s="263"/>
      <c r="BD1" s="261" t="s">
        <v>94</v>
      </c>
      <c r="BE1" s="262" t="s">
        <v>15</v>
      </c>
      <c r="BF1" s="262" t="s">
        <v>16</v>
      </c>
      <c r="BG1" s="262" t="s">
        <v>17</v>
      </c>
      <c r="BH1" s="262" t="s">
        <v>18</v>
      </c>
      <c r="BI1" s="262" t="s">
        <v>29</v>
      </c>
      <c r="BJ1" s="262" t="s">
        <v>19</v>
      </c>
      <c r="BK1" s="262" t="s">
        <v>20</v>
      </c>
      <c r="BL1" s="262" t="s">
        <v>21</v>
      </c>
      <c r="BM1" s="262" t="s">
        <v>105</v>
      </c>
      <c r="BN1" s="263"/>
      <c r="BO1" s="263"/>
      <c r="BP1" s="264" t="s">
        <v>95</v>
      </c>
      <c r="BQ1" s="264">
        <f>SUM(AT2:BB52)</f>
        <v>22326028.968132522</v>
      </c>
    </row>
    <row r="2" spans="1:69" x14ac:dyDescent="0.25">
      <c r="A2" s="262" t="s">
        <v>88</v>
      </c>
      <c r="B2" s="262">
        <v>7275.7999999999975</v>
      </c>
      <c r="C2" s="262">
        <v>5729.1</v>
      </c>
      <c r="D2" s="262">
        <v>6968.3</v>
      </c>
      <c r="E2" s="262">
        <v>5649.9</v>
      </c>
      <c r="F2" s="262">
        <v>5555.6</v>
      </c>
      <c r="G2" s="262">
        <v>6566</v>
      </c>
      <c r="H2" s="262">
        <v>6654.6</v>
      </c>
      <c r="I2" s="262">
        <v>6985.2</v>
      </c>
      <c r="J2" s="262">
        <v>6052.7</v>
      </c>
      <c r="K2" s="263"/>
      <c r="L2" s="262" t="str">
        <f>Inputs!A2</f>
        <v>DomesticMC</v>
      </c>
      <c r="M2" s="265">
        <v>7275.7999999999965</v>
      </c>
      <c r="N2" s="265">
        <v>5729.1</v>
      </c>
      <c r="O2" s="265">
        <v>6968.3</v>
      </c>
      <c r="P2" s="265">
        <v>5649.9</v>
      </c>
      <c r="Q2" s="265">
        <v>5555.6</v>
      </c>
      <c r="R2" s="265">
        <v>6566</v>
      </c>
      <c r="S2" s="265">
        <v>6654.6</v>
      </c>
      <c r="T2" s="266">
        <v>6985.2</v>
      </c>
      <c r="U2" s="266">
        <v>6052.7</v>
      </c>
      <c r="V2" s="263"/>
      <c r="W2" s="262" t="str">
        <f>Inputs!A2</f>
        <v>DomesticMC</v>
      </c>
      <c r="X2" s="262">
        <f t="shared" ref="X2:X17" si="0">MAX(B2-M2,0)</f>
        <v>9.0949470177292824E-13</v>
      </c>
      <c r="Y2" s="267">
        <f t="shared" ref="Y2:Y17" si="1">MAX(X2+C2-N2,0)</f>
        <v>9.0949470177292824E-13</v>
      </c>
      <c r="Z2" s="267">
        <f t="shared" ref="Z2:Z17" si="2">MAX(Y2+D2-O2,0)</f>
        <v>9.0949470177292824E-13</v>
      </c>
      <c r="AA2" s="267">
        <f t="shared" ref="AA2:AA17" si="3">MAX(Z2+E2-P2,0)</f>
        <v>9.0949470177292824E-13</v>
      </c>
      <c r="AB2" s="267">
        <f t="shared" ref="AB2:AB17" si="4">MAX(AA2+F2-Q2,0)</f>
        <v>9.0949470177292824E-13</v>
      </c>
      <c r="AC2" s="267">
        <f t="shared" ref="AC2:AC17" si="5">MAX(AB2+G2-R2,0)</f>
        <v>9.0949470177292824E-13</v>
      </c>
      <c r="AD2" s="267">
        <f t="shared" ref="AD2:AD17" si="6">MAX(AC2+H2-S2,0)</f>
        <v>9.0949470177292824E-13</v>
      </c>
      <c r="AE2" s="267">
        <f t="shared" ref="AE2:AE17" si="7">MAX(AD2+I2-T2,0)</f>
        <v>9.0949470177292824E-13</v>
      </c>
      <c r="AF2" s="267">
        <f t="shared" ref="AF2:AF17" si="8">MAX(AE2+J2-U2,0)</f>
        <v>9.0949470177292824E-13</v>
      </c>
      <c r="AG2" s="263"/>
      <c r="AH2" s="262" t="str">
        <f>Inputs!A2</f>
        <v>DomesticMC</v>
      </c>
      <c r="AI2" s="262">
        <f t="shared" ref="AI2:AI17" si="9">MAX(-(B2-M2),0)</f>
        <v>0</v>
      </c>
      <c r="AJ2" s="262">
        <f t="shared" ref="AJ2:AJ17" si="10">MAX(-(C2+X2-N2),0)</f>
        <v>0</v>
      </c>
      <c r="AK2" s="262">
        <f t="shared" ref="AK2:AK17" si="11">MAX(-(D2+Y2-O2),0)</f>
        <v>0</v>
      </c>
      <c r="AL2" s="262">
        <f t="shared" ref="AL2:AL17" si="12">MAX(-(E2+Z2-P2),0)</f>
        <v>0</v>
      </c>
      <c r="AM2" s="262">
        <f t="shared" ref="AM2:AM17" si="13">MAX(-(F2+AA2-Q2),0)</f>
        <v>0</v>
      </c>
      <c r="AN2" s="262">
        <f t="shared" ref="AN2:AN17" si="14">MAX(-(G2+AB2-R2),0)</f>
        <v>0</v>
      </c>
      <c r="AO2" s="262">
        <f t="shared" ref="AO2:AO17" si="15">MAX(-(H2+AC2-S2),0)</f>
        <v>0</v>
      </c>
      <c r="AP2" s="262">
        <f t="shared" ref="AP2:AP17" si="16">MAX(-(I2+AD2-T2),0)</f>
        <v>0</v>
      </c>
      <c r="AQ2" s="262">
        <f t="shared" ref="AQ2:AQ17" si="17">MAX(-(J2+AE2-U2),0)</f>
        <v>0</v>
      </c>
      <c r="AR2" s="263"/>
      <c r="AS2" s="262" t="str">
        <f>Inputs!A2</f>
        <v>DomesticMC</v>
      </c>
      <c r="AT2" s="262">
        <f>X2*Inputs!F2*Inputs!G2</f>
        <v>1.9031667761737482E-9</v>
      </c>
      <c r="AU2" s="262">
        <f>Y2*Inputs!F2*Inputs!G2</f>
        <v>1.9031667761737482E-9</v>
      </c>
      <c r="AV2" s="262">
        <f>Z2*Inputs!F2*Inputs!G2</f>
        <v>1.9031667761737482E-9</v>
      </c>
      <c r="AW2" s="262">
        <f>AA2*Inputs!F2*Inputs!G2</f>
        <v>1.9031667761737482E-9</v>
      </c>
      <c r="AX2" s="262">
        <f>AB2*Inputs!F2*Inputs!G2</f>
        <v>1.9031667761737482E-9</v>
      </c>
      <c r="AY2" s="262">
        <f>AC2*Inputs!F2*Inputs!G2</f>
        <v>1.9031667761737482E-9</v>
      </c>
      <c r="AZ2" s="262">
        <f>AD2*Inputs!F2*Inputs!G2</f>
        <v>1.9031667761737482E-9</v>
      </c>
      <c r="BA2" s="262">
        <f>AE2*Inputs!F2*Inputs!G2</f>
        <v>1.9031667761737482E-9</v>
      </c>
      <c r="BB2" s="262">
        <f>AF2*Inputs!F2*Inputs!H2</f>
        <v>1.9031667761737482E-9</v>
      </c>
      <c r="BC2" s="263"/>
      <c r="BD2" s="262" t="str">
        <f>Inputs!A2</f>
        <v>DomesticMC</v>
      </c>
      <c r="BE2" s="262">
        <f>AI2*Inputs!F2*Inputs!I2</f>
        <v>0</v>
      </c>
      <c r="BF2" s="262">
        <f>AJ2*Inputs!F2*Inputs!I2</f>
        <v>0</v>
      </c>
      <c r="BG2" s="262">
        <f>AK2*Inputs!F2*Inputs!I2</f>
        <v>0</v>
      </c>
      <c r="BH2" s="262">
        <f>AL2*Inputs!F2*Inputs!I2</f>
        <v>0</v>
      </c>
      <c r="BI2" s="262">
        <f>AM2*Inputs!F2*Inputs!I2</f>
        <v>0</v>
      </c>
      <c r="BJ2" s="262">
        <f>AN2*Inputs!F2*Inputs!I2</f>
        <v>0</v>
      </c>
      <c r="BK2" s="262">
        <f>AO2*Inputs!F2*Inputs!I2</f>
        <v>0</v>
      </c>
      <c r="BL2" s="262">
        <f>AP2*Inputs!F2*Inputs!I2</f>
        <v>0</v>
      </c>
      <c r="BM2" s="262">
        <f>AQ2*Inputs!F2*Inputs!I2</f>
        <v>0</v>
      </c>
      <c r="BN2" s="263"/>
      <c r="BO2" s="263"/>
      <c r="BP2" s="264" t="s">
        <v>6</v>
      </c>
      <c r="BQ2" s="264">
        <f>SUM(BE2:BM52)</f>
        <v>1213042.9544830665</v>
      </c>
    </row>
    <row r="3" spans="1:69" x14ac:dyDescent="0.25">
      <c r="A3" s="262" t="s">
        <v>89</v>
      </c>
      <c r="B3" s="262">
        <v>7340.9</v>
      </c>
      <c r="C3" s="262">
        <v>7008</v>
      </c>
      <c r="D3" s="262">
        <v>6854.9</v>
      </c>
      <c r="E3" s="262">
        <v>6575.2</v>
      </c>
      <c r="F3" s="262">
        <v>6768</v>
      </c>
      <c r="G3" s="262">
        <v>7747</v>
      </c>
      <c r="H3" s="262">
        <v>7429.4</v>
      </c>
      <c r="I3" s="262">
        <v>7302.7</v>
      </c>
      <c r="J3" s="262">
        <v>7138.8</v>
      </c>
      <c r="K3" s="263"/>
      <c r="L3" s="262" t="str">
        <f>Inputs!A3</f>
        <v>DomesticPNT</v>
      </c>
      <c r="M3" s="266">
        <v>7340.9</v>
      </c>
      <c r="N3" s="266">
        <v>7008</v>
      </c>
      <c r="O3" s="266">
        <v>6854.9</v>
      </c>
      <c r="P3" s="266">
        <v>6575.2</v>
      </c>
      <c r="Q3" s="266">
        <v>6768</v>
      </c>
      <c r="R3" s="266">
        <v>7747</v>
      </c>
      <c r="S3" s="266">
        <v>7429.4</v>
      </c>
      <c r="T3" s="266">
        <v>7302.7</v>
      </c>
      <c r="U3" s="266">
        <v>7138.8</v>
      </c>
      <c r="V3" s="263"/>
      <c r="W3" s="262" t="str">
        <f>Inputs!A3</f>
        <v>DomesticPNT</v>
      </c>
      <c r="X3" s="262">
        <f t="shared" si="0"/>
        <v>0</v>
      </c>
      <c r="Y3" s="267">
        <f t="shared" si="1"/>
        <v>0</v>
      </c>
      <c r="Z3" s="267">
        <f t="shared" si="2"/>
        <v>0</v>
      </c>
      <c r="AA3" s="267">
        <f t="shared" si="3"/>
        <v>0</v>
      </c>
      <c r="AB3" s="267">
        <f t="shared" si="4"/>
        <v>0</v>
      </c>
      <c r="AC3" s="267">
        <f t="shared" si="5"/>
        <v>0</v>
      </c>
      <c r="AD3" s="267">
        <f t="shared" si="6"/>
        <v>0</v>
      </c>
      <c r="AE3" s="267">
        <f t="shared" si="7"/>
        <v>0</v>
      </c>
      <c r="AF3" s="267">
        <f t="shared" si="8"/>
        <v>0</v>
      </c>
      <c r="AG3" s="263"/>
      <c r="AH3" s="262" t="str">
        <f>Inputs!A3</f>
        <v>DomesticPNT</v>
      </c>
      <c r="AI3" s="262">
        <f t="shared" si="9"/>
        <v>0</v>
      </c>
      <c r="AJ3" s="262">
        <f t="shared" si="10"/>
        <v>0</v>
      </c>
      <c r="AK3" s="262">
        <f t="shared" si="11"/>
        <v>0</v>
      </c>
      <c r="AL3" s="262">
        <f t="shared" si="12"/>
        <v>0</v>
      </c>
      <c r="AM3" s="262">
        <f t="shared" si="13"/>
        <v>0</v>
      </c>
      <c r="AN3" s="262">
        <f t="shared" si="14"/>
        <v>0</v>
      </c>
      <c r="AO3" s="262">
        <f t="shared" si="15"/>
        <v>0</v>
      </c>
      <c r="AP3" s="262">
        <f t="shared" si="16"/>
        <v>0</v>
      </c>
      <c r="AQ3" s="262">
        <f t="shared" si="17"/>
        <v>0</v>
      </c>
      <c r="AR3" s="263"/>
      <c r="AS3" s="262" t="str">
        <f>Inputs!A3</f>
        <v>DomesticPNT</v>
      </c>
      <c r="AT3" s="262">
        <f>X3*Inputs!F3*Inputs!G3</f>
        <v>0</v>
      </c>
      <c r="AU3" s="262">
        <f>Y3*Inputs!F3*Inputs!G3</f>
        <v>0</v>
      </c>
      <c r="AV3" s="262">
        <f>Z3*Inputs!F3*Inputs!G3</f>
        <v>0</v>
      </c>
      <c r="AW3" s="262">
        <f>AA3*Inputs!F3*Inputs!G3</f>
        <v>0</v>
      </c>
      <c r="AX3" s="262">
        <f>AB3*Inputs!F3*Inputs!G3</f>
        <v>0</v>
      </c>
      <c r="AY3" s="262">
        <f>AC3*Inputs!F3*Inputs!G3</f>
        <v>0</v>
      </c>
      <c r="AZ3" s="262">
        <f>AD3*Inputs!F3*Inputs!G3</f>
        <v>0</v>
      </c>
      <c r="BA3" s="262">
        <f>AE3*Inputs!F3*Inputs!G3</f>
        <v>0</v>
      </c>
      <c r="BB3" s="262">
        <f>AF3*Inputs!F3*Inputs!H3</f>
        <v>0</v>
      </c>
      <c r="BC3" s="263"/>
      <c r="BD3" s="262" t="str">
        <f>Inputs!A3</f>
        <v>DomesticPNT</v>
      </c>
      <c r="BE3" s="262">
        <f>AI3*Inputs!F3*Inputs!I3</f>
        <v>0</v>
      </c>
      <c r="BF3" s="262">
        <f>AJ3*Inputs!F3*Inputs!I3</f>
        <v>0</v>
      </c>
      <c r="BG3" s="262">
        <f>AK3*Inputs!F3*Inputs!I3</f>
        <v>0</v>
      </c>
      <c r="BH3" s="262">
        <f>AL3*Inputs!F3*Inputs!I3</f>
        <v>0</v>
      </c>
      <c r="BI3" s="262">
        <f>AM3*Inputs!F3*Inputs!I3</f>
        <v>0</v>
      </c>
      <c r="BJ3" s="262">
        <f>AN3*Inputs!F3*Inputs!I3</f>
        <v>0</v>
      </c>
      <c r="BK3" s="262">
        <f>AO3*Inputs!F3*Inputs!I3</f>
        <v>0</v>
      </c>
      <c r="BL3" s="262">
        <f>AP3*Inputs!F3*Inputs!I3</f>
        <v>0</v>
      </c>
      <c r="BM3" s="262">
        <f>AQ3*Inputs!F3*Inputs!I3</f>
        <v>0</v>
      </c>
      <c r="BN3" s="263"/>
      <c r="BO3" s="263"/>
      <c r="BP3" s="264" t="s">
        <v>28</v>
      </c>
      <c r="BQ3" s="264">
        <f>SUM(BQ1:BQ2)</f>
        <v>23539071.922615588</v>
      </c>
    </row>
    <row r="4" spans="1:69" x14ac:dyDescent="0.25">
      <c r="A4" s="262" t="s">
        <v>9</v>
      </c>
      <c r="B4" s="262">
        <v>0</v>
      </c>
      <c r="C4" s="262">
        <v>6.2</v>
      </c>
      <c r="D4" s="262">
        <v>139.69999999999999</v>
      </c>
      <c r="E4" s="262">
        <v>196.1</v>
      </c>
      <c r="F4" s="262">
        <v>189.4</v>
      </c>
      <c r="G4" s="262">
        <v>122.5</v>
      </c>
      <c r="H4" s="262">
        <v>4.4000000000000004</v>
      </c>
      <c r="I4" s="262">
        <v>0</v>
      </c>
      <c r="J4" s="262">
        <v>0</v>
      </c>
      <c r="K4" s="263"/>
      <c r="L4" s="262" t="str">
        <f>Inputs!A4</f>
        <v>M3135400</v>
      </c>
      <c r="M4" s="266">
        <v>0</v>
      </c>
      <c r="N4" s="266">
        <v>0</v>
      </c>
      <c r="O4" s="266">
        <v>0</v>
      </c>
      <c r="P4" s="266">
        <v>0</v>
      </c>
      <c r="Q4" s="266">
        <v>61.400007074253359</v>
      </c>
      <c r="R4" s="266">
        <v>73.303042272555786</v>
      </c>
      <c r="S4" s="266">
        <v>418.09638799578556</v>
      </c>
      <c r="T4" s="266">
        <v>118.0986438455042</v>
      </c>
      <c r="U4" s="266">
        <v>18.814447651082546</v>
      </c>
      <c r="V4" s="263"/>
      <c r="W4" s="262" t="str">
        <f>Inputs!A4</f>
        <v>M3135400</v>
      </c>
      <c r="X4" s="262">
        <f t="shared" si="0"/>
        <v>0</v>
      </c>
      <c r="Y4" s="267">
        <f t="shared" si="1"/>
        <v>6.2</v>
      </c>
      <c r="Z4" s="267">
        <f t="shared" si="2"/>
        <v>145.89999999999998</v>
      </c>
      <c r="AA4" s="267">
        <f t="shared" si="3"/>
        <v>342</v>
      </c>
      <c r="AB4" s="267">
        <f t="shared" si="4"/>
        <v>469.9999929257466</v>
      </c>
      <c r="AC4" s="267">
        <f t="shared" si="5"/>
        <v>519.19695065319081</v>
      </c>
      <c r="AD4" s="267">
        <f t="shared" si="6"/>
        <v>105.50056265740523</v>
      </c>
      <c r="AE4" s="267">
        <f t="shared" si="7"/>
        <v>0</v>
      </c>
      <c r="AF4" s="267">
        <f t="shared" si="8"/>
        <v>0</v>
      </c>
      <c r="AG4" s="263"/>
      <c r="AH4" s="262" t="str">
        <f>Inputs!A4</f>
        <v>M3135400</v>
      </c>
      <c r="AI4" s="262">
        <f t="shared" si="9"/>
        <v>0</v>
      </c>
      <c r="AJ4" s="262">
        <f t="shared" si="10"/>
        <v>0</v>
      </c>
      <c r="AK4" s="262">
        <f t="shared" si="11"/>
        <v>0</v>
      </c>
      <c r="AL4" s="262">
        <f t="shared" si="12"/>
        <v>0</v>
      </c>
      <c r="AM4" s="262">
        <f t="shared" si="13"/>
        <v>0</v>
      </c>
      <c r="AN4" s="262">
        <f t="shared" si="14"/>
        <v>0</v>
      </c>
      <c r="AO4" s="262">
        <f t="shared" si="15"/>
        <v>0</v>
      </c>
      <c r="AP4" s="262">
        <f t="shared" si="16"/>
        <v>12.598081188098973</v>
      </c>
      <c r="AQ4" s="262">
        <f t="shared" si="17"/>
        <v>18.814447651082546</v>
      </c>
      <c r="AR4" s="263"/>
      <c r="AS4" s="262" t="str">
        <f>Inputs!A4</f>
        <v>M3135400</v>
      </c>
      <c r="AT4" s="262">
        <f>X4*Inputs!F4*Inputs!G4</f>
        <v>0</v>
      </c>
      <c r="AU4" s="262">
        <f>Y4*Inputs!F4*Inputs!G4</f>
        <v>12767.598</v>
      </c>
      <c r="AV4" s="262">
        <f>Z4*Inputs!F4*Inputs!G4</f>
        <v>300450.41099999996</v>
      </c>
      <c r="AW4" s="262">
        <f>AA4*Inputs!F4*Inputs!G4</f>
        <v>704277.18</v>
      </c>
      <c r="AX4" s="262">
        <f>AB4*Inputs!F4*Inputs!G4</f>
        <v>967866.28543206071</v>
      </c>
      <c r="AY4" s="262">
        <f>AC4*Inputs!F4*Inputs!G4</f>
        <v>1069177.0885106092</v>
      </c>
      <c r="AZ4" s="262">
        <f>AD4*Inputs!F4*Inputs!G4</f>
        <v>217256.253674768</v>
      </c>
      <c r="BA4" s="262">
        <f>AE4*Inputs!F4*Inputs!G4</f>
        <v>0</v>
      </c>
      <c r="BB4" s="262">
        <f>AF4*Inputs!F4*Inputs!H4</f>
        <v>0</v>
      </c>
      <c r="BC4" s="263"/>
      <c r="BD4" s="262" t="str">
        <f>Inputs!A4</f>
        <v>M3135400</v>
      </c>
      <c r="BE4" s="262">
        <f>AI4*Inputs!F4*Inputs!I4</f>
        <v>0</v>
      </c>
      <c r="BF4" s="262">
        <f>AJ4*Inputs!F4*Inputs!I4</f>
        <v>0</v>
      </c>
      <c r="BG4" s="262">
        <f>AK4*Inputs!F4*Inputs!I4</f>
        <v>0</v>
      </c>
      <c r="BH4" s="262">
        <f>AL4*Inputs!F4*Inputs!I4</f>
        <v>0</v>
      </c>
      <c r="BI4" s="262">
        <f>AM4*Inputs!F4*Inputs!I4</f>
        <v>0</v>
      </c>
      <c r="BJ4" s="262">
        <f>AN4*Inputs!F4*Inputs!I4</f>
        <v>0</v>
      </c>
      <c r="BK4" s="262">
        <f>AO4*Inputs!F4*Inputs!I4</f>
        <v>0</v>
      </c>
      <c r="BL4" s="262">
        <f>AP4*Inputs!F4*Inputs!I4</f>
        <v>86477.008699467784</v>
      </c>
      <c r="BM4" s="262">
        <f>AQ4*Inputs!F4*Inputs!I4</f>
        <v>129148.01301132592</v>
      </c>
      <c r="BN4" s="263"/>
      <c r="BO4" s="263"/>
    </row>
    <row r="5" spans="1:69" x14ac:dyDescent="0.25">
      <c r="A5" s="262" t="s">
        <v>10</v>
      </c>
      <c r="B5" s="262">
        <v>0.2</v>
      </c>
      <c r="C5" s="262">
        <v>30.9</v>
      </c>
      <c r="D5" s="262">
        <v>124.8</v>
      </c>
      <c r="E5" s="262">
        <v>141</v>
      </c>
      <c r="F5" s="262">
        <v>95.1</v>
      </c>
      <c r="G5" s="262">
        <v>34.4</v>
      </c>
      <c r="H5" s="262">
        <v>0.1</v>
      </c>
      <c r="I5" s="262">
        <v>0</v>
      </c>
      <c r="J5" s="262">
        <v>0</v>
      </c>
      <c r="K5" s="263"/>
      <c r="L5" s="262" t="str">
        <f>Inputs!A5</f>
        <v>M3135500</v>
      </c>
      <c r="M5" s="266">
        <v>0</v>
      </c>
      <c r="N5" s="266">
        <v>0</v>
      </c>
      <c r="O5" s="266">
        <v>0</v>
      </c>
      <c r="P5" s="266">
        <v>23.264245033543695</v>
      </c>
      <c r="Q5" s="266">
        <v>107.43570770036732</v>
      </c>
      <c r="R5" s="266">
        <v>165.11771752033906</v>
      </c>
      <c r="S5" s="266">
        <v>111.89401416868924</v>
      </c>
      <c r="T5" s="266">
        <v>16.489634918351985</v>
      </c>
      <c r="U5" s="266">
        <v>0</v>
      </c>
      <c r="V5" s="263"/>
      <c r="W5" s="262" t="str">
        <f>Inputs!A5</f>
        <v>M3135500</v>
      </c>
      <c r="X5" s="262">
        <f t="shared" si="0"/>
        <v>0.2</v>
      </c>
      <c r="Y5" s="267">
        <f t="shared" si="1"/>
        <v>31.099999999999998</v>
      </c>
      <c r="Z5" s="267">
        <f t="shared" si="2"/>
        <v>155.9</v>
      </c>
      <c r="AA5" s="267">
        <f t="shared" si="3"/>
        <v>273.63575496645626</v>
      </c>
      <c r="AB5" s="267">
        <f t="shared" si="4"/>
        <v>261.300047266089</v>
      </c>
      <c r="AC5" s="267">
        <f t="shared" si="5"/>
        <v>130.58232974574992</v>
      </c>
      <c r="AD5" s="267">
        <f t="shared" si="6"/>
        <v>18.788315577060672</v>
      </c>
      <c r="AE5" s="267">
        <f t="shared" si="7"/>
        <v>2.2986806587086868</v>
      </c>
      <c r="AF5" s="267">
        <f t="shared" si="8"/>
        <v>2.2986806587086868</v>
      </c>
      <c r="AG5" s="263"/>
      <c r="AH5" s="262" t="str">
        <f>Inputs!A5</f>
        <v>M3135500</v>
      </c>
      <c r="AI5" s="262">
        <f t="shared" si="9"/>
        <v>0</v>
      </c>
      <c r="AJ5" s="262">
        <f t="shared" si="10"/>
        <v>0</v>
      </c>
      <c r="AK5" s="262">
        <f t="shared" si="11"/>
        <v>0</v>
      </c>
      <c r="AL5" s="262">
        <f t="shared" si="12"/>
        <v>0</v>
      </c>
      <c r="AM5" s="262">
        <f t="shared" si="13"/>
        <v>0</v>
      </c>
      <c r="AN5" s="262">
        <f t="shared" si="14"/>
        <v>0</v>
      </c>
      <c r="AO5" s="262">
        <f t="shared" si="15"/>
        <v>0</v>
      </c>
      <c r="AP5" s="262">
        <f t="shared" si="16"/>
        <v>0</v>
      </c>
      <c r="AQ5" s="262">
        <f t="shared" si="17"/>
        <v>0</v>
      </c>
      <c r="AR5" s="263"/>
      <c r="AS5" s="262" t="str">
        <f>Inputs!A5</f>
        <v>M3135500</v>
      </c>
      <c r="AT5" s="262">
        <f>X5*Inputs!F5*Inputs!G5</f>
        <v>411.66360000000003</v>
      </c>
      <c r="AU5" s="262">
        <f>Y5*Inputs!F5*Inputs!G5</f>
        <v>64013.689799999993</v>
      </c>
      <c r="AV5" s="262">
        <f>Z5*Inputs!F5*Inputs!G5</f>
        <v>320891.77620000002</v>
      </c>
      <c r="AW5" s="262">
        <f>AA5*Inputs!F5*Inputs!G5</f>
        <v>563229.39989104634</v>
      </c>
      <c r="AX5" s="262">
        <f>AB5*Inputs!F5*Inputs!G5</f>
        <v>537838.59068864177</v>
      </c>
      <c r="AY5" s="262">
        <f>AC5*Inputs!F5*Inputs!G5</f>
        <v>268779.95979761251</v>
      </c>
      <c r="AZ5" s="262">
        <f>AD5*Inputs!F5*Inputs!G5</f>
        <v>38672.328141944374</v>
      </c>
      <c r="BA5" s="262">
        <f>AE5*Inputs!F5*Inputs!G5</f>
        <v>4731.4157760719472</v>
      </c>
      <c r="BB5" s="262">
        <f>AF5*Inputs!F5*Inputs!H5</f>
        <v>7885.6929601199117</v>
      </c>
      <c r="BC5" s="263"/>
      <c r="BD5" s="262" t="str">
        <f>Inputs!A5</f>
        <v>M3135500</v>
      </c>
      <c r="BE5" s="262">
        <f>AI5*Inputs!F5*Inputs!I5</f>
        <v>0</v>
      </c>
      <c r="BF5" s="262">
        <f>AJ5*Inputs!F5*Inputs!I5</f>
        <v>0</v>
      </c>
      <c r="BG5" s="262">
        <f>AK5*Inputs!F5*Inputs!I5</f>
        <v>0</v>
      </c>
      <c r="BH5" s="262">
        <f>AL5*Inputs!F5*Inputs!I5</f>
        <v>0</v>
      </c>
      <c r="BI5" s="262">
        <f>AM5*Inputs!F5*Inputs!I5</f>
        <v>0</v>
      </c>
      <c r="BJ5" s="262">
        <f>AN5*Inputs!F5*Inputs!I5</f>
        <v>0</v>
      </c>
      <c r="BK5" s="262">
        <f>AO5*Inputs!F5*Inputs!I5</f>
        <v>0</v>
      </c>
      <c r="BL5" s="262">
        <f>AP5*Inputs!F5*Inputs!I5</f>
        <v>0</v>
      </c>
      <c r="BM5" s="262">
        <f>AQ5*Inputs!F5*Inputs!I5</f>
        <v>0</v>
      </c>
      <c r="BN5" s="263"/>
      <c r="BO5" s="263"/>
    </row>
    <row r="6" spans="1:69" x14ac:dyDescent="0.25">
      <c r="A6" s="262" t="s">
        <v>11</v>
      </c>
      <c r="B6" s="262">
        <v>5.6</v>
      </c>
      <c r="C6" s="262">
        <v>7.5</v>
      </c>
      <c r="D6" s="262">
        <v>43.5</v>
      </c>
      <c r="E6" s="262">
        <v>52.8</v>
      </c>
      <c r="F6" s="262">
        <v>57.4</v>
      </c>
      <c r="G6" s="262">
        <v>76.2</v>
      </c>
      <c r="H6" s="262">
        <v>0</v>
      </c>
      <c r="I6" s="262">
        <v>0</v>
      </c>
      <c r="J6" s="262">
        <v>0</v>
      </c>
      <c r="K6" s="263"/>
      <c r="L6" s="262" t="str">
        <f>Inputs!A6</f>
        <v>M3471400</v>
      </c>
      <c r="M6" s="266">
        <v>0</v>
      </c>
      <c r="N6" s="266">
        <v>0</v>
      </c>
      <c r="O6" s="266">
        <v>0</v>
      </c>
      <c r="P6" s="266">
        <v>2.6405613988068777</v>
      </c>
      <c r="Q6" s="266">
        <v>17.224022641783588</v>
      </c>
      <c r="R6" s="266">
        <v>54.441122083583402</v>
      </c>
      <c r="S6" s="266">
        <v>129.72567574041796</v>
      </c>
      <c r="T6" s="266">
        <v>26.076570984838273</v>
      </c>
      <c r="U6" s="266">
        <v>20.995948606892767</v>
      </c>
      <c r="V6" s="263"/>
      <c r="W6" s="262" t="str">
        <f>Inputs!A6</f>
        <v>M3471400</v>
      </c>
      <c r="X6" s="262">
        <f t="shared" si="0"/>
        <v>5.6</v>
      </c>
      <c r="Y6" s="267">
        <f t="shared" si="1"/>
        <v>13.1</v>
      </c>
      <c r="Z6" s="267">
        <f t="shared" si="2"/>
        <v>56.6</v>
      </c>
      <c r="AA6" s="267">
        <f t="shared" si="3"/>
        <v>106.75943860119312</v>
      </c>
      <c r="AB6" s="267">
        <f t="shared" si="4"/>
        <v>146.93541595940954</v>
      </c>
      <c r="AC6" s="267">
        <f t="shared" si="5"/>
        <v>168.69429387582616</v>
      </c>
      <c r="AD6" s="267">
        <f t="shared" si="6"/>
        <v>38.968618135408207</v>
      </c>
      <c r="AE6" s="267">
        <f t="shared" si="7"/>
        <v>12.892047150569933</v>
      </c>
      <c r="AF6" s="267">
        <f t="shared" si="8"/>
        <v>0</v>
      </c>
      <c r="AG6" s="263"/>
      <c r="AH6" s="262" t="str">
        <f>Inputs!A6</f>
        <v>M3471400</v>
      </c>
      <c r="AI6" s="262">
        <f t="shared" si="9"/>
        <v>0</v>
      </c>
      <c r="AJ6" s="262">
        <f t="shared" si="10"/>
        <v>0</v>
      </c>
      <c r="AK6" s="262">
        <f t="shared" si="11"/>
        <v>0</v>
      </c>
      <c r="AL6" s="262">
        <f t="shared" si="12"/>
        <v>0</v>
      </c>
      <c r="AM6" s="262">
        <f t="shared" si="13"/>
        <v>0</v>
      </c>
      <c r="AN6" s="262">
        <f t="shared" si="14"/>
        <v>0</v>
      </c>
      <c r="AO6" s="262">
        <f t="shared" si="15"/>
        <v>0</v>
      </c>
      <c r="AP6" s="262">
        <f t="shared" si="16"/>
        <v>0</v>
      </c>
      <c r="AQ6" s="262">
        <f t="shared" si="17"/>
        <v>8.1039014563228342</v>
      </c>
      <c r="AR6" s="263"/>
      <c r="AS6" s="262" t="str">
        <f>Inputs!A6</f>
        <v>M3471400</v>
      </c>
      <c r="AT6" s="262">
        <f>X6*Inputs!F6*Inputs!G6</f>
        <v>14631.220799999999</v>
      </c>
      <c r="AU6" s="262">
        <f>Y6*Inputs!F6*Inputs!G6</f>
        <v>34226.605799999998</v>
      </c>
      <c r="AV6" s="262">
        <f>Z6*Inputs!F6*Inputs!G6</f>
        <v>147879.8388</v>
      </c>
      <c r="AW6" s="262">
        <f>AA6*Inputs!F6*Inputs!G6</f>
        <v>278932.30690323206</v>
      </c>
      <c r="AX6" s="262">
        <f>AB6*Inputs!F6*Inputs!G6</f>
        <v>383900.80611463654</v>
      </c>
      <c r="AY6" s="262">
        <f>AC6*Inputs!F6*Inputs!G6</f>
        <v>440750.61810666072</v>
      </c>
      <c r="AZ6" s="262">
        <f>AD6*Inputs!F6*Inputs!G6</f>
        <v>101814.01003750745</v>
      </c>
      <c r="BA6" s="262">
        <f>AE6*Inputs!F6*Inputs!G6</f>
        <v>33683.283647142773</v>
      </c>
      <c r="BB6" s="262">
        <f>AF6*Inputs!F6*Inputs!H6</f>
        <v>0</v>
      </c>
      <c r="BC6" s="263"/>
      <c r="BD6" s="262" t="str">
        <f>Inputs!A6</f>
        <v>M3471400</v>
      </c>
      <c r="BE6" s="262">
        <f>AI6*Inputs!F6*Inputs!I6</f>
        <v>0</v>
      </c>
      <c r="BF6" s="262">
        <f>AJ6*Inputs!F6*Inputs!I6</f>
        <v>0</v>
      </c>
      <c r="BG6" s="262">
        <f>AK6*Inputs!F6*Inputs!I6</f>
        <v>0</v>
      </c>
      <c r="BH6" s="262">
        <f>AL6*Inputs!F6*Inputs!I6</f>
        <v>0</v>
      </c>
      <c r="BI6" s="262">
        <f>AM6*Inputs!F6*Inputs!I6</f>
        <v>0</v>
      </c>
      <c r="BJ6" s="262">
        <f>AN6*Inputs!F6*Inputs!I6</f>
        <v>0</v>
      </c>
      <c r="BK6" s="262">
        <f>AO6*Inputs!F6*Inputs!I6</f>
        <v>0</v>
      </c>
      <c r="BL6" s="262">
        <f>AP6*Inputs!F6*Inputs!I6</f>
        <v>0</v>
      </c>
      <c r="BM6" s="262">
        <f>AQ6*Inputs!F6*Inputs!I6</f>
        <v>70577.364017202941</v>
      </c>
      <c r="BN6" s="263"/>
      <c r="BO6" s="263"/>
    </row>
    <row r="7" spans="1:69" x14ac:dyDescent="0.25">
      <c r="A7" s="262" t="s">
        <v>12</v>
      </c>
      <c r="B7" s="262">
        <v>0</v>
      </c>
      <c r="C7" s="262">
        <v>0</v>
      </c>
      <c r="D7" s="262">
        <v>0</v>
      </c>
      <c r="E7" s="262">
        <v>110.3</v>
      </c>
      <c r="F7" s="262">
        <v>14.5</v>
      </c>
      <c r="G7" s="262">
        <v>110.5</v>
      </c>
      <c r="H7" s="262">
        <v>5.5</v>
      </c>
      <c r="I7" s="262">
        <v>0</v>
      </c>
      <c r="J7" s="262">
        <v>0</v>
      </c>
      <c r="K7" s="263"/>
      <c r="L7" s="262" t="str">
        <f>Inputs!A7</f>
        <v>M3472400</v>
      </c>
      <c r="M7" s="266">
        <v>0</v>
      </c>
      <c r="N7" s="266">
        <v>0</v>
      </c>
      <c r="O7" s="266">
        <v>0</v>
      </c>
      <c r="P7" s="266">
        <v>0</v>
      </c>
      <c r="Q7" s="266">
        <v>0</v>
      </c>
      <c r="R7" s="266">
        <v>13.295463750186114</v>
      </c>
      <c r="S7" s="266">
        <v>109.96050648543051</v>
      </c>
      <c r="T7" s="266">
        <v>125.49151579229431</v>
      </c>
      <c r="U7" s="266">
        <v>0</v>
      </c>
      <c r="V7" s="263"/>
      <c r="W7" s="262" t="str">
        <f>Inputs!A7</f>
        <v>M3472400</v>
      </c>
      <c r="X7" s="262">
        <f t="shared" si="0"/>
        <v>0</v>
      </c>
      <c r="Y7" s="267">
        <f t="shared" si="1"/>
        <v>0</v>
      </c>
      <c r="Z7" s="267">
        <f t="shared" si="2"/>
        <v>0</v>
      </c>
      <c r="AA7" s="267">
        <f t="shared" si="3"/>
        <v>110.3</v>
      </c>
      <c r="AB7" s="267">
        <f t="shared" si="4"/>
        <v>124.8</v>
      </c>
      <c r="AC7" s="267">
        <f t="shared" si="5"/>
        <v>222.0045362498139</v>
      </c>
      <c r="AD7" s="267">
        <f t="shared" si="6"/>
        <v>117.54402976438338</v>
      </c>
      <c r="AE7" s="267">
        <f t="shared" si="7"/>
        <v>0</v>
      </c>
      <c r="AF7" s="267">
        <f t="shared" si="8"/>
        <v>0</v>
      </c>
      <c r="AG7" s="263"/>
      <c r="AH7" s="262" t="str">
        <f>Inputs!A7</f>
        <v>M3472400</v>
      </c>
      <c r="AI7" s="262">
        <f t="shared" si="9"/>
        <v>0</v>
      </c>
      <c r="AJ7" s="262">
        <f t="shared" si="10"/>
        <v>0</v>
      </c>
      <c r="AK7" s="262">
        <f t="shared" si="11"/>
        <v>0</v>
      </c>
      <c r="AL7" s="262">
        <f t="shared" si="12"/>
        <v>0</v>
      </c>
      <c r="AM7" s="262">
        <f t="shared" si="13"/>
        <v>0</v>
      </c>
      <c r="AN7" s="262">
        <f t="shared" si="14"/>
        <v>0</v>
      </c>
      <c r="AO7" s="262">
        <f t="shared" si="15"/>
        <v>0</v>
      </c>
      <c r="AP7" s="262">
        <f t="shared" si="16"/>
        <v>7.9474860279109265</v>
      </c>
      <c r="AQ7" s="262">
        <f t="shared" si="17"/>
        <v>0</v>
      </c>
      <c r="AR7" s="263"/>
      <c r="AS7" s="262" t="str">
        <f>Inputs!A7</f>
        <v>M3472400</v>
      </c>
      <c r="AT7" s="262">
        <f>X7*Inputs!F7*Inputs!G7</f>
        <v>0</v>
      </c>
      <c r="AU7" s="262">
        <f>Y7*Inputs!F7*Inputs!G7</f>
        <v>0</v>
      </c>
      <c r="AV7" s="262">
        <f>Z7*Inputs!F7*Inputs!G7</f>
        <v>0</v>
      </c>
      <c r="AW7" s="262">
        <f>AA7*Inputs!F7*Inputs!G7</f>
        <v>288192.72240000003</v>
      </c>
      <c r="AX7" s="262">
        <f>AB7*Inputs!F7*Inputs!G7</f>
        <v>326078.43839999998</v>
      </c>
      <c r="AY7" s="262">
        <f>AC7*Inputs!F7*Inputs!G7</f>
        <v>580055.22834980383</v>
      </c>
      <c r="AZ7" s="262">
        <f>AD7*Inputs!F7*Inputs!G7</f>
        <v>307119.98132061906</v>
      </c>
      <c r="BA7" s="262">
        <f>AE7*Inputs!F7*Inputs!G7</f>
        <v>0</v>
      </c>
      <c r="BB7" s="262">
        <f>AF7*Inputs!F7*Inputs!H7</f>
        <v>0</v>
      </c>
      <c r="BC7" s="263"/>
      <c r="BD7" s="262" t="str">
        <f>Inputs!A7</f>
        <v>M3472400</v>
      </c>
      <c r="BE7" s="262">
        <f>AI7*Inputs!F7*Inputs!I7</f>
        <v>0</v>
      </c>
      <c r="BF7" s="262">
        <f>AJ7*Inputs!F7*Inputs!I7</f>
        <v>0</v>
      </c>
      <c r="BG7" s="262">
        <f>AK7*Inputs!F7*Inputs!I7</f>
        <v>0</v>
      </c>
      <c r="BH7" s="262">
        <f>AL7*Inputs!F7*Inputs!I7</f>
        <v>0</v>
      </c>
      <c r="BI7" s="262">
        <f>AM7*Inputs!F7*Inputs!I7</f>
        <v>0</v>
      </c>
      <c r="BJ7" s="262">
        <f>AN7*Inputs!F7*Inputs!I7</f>
        <v>0</v>
      </c>
      <c r="BK7" s="262">
        <f>AO7*Inputs!F7*Inputs!I7</f>
        <v>0</v>
      </c>
      <c r="BL7" s="262">
        <f>AP7*Inputs!F7*Inputs!I7</f>
        <v>69217.516912046311</v>
      </c>
      <c r="BM7" s="262">
        <f>AQ7*Inputs!F7*Inputs!I7</f>
        <v>0</v>
      </c>
      <c r="BN7" s="263"/>
      <c r="BO7" s="263"/>
    </row>
    <row r="8" spans="1:69" x14ac:dyDescent="0.25">
      <c r="A8" s="262" t="s">
        <v>13</v>
      </c>
      <c r="B8" s="262">
        <v>0</v>
      </c>
      <c r="C8" s="262">
        <v>0</v>
      </c>
      <c r="D8" s="262">
        <v>0</v>
      </c>
      <c r="E8" s="262">
        <v>108.1</v>
      </c>
      <c r="F8" s="262">
        <v>0</v>
      </c>
      <c r="G8" s="262">
        <v>0</v>
      </c>
      <c r="H8" s="262">
        <v>0</v>
      </c>
      <c r="I8" s="262">
        <v>0</v>
      </c>
      <c r="J8" s="262">
        <v>0</v>
      </c>
      <c r="K8" s="263"/>
      <c r="L8" s="262" t="str">
        <f>Inputs!A8</f>
        <v>M4103300</v>
      </c>
      <c r="M8" s="266">
        <v>0</v>
      </c>
      <c r="N8" s="266">
        <v>0</v>
      </c>
      <c r="O8" s="266">
        <v>0</v>
      </c>
      <c r="P8" s="266">
        <v>0</v>
      </c>
      <c r="Q8" s="266">
        <v>0</v>
      </c>
      <c r="R8" s="266">
        <v>102.78610938046744</v>
      </c>
      <c r="S8" s="266">
        <v>5.5721161884604253</v>
      </c>
      <c r="T8" s="266">
        <v>0</v>
      </c>
      <c r="U8" s="266">
        <v>0</v>
      </c>
      <c r="V8" s="263"/>
      <c r="W8" s="262" t="str">
        <f>Inputs!A8</f>
        <v>M4103300</v>
      </c>
      <c r="X8" s="262">
        <f t="shared" si="0"/>
        <v>0</v>
      </c>
      <c r="Y8" s="267">
        <f t="shared" si="1"/>
        <v>0</v>
      </c>
      <c r="Z8" s="267">
        <f t="shared" si="2"/>
        <v>0</v>
      </c>
      <c r="AA8" s="267">
        <f t="shared" si="3"/>
        <v>108.1</v>
      </c>
      <c r="AB8" s="267">
        <f t="shared" si="4"/>
        <v>108.1</v>
      </c>
      <c r="AC8" s="267">
        <f t="shared" si="5"/>
        <v>5.3138906195325575</v>
      </c>
      <c r="AD8" s="267">
        <f t="shared" si="6"/>
        <v>0</v>
      </c>
      <c r="AE8" s="267">
        <f t="shared" si="7"/>
        <v>0</v>
      </c>
      <c r="AF8" s="267">
        <f t="shared" si="8"/>
        <v>0</v>
      </c>
      <c r="AG8" s="263"/>
      <c r="AH8" s="262" t="str">
        <f>Inputs!A8</f>
        <v>M4103300</v>
      </c>
      <c r="AI8" s="262">
        <f t="shared" si="9"/>
        <v>0</v>
      </c>
      <c r="AJ8" s="262">
        <f t="shared" si="10"/>
        <v>0</v>
      </c>
      <c r="AK8" s="262">
        <f t="shared" si="11"/>
        <v>0</v>
      </c>
      <c r="AL8" s="262">
        <f t="shared" si="12"/>
        <v>0</v>
      </c>
      <c r="AM8" s="262">
        <f t="shared" si="13"/>
        <v>0</v>
      </c>
      <c r="AN8" s="262">
        <f t="shared" si="14"/>
        <v>0</v>
      </c>
      <c r="AO8" s="262">
        <f t="shared" si="15"/>
        <v>0.25822556892786785</v>
      </c>
      <c r="AP8" s="262">
        <f t="shared" si="16"/>
        <v>0</v>
      </c>
      <c r="AQ8" s="262">
        <f t="shared" si="17"/>
        <v>0</v>
      </c>
      <c r="AR8" s="263"/>
      <c r="AS8" s="262" t="str">
        <f>Inputs!A8</f>
        <v>M4103300</v>
      </c>
      <c r="AT8" s="262">
        <f>X8*Inputs!F8*Inputs!G8</f>
        <v>0</v>
      </c>
      <c r="AU8" s="262">
        <f>Y8*Inputs!F8*Inputs!G8</f>
        <v>0</v>
      </c>
      <c r="AV8" s="262">
        <f>Z8*Inputs!F8*Inputs!G8</f>
        <v>0</v>
      </c>
      <c r="AW8" s="262">
        <f>AA8*Inputs!F8*Inputs!G8</f>
        <v>253887.984</v>
      </c>
      <c r="AX8" s="262">
        <f>AB8*Inputs!F8*Inputs!G8</f>
        <v>253887.984</v>
      </c>
      <c r="AY8" s="262">
        <f>AC8*Inputs!F8*Inputs!G8</f>
        <v>12480.416064658946</v>
      </c>
      <c r="AZ8" s="262">
        <f>AD8*Inputs!F8*Inputs!G8</f>
        <v>0</v>
      </c>
      <c r="BA8" s="262">
        <f>AE8*Inputs!F8*Inputs!G8</f>
        <v>0</v>
      </c>
      <c r="BB8" s="262">
        <f>AF8*Inputs!F8*Inputs!H8</f>
        <v>0</v>
      </c>
      <c r="BC8" s="263"/>
      <c r="BD8" s="262" t="str">
        <f>Inputs!A8</f>
        <v>M4103300</v>
      </c>
      <c r="BE8" s="262">
        <f>AI8*Inputs!F8*Inputs!I8</f>
        <v>0</v>
      </c>
      <c r="BF8" s="262">
        <f>AJ8*Inputs!F8*Inputs!I8</f>
        <v>0</v>
      </c>
      <c r="BG8" s="262">
        <f>AK8*Inputs!F8*Inputs!I8</f>
        <v>0</v>
      </c>
      <c r="BH8" s="262">
        <f>AL8*Inputs!F8*Inputs!I8</f>
        <v>0</v>
      </c>
      <c r="BI8" s="262">
        <f>AM8*Inputs!F8*Inputs!I8</f>
        <v>0</v>
      </c>
      <c r="BJ8" s="262">
        <f>AN8*Inputs!F8*Inputs!I8</f>
        <v>0</v>
      </c>
      <c r="BK8" s="262">
        <f>AO8*Inputs!F8*Inputs!I8</f>
        <v>2021.5963340224919</v>
      </c>
      <c r="BL8" s="262">
        <f>AP8*Inputs!F8*Inputs!I8</f>
        <v>0</v>
      </c>
      <c r="BM8" s="262">
        <f>AQ8*Inputs!F8*Inputs!I8</f>
        <v>0</v>
      </c>
      <c r="BN8" s="263"/>
      <c r="BO8" s="263"/>
    </row>
    <row r="9" spans="1:69" x14ac:dyDescent="0.25">
      <c r="A9" s="262" t="s">
        <v>14</v>
      </c>
      <c r="B9" s="262">
        <v>0</v>
      </c>
      <c r="C9" s="262">
        <v>0</v>
      </c>
      <c r="D9" s="262">
        <v>35.1</v>
      </c>
      <c r="E9" s="262">
        <v>337</v>
      </c>
      <c r="F9" s="262">
        <v>288.7</v>
      </c>
      <c r="G9" s="262">
        <v>0</v>
      </c>
      <c r="H9" s="262">
        <v>0</v>
      </c>
      <c r="I9" s="262">
        <v>0</v>
      </c>
      <c r="J9" s="262">
        <v>0</v>
      </c>
      <c r="K9" s="263"/>
      <c r="L9" s="262" t="str">
        <f>Inputs!A9</f>
        <v>M4348701</v>
      </c>
      <c r="M9" s="266">
        <v>0</v>
      </c>
      <c r="N9" s="266">
        <v>0</v>
      </c>
      <c r="O9" s="266">
        <v>1.2269669370804115E-2</v>
      </c>
      <c r="P9" s="266">
        <v>1.9369654152949636</v>
      </c>
      <c r="Q9" s="266">
        <v>51.224980923704415</v>
      </c>
      <c r="R9" s="266">
        <v>180.12868334426912</v>
      </c>
      <c r="S9" s="266">
        <v>249.8417550546061</v>
      </c>
      <c r="T9" s="266">
        <v>168.97071234312762</v>
      </c>
      <c r="U9" s="266">
        <v>50.214090268344648</v>
      </c>
      <c r="V9" s="263"/>
      <c r="W9" s="262" t="str">
        <f>Inputs!A9</f>
        <v>M4348701</v>
      </c>
      <c r="X9" s="262">
        <f t="shared" si="0"/>
        <v>0</v>
      </c>
      <c r="Y9" s="267">
        <f t="shared" si="1"/>
        <v>0</v>
      </c>
      <c r="Z9" s="267">
        <f t="shared" si="2"/>
        <v>35.087730330629199</v>
      </c>
      <c r="AA9" s="267">
        <f t="shared" si="3"/>
        <v>370.15076491533421</v>
      </c>
      <c r="AB9" s="267">
        <f t="shared" si="4"/>
        <v>607.62578399162976</v>
      </c>
      <c r="AC9" s="267">
        <f t="shared" si="5"/>
        <v>427.49710064736064</v>
      </c>
      <c r="AD9" s="267">
        <f t="shared" si="6"/>
        <v>177.65534559275454</v>
      </c>
      <c r="AE9" s="267">
        <f t="shared" si="7"/>
        <v>8.684633249626927</v>
      </c>
      <c r="AF9" s="267">
        <f t="shared" si="8"/>
        <v>0</v>
      </c>
      <c r="AG9" s="263"/>
      <c r="AH9" s="262" t="str">
        <f>Inputs!A9</f>
        <v>M4348701</v>
      </c>
      <c r="AI9" s="262">
        <f t="shared" si="9"/>
        <v>0</v>
      </c>
      <c r="AJ9" s="262">
        <f t="shared" si="10"/>
        <v>0</v>
      </c>
      <c r="AK9" s="262">
        <f t="shared" si="11"/>
        <v>0</v>
      </c>
      <c r="AL9" s="262">
        <f t="shared" si="12"/>
        <v>0</v>
      </c>
      <c r="AM9" s="262">
        <f t="shared" si="13"/>
        <v>0</v>
      </c>
      <c r="AN9" s="262">
        <f t="shared" si="14"/>
        <v>0</v>
      </c>
      <c r="AO9" s="262">
        <f t="shared" si="15"/>
        <v>0</v>
      </c>
      <c r="AP9" s="262">
        <f t="shared" si="16"/>
        <v>0</v>
      </c>
      <c r="AQ9" s="262">
        <f t="shared" si="17"/>
        <v>41.529457018717721</v>
      </c>
      <c r="AR9" s="263"/>
      <c r="AS9" s="262" t="str">
        <f>Inputs!A9</f>
        <v>M4348701</v>
      </c>
      <c r="AT9" s="262">
        <f>X9*Inputs!F9*Inputs!G9</f>
        <v>0</v>
      </c>
      <c r="AU9" s="262">
        <f>Y9*Inputs!F9*Inputs!G9</f>
        <v>0</v>
      </c>
      <c r="AV9" s="262">
        <f>Z9*Inputs!F9*Inputs!G9</f>
        <v>77958.550827737912</v>
      </c>
      <c r="AW9" s="262">
        <f>AA9*Inputs!F9*Inputs!G9</f>
        <v>822407.6322026581</v>
      </c>
      <c r="AX9" s="262">
        <f>AB9*Inputs!F9*Inputs!G9</f>
        <v>1350033.9041367148</v>
      </c>
      <c r="AY9" s="262">
        <f>AC9*Inputs!F9*Inputs!G9</f>
        <v>949820.75316611759</v>
      </c>
      <c r="AZ9" s="262">
        <f>AD9*Inputs!F9*Inputs!G9</f>
        <v>394717.84463420272</v>
      </c>
      <c r="BA9" s="262">
        <f>AE9*Inputs!F9*Inputs!G9</f>
        <v>19295.674477419601</v>
      </c>
      <c r="BB9" s="262">
        <f>AF9*Inputs!F9*Inputs!H9</f>
        <v>0</v>
      </c>
      <c r="BC9" s="263"/>
      <c r="BD9" s="262" t="str">
        <f>Inputs!A9</f>
        <v>M4348701</v>
      </c>
      <c r="BE9" s="262">
        <f>AI9*Inputs!F9*Inputs!I9</f>
        <v>0</v>
      </c>
      <c r="BF9" s="262">
        <f>AJ9*Inputs!F9*Inputs!I9</f>
        <v>0</v>
      </c>
      <c r="BG9" s="262">
        <f>AK9*Inputs!F9*Inputs!I9</f>
        <v>0</v>
      </c>
      <c r="BH9" s="262">
        <f>AL9*Inputs!F9*Inputs!I9</f>
        <v>0</v>
      </c>
      <c r="BI9" s="262">
        <f>AM9*Inputs!F9*Inputs!I9</f>
        <v>0</v>
      </c>
      <c r="BJ9" s="262">
        <f>AN9*Inputs!F9*Inputs!I9</f>
        <v>0</v>
      </c>
      <c r="BK9" s="262">
        <f>AO9*Inputs!F9*Inputs!I9</f>
        <v>0</v>
      </c>
      <c r="BL9" s="262">
        <f>AP9*Inputs!F9*Inputs!I9</f>
        <v>0</v>
      </c>
      <c r="BM9" s="262">
        <f>AQ9*Inputs!F9*Inputs!I9</f>
        <v>307569.65044804459</v>
      </c>
      <c r="BN9" s="263"/>
      <c r="BO9" s="263"/>
    </row>
    <row r="10" spans="1:69" x14ac:dyDescent="0.25">
      <c r="A10" s="262" t="s">
        <v>111</v>
      </c>
      <c r="B10" s="262">
        <v>0</v>
      </c>
      <c r="C10" s="262">
        <v>0</v>
      </c>
      <c r="D10" s="262">
        <v>0</v>
      </c>
      <c r="E10" s="262">
        <v>110.3</v>
      </c>
      <c r="F10" s="262">
        <v>0</v>
      </c>
      <c r="G10" s="262">
        <v>0</v>
      </c>
      <c r="H10" s="262">
        <v>0</v>
      </c>
      <c r="I10" s="262">
        <v>0</v>
      </c>
      <c r="J10" s="262">
        <v>0</v>
      </c>
      <c r="K10" s="263"/>
      <c r="L10" s="262" t="str">
        <f>Inputs!A10</f>
        <v>M4597400</v>
      </c>
      <c r="M10" s="266">
        <v>0</v>
      </c>
      <c r="N10" s="266">
        <v>0</v>
      </c>
      <c r="O10" s="266">
        <v>0</v>
      </c>
      <c r="P10" s="266">
        <v>0</v>
      </c>
      <c r="Q10" s="266">
        <v>0</v>
      </c>
      <c r="R10" s="266">
        <v>84.034621400953213</v>
      </c>
      <c r="S10" s="266">
        <v>2.3472088833456946</v>
      </c>
      <c r="T10" s="266">
        <v>0</v>
      </c>
      <c r="U10" s="266">
        <v>16.979469338299268</v>
      </c>
      <c r="V10" s="263"/>
      <c r="W10" s="262" t="str">
        <f>Inputs!A10</f>
        <v>M4597400</v>
      </c>
      <c r="X10" s="262">
        <f t="shared" si="0"/>
        <v>0</v>
      </c>
      <c r="Y10" s="267">
        <f t="shared" si="1"/>
        <v>0</v>
      </c>
      <c r="Z10" s="267">
        <f t="shared" si="2"/>
        <v>0</v>
      </c>
      <c r="AA10" s="267">
        <f t="shared" si="3"/>
        <v>110.3</v>
      </c>
      <c r="AB10" s="267">
        <f t="shared" si="4"/>
        <v>110.3</v>
      </c>
      <c r="AC10" s="267">
        <f t="shared" si="5"/>
        <v>26.265378599046784</v>
      </c>
      <c r="AD10" s="267">
        <f t="shared" si="6"/>
        <v>23.91816971570109</v>
      </c>
      <c r="AE10" s="267">
        <f t="shared" si="7"/>
        <v>23.91816971570109</v>
      </c>
      <c r="AF10" s="267">
        <f t="shared" si="8"/>
        <v>6.9387003774018225</v>
      </c>
      <c r="AG10" s="263"/>
      <c r="AH10" s="262" t="str">
        <f>Inputs!A10</f>
        <v>M4597400</v>
      </c>
      <c r="AI10" s="262">
        <f t="shared" si="9"/>
        <v>0</v>
      </c>
      <c r="AJ10" s="262">
        <f t="shared" si="10"/>
        <v>0</v>
      </c>
      <c r="AK10" s="262">
        <f t="shared" si="11"/>
        <v>0</v>
      </c>
      <c r="AL10" s="262">
        <f t="shared" si="12"/>
        <v>0</v>
      </c>
      <c r="AM10" s="262">
        <f t="shared" si="13"/>
        <v>0</v>
      </c>
      <c r="AN10" s="262">
        <f t="shared" si="14"/>
        <v>0</v>
      </c>
      <c r="AO10" s="262">
        <f t="shared" si="15"/>
        <v>0</v>
      </c>
      <c r="AP10" s="262">
        <f t="shared" si="16"/>
        <v>0</v>
      </c>
      <c r="AQ10" s="262">
        <f t="shared" si="17"/>
        <v>0</v>
      </c>
      <c r="AR10" s="263"/>
      <c r="AS10" s="262" t="str">
        <f>Inputs!A10</f>
        <v>M4597400</v>
      </c>
      <c r="AT10" s="262">
        <f>X10*Inputs!F10*Inputs!G10</f>
        <v>0</v>
      </c>
      <c r="AU10" s="262">
        <f>Y10*Inputs!F10*Inputs!G10</f>
        <v>0</v>
      </c>
      <c r="AV10" s="262">
        <f>Z10*Inputs!F10*Inputs!G10</f>
        <v>0</v>
      </c>
      <c r="AW10" s="262">
        <f>AA10*Inputs!F10*Inputs!G10</f>
        <v>228820.98989999996</v>
      </c>
      <c r="AX10" s="262">
        <f>AB10*Inputs!F10*Inputs!G10</f>
        <v>228820.98989999996</v>
      </c>
      <c r="AY10" s="262">
        <f>AC10*Inputs!F10*Inputs!G10</f>
        <v>54488.39466121632</v>
      </c>
      <c r="AZ10" s="262">
        <f>AD10*Inputs!F10*Inputs!G10</f>
        <v>49619.032374822527</v>
      </c>
      <c r="BA10" s="262">
        <f>AE10*Inputs!F10*Inputs!G10</f>
        <v>49619.032374822527</v>
      </c>
      <c r="BB10" s="262">
        <f>AF10*Inputs!F10*Inputs!H10</f>
        <v>23990.938183387556</v>
      </c>
      <c r="BC10" s="263"/>
      <c r="BD10" s="262" t="str">
        <f>Inputs!A10</f>
        <v>M4597400</v>
      </c>
      <c r="BE10" s="262">
        <f>AI10*Inputs!F10*Inputs!I10</f>
        <v>0</v>
      </c>
      <c r="BF10" s="262">
        <f>AJ10*Inputs!F10*Inputs!I10</f>
        <v>0</v>
      </c>
      <c r="BG10" s="262">
        <f>AK10*Inputs!F10*Inputs!I10</f>
        <v>0</v>
      </c>
      <c r="BH10" s="262">
        <f>AL10*Inputs!F10*Inputs!I10</f>
        <v>0</v>
      </c>
      <c r="BI10" s="262">
        <f>AM10*Inputs!F10*Inputs!I10</f>
        <v>0</v>
      </c>
      <c r="BJ10" s="262">
        <f>AN10*Inputs!F10*Inputs!I10</f>
        <v>0</v>
      </c>
      <c r="BK10" s="262">
        <f>AO10*Inputs!F10*Inputs!I10</f>
        <v>0</v>
      </c>
      <c r="BL10" s="262">
        <f>AP10*Inputs!F10*Inputs!I10</f>
        <v>0</v>
      </c>
      <c r="BM10" s="262">
        <f>AQ10*Inputs!F10*Inputs!I10</f>
        <v>0</v>
      </c>
      <c r="BN10" s="263"/>
      <c r="BO10" s="263"/>
    </row>
    <row r="11" spans="1:69" x14ac:dyDescent="0.25">
      <c r="A11" s="262" t="s">
        <v>22</v>
      </c>
      <c r="B11" s="262">
        <v>0</v>
      </c>
      <c r="C11" s="262">
        <v>0</v>
      </c>
      <c r="D11" s="262">
        <v>113.8</v>
      </c>
      <c r="E11" s="262">
        <v>195.7</v>
      </c>
      <c r="F11" s="262">
        <v>116.5</v>
      </c>
      <c r="G11" s="262">
        <v>147.69999999999999</v>
      </c>
      <c r="H11" s="262">
        <v>10.7</v>
      </c>
      <c r="I11" s="262">
        <v>0</v>
      </c>
      <c r="J11" s="262">
        <v>0</v>
      </c>
      <c r="K11" s="263"/>
      <c r="L11" s="262" t="str">
        <f>Inputs!A11</f>
        <v>M3134800</v>
      </c>
      <c r="M11" s="266">
        <v>0</v>
      </c>
      <c r="N11" s="266">
        <v>0</v>
      </c>
      <c r="O11" s="266">
        <v>0</v>
      </c>
      <c r="P11" s="266">
        <v>0</v>
      </c>
      <c r="Q11" s="266">
        <v>46.427350220229293</v>
      </c>
      <c r="R11" s="266">
        <v>57.726485561219299</v>
      </c>
      <c r="S11" s="266">
        <v>270.61788905760852</v>
      </c>
      <c r="T11" s="266">
        <v>222.78644381877646</v>
      </c>
      <c r="U11" s="266">
        <v>14.813121491493725</v>
      </c>
      <c r="V11" s="263"/>
      <c r="W11" s="262" t="str">
        <f>Inputs!A11</f>
        <v>M3134800</v>
      </c>
      <c r="X11" s="262">
        <f t="shared" si="0"/>
        <v>0</v>
      </c>
      <c r="Y11" s="267">
        <f t="shared" si="1"/>
        <v>0</v>
      </c>
      <c r="Z11" s="267">
        <f t="shared" si="2"/>
        <v>113.8</v>
      </c>
      <c r="AA11" s="267">
        <f t="shared" si="3"/>
        <v>309.5</v>
      </c>
      <c r="AB11" s="267">
        <f t="shared" si="4"/>
        <v>379.5726497797707</v>
      </c>
      <c r="AC11" s="267">
        <f t="shared" si="5"/>
        <v>469.54616421855144</v>
      </c>
      <c r="AD11" s="267">
        <f t="shared" si="6"/>
        <v>209.62827516094291</v>
      </c>
      <c r="AE11" s="267">
        <f t="shared" si="7"/>
        <v>0</v>
      </c>
      <c r="AF11" s="267">
        <f t="shared" si="8"/>
        <v>0</v>
      </c>
      <c r="AG11" s="263"/>
      <c r="AH11" s="262" t="str">
        <f>Inputs!A11</f>
        <v>M3134800</v>
      </c>
      <c r="AI11" s="262">
        <f t="shared" si="9"/>
        <v>0</v>
      </c>
      <c r="AJ11" s="262">
        <f t="shared" si="10"/>
        <v>0</v>
      </c>
      <c r="AK11" s="262">
        <f t="shared" si="11"/>
        <v>0</v>
      </c>
      <c r="AL11" s="262">
        <f t="shared" si="12"/>
        <v>0</v>
      </c>
      <c r="AM11" s="262">
        <f t="shared" si="13"/>
        <v>0</v>
      </c>
      <c r="AN11" s="262">
        <f t="shared" si="14"/>
        <v>0</v>
      </c>
      <c r="AO11" s="262">
        <f t="shared" si="15"/>
        <v>0</v>
      </c>
      <c r="AP11" s="262">
        <f t="shared" si="16"/>
        <v>13.158168657833556</v>
      </c>
      <c r="AQ11" s="262">
        <f t="shared" si="17"/>
        <v>14.813121491493725</v>
      </c>
      <c r="AR11" s="263"/>
      <c r="AS11" s="262" t="str">
        <f>Inputs!A11</f>
        <v>M3134800</v>
      </c>
      <c r="AT11" s="262">
        <f>X11*Inputs!F11*Inputs!G11</f>
        <v>0</v>
      </c>
      <c r="AU11" s="262">
        <f>Y11*Inputs!F11*Inputs!G11</f>
        <v>0</v>
      </c>
      <c r="AV11" s="262">
        <f>Z11*Inputs!F11*Inputs!G11</f>
        <v>234347.20199999999</v>
      </c>
      <c r="AW11" s="262">
        <f>AA11*Inputs!F11*Inputs!G11</f>
        <v>637350.255</v>
      </c>
      <c r="AX11" s="262">
        <f>AB11*Inputs!F11*Inputs!G11</f>
        <v>781650.16196498403</v>
      </c>
      <c r="AY11" s="262">
        <f>AC11*Inputs!F11*Inputs!G11</f>
        <v>966931.72051362076</v>
      </c>
      <c r="AZ11" s="262">
        <f>AD11*Inputs!F11*Inputs!G11</f>
        <v>431685.41075617814</v>
      </c>
      <c r="BA11" s="262">
        <f>AE11*Inputs!F11*Inputs!G11</f>
        <v>0</v>
      </c>
      <c r="BB11" s="262">
        <f>AF11*Inputs!F11*Inputs!H11</f>
        <v>0</v>
      </c>
      <c r="BC11" s="263"/>
      <c r="BD11" s="262" t="str">
        <f>Inputs!A11</f>
        <v>M3134800</v>
      </c>
      <c r="BE11" s="262">
        <f>AI11*Inputs!F11*Inputs!I11</f>
        <v>0</v>
      </c>
      <c r="BF11" s="262">
        <f>AJ11*Inputs!F11*Inputs!I11</f>
        <v>0</v>
      </c>
      <c r="BG11" s="262">
        <f>AK11*Inputs!F11*Inputs!I11</f>
        <v>0</v>
      </c>
      <c r="BH11" s="262">
        <f>AL11*Inputs!F11*Inputs!I11</f>
        <v>0</v>
      </c>
      <c r="BI11" s="262">
        <f>AM11*Inputs!F11*Inputs!I11</f>
        <v>0</v>
      </c>
      <c r="BJ11" s="262">
        <f>AN11*Inputs!F11*Inputs!I11</f>
        <v>0</v>
      </c>
      <c r="BK11" s="262">
        <f>AO11*Inputs!F11*Inputs!I11</f>
        <v>0</v>
      </c>
      <c r="BL11" s="262">
        <f>AP11*Inputs!F11*Inputs!I11</f>
        <v>90321.617117966889</v>
      </c>
      <c r="BM11" s="262">
        <f>AQ11*Inputs!F11*Inputs!I11</f>
        <v>101681.70985406038</v>
      </c>
      <c r="BN11" s="263"/>
      <c r="BO11" s="263"/>
    </row>
    <row r="12" spans="1:69" x14ac:dyDescent="0.25">
      <c r="A12" s="262" t="s">
        <v>23</v>
      </c>
      <c r="B12" s="262">
        <v>0.2</v>
      </c>
      <c r="C12" s="262">
        <v>22.9</v>
      </c>
      <c r="D12" s="262">
        <v>120.9</v>
      </c>
      <c r="E12" s="262">
        <v>124.8</v>
      </c>
      <c r="F12" s="262">
        <v>71.3</v>
      </c>
      <c r="G12" s="262">
        <v>22.9</v>
      </c>
      <c r="H12" s="262">
        <v>0</v>
      </c>
      <c r="I12" s="262">
        <v>0</v>
      </c>
      <c r="J12" s="262">
        <v>0</v>
      </c>
      <c r="K12" s="263"/>
      <c r="L12" s="262" t="str">
        <f>Inputs!A12</f>
        <v>M3135000</v>
      </c>
      <c r="M12" s="265">
        <v>0</v>
      </c>
      <c r="N12" s="265">
        <v>0</v>
      </c>
      <c r="O12" s="265">
        <v>0</v>
      </c>
      <c r="P12" s="265">
        <v>1.2601338423261961</v>
      </c>
      <c r="Q12" s="265">
        <v>100.77993959923502</v>
      </c>
      <c r="R12" s="265">
        <v>139.25219342212307</v>
      </c>
      <c r="S12" s="265">
        <v>86.875434356300076</v>
      </c>
      <c r="T12" s="266">
        <v>12.380455195815815</v>
      </c>
      <c r="U12" s="266">
        <v>10.750560689310515</v>
      </c>
      <c r="V12" s="263"/>
      <c r="W12" s="262" t="str">
        <f>Inputs!A12</f>
        <v>M3135000</v>
      </c>
      <c r="X12" s="262">
        <f t="shared" si="0"/>
        <v>0.2</v>
      </c>
      <c r="Y12" s="267">
        <f t="shared" si="1"/>
        <v>23.099999999999998</v>
      </c>
      <c r="Z12" s="267">
        <f t="shared" si="2"/>
        <v>144</v>
      </c>
      <c r="AA12" s="267">
        <f t="shared" si="3"/>
        <v>267.53986615767383</v>
      </c>
      <c r="AB12" s="267">
        <f t="shared" si="4"/>
        <v>238.0599265584388</v>
      </c>
      <c r="AC12" s="267">
        <f t="shared" si="5"/>
        <v>121.70773313631571</v>
      </c>
      <c r="AD12" s="267">
        <f t="shared" si="6"/>
        <v>34.832298780015634</v>
      </c>
      <c r="AE12" s="267">
        <f t="shared" si="7"/>
        <v>22.451843584199821</v>
      </c>
      <c r="AF12" s="267">
        <f t="shared" si="8"/>
        <v>11.701282894889307</v>
      </c>
      <c r="AG12" s="263"/>
      <c r="AH12" s="262" t="str">
        <f>Inputs!A12</f>
        <v>M3135000</v>
      </c>
      <c r="AI12" s="262">
        <f t="shared" si="9"/>
        <v>0</v>
      </c>
      <c r="AJ12" s="262">
        <f t="shared" si="10"/>
        <v>0</v>
      </c>
      <c r="AK12" s="262">
        <f t="shared" si="11"/>
        <v>0</v>
      </c>
      <c r="AL12" s="262">
        <f t="shared" si="12"/>
        <v>0</v>
      </c>
      <c r="AM12" s="262">
        <f t="shared" si="13"/>
        <v>0</v>
      </c>
      <c r="AN12" s="262">
        <f t="shared" si="14"/>
        <v>0</v>
      </c>
      <c r="AO12" s="262">
        <f t="shared" si="15"/>
        <v>0</v>
      </c>
      <c r="AP12" s="262">
        <f t="shared" si="16"/>
        <v>0</v>
      </c>
      <c r="AQ12" s="262">
        <f t="shared" si="17"/>
        <v>0</v>
      </c>
      <c r="AR12" s="263"/>
      <c r="AS12" s="262" t="str">
        <f>Inputs!A12</f>
        <v>M3135000</v>
      </c>
      <c r="AT12" s="262">
        <f>X12*Inputs!F12*Inputs!G12</f>
        <v>411.66360000000003</v>
      </c>
      <c r="AU12" s="262">
        <f>Y12*Inputs!F12*Inputs!G12</f>
        <v>47547.145799999998</v>
      </c>
      <c r="AV12" s="262">
        <f>Z12*Inputs!F12*Inputs!G12</f>
        <v>296397.79200000002</v>
      </c>
      <c r="AW12" s="262">
        <f>AA12*Inputs!F12*Inputs!G12</f>
        <v>550682.12222993094</v>
      </c>
      <c r="AX12" s="262">
        <f>AB12*Inputs!F12*Inputs!G12</f>
        <v>490003.03191391262</v>
      </c>
      <c r="AY12" s="262">
        <f>AC12*Inputs!F12*Inputs!G12</f>
        <v>250513.2178536751</v>
      </c>
      <c r="AZ12" s="262">
        <f>AD12*Inputs!F12*Inputs!G12</f>
        <v>71695.947560284214</v>
      </c>
      <c r="BA12" s="262">
        <f>AE12*Inputs!F12*Inputs!G12</f>
        <v>46213.033782543011</v>
      </c>
      <c r="BB12" s="262">
        <f>AF12*Inputs!F12*Inputs!H12</f>
        <v>40141.602009404618</v>
      </c>
      <c r="BC12" s="263"/>
      <c r="BD12" s="262" t="str">
        <f>Inputs!A12</f>
        <v>M3135000</v>
      </c>
      <c r="BE12" s="262">
        <f>AI12*Inputs!F12*Inputs!I12</f>
        <v>0</v>
      </c>
      <c r="BF12" s="262">
        <f>AJ12*Inputs!F12*Inputs!I12</f>
        <v>0</v>
      </c>
      <c r="BG12" s="262">
        <f>AK12*Inputs!F12*Inputs!I12</f>
        <v>0</v>
      </c>
      <c r="BH12" s="262">
        <f>AL12*Inputs!F12*Inputs!I12</f>
        <v>0</v>
      </c>
      <c r="BI12" s="262">
        <f>AM12*Inputs!F12*Inputs!I12</f>
        <v>0</v>
      </c>
      <c r="BJ12" s="262">
        <f>AN12*Inputs!F12*Inputs!I12</f>
        <v>0</v>
      </c>
      <c r="BK12" s="262">
        <f>AO12*Inputs!F12*Inputs!I12</f>
        <v>0</v>
      </c>
      <c r="BL12" s="262">
        <f>AP12*Inputs!F12*Inputs!I12</f>
        <v>0</v>
      </c>
      <c r="BM12" s="262">
        <f>AQ12*Inputs!F12*Inputs!I12</f>
        <v>0</v>
      </c>
      <c r="BN12" s="263"/>
      <c r="BO12" s="263"/>
    </row>
    <row r="13" spans="1:69" x14ac:dyDescent="0.25">
      <c r="A13" s="262" t="s">
        <v>108</v>
      </c>
      <c r="B13" s="262">
        <v>0</v>
      </c>
      <c r="C13" s="262">
        <v>0</v>
      </c>
      <c r="D13" s="262">
        <v>0</v>
      </c>
      <c r="E13" s="262">
        <v>98.9</v>
      </c>
      <c r="F13" s="262">
        <v>0</v>
      </c>
      <c r="G13" s="262">
        <v>0</v>
      </c>
      <c r="H13" s="262">
        <v>0</v>
      </c>
      <c r="I13" s="262">
        <v>0</v>
      </c>
      <c r="J13" s="262">
        <v>0</v>
      </c>
      <c r="K13" s="263"/>
      <c r="L13" s="262" t="str">
        <f>Inputs!A13</f>
        <v>M4103600</v>
      </c>
      <c r="M13" s="262">
        <v>0</v>
      </c>
      <c r="N13" s="262">
        <v>0</v>
      </c>
      <c r="O13" s="262">
        <v>0</v>
      </c>
      <c r="P13" s="262">
        <v>0</v>
      </c>
      <c r="Q13" s="262">
        <v>0</v>
      </c>
      <c r="R13" s="262">
        <v>87.190147496832793</v>
      </c>
      <c r="S13" s="262">
        <v>9.1250188639985996</v>
      </c>
      <c r="T13" s="262">
        <v>0</v>
      </c>
      <c r="U13" s="262">
        <v>0</v>
      </c>
      <c r="V13" s="263"/>
      <c r="W13" s="262" t="str">
        <f>Inputs!A13</f>
        <v>M4103600</v>
      </c>
      <c r="X13" s="262">
        <f t="shared" si="0"/>
        <v>0</v>
      </c>
      <c r="Y13" s="267">
        <f t="shared" si="1"/>
        <v>0</v>
      </c>
      <c r="Z13" s="267">
        <f t="shared" si="2"/>
        <v>0</v>
      </c>
      <c r="AA13" s="267">
        <f t="shared" si="3"/>
        <v>98.9</v>
      </c>
      <c r="AB13" s="267">
        <f t="shared" si="4"/>
        <v>98.9</v>
      </c>
      <c r="AC13" s="267">
        <f t="shared" si="5"/>
        <v>11.709852503167212</v>
      </c>
      <c r="AD13" s="267">
        <f t="shared" si="6"/>
        <v>2.5848336391686129</v>
      </c>
      <c r="AE13" s="267">
        <f t="shared" si="7"/>
        <v>2.5848336391686129</v>
      </c>
      <c r="AF13" s="267">
        <f t="shared" si="8"/>
        <v>2.5848336391686129</v>
      </c>
      <c r="AG13" s="263"/>
      <c r="AH13" s="262" t="str">
        <f>Inputs!A13</f>
        <v>M4103600</v>
      </c>
      <c r="AI13" s="262">
        <f t="shared" si="9"/>
        <v>0</v>
      </c>
      <c r="AJ13" s="262">
        <f t="shared" si="10"/>
        <v>0</v>
      </c>
      <c r="AK13" s="262">
        <f t="shared" si="11"/>
        <v>0</v>
      </c>
      <c r="AL13" s="262">
        <f t="shared" si="12"/>
        <v>0</v>
      </c>
      <c r="AM13" s="262">
        <f t="shared" si="13"/>
        <v>0</v>
      </c>
      <c r="AN13" s="262">
        <f t="shared" si="14"/>
        <v>0</v>
      </c>
      <c r="AO13" s="262">
        <f t="shared" si="15"/>
        <v>0</v>
      </c>
      <c r="AP13" s="262">
        <f t="shared" si="16"/>
        <v>0</v>
      </c>
      <c r="AQ13" s="262">
        <f t="shared" si="17"/>
        <v>0</v>
      </c>
      <c r="AR13" s="263"/>
      <c r="AS13" s="262" t="str">
        <f>Inputs!A13</f>
        <v>M4103600</v>
      </c>
      <c r="AT13" s="262">
        <f>X13*Inputs!F13*Inputs!G13</f>
        <v>0</v>
      </c>
      <c r="AU13" s="262">
        <f>Y13*Inputs!F13*Inputs!G13</f>
        <v>0</v>
      </c>
      <c r="AV13" s="262">
        <f>Z13*Inputs!F13*Inputs!G13</f>
        <v>0</v>
      </c>
      <c r="AW13" s="262">
        <f>AA13*Inputs!F13*Inputs!G13</f>
        <v>261860.89260000002</v>
      </c>
      <c r="AX13" s="262">
        <f>AB13*Inputs!F13*Inputs!G13</f>
        <v>261860.89260000002</v>
      </c>
      <c r="AY13" s="262">
        <f>AC13*Inputs!F13*Inputs!G13</f>
        <v>31004.574607620936</v>
      </c>
      <c r="AZ13" s="262">
        <f>AD13*Inputs!F13*Inputs!G13</f>
        <v>6843.9519107704682</v>
      </c>
      <c r="BA13" s="262">
        <f>AE13*Inputs!F13*Inputs!G13</f>
        <v>6843.9519107704682</v>
      </c>
      <c r="BB13" s="262">
        <f>AF13*Inputs!F13*Inputs!H13</f>
        <v>11406.58651795078</v>
      </c>
      <c r="BC13" s="263"/>
      <c r="BD13" s="262" t="str">
        <f>Inputs!A13</f>
        <v>M4103600</v>
      </c>
      <c r="BE13" s="262">
        <f>AI13*Inputs!F13*Inputs!I13</f>
        <v>0</v>
      </c>
      <c r="BF13" s="262">
        <f>AJ13*Inputs!F13*Inputs!I13</f>
        <v>0</v>
      </c>
      <c r="BG13" s="262">
        <f>AK13*Inputs!F13*Inputs!I13</f>
        <v>0</v>
      </c>
      <c r="BH13" s="262">
        <f>AL13*Inputs!F13*Inputs!I13</f>
        <v>0</v>
      </c>
      <c r="BI13" s="262">
        <f>AM13*Inputs!F13*Inputs!I13</f>
        <v>0</v>
      </c>
      <c r="BJ13" s="262">
        <f>AN13*Inputs!F13*Inputs!I13</f>
        <v>0</v>
      </c>
      <c r="BK13" s="262">
        <f>AO13*Inputs!F13*Inputs!I13</f>
        <v>0</v>
      </c>
      <c r="BL13" s="262">
        <f>AP13*Inputs!F13*Inputs!I13</f>
        <v>0</v>
      </c>
      <c r="BM13" s="262">
        <f>AQ13*Inputs!F13*Inputs!I13</f>
        <v>0</v>
      </c>
      <c r="BN13" s="263"/>
      <c r="BO13" s="263"/>
    </row>
    <row r="14" spans="1:69" x14ac:dyDescent="0.25">
      <c r="A14" s="262" t="s">
        <v>24</v>
      </c>
      <c r="B14" s="262">
        <v>0</v>
      </c>
      <c r="C14" s="262">
        <v>20.399999999999999</v>
      </c>
      <c r="D14" s="262">
        <v>65</v>
      </c>
      <c r="E14" s="262">
        <v>81.3</v>
      </c>
      <c r="F14" s="262">
        <v>1.2</v>
      </c>
      <c r="G14" s="262">
        <v>0</v>
      </c>
      <c r="H14" s="262">
        <v>0</v>
      </c>
      <c r="I14" s="262">
        <v>0</v>
      </c>
      <c r="J14" s="262">
        <v>0</v>
      </c>
      <c r="K14" s="263"/>
      <c r="L14" s="262" t="str">
        <f>Inputs!A14</f>
        <v>M4330501</v>
      </c>
      <c r="M14" s="262">
        <v>0</v>
      </c>
      <c r="N14" s="262">
        <v>0</v>
      </c>
      <c r="O14" s="262">
        <v>0</v>
      </c>
      <c r="P14" s="262">
        <v>0</v>
      </c>
      <c r="Q14" s="262">
        <v>0</v>
      </c>
      <c r="R14" s="262">
        <v>9.2767918057191103</v>
      </c>
      <c r="S14" s="262">
        <v>76.218124867315225</v>
      </c>
      <c r="T14" s="262">
        <v>81.138307415079396</v>
      </c>
      <c r="U14" s="262">
        <v>0</v>
      </c>
      <c r="V14" s="263"/>
      <c r="W14" s="262" t="str">
        <f>Inputs!A14</f>
        <v>M4330501</v>
      </c>
      <c r="X14" s="262">
        <f t="shared" si="0"/>
        <v>0</v>
      </c>
      <c r="Y14" s="267">
        <f t="shared" si="1"/>
        <v>20.399999999999999</v>
      </c>
      <c r="Z14" s="267">
        <f t="shared" si="2"/>
        <v>85.4</v>
      </c>
      <c r="AA14" s="267">
        <f t="shared" si="3"/>
        <v>166.7</v>
      </c>
      <c r="AB14" s="267">
        <f t="shared" si="4"/>
        <v>167.89999999999998</v>
      </c>
      <c r="AC14" s="267">
        <f t="shared" si="5"/>
        <v>158.62320819428086</v>
      </c>
      <c r="AD14" s="267">
        <f t="shared" si="6"/>
        <v>82.405083326965638</v>
      </c>
      <c r="AE14" s="267">
        <f t="shared" si="7"/>
        <v>1.2667759118862421</v>
      </c>
      <c r="AF14" s="267">
        <f t="shared" si="8"/>
        <v>1.2667759118862421</v>
      </c>
      <c r="AG14" s="263"/>
      <c r="AH14" s="262" t="str">
        <f>Inputs!A14</f>
        <v>M4330501</v>
      </c>
      <c r="AI14" s="262">
        <f t="shared" si="9"/>
        <v>0</v>
      </c>
      <c r="AJ14" s="262">
        <f t="shared" si="10"/>
        <v>0</v>
      </c>
      <c r="AK14" s="262">
        <f t="shared" si="11"/>
        <v>0</v>
      </c>
      <c r="AL14" s="262">
        <f t="shared" si="12"/>
        <v>0</v>
      </c>
      <c r="AM14" s="262">
        <f t="shared" si="13"/>
        <v>0</v>
      </c>
      <c r="AN14" s="262">
        <f t="shared" si="14"/>
        <v>0</v>
      </c>
      <c r="AO14" s="262">
        <f t="shared" si="15"/>
        <v>0</v>
      </c>
      <c r="AP14" s="262">
        <f t="shared" si="16"/>
        <v>0</v>
      </c>
      <c r="AQ14" s="262">
        <f t="shared" si="17"/>
        <v>0</v>
      </c>
      <c r="AR14" s="263"/>
      <c r="AS14" s="262" t="str">
        <f>Inputs!A14</f>
        <v>M4330501</v>
      </c>
      <c r="AT14" s="262">
        <f>X14*Inputs!F14*Inputs!G14</f>
        <v>0</v>
      </c>
      <c r="AU14" s="262">
        <f>Y14*Inputs!F14*Inputs!G14</f>
        <v>44385.728399999993</v>
      </c>
      <c r="AV14" s="262">
        <f>Z14*Inputs!F14*Inputs!G14</f>
        <v>185810.84339999998</v>
      </c>
      <c r="AW14" s="262">
        <f>AA14*Inputs!F14*Inputs!G14</f>
        <v>362701.02569999994</v>
      </c>
      <c r="AX14" s="262">
        <f>AB14*Inputs!F14*Inputs!G14</f>
        <v>365311.95089999994</v>
      </c>
      <c r="AY14" s="262">
        <f>AC14*Inputs!F14*Inputs!G14</f>
        <v>345127.77631607867</v>
      </c>
      <c r="AZ14" s="262">
        <f>AD14*Inputs!F14*Inputs!G14</f>
        <v>179294.59055539532</v>
      </c>
      <c r="BA14" s="262">
        <f>AE14*Inputs!F14*Inputs!G14</f>
        <v>2756.2142925806406</v>
      </c>
      <c r="BB14" s="262">
        <f>AF14*Inputs!F14*Inputs!H14</f>
        <v>4593.6904876344015</v>
      </c>
      <c r="BC14" s="263"/>
      <c r="BD14" s="262" t="str">
        <f>Inputs!A14</f>
        <v>M4330501</v>
      </c>
      <c r="BE14" s="262">
        <f>AI14*Inputs!F14*Inputs!I14</f>
        <v>0</v>
      </c>
      <c r="BF14" s="262">
        <f>AJ14*Inputs!F14*Inputs!I14</f>
        <v>0</v>
      </c>
      <c r="BG14" s="262">
        <f>AK14*Inputs!F14*Inputs!I14</f>
        <v>0</v>
      </c>
      <c r="BH14" s="262">
        <f>AL14*Inputs!F14*Inputs!I14</f>
        <v>0</v>
      </c>
      <c r="BI14" s="262">
        <f>AM14*Inputs!F14*Inputs!I14</f>
        <v>0</v>
      </c>
      <c r="BJ14" s="262">
        <f>AN14*Inputs!F14*Inputs!I14</f>
        <v>0</v>
      </c>
      <c r="BK14" s="262">
        <f>AO14*Inputs!F14*Inputs!I14</f>
        <v>0</v>
      </c>
      <c r="BL14" s="262">
        <f>AP14*Inputs!F14*Inputs!I14</f>
        <v>0</v>
      </c>
      <c r="BM14" s="262">
        <f>AQ14*Inputs!F14*Inputs!I14</f>
        <v>0</v>
      </c>
      <c r="BN14" s="263"/>
      <c r="BO14" s="263"/>
    </row>
    <row r="15" spans="1:69" x14ac:dyDescent="0.25">
      <c r="A15" s="262" t="s">
        <v>109</v>
      </c>
      <c r="B15" s="262">
        <v>0</v>
      </c>
      <c r="C15" s="262">
        <v>0</v>
      </c>
      <c r="D15" s="262">
        <v>0</v>
      </c>
      <c r="E15" s="262">
        <v>21</v>
      </c>
      <c r="F15" s="262">
        <v>213.5</v>
      </c>
      <c r="G15" s="262">
        <v>232.4</v>
      </c>
      <c r="H15" s="262">
        <v>26.6</v>
      </c>
      <c r="I15" s="262">
        <v>0</v>
      </c>
      <c r="J15" s="262">
        <v>0</v>
      </c>
      <c r="K15" s="263"/>
      <c r="L15" s="262" t="str">
        <f>Inputs!A15</f>
        <v>M4468800</v>
      </c>
      <c r="M15" s="262">
        <v>0</v>
      </c>
      <c r="N15" s="262">
        <v>0</v>
      </c>
      <c r="O15" s="262">
        <v>0</v>
      </c>
      <c r="P15" s="262">
        <v>0</v>
      </c>
      <c r="Q15" s="262">
        <v>0</v>
      </c>
      <c r="R15" s="262">
        <v>19.538728218769329</v>
      </c>
      <c r="S15" s="262">
        <v>240.00260378368043</v>
      </c>
      <c r="T15" s="262">
        <v>241.90952782357431</v>
      </c>
      <c r="U15" s="262">
        <v>31.163494828346391</v>
      </c>
      <c r="V15" s="263"/>
      <c r="W15" s="262" t="str">
        <f>Inputs!A15</f>
        <v>M4468800</v>
      </c>
      <c r="X15" s="262">
        <f t="shared" si="0"/>
        <v>0</v>
      </c>
      <c r="Y15" s="267">
        <f t="shared" si="1"/>
        <v>0</v>
      </c>
      <c r="Z15" s="267">
        <f t="shared" si="2"/>
        <v>0</v>
      </c>
      <c r="AA15" s="267">
        <f t="shared" si="3"/>
        <v>21</v>
      </c>
      <c r="AB15" s="267">
        <f t="shared" si="4"/>
        <v>234.5</v>
      </c>
      <c r="AC15" s="267">
        <f t="shared" si="5"/>
        <v>447.36127178123064</v>
      </c>
      <c r="AD15" s="267">
        <f t="shared" si="6"/>
        <v>233.95866799755024</v>
      </c>
      <c r="AE15" s="267">
        <f t="shared" si="7"/>
        <v>0</v>
      </c>
      <c r="AF15" s="267">
        <f t="shared" si="8"/>
        <v>0</v>
      </c>
      <c r="AG15" s="263"/>
      <c r="AH15" s="262" t="str">
        <f>Inputs!A15</f>
        <v>M4468800</v>
      </c>
      <c r="AI15" s="262">
        <f t="shared" si="9"/>
        <v>0</v>
      </c>
      <c r="AJ15" s="262">
        <f t="shared" si="10"/>
        <v>0</v>
      </c>
      <c r="AK15" s="262">
        <f t="shared" si="11"/>
        <v>0</v>
      </c>
      <c r="AL15" s="262">
        <f t="shared" si="12"/>
        <v>0</v>
      </c>
      <c r="AM15" s="262">
        <f t="shared" si="13"/>
        <v>0</v>
      </c>
      <c r="AN15" s="262">
        <f t="shared" si="14"/>
        <v>0</v>
      </c>
      <c r="AO15" s="262">
        <f t="shared" si="15"/>
        <v>0</v>
      </c>
      <c r="AP15" s="262">
        <f t="shared" si="16"/>
        <v>7.9508598260240717</v>
      </c>
      <c r="AQ15" s="262">
        <f t="shared" si="17"/>
        <v>31.163494828346391</v>
      </c>
      <c r="AR15" s="263"/>
      <c r="AS15" s="262" t="str">
        <f>Inputs!A15</f>
        <v>M4468800</v>
      </c>
      <c r="AT15" s="262">
        <f>X15*Inputs!F15*Inputs!G15</f>
        <v>0</v>
      </c>
      <c r="AU15" s="262">
        <f>Y15*Inputs!F15*Inputs!G15</f>
        <v>0</v>
      </c>
      <c r="AV15" s="262">
        <f>Z15*Inputs!F15*Inputs!G15</f>
        <v>0</v>
      </c>
      <c r="AW15" s="262">
        <f>AA15*Inputs!F15*Inputs!G15</f>
        <v>41938.847999999998</v>
      </c>
      <c r="AX15" s="262">
        <f>AB15*Inputs!F15*Inputs!G15</f>
        <v>468317.136</v>
      </c>
      <c r="AY15" s="262">
        <f>AC15*Inputs!F15*Inputs!G15</f>
        <v>893419.8275390343</v>
      </c>
      <c r="AZ15" s="262">
        <f>AD15*Inputs!F15*Inputs!G15</f>
        <v>467236.04835389159</v>
      </c>
      <c r="BA15" s="262">
        <f>AE15*Inputs!F15*Inputs!G15</f>
        <v>0</v>
      </c>
      <c r="BB15" s="262">
        <f>AF15*Inputs!F15*Inputs!H15</f>
        <v>0</v>
      </c>
      <c r="BC15" s="263"/>
      <c r="BD15" s="262" t="str">
        <f>Inputs!A15</f>
        <v>M4468800</v>
      </c>
      <c r="BE15" s="262">
        <f>AI15*Inputs!F15*Inputs!I15</f>
        <v>0</v>
      </c>
      <c r="BF15" s="262">
        <f>AJ15*Inputs!F15*Inputs!I15</f>
        <v>0</v>
      </c>
      <c r="BG15" s="262">
        <f>AK15*Inputs!F15*Inputs!I15</f>
        <v>0</v>
      </c>
      <c r="BH15" s="262">
        <f>AL15*Inputs!F15*Inputs!I15</f>
        <v>0</v>
      </c>
      <c r="BI15" s="262">
        <f>AM15*Inputs!F15*Inputs!I15</f>
        <v>0</v>
      </c>
      <c r="BJ15" s="262">
        <f>AN15*Inputs!F15*Inputs!I15</f>
        <v>0</v>
      </c>
      <c r="BK15" s="262">
        <f>AO15*Inputs!F15*Inputs!I15</f>
        <v>0</v>
      </c>
      <c r="BL15" s="262">
        <f>AP15*Inputs!F15*Inputs!I15</f>
        <v>52928.555827449207</v>
      </c>
      <c r="BM15" s="262">
        <f>AQ15*Inputs!F15*Inputs!I15</f>
        <v>207454.13853250878</v>
      </c>
      <c r="BN15" s="263"/>
      <c r="BO15" s="263"/>
    </row>
    <row r="16" spans="1:69" x14ac:dyDescent="0.25">
      <c r="A16" s="262" t="s">
        <v>110</v>
      </c>
      <c r="B16" s="262">
        <v>0</v>
      </c>
      <c r="C16" s="262">
        <v>0</v>
      </c>
      <c r="D16" s="262">
        <v>0</v>
      </c>
      <c r="E16" s="262">
        <v>137.6</v>
      </c>
      <c r="F16" s="262">
        <v>0</v>
      </c>
      <c r="G16" s="262">
        <v>0</v>
      </c>
      <c r="H16" s="262">
        <v>0</v>
      </c>
      <c r="I16" s="262">
        <v>0</v>
      </c>
      <c r="J16" s="262">
        <v>0</v>
      </c>
      <c r="K16" s="263"/>
      <c r="L16" s="262" t="str">
        <f>Inputs!A16</f>
        <v>M4581200</v>
      </c>
      <c r="M16" s="262">
        <v>0</v>
      </c>
      <c r="N16" s="262">
        <v>0</v>
      </c>
      <c r="O16" s="262">
        <v>0</v>
      </c>
      <c r="P16" s="262">
        <v>0</v>
      </c>
      <c r="Q16" s="262">
        <v>0</v>
      </c>
      <c r="R16" s="262">
        <v>139.98172982522576</v>
      </c>
      <c r="S16" s="262">
        <v>0</v>
      </c>
      <c r="T16" s="262">
        <v>8.0858328410802383</v>
      </c>
      <c r="U16" s="262">
        <v>0</v>
      </c>
      <c r="V16" s="263"/>
      <c r="W16" s="262" t="str">
        <f>Inputs!A16</f>
        <v>M4581200</v>
      </c>
      <c r="X16" s="262">
        <f t="shared" si="0"/>
        <v>0</v>
      </c>
      <c r="Y16" s="267">
        <f t="shared" si="1"/>
        <v>0</v>
      </c>
      <c r="Z16" s="267">
        <f t="shared" si="2"/>
        <v>0</v>
      </c>
      <c r="AA16" s="267">
        <f t="shared" si="3"/>
        <v>137.6</v>
      </c>
      <c r="AB16" s="267">
        <f t="shared" si="4"/>
        <v>137.6</v>
      </c>
      <c r="AC16" s="267">
        <f t="shared" si="5"/>
        <v>0</v>
      </c>
      <c r="AD16" s="267">
        <f t="shared" si="6"/>
        <v>0</v>
      </c>
      <c r="AE16" s="267">
        <f t="shared" si="7"/>
        <v>0</v>
      </c>
      <c r="AF16" s="267">
        <f t="shared" si="8"/>
        <v>0</v>
      </c>
      <c r="AG16" s="263"/>
      <c r="AH16" s="262" t="str">
        <f>Inputs!A16</f>
        <v>M4581200</v>
      </c>
      <c r="AI16" s="262">
        <f t="shared" si="9"/>
        <v>0</v>
      </c>
      <c r="AJ16" s="262">
        <f t="shared" si="10"/>
        <v>0</v>
      </c>
      <c r="AK16" s="262">
        <f t="shared" si="11"/>
        <v>0</v>
      </c>
      <c r="AL16" s="262">
        <f t="shared" si="12"/>
        <v>0</v>
      </c>
      <c r="AM16" s="262">
        <f t="shared" si="13"/>
        <v>0</v>
      </c>
      <c r="AN16" s="262">
        <f t="shared" si="14"/>
        <v>2.3817298252257615</v>
      </c>
      <c r="AO16" s="262">
        <f t="shared" si="15"/>
        <v>0</v>
      </c>
      <c r="AP16" s="262">
        <f t="shared" si="16"/>
        <v>8.0858328410802383</v>
      </c>
      <c r="AQ16" s="262">
        <f t="shared" si="17"/>
        <v>0</v>
      </c>
      <c r="AR16" s="263"/>
      <c r="AS16" s="262" t="str">
        <f>Inputs!A16</f>
        <v>M4581200</v>
      </c>
      <c r="AT16" s="262">
        <f>X16*Inputs!F16*Inputs!G16</f>
        <v>0</v>
      </c>
      <c r="AU16" s="262">
        <f>Y16*Inputs!F16*Inputs!G16</f>
        <v>0</v>
      </c>
      <c r="AV16" s="262">
        <f>Z16*Inputs!F16*Inputs!G16</f>
        <v>0</v>
      </c>
      <c r="AW16" s="262">
        <f>AA16*Inputs!F16*Inputs!G16</f>
        <v>377189.80800000002</v>
      </c>
      <c r="AX16" s="262">
        <f>AB16*Inputs!F16*Inputs!G16</f>
        <v>377189.80800000002</v>
      </c>
      <c r="AY16" s="262">
        <f>AC16*Inputs!F16*Inputs!G16</f>
        <v>0</v>
      </c>
      <c r="AZ16" s="262">
        <f>AD16*Inputs!F16*Inputs!G16</f>
        <v>0</v>
      </c>
      <c r="BA16" s="262">
        <f>AE16*Inputs!F16*Inputs!G16</f>
        <v>0</v>
      </c>
      <c r="BB16" s="262">
        <f>AF16*Inputs!F16*Inputs!H16</f>
        <v>0</v>
      </c>
      <c r="BC16" s="263"/>
      <c r="BD16" s="262" t="str">
        <f>Inputs!A16</f>
        <v>M4581200</v>
      </c>
      <c r="BE16" s="262">
        <f>AI16*Inputs!F16*Inputs!I16</f>
        <v>0</v>
      </c>
      <c r="BF16" s="262">
        <f>AJ16*Inputs!F16*Inputs!I16</f>
        <v>0</v>
      </c>
      <c r="BG16" s="262">
        <f>AK16*Inputs!F16*Inputs!I16</f>
        <v>0</v>
      </c>
      <c r="BH16" s="262">
        <f>AL16*Inputs!F16*Inputs!I16</f>
        <v>0</v>
      </c>
      <c r="BI16" s="262">
        <f>AM16*Inputs!F16*Inputs!I16</f>
        <v>0</v>
      </c>
      <c r="BJ16" s="262">
        <f>AN16*Inputs!F16*Inputs!I16</f>
        <v>21762.699018526611</v>
      </c>
      <c r="BK16" s="262">
        <f>AO16*Inputs!F16*Inputs!I16</f>
        <v>0</v>
      </c>
      <c r="BL16" s="262">
        <f>AP16*Inputs!F16*Inputs!I16</f>
        <v>73883.084710444513</v>
      </c>
      <c r="BM16" s="262">
        <f>AQ16*Inputs!F16*Inputs!I16</f>
        <v>0</v>
      </c>
      <c r="BN16" s="263"/>
      <c r="BO16" s="263"/>
    </row>
    <row r="17" spans="1:67" x14ac:dyDescent="0.25">
      <c r="A17" s="262"/>
      <c r="B17" s="262"/>
      <c r="C17" s="262"/>
      <c r="D17" s="262"/>
      <c r="E17" s="262"/>
      <c r="F17" s="262"/>
      <c r="G17" s="262"/>
      <c r="H17" s="262"/>
      <c r="I17" s="262"/>
      <c r="J17" s="262"/>
      <c r="K17" s="263"/>
      <c r="L17" s="262">
        <f>Inputs!A17</f>
        <v>0</v>
      </c>
      <c r="M17" s="262"/>
      <c r="N17" s="262"/>
      <c r="O17" s="262"/>
      <c r="P17" s="262"/>
      <c r="Q17" s="262"/>
      <c r="R17" s="262"/>
      <c r="S17" s="262"/>
      <c r="T17" s="262"/>
      <c r="U17" s="262"/>
      <c r="V17" s="263"/>
      <c r="W17" s="262">
        <f>Inputs!A17</f>
        <v>0</v>
      </c>
      <c r="X17" s="262">
        <f t="shared" si="0"/>
        <v>0</v>
      </c>
      <c r="Y17" s="267">
        <f t="shared" si="1"/>
        <v>0</v>
      </c>
      <c r="Z17" s="267">
        <f t="shared" si="2"/>
        <v>0</v>
      </c>
      <c r="AA17" s="267">
        <f t="shared" si="3"/>
        <v>0</v>
      </c>
      <c r="AB17" s="267">
        <f t="shared" si="4"/>
        <v>0</v>
      </c>
      <c r="AC17" s="267">
        <f t="shared" si="5"/>
        <v>0</v>
      </c>
      <c r="AD17" s="267">
        <f t="shared" si="6"/>
        <v>0</v>
      </c>
      <c r="AE17" s="267">
        <f t="shared" si="7"/>
        <v>0</v>
      </c>
      <c r="AF17" s="267">
        <f t="shared" si="8"/>
        <v>0</v>
      </c>
      <c r="AG17" s="263"/>
      <c r="AH17" s="262">
        <f>Inputs!A17</f>
        <v>0</v>
      </c>
      <c r="AI17" s="262">
        <f t="shared" si="9"/>
        <v>0</v>
      </c>
      <c r="AJ17" s="262">
        <f t="shared" si="10"/>
        <v>0</v>
      </c>
      <c r="AK17" s="262">
        <f t="shared" si="11"/>
        <v>0</v>
      </c>
      <c r="AL17" s="262">
        <f t="shared" si="12"/>
        <v>0</v>
      </c>
      <c r="AM17" s="262">
        <f t="shared" si="13"/>
        <v>0</v>
      </c>
      <c r="AN17" s="262">
        <f t="shared" si="14"/>
        <v>0</v>
      </c>
      <c r="AO17" s="262">
        <f t="shared" si="15"/>
        <v>0</v>
      </c>
      <c r="AP17" s="262">
        <f t="shared" si="16"/>
        <v>0</v>
      </c>
      <c r="AQ17" s="262">
        <f t="shared" si="17"/>
        <v>0</v>
      </c>
      <c r="AR17" s="263"/>
      <c r="AS17" s="262">
        <f>Inputs!A17</f>
        <v>0</v>
      </c>
      <c r="AT17" s="262">
        <f>X17*Inputs!F17*Inputs!G17</f>
        <v>0</v>
      </c>
      <c r="AU17" s="262">
        <f>Y17*Inputs!F17*Inputs!G17</f>
        <v>0</v>
      </c>
      <c r="AV17" s="262">
        <f>Z17*Inputs!F17*Inputs!G17</f>
        <v>0</v>
      </c>
      <c r="AW17" s="262">
        <f>AA17*Inputs!F17*Inputs!G17</f>
        <v>0</v>
      </c>
      <c r="AX17" s="262">
        <f>AB17*Inputs!F17*Inputs!G17</f>
        <v>0</v>
      </c>
      <c r="AY17" s="262">
        <f>AC17*Inputs!F17*Inputs!G17</f>
        <v>0</v>
      </c>
      <c r="AZ17" s="262">
        <f>AD17*Inputs!F17*Inputs!G17</f>
        <v>0</v>
      </c>
      <c r="BA17" s="262">
        <f>AE17*Inputs!F17*Inputs!G17</f>
        <v>0</v>
      </c>
      <c r="BB17" s="262">
        <f>AF17*Inputs!F17*Inputs!H17</f>
        <v>0</v>
      </c>
      <c r="BC17" s="263"/>
      <c r="BD17" s="262">
        <f>Inputs!A17</f>
        <v>0</v>
      </c>
      <c r="BE17" s="262">
        <f>AI17*Inputs!F17*Inputs!I17</f>
        <v>0</v>
      </c>
      <c r="BF17" s="262">
        <f>AJ17*Inputs!F17*Inputs!I17</f>
        <v>0</v>
      </c>
      <c r="BG17" s="262">
        <f>AK17*Inputs!F17*Inputs!I17</f>
        <v>0</v>
      </c>
      <c r="BH17" s="262">
        <f>AL17*Inputs!F17*Inputs!I17</f>
        <v>0</v>
      </c>
      <c r="BI17" s="262">
        <f>AM17*Inputs!F17*Inputs!I17</f>
        <v>0</v>
      </c>
      <c r="BJ17" s="262">
        <f>AN17*Inputs!F17*Inputs!I17</f>
        <v>0</v>
      </c>
      <c r="BK17" s="262">
        <f>AO17*Inputs!F17*Inputs!I17</f>
        <v>0</v>
      </c>
      <c r="BL17" s="262">
        <f>AP17*Inputs!F17*Inputs!I17</f>
        <v>0</v>
      </c>
      <c r="BM17" s="262">
        <f>AQ17*Inputs!F17*Inputs!I17</f>
        <v>0</v>
      </c>
      <c r="BN17" s="263"/>
      <c r="BO17" s="263"/>
    </row>
    <row r="18" spans="1:67" x14ac:dyDescent="0.25">
      <c r="A18" s="262"/>
      <c r="B18" s="262"/>
      <c r="C18" s="262"/>
      <c r="D18" s="262"/>
      <c r="E18" s="262"/>
      <c r="F18" s="262"/>
      <c r="G18" s="262"/>
      <c r="H18" s="262"/>
      <c r="I18" s="262"/>
      <c r="J18" s="262"/>
      <c r="K18" s="263"/>
      <c r="L18" s="262">
        <f>Inputs!A18</f>
        <v>0</v>
      </c>
      <c r="M18" s="262"/>
      <c r="N18" s="262"/>
      <c r="O18" s="262"/>
      <c r="P18" s="262"/>
      <c r="Q18" s="262"/>
      <c r="R18" s="262"/>
      <c r="S18" s="262"/>
      <c r="T18" s="262"/>
      <c r="U18" s="262"/>
      <c r="V18" s="263"/>
      <c r="W18" s="262">
        <f>Inputs!A18</f>
        <v>0</v>
      </c>
      <c r="X18" s="262">
        <f t="shared" ref="X18:X52" si="18">MAX(B18-M18,0)</f>
        <v>0</v>
      </c>
      <c r="Y18" s="267">
        <f t="shared" ref="Y18:AE52" si="19">MAX(X18+C18-N18,0)</f>
        <v>0</v>
      </c>
      <c r="Z18" s="267">
        <f t="shared" si="19"/>
        <v>0</v>
      </c>
      <c r="AA18" s="267">
        <f t="shared" si="19"/>
        <v>0</v>
      </c>
      <c r="AB18" s="267">
        <f t="shared" si="19"/>
        <v>0</v>
      </c>
      <c r="AC18" s="267">
        <f t="shared" si="19"/>
        <v>0</v>
      </c>
      <c r="AD18" s="267">
        <f t="shared" si="19"/>
        <v>0</v>
      </c>
      <c r="AE18" s="267">
        <f t="shared" si="19"/>
        <v>0</v>
      </c>
      <c r="AF18" s="267">
        <f t="shared" ref="AF18:AF52" si="20">MAX(AE18+J18-U18,0)</f>
        <v>0</v>
      </c>
      <c r="AG18" s="263"/>
      <c r="AH18" s="262">
        <f>Inputs!A18</f>
        <v>0</v>
      </c>
      <c r="AI18" s="262">
        <f t="shared" ref="AI18:AI52" si="21">MAX(-(B18-M18),0)</f>
        <v>0</v>
      </c>
      <c r="AJ18" s="262">
        <f t="shared" ref="AJ18:AQ34" si="22">MAX(-(C18+X18-N18),0)</f>
        <v>0</v>
      </c>
      <c r="AK18" s="262">
        <f t="shared" si="22"/>
        <v>0</v>
      </c>
      <c r="AL18" s="262">
        <f t="shared" si="22"/>
        <v>0</v>
      </c>
      <c r="AM18" s="262">
        <f t="shared" si="22"/>
        <v>0</v>
      </c>
      <c r="AN18" s="262">
        <f t="shared" si="22"/>
        <v>0</v>
      </c>
      <c r="AO18" s="262">
        <f t="shared" si="22"/>
        <v>0</v>
      </c>
      <c r="AP18" s="262">
        <f t="shared" si="22"/>
        <v>0</v>
      </c>
      <c r="AQ18" s="262">
        <f t="shared" si="22"/>
        <v>0</v>
      </c>
      <c r="AR18" s="263"/>
      <c r="AS18" s="262">
        <f>Inputs!A18</f>
        <v>0</v>
      </c>
      <c r="AT18" s="262">
        <f>X18*Inputs!F18*Inputs!G18</f>
        <v>0</v>
      </c>
      <c r="AU18" s="262">
        <f>Y18*Inputs!F18*Inputs!G18</f>
        <v>0</v>
      </c>
      <c r="AV18" s="262">
        <f>Z18*Inputs!F18*Inputs!G18</f>
        <v>0</v>
      </c>
      <c r="AW18" s="262">
        <f>AA18*Inputs!F18*Inputs!G18</f>
        <v>0</v>
      </c>
      <c r="AX18" s="262">
        <f>AB18*Inputs!F18*Inputs!G18</f>
        <v>0</v>
      </c>
      <c r="AY18" s="262">
        <f>AC18*Inputs!F18*Inputs!G18</f>
        <v>0</v>
      </c>
      <c r="AZ18" s="262">
        <f>AD18*Inputs!F18*Inputs!G18</f>
        <v>0</v>
      </c>
      <c r="BA18" s="262">
        <f>AE18*Inputs!F18*Inputs!G18</f>
        <v>0</v>
      </c>
      <c r="BB18" s="262">
        <f>AF18*Inputs!F18*Inputs!H18</f>
        <v>0</v>
      </c>
      <c r="BC18" s="263"/>
      <c r="BD18" s="262">
        <f>Inputs!A18</f>
        <v>0</v>
      </c>
      <c r="BE18" s="262">
        <f>AI18*Inputs!F18*Inputs!I18</f>
        <v>0</v>
      </c>
      <c r="BF18" s="262">
        <f>AJ18*Inputs!F18*Inputs!I18</f>
        <v>0</v>
      </c>
      <c r="BG18" s="262">
        <f>AK18*Inputs!F18*Inputs!I18</f>
        <v>0</v>
      </c>
      <c r="BH18" s="262">
        <f>AL18*Inputs!F18*Inputs!I18</f>
        <v>0</v>
      </c>
      <c r="BI18" s="262">
        <f>AM18*Inputs!F18*Inputs!I18</f>
        <v>0</v>
      </c>
      <c r="BJ18" s="262">
        <f>AN18*Inputs!F18*Inputs!I18</f>
        <v>0</v>
      </c>
      <c r="BK18" s="262">
        <f>AO18*Inputs!F18*Inputs!I18</f>
        <v>0</v>
      </c>
      <c r="BL18" s="262">
        <f>AP18*Inputs!F18*Inputs!I18</f>
        <v>0</v>
      </c>
      <c r="BM18" s="262">
        <f>AQ18*Inputs!F18*Inputs!I18</f>
        <v>0</v>
      </c>
      <c r="BN18" s="263"/>
      <c r="BO18" s="263"/>
    </row>
    <row r="19" spans="1:67" ht="16.5" customHeight="1" x14ac:dyDescent="0.25">
      <c r="A19" s="262"/>
      <c r="B19" s="262"/>
      <c r="C19" s="262"/>
      <c r="D19" s="262"/>
      <c r="E19" s="262"/>
      <c r="F19" s="262"/>
      <c r="G19" s="262"/>
      <c r="H19" s="262"/>
      <c r="I19" s="262"/>
      <c r="J19" s="262"/>
      <c r="K19" s="263"/>
      <c r="L19" s="262">
        <f>Inputs!A19</f>
        <v>0</v>
      </c>
      <c r="M19" s="262"/>
      <c r="N19" s="262"/>
      <c r="O19" s="262"/>
      <c r="P19" s="262"/>
      <c r="Q19" s="262"/>
      <c r="R19" s="262"/>
      <c r="S19" s="262"/>
      <c r="T19" s="262"/>
      <c r="U19" s="262"/>
      <c r="V19" s="263"/>
      <c r="W19" s="262">
        <f>Inputs!A19</f>
        <v>0</v>
      </c>
      <c r="X19" s="262">
        <f t="shared" si="18"/>
        <v>0</v>
      </c>
      <c r="Y19" s="267">
        <f t="shared" si="19"/>
        <v>0</v>
      </c>
      <c r="Z19" s="267">
        <f t="shared" si="19"/>
        <v>0</v>
      </c>
      <c r="AA19" s="267">
        <f t="shared" si="19"/>
        <v>0</v>
      </c>
      <c r="AB19" s="267">
        <f t="shared" si="19"/>
        <v>0</v>
      </c>
      <c r="AC19" s="267">
        <f t="shared" si="19"/>
        <v>0</v>
      </c>
      <c r="AD19" s="267">
        <f t="shared" si="19"/>
        <v>0</v>
      </c>
      <c r="AE19" s="267">
        <f t="shared" si="19"/>
        <v>0</v>
      </c>
      <c r="AF19" s="267">
        <f t="shared" si="20"/>
        <v>0</v>
      </c>
      <c r="AG19" s="263"/>
      <c r="AH19" s="262">
        <f>Inputs!A19</f>
        <v>0</v>
      </c>
      <c r="AI19" s="262">
        <f t="shared" si="21"/>
        <v>0</v>
      </c>
      <c r="AJ19" s="262">
        <f t="shared" si="22"/>
        <v>0</v>
      </c>
      <c r="AK19" s="262">
        <f t="shared" si="22"/>
        <v>0</v>
      </c>
      <c r="AL19" s="262">
        <f t="shared" si="22"/>
        <v>0</v>
      </c>
      <c r="AM19" s="262">
        <f t="shared" si="22"/>
        <v>0</v>
      </c>
      <c r="AN19" s="262">
        <f t="shared" si="22"/>
        <v>0</v>
      </c>
      <c r="AO19" s="262">
        <f t="shared" si="22"/>
        <v>0</v>
      </c>
      <c r="AP19" s="262">
        <f t="shared" si="22"/>
        <v>0</v>
      </c>
      <c r="AQ19" s="262">
        <f t="shared" si="22"/>
        <v>0</v>
      </c>
      <c r="AR19" s="263"/>
      <c r="AS19" s="262">
        <f>Inputs!A19</f>
        <v>0</v>
      </c>
      <c r="AT19" s="262">
        <f>X19*Inputs!F19*Inputs!G19</f>
        <v>0</v>
      </c>
      <c r="AU19" s="262">
        <f>Y19*Inputs!F19*Inputs!G19</f>
        <v>0</v>
      </c>
      <c r="AV19" s="262">
        <f>Z19*Inputs!F19*Inputs!G19</f>
        <v>0</v>
      </c>
      <c r="AW19" s="262">
        <f>AA19*Inputs!F19*Inputs!G19</f>
        <v>0</v>
      </c>
      <c r="AX19" s="262">
        <f>AB19*Inputs!F19*Inputs!G19</f>
        <v>0</v>
      </c>
      <c r="AY19" s="262">
        <f>AC19*Inputs!F19*Inputs!G19</f>
        <v>0</v>
      </c>
      <c r="AZ19" s="262">
        <f>AD19*Inputs!F19*Inputs!G19</f>
        <v>0</v>
      </c>
      <c r="BA19" s="262">
        <f>AE19*Inputs!F19*Inputs!G19</f>
        <v>0</v>
      </c>
      <c r="BB19" s="262">
        <f>AF19*Inputs!F19*Inputs!H19</f>
        <v>0</v>
      </c>
      <c r="BC19" s="263"/>
      <c r="BD19" s="262">
        <f>Inputs!A19</f>
        <v>0</v>
      </c>
      <c r="BE19" s="262">
        <f>AI19*Inputs!F19*Inputs!I19</f>
        <v>0</v>
      </c>
      <c r="BF19" s="262">
        <f>AJ19*Inputs!F19*Inputs!I19</f>
        <v>0</v>
      </c>
      <c r="BG19" s="262">
        <f>AK19*Inputs!F19*Inputs!I19</f>
        <v>0</v>
      </c>
      <c r="BH19" s="262">
        <f>AL19*Inputs!F19*Inputs!I19</f>
        <v>0</v>
      </c>
      <c r="BI19" s="262">
        <f>AM19*Inputs!F19*Inputs!I19</f>
        <v>0</v>
      </c>
      <c r="BJ19" s="262">
        <f>AN19*Inputs!F19*Inputs!I19</f>
        <v>0</v>
      </c>
      <c r="BK19" s="262">
        <f>AO19*Inputs!F19*Inputs!I19</f>
        <v>0</v>
      </c>
      <c r="BL19" s="262">
        <f>AP19*Inputs!F19*Inputs!I19</f>
        <v>0</v>
      </c>
      <c r="BM19" s="262">
        <f>AQ19*Inputs!F19*Inputs!I19</f>
        <v>0</v>
      </c>
      <c r="BN19" s="263"/>
      <c r="BO19" s="263"/>
    </row>
    <row r="20" spans="1:67" x14ac:dyDescent="0.25">
      <c r="A20" s="262"/>
      <c r="B20" s="262"/>
      <c r="C20" s="262"/>
      <c r="D20" s="262"/>
      <c r="E20" s="262"/>
      <c r="F20" s="262"/>
      <c r="G20" s="262"/>
      <c r="H20" s="262"/>
      <c r="I20" s="262"/>
      <c r="J20" s="262"/>
      <c r="K20" s="263"/>
      <c r="L20" s="262">
        <f>Inputs!A20</f>
        <v>0</v>
      </c>
      <c r="M20" s="262"/>
      <c r="N20" s="262"/>
      <c r="O20" s="262"/>
      <c r="P20" s="262"/>
      <c r="Q20" s="262"/>
      <c r="R20" s="262"/>
      <c r="S20" s="262"/>
      <c r="T20" s="262"/>
      <c r="U20" s="262"/>
      <c r="V20" s="263"/>
      <c r="W20" s="262">
        <f>Inputs!A20</f>
        <v>0</v>
      </c>
      <c r="X20" s="262">
        <f t="shared" si="18"/>
        <v>0</v>
      </c>
      <c r="Y20" s="267">
        <f t="shared" si="19"/>
        <v>0</v>
      </c>
      <c r="Z20" s="267">
        <f t="shared" si="19"/>
        <v>0</v>
      </c>
      <c r="AA20" s="267">
        <f t="shared" si="19"/>
        <v>0</v>
      </c>
      <c r="AB20" s="267">
        <f t="shared" si="19"/>
        <v>0</v>
      </c>
      <c r="AC20" s="267">
        <f t="shared" si="19"/>
        <v>0</v>
      </c>
      <c r="AD20" s="267">
        <f t="shared" si="19"/>
        <v>0</v>
      </c>
      <c r="AE20" s="267">
        <f t="shared" si="19"/>
        <v>0</v>
      </c>
      <c r="AF20" s="267">
        <f t="shared" si="20"/>
        <v>0</v>
      </c>
      <c r="AG20" s="263"/>
      <c r="AH20" s="262">
        <f>Inputs!A20</f>
        <v>0</v>
      </c>
      <c r="AI20" s="262">
        <f t="shared" si="21"/>
        <v>0</v>
      </c>
      <c r="AJ20" s="262">
        <f t="shared" si="22"/>
        <v>0</v>
      </c>
      <c r="AK20" s="262">
        <f t="shared" si="22"/>
        <v>0</v>
      </c>
      <c r="AL20" s="262">
        <f t="shared" si="22"/>
        <v>0</v>
      </c>
      <c r="AM20" s="262">
        <f t="shared" si="22"/>
        <v>0</v>
      </c>
      <c r="AN20" s="262">
        <f t="shared" si="22"/>
        <v>0</v>
      </c>
      <c r="AO20" s="262">
        <f t="shared" si="22"/>
        <v>0</v>
      </c>
      <c r="AP20" s="262">
        <f t="shared" si="22"/>
        <v>0</v>
      </c>
      <c r="AQ20" s="262">
        <f t="shared" si="22"/>
        <v>0</v>
      </c>
      <c r="AR20" s="263"/>
      <c r="AS20" s="262">
        <f>Inputs!A20</f>
        <v>0</v>
      </c>
      <c r="AT20" s="262">
        <f>X20*Inputs!F20*Inputs!G20</f>
        <v>0</v>
      </c>
      <c r="AU20" s="262">
        <f>Y20*Inputs!F20*Inputs!G20</f>
        <v>0</v>
      </c>
      <c r="AV20" s="262">
        <f>Z20*Inputs!F20*Inputs!G20</f>
        <v>0</v>
      </c>
      <c r="AW20" s="262">
        <f>AA20*Inputs!F20*Inputs!G20</f>
        <v>0</v>
      </c>
      <c r="AX20" s="262">
        <f>AB20*Inputs!F20*Inputs!G20</f>
        <v>0</v>
      </c>
      <c r="AY20" s="262">
        <f>AC20*Inputs!F20*Inputs!G20</f>
        <v>0</v>
      </c>
      <c r="AZ20" s="262">
        <f>AD20*Inputs!F20*Inputs!G20</f>
        <v>0</v>
      </c>
      <c r="BA20" s="262">
        <f>AE20*Inputs!F20*Inputs!G20</f>
        <v>0</v>
      </c>
      <c r="BB20" s="262">
        <f>AF20*Inputs!F20*Inputs!H20</f>
        <v>0</v>
      </c>
      <c r="BC20" s="263"/>
      <c r="BD20" s="262">
        <f>Inputs!A20</f>
        <v>0</v>
      </c>
      <c r="BE20" s="262">
        <f>AI20*Inputs!F20*Inputs!I20</f>
        <v>0</v>
      </c>
      <c r="BF20" s="262">
        <f>AJ20*Inputs!F20*Inputs!I20</f>
        <v>0</v>
      </c>
      <c r="BG20" s="262">
        <f>AK20*Inputs!F20*Inputs!I20</f>
        <v>0</v>
      </c>
      <c r="BH20" s="262">
        <f>AL20*Inputs!F20*Inputs!I20</f>
        <v>0</v>
      </c>
      <c r="BI20" s="262">
        <f>AM20*Inputs!F20*Inputs!I20</f>
        <v>0</v>
      </c>
      <c r="BJ20" s="262">
        <f>AN20*Inputs!F20*Inputs!I20</f>
        <v>0</v>
      </c>
      <c r="BK20" s="262">
        <f>AO20*Inputs!F20*Inputs!I20</f>
        <v>0</v>
      </c>
      <c r="BL20" s="262">
        <f>AP20*Inputs!F20*Inputs!I20</f>
        <v>0</v>
      </c>
      <c r="BM20" s="262">
        <f>AQ20*Inputs!F20*Inputs!I20</f>
        <v>0</v>
      </c>
      <c r="BN20" s="263"/>
      <c r="BO20" s="263"/>
    </row>
    <row r="21" spans="1:67" x14ac:dyDescent="0.25">
      <c r="A21" s="262"/>
      <c r="B21" s="262"/>
      <c r="C21" s="262"/>
      <c r="D21" s="262"/>
      <c r="E21" s="262"/>
      <c r="F21" s="262"/>
      <c r="G21" s="262"/>
      <c r="H21" s="262"/>
      <c r="I21" s="262"/>
      <c r="J21" s="262"/>
      <c r="K21" s="263"/>
      <c r="L21" s="262">
        <f>Inputs!A21</f>
        <v>0</v>
      </c>
      <c r="M21" s="262"/>
      <c r="N21" s="262"/>
      <c r="O21" s="262"/>
      <c r="P21" s="262"/>
      <c r="Q21" s="262"/>
      <c r="R21" s="262"/>
      <c r="S21" s="262"/>
      <c r="T21" s="262"/>
      <c r="U21" s="262"/>
      <c r="V21" s="263"/>
      <c r="W21" s="262">
        <f>Inputs!A21</f>
        <v>0</v>
      </c>
      <c r="X21" s="262">
        <f t="shared" si="18"/>
        <v>0</v>
      </c>
      <c r="Y21" s="267">
        <f t="shared" si="19"/>
        <v>0</v>
      </c>
      <c r="Z21" s="267">
        <f t="shared" si="19"/>
        <v>0</v>
      </c>
      <c r="AA21" s="267">
        <f t="shared" si="19"/>
        <v>0</v>
      </c>
      <c r="AB21" s="267">
        <f t="shared" si="19"/>
        <v>0</v>
      </c>
      <c r="AC21" s="267">
        <f t="shared" si="19"/>
        <v>0</v>
      </c>
      <c r="AD21" s="267">
        <f t="shared" si="19"/>
        <v>0</v>
      </c>
      <c r="AE21" s="267">
        <f t="shared" si="19"/>
        <v>0</v>
      </c>
      <c r="AF21" s="267">
        <f t="shared" si="20"/>
        <v>0</v>
      </c>
      <c r="AG21" s="263"/>
      <c r="AH21" s="262">
        <f>Inputs!A21</f>
        <v>0</v>
      </c>
      <c r="AI21" s="262">
        <f t="shared" si="21"/>
        <v>0</v>
      </c>
      <c r="AJ21" s="262">
        <f t="shared" si="22"/>
        <v>0</v>
      </c>
      <c r="AK21" s="262">
        <f t="shared" si="22"/>
        <v>0</v>
      </c>
      <c r="AL21" s="262">
        <f t="shared" si="22"/>
        <v>0</v>
      </c>
      <c r="AM21" s="262">
        <f t="shared" si="22"/>
        <v>0</v>
      </c>
      <c r="AN21" s="262">
        <f t="shared" si="22"/>
        <v>0</v>
      </c>
      <c r="AO21" s="262">
        <f t="shared" si="22"/>
        <v>0</v>
      </c>
      <c r="AP21" s="262">
        <f t="shared" si="22"/>
        <v>0</v>
      </c>
      <c r="AQ21" s="262">
        <f t="shared" si="22"/>
        <v>0</v>
      </c>
      <c r="AR21" s="263"/>
      <c r="AS21" s="262">
        <f>Inputs!A21</f>
        <v>0</v>
      </c>
      <c r="AT21" s="262">
        <f>X21*Inputs!F21*Inputs!G21</f>
        <v>0</v>
      </c>
      <c r="AU21" s="262">
        <f>Y21*Inputs!F21*Inputs!G21</f>
        <v>0</v>
      </c>
      <c r="AV21" s="262">
        <f>Z21*Inputs!F21*Inputs!G21</f>
        <v>0</v>
      </c>
      <c r="AW21" s="262">
        <f>AA21*Inputs!F21*Inputs!G21</f>
        <v>0</v>
      </c>
      <c r="AX21" s="262">
        <f>AB21*Inputs!F21*Inputs!G21</f>
        <v>0</v>
      </c>
      <c r="AY21" s="262">
        <f>AC21*Inputs!F21*Inputs!G21</f>
        <v>0</v>
      </c>
      <c r="AZ21" s="262">
        <f>AD21*Inputs!F21*Inputs!G21</f>
        <v>0</v>
      </c>
      <c r="BA21" s="262">
        <f>AE21*Inputs!F21*Inputs!G21</f>
        <v>0</v>
      </c>
      <c r="BB21" s="262">
        <f>AF21*Inputs!F21*Inputs!H21</f>
        <v>0</v>
      </c>
      <c r="BC21" s="263"/>
      <c r="BD21" s="262">
        <f>Inputs!A21</f>
        <v>0</v>
      </c>
      <c r="BE21" s="262">
        <f>AI21*Inputs!F21*Inputs!I21</f>
        <v>0</v>
      </c>
      <c r="BF21" s="262">
        <f>AJ21*Inputs!F21*Inputs!I21</f>
        <v>0</v>
      </c>
      <c r="BG21" s="262">
        <f>AK21*Inputs!F21*Inputs!I21</f>
        <v>0</v>
      </c>
      <c r="BH21" s="262">
        <f>AL21*Inputs!F21*Inputs!I21</f>
        <v>0</v>
      </c>
      <c r="BI21" s="262">
        <f>AM21*Inputs!F21*Inputs!I21</f>
        <v>0</v>
      </c>
      <c r="BJ21" s="262">
        <f>AN21*Inputs!F21*Inputs!I21</f>
        <v>0</v>
      </c>
      <c r="BK21" s="262">
        <f>AO21*Inputs!F21*Inputs!I21</f>
        <v>0</v>
      </c>
      <c r="BL21" s="262">
        <f>AP21*Inputs!F21*Inputs!I21</f>
        <v>0</v>
      </c>
      <c r="BM21" s="262">
        <f>AQ21*Inputs!F21*Inputs!I21</f>
        <v>0</v>
      </c>
      <c r="BN21" s="263"/>
      <c r="BO21" s="263"/>
    </row>
    <row r="22" spans="1:67" x14ac:dyDescent="0.25">
      <c r="A22" s="262"/>
      <c r="B22" s="262"/>
      <c r="C22" s="262"/>
      <c r="D22" s="262"/>
      <c r="E22" s="262"/>
      <c r="F22" s="262"/>
      <c r="G22" s="262"/>
      <c r="H22" s="262"/>
      <c r="I22" s="262"/>
      <c r="J22" s="262"/>
      <c r="K22" s="263"/>
      <c r="L22" s="262">
        <f>Inputs!A22</f>
        <v>0</v>
      </c>
      <c r="M22" s="262"/>
      <c r="N22" s="262"/>
      <c r="O22" s="262"/>
      <c r="P22" s="262"/>
      <c r="Q22" s="262"/>
      <c r="R22" s="262"/>
      <c r="S22" s="262"/>
      <c r="T22" s="262"/>
      <c r="U22" s="262"/>
      <c r="V22" s="263"/>
      <c r="W22" s="262">
        <f>Inputs!A22</f>
        <v>0</v>
      </c>
      <c r="X22" s="262">
        <f t="shared" si="18"/>
        <v>0</v>
      </c>
      <c r="Y22" s="267">
        <f t="shared" si="19"/>
        <v>0</v>
      </c>
      <c r="Z22" s="267">
        <f t="shared" si="19"/>
        <v>0</v>
      </c>
      <c r="AA22" s="267">
        <f t="shared" si="19"/>
        <v>0</v>
      </c>
      <c r="AB22" s="267">
        <f t="shared" si="19"/>
        <v>0</v>
      </c>
      <c r="AC22" s="267">
        <f t="shared" si="19"/>
        <v>0</v>
      </c>
      <c r="AD22" s="267">
        <f t="shared" si="19"/>
        <v>0</v>
      </c>
      <c r="AE22" s="267">
        <f t="shared" si="19"/>
        <v>0</v>
      </c>
      <c r="AF22" s="267">
        <f t="shared" si="20"/>
        <v>0</v>
      </c>
      <c r="AG22" s="263"/>
      <c r="AH22" s="262">
        <f>Inputs!A22</f>
        <v>0</v>
      </c>
      <c r="AI22" s="262">
        <f t="shared" si="21"/>
        <v>0</v>
      </c>
      <c r="AJ22" s="262">
        <f t="shared" si="22"/>
        <v>0</v>
      </c>
      <c r="AK22" s="262">
        <f t="shared" si="22"/>
        <v>0</v>
      </c>
      <c r="AL22" s="262">
        <f t="shared" si="22"/>
        <v>0</v>
      </c>
      <c r="AM22" s="262">
        <f t="shared" si="22"/>
        <v>0</v>
      </c>
      <c r="AN22" s="262">
        <f t="shared" si="22"/>
        <v>0</v>
      </c>
      <c r="AO22" s="262">
        <f t="shared" si="22"/>
        <v>0</v>
      </c>
      <c r="AP22" s="262">
        <f t="shared" si="22"/>
        <v>0</v>
      </c>
      <c r="AQ22" s="262">
        <f t="shared" si="22"/>
        <v>0</v>
      </c>
      <c r="AR22" s="263"/>
      <c r="AS22" s="262">
        <f>Inputs!A22</f>
        <v>0</v>
      </c>
      <c r="AT22" s="262">
        <f>X22*Inputs!F22*Inputs!G22</f>
        <v>0</v>
      </c>
      <c r="AU22" s="262">
        <f>Y22*Inputs!F22*Inputs!G22</f>
        <v>0</v>
      </c>
      <c r="AV22" s="262">
        <f>Z22*Inputs!F22*Inputs!G22</f>
        <v>0</v>
      </c>
      <c r="AW22" s="262">
        <f>AA22*Inputs!F22*Inputs!G22</f>
        <v>0</v>
      </c>
      <c r="AX22" s="262">
        <f>AB22*Inputs!F22*Inputs!G22</f>
        <v>0</v>
      </c>
      <c r="AY22" s="262">
        <f>AC22*Inputs!F22*Inputs!G22</f>
        <v>0</v>
      </c>
      <c r="AZ22" s="262">
        <f>AD22*Inputs!F22*Inputs!G22</f>
        <v>0</v>
      </c>
      <c r="BA22" s="262">
        <f>AE22*Inputs!F22*Inputs!G22</f>
        <v>0</v>
      </c>
      <c r="BB22" s="262">
        <f>AF22*Inputs!F22*Inputs!H22</f>
        <v>0</v>
      </c>
      <c r="BC22" s="263"/>
      <c r="BD22" s="262">
        <f>Inputs!A22</f>
        <v>0</v>
      </c>
      <c r="BE22" s="262">
        <f>AI22*Inputs!F22*Inputs!I22</f>
        <v>0</v>
      </c>
      <c r="BF22" s="262">
        <f>AJ22*Inputs!F22*Inputs!I22</f>
        <v>0</v>
      </c>
      <c r="BG22" s="262">
        <f>AK22*Inputs!F22*Inputs!I22</f>
        <v>0</v>
      </c>
      <c r="BH22" s="262">
        <f>AL22*Inputs!F22*Inputs!I22</f>
        <v>0</v>
      </c>
      <c r="BI22" s="262">
        <f>AM22*Inputs!F22*Inputs!I22</f>
        <v>0</v>
      </c>
      <c r="BJ22" s="262">
        <f>AN22*Inputs!F22*Inputs!I22</f>
        <v>0</v>
      </c>
      <c r="BK22" s="262">
        <f>AO22*Inputs!F22*Inputs!I22</f>
        <v>0</v>
      </c>
      <c r="BL22" s="262">
        <f>AP22*Inputs!F22*Inputs!I22</f>
        <v>0</v>
      </c>
      <c r="BM22" s="262">
        <f>AQ22*Inputs!F22*Inputs!I22</f>
        <v>0</v>
      </c>
      <c r="BN22" s="263"/>
      <c r="BO22" s="263"/>
    </row>
    <row r="23" spans="1:67" x14ac:dyDescent="0.25">
      <c r="A23" s="262"/>
      <c r="B23" s="262"/>
      <c r="C23" s="262"/>
      <c r="D23" s="262"/>
      <c r="E23" s="262"/>
      <c r="F23" s="262"/>
      <c r="G23" s="262"/>
      <c r="H23" s="262"/>
      <c r="I23" s="262"/>
      <c r="J23" s="262"/>
      <c r="K23" s="263"/>
      <c r="L23" s="262">
        <f>Inputs!A23</f>
        <v>0</v>
      </c>
      <c r="M23" s="262"/>
      <c r="N23" s="262"/>
      <c r="O23" s="262"/>
      <c r="P23" s="262"/>
      <c r="Q23" s="262"/>
      <c r="R23" s="262"/>
      <c r="S23" s="262"/>
      <c r="T23" s="262"/>
      <c r="U23" s="262"/>
      <c r="V23" s="263"/>
      <c r="W23" s="262">
        <f>Inputs!A23</f>
        <v>0</v>
      </c>
      <c r="X23" s="262">
        <f t="shared" si="18"/>
        <v>0</v>
      </c>
      <c r="Y23" s="267">
        <f t="shared" si="19"/>
        <v>0</v>
      </c>
      <c r="Z23" s="267">
        <f t="shared" si="19"/>
        <v>0</v>
      </c>
      <c r="AA23" s="267">
        <f t="shared" si="19"/>
        <v>0</v>
      </c>
      <c r="AB23" s="267">
        <f t="shared" si="19"/>
        <v>0</v>
      </c>
      <c r="AC23" s="267">
        <f t="shared" si="19"/>
        <v>0</v>
      </c>
      <c r="AD23" s="267">
        <f t="shared" si="19"/>
        <v>0</v>
      </c>
      <c r="AE23" s="267">
        <f t="shared" si="19"/>
        <v>0</v>
      </c>
      <c r="AF23" s="267">
        <f t="shared" si="20"/>
        <v>0</v>
      </c>
      <c r="AG23" s="263"/>
      <c r="AH23" s="262">
        <f>Inputs!A23</f>
        <v>0</v>
      </c>
      <c r="AI23" s="262">
        <f t="shared" si="21"/>
        <v>0</v>
      </c>
      <c r="AJ23" s="262">
        <f t="shared" si="22"/>
        <v>0</v>
      </c>
      <c r="AK23" s="262">
        <f t="shared" si="22"/>
        <v>0</v>
      </c>
      <c r="AL23" s="262">
        <f t="shared" si="22"/>
        <v>0</v>
      </c>
      <c r="AM23" s="262">
        <f t="shared" si="22"/>
        <v>0</v>
      </c>
      <c r="AN23" s="262">
        <f t="shared" si="22"/>
        <v>0</v>
      </c>
      <c r="AO23" s="262">
        <f t="shared" si="22"/>
        <v>0</v>
      </c>
      <c r="AP23" s="262">
        <f t="shared" si="22"/>
        <v>0</v>
      </c>
      <c r="AQ23" s="262">
        <f t="shared" si="22"/>
        <v>0</v>
      </c>
      <c r="AR23" s="263"/>
      <c r="AS23" s="262">
        <f>Inputs!A23</f>
        <v>0</v>
      </c>
      <c r="AT23" s="262">
        <f>X23*Inputs!F23*Inputs!G23</f>
        <v>0</v>
      </c>
      <c r="AU23" s="262">
        <f>Y23*Inputs!F23*Inputs!G23</f>
        <v>0</v>
      </c>
      <c r="AV23" s="262">
        <f>Z23*Inputs!F23*Inputs!G23</f>
        <v>0</v>
      </c>
      <c r="AW23" s="262">
        <f>AA23*Inputs!F23*Inputs!G23</f>
        <v>0</v>
      </c>
      <c r="AX23" s="262">
        <f>AB23*Inputs!F23*Inputs!G23</f>
        <v>0</v>
      </c>
      <c r="AY23" s="262">
        <f>AC23*Inputs!F23*Inputs!G23</f>
        <v>0</v>
      </c>
      <c r="AZ23" s="262">
        <f>AD23*Inputs!F23*Inputs!G23</f>
        <v>0</v>
      </c>
      <c r="BA23" s="262">
        <f>AE23*Inputs!F23*Inputs!G23</f>
        <v>0</v>
      </c>
      <c r="BB23" s="262">
        <f>AF23*Inputs!F23*Inputs!H23</f>
        <v>0</v>
      </c>
      <c r="BC23" s="263"/>
      <c r="BD23" s="262">
        <f>Inputs!A23</f>
        <v>0</v>
      </c>
      <c r="BE23" s="262">
        <f>AI23*Inputs!F23*Inputs!I23</f>
        <v>0</v>
      </c>
      <c r="BF23" s="262">
        <f>AJ23*Inputs!F23*Inputs!I23</f>
        <v>0</v>
      </c>
      <c r="BG23" s="262">
        <f>AK23*Inputs!F23*Inputs!I23</f>
        <v>0</v>
      </c>
      <c r="BH23" s="262">
        <f>AL23*Inputs!F23*Inputs!I23</f>
        <v>0</v>
      </c>
      <c r="BI23" s="262">
        <f>AM23*Inputs!F23*Inputs!I23</f>
        <v>0</v>
      </c>
      <c r="BJ23" s="262">
        <f>AN23*Inputs!F23*Inputs!I23</f>
        <v>0</v>
      </c>
      <c r="BK23" s="262">
        <f>AO23*Inputs!F23*Inputs!I23</f>
        <v>0</v>
      </c>
      <c r="BL23" s="262">
        <f>AP23*Inputs!F23*Inputs!I23</f>
        <v>0</v>
      </c>
      <c r="BM23" s="262">
        <f>AQ23*Inputs!F23*Inputs!I23</f>
        <v>0</v>
      </c>
      <c r="BN23" s="263"/>
      <c r="BO23" s="263"/>
    </row>
    <row r="24" spans="1:67" x14ac:dyDescent="0.25">
      <c r="A24" s="262"/>
      <c r="B24" s="262"/>
      <c r="C24" s="262"/>
      <c r="D24" s="262"/>
      <c r="E24" s="262"/>
      <c r="F24" s="262"/>
      <c r="G24" s="262"/>
      <c r="H24" s="262"/>
      <c r="I24" s="262"/>
      <c r="J24" s="262"/>
      <c r="K24" s="263"/>
      <c r="L24" s="262">
        <f>Inputs!A24</f>
        <v>0</v>
      </c>
      <c r="M24" s="262"/>
      <c r="N24" s="262"/>
      <c r="O24" s="262"/>
      <c r="P24" s="262"/>
      <c r="Q24" s="262"/>
      <c r="R24" s="262"/>
      <c r="S24" s="262"/>
      <c r="T24" s="262"/>
      <c r="U24" s="262"/>
      <c r="V24" s="263"/>
      <c r="W24" s="262">
        <f>Inputs!A24</f>
        <v>0</v>
      </c>
      <c r="X24" s="262">
        <f t="shared" si="18"/>
        <v>0</v>
      </c>
      <c r="Y24" s="267">
        <f t="shared" si="19"/>
        <v>0</v>
      </c>
      <c r="Z24" s="267">
        <f t="shared" si="19"/>
        <v>0</v>
      </c>
      <c r="AA24" s="267">
        <f t="shared" si="19"/>
        <v>0</v>
      </c>
      <c r="AB24" s="267">
        <f t="shared" si="19"/>
        <v>0</v>
      </c>
      <c r="AC24" s="267">
        <f t="shared" si="19"/>
        <v>0</v>
      </c>
      <c r="AD24" s="267">
        <f t="shared" si="19"/>
        <v>0</v>
      </c>
      <c r="AE24" s="267">
        <f t="shared" si="19"/>
        <v>0</v>
      </c>
      <c r="AF24" s="267">
        <f t="shared" si="20"/>
        <v>0</v>
      </c>
      <c r="AG24" s="263"/>
      <c r="AH24" s="262">
        <f>Inputs!A24</f>
        <v>0</v>
      </c>
      <c r="AI24" s="262">
        <f t="shared" si="21"/>
        <v>0</v>
      </c>
      <c r="AJ24" s="262">
        <f t="shared" si="22"/>
        <v>0</v>
      </c>
      <c r="AK24" s="262">
        <f t="shared" si="22"/>
        <v>0</v>
      </c>
      <c r="AL24" s="262">
        <f t="shared" si="22"/>
        <v>0</v>
      </c>
      <c r="AM24" s="262">
        <f t="shared" si="22"/>
        <v>0</v>
      </c>
      <c r="AN24" s="262">
        <f t="shared" si="22"/>
        <v>0</v>
      </c>
      <c r="AO24" s="262">
        <f t="shared" si="22"/>
        <v>0</v>
      </c>
      <c r="AP24" s="262">
        <f t="shared" si="22"/>
        <v>0</v>
      </c>
      <c r="AQ24" s="262">
        <f t="shared" si="22"/>
        <v>0</v>
      </c>
      <c r="AR24" s="263"/>
      <c r="AS24" s="262">
        <f>Inputs!A24</f>
        <v>0</v>
      </c>
      <c r="AT24" s="262">
        <f>X24*Inputs!F24*Inputs!G24</f>
        <v>0</v>
      </c>
      <c r="AU24" s="262">
        <f>Y24*Inputs!F24*Inputs!G24</f>
        <v>0</v>
      </c>
      <c r="AV24" s="262">
        <f>Z24*Inputs!F24*Inputs!G24</f>
        <v>0</v>
      </c>
      <c r="AW24" s="262">
        <f>AA24*Inputs!F24*Inputs!G24</f>
        <v>0</v>
      </c>
      <c r="AX24" s="262">
        <f>AB24*Inputs!F24*Inputs!G24</f>
        <v>0</v>
      </c>
      <c r="AY24" s="262">
        <f>AC24*Inputs!F24*Inputs!G24</f>
        <v>0</v>
      </c>
      <c r="AZ24" s="262">
        <f>AD24*Inputs!F24*Inputs!G24</f>
        <v>0</v>
      </c>
      <c r="BA24" s="262">
        <f>AE24*Inputs!F24*Inputs!G24</f>
        <v>0</v>
      </c>
      <c r="BB24" s="262">
        <f>AF24*Inputs!F24*Inputs!H24</f>
        <v>0</v>
      </c>
      <c r="BC24" s="263"/>
      <c r="BD24" s="262">
        <f>Inputs!A24</f>
        <v>0</v>
      </c>
      <c r="BE24" s="262">
        <f>AI24*Inputs!F24*Inputs!I24</f>
        <v>0</v>
      </c>
      <c r="BF24" s="262">
        <f>AJ24*Inputs!F24*Inputs!I24</f>
        <v>0</v>
      </c>
      <c r="BG24" s="262">
        <f>AK24*Inputs!F24*Inputs!I24</f>
        <v>0</v>
      </c>
      <c r="BH24" s="262">
        <f>AL24*Inputs!F24*Inputs!I24</f>
        <v>0</v>
      </c>
      <c r="BI24" s="262">
        <f>AM24*Inputs!F24*Inputs!I24</f>
        <v>0</v>
      </c>
      <c r="BJ24" s="262">
        <f>AN24*Inputs!F24*Inputs!I24</f>
        <v>0</v>
      </c>
      <c r="BK24" s="262">
        <f>AO24*Inputs!F24*Inputs!I24</f>
        <v>0</v>
      </c>
      <c r="BL24" s="262">
        <f>AP24*Inputs!F24*Inputs!I24</f>
        <v>0</v>
      </c>
      <c r="BM24" s="262">
        <f>AQ24*Inputs!F24*Inputs!I24</f>
        <v>0</v>
      </c>
      <c r="BN24" s="263"/>
      <c r="BO24" s="263"/>
    </row>
    <row r="25" spans="1:67" x14ac:dyDescent="0.25">
      <c r="A25" s="262"/>
      <c r="B25" s="262"/>
      <c r="C25" s="262"/>
      <c r="D25" s="262"/>
      <c r="E25" s="262"/>
      <c r="F25" s="262"/>
      <c r="G25" s="262"/>
      <c r="H25" s="262"/>
      <c r="I25" s="262"/>
      <c r="J25" s="262"/>
      <c r="K25" s="263"/>
      <c r="L25" s="262">
        <f>Inputs!A25</f>
        <v>0</v>
      </c>
      <c r="M25" s="262"/>
      <c r="N25" s="262"/>
      <c r="O25" s="262"/>
      <c r="P25" s="262"/>
      <c r="Q25" s="262"/>
      <c r="R25" s="262"/>
      <c r="S25" s="262"/>
      <c r="T25" s="262"/>
      <c r="U25" s="262"/>
      <c r="V25" s="263"/>
      <c r="W25" s="262">
        <f>Inputs!A25</f>
        <v>0</v>
      </c>
      <c r="X25" s="262">
        <f t="shared" si="18"/>
        <v>0</v>
      </c>
      <c r="Y25" s="267">
        <f t="shared" si="19"/>
        <v>0</v>
      </c>
      <c r="Z25" s="267">
        <f t="shared" si="19"/>
        <v>0</v>
      </c>
      <c r="AA25" s="267">
        <f t="shared" si="19"/>
        <v>0</v>
      </c>
      <c r="AB25" s="267">
        <f t="shared" si="19"/>
        <v>0</v>
      </c>
      <c r="AC25" s="267">
        <f t="shared" si="19"/>
        <v>0</v>
      </c>
      <c r="AD25" s="267">
        <f t="shared" si="19"/>
        <v>0</v>
      </c>
      <c r="AE25" s="267">
        <f t="shared" si="19"/>
        <v>0</v>
      </c>
      <c r="AF25" s="267">
        <f t="shared" si="20"/>
        <v>0</v>
      </c>
      <c r="AG25" s="263"/>
      <c r="AH25" s="262">
        <f>Inputs!A25</f>
        <v>0</v>
      </c>
      <c r="AI25" s="262">
        <f t="shared" si="21"/>
        <v>0</v>
      </c>
      <c r="AJ25" s="262">
        <f t="shared" si="22"/>
        <v>0</v>
      </c>
      <c r="AK25" s="262">
        <f t="shared" si="22"/>
        <v>0</v>
      </c>
      <c r="AL25" s="262">
        <f t="shared" si="22"/>
        <v>0</v>
      </c>
      <c r="AM25" s="262">
        <f t="shared" si="22"/>
        <v>0</v>
      </c>
      <c r="AN25" s="262">
        <f t="shared" si="22"/>
        <v>0</v>
      </c>
      <c r="AO25" s="262">
        <f t="shared" si="22"/>
        <v>0</v>
      </c>
      <c r="AP25" s="262">
        <f t="shared" si="22"/>
        <v>0</v>
      </c>
      <c r="AQ25" s="262">
        <f t="shared" si="22"/>
        <v>0</v>
      </c>
      <c r="AR25" s="263"/>
      <c r="AS25" s="262">
        <f>Inputs!A25</f>
        <v>0</v>
      </c>
      <c r="AT25" s="262">
        <f>X25*Inputs!F25*Inputs!G25</f>
        <v>0</v>
      </c>
      <c r="AU25" s="262">
        <f>Y25*Inputs!F25*Inputs!G25</f>
        <v>0</v>
      </c>
      <c r="AV25" s="262">
        <f>Z25*Inputs!F25*Inputs!G25</f>
        <v>0</v>
      </c>
      <c r="AW25" s="262">
        <f>AA25*Inputs!F25*Inputs!G25</f>
        <v>0</v>
      </c>
      <c r="AX25" s="262">
        <f>AB25*Inputs!F25*Inputs!G25</f>
        <v>0</v>
      </c>
      <c r="AY25" s="262">
        <f>AC25*Inputs!F25*Inputs!G25</f>
        <v>0</v>
      </c>
      <c r="AZ25" s="262">
        <f>AD25*Inputs!F25*Inputs!G25</f>
        <v>0</v>
      </c>
      <c r="BA25" s="262">
        <f>AE25*Inputs!F25*Inputs!G25</f>
        <v>0</v>
      </c>
      <c r="BB25" s="262">
        <f>AF25*Inputs!F25*Inputs!H25</f>
        <v>0</v>
      </c>
      <c r="BC25" s="263"/>
      <c r="BD25" s="262">
        <f>Inputs!A25</f>
        <v>0</v>
      </c>
      <c r="BE25" s="262">
        <f>AI25*Inputs!F25*Inputs!I25</f>
        <v>0</v>
      </c>
      <c r="BF25" s="262">
        <f>AJ25*Inputs!F25*Inputs!I25</f>
        <v>0</v>
      </c>
      <c r="BG25" s="262">
        <f>AK25*Inputs!F25*Inputs!I25</f>
        <v>0</v>
      </c>
      <c r="BH25" s="262">
        <f>AL25*Inputs!F25*Inputs!I25</f>
        <v>0</v>
      </c>
      <c r="BI25" s="262">
        <f>AM25*Inputs!F25*Inputs!I25</f>
        <v>0</v>
      </c>
      <c r="BJ25" s="262">
        <f>AN25*Inputs!F25*Inputs!I25</f>
        <v>0</v>
      </c>
      <c r="BK25" s="262">
        <f>AO25*Inputs!F25*Inputs!I25</f>
        <v>0</v>
      </c>
      <c r="BL25" s="262">
        <f>AP25*Inputs!F25*Inputs!I25</f>
        <v>0</v>
      </c>
      <c r="BM25" s="262">
        <f>AQ25*Inputs!F25*Inputs!I25</f>
        <v>0</v>
      </c>
      <c r="BN25" s="263"/>
      <c r="BO25" s="263"/>
    </row>
    <row r="26" spans="1:67" x14ac:dyDescent="0.25">
      <c r="A26" s="262"/>
      <c r="B26" s="262"/>
      <c r="C26" s="262"/>
      <c r="D26" s="262"/>
      <c r="E26" s="262"/>
      <c r="F26" s="262"/>
      <c r="G26" s="262"/>
      <c r="H26" s="262"/>
      <c r="I26" s="262"/>
      <c r="J26" s="262"/>
      <c r="K26" s="263"/>
      <c r="L26" s="262">
        <f>Inputs!A26</f>
        <v>0</v>
      </c>
      <c r="M26" s="262"/>
      <c r="N26" s="262"/>
      <c r="O26" s="262"/>
      <c r="P26" s="262"/>
      <c r="Q26" s="262"/>
      <c r="R26" s="262"/>
      <c r="S26" s="262"/>
      <c r="T26" s="262"/>
      <c r="U26" s="262"/>
      <c r="V26" s="263"/>
      <c r="W26" s="262">
        <f>Inputs!A26</f>
        <v>0</v>
      </c>
      <c r="X26" s="262">
        <f t="shared" si="18"/>
        <v>0</v>
      </c>
      <c r="Y26" s="267">
        <f t="shared" si="19"/>
        <v>0</v>
      </c>
      <c r="Z26" s="267">
        <f t="shared" si="19"/>
        <v>0</v>
      </c>
      <c r="AA26" s="267">
        <f t="shared" si="19"/>
        <v>0</v>
      </c>
      <c r="AB26" s="267">
        <f t="shared" si="19"/>
        <v>0</v>
      </c>
      <c r="AC26" s="267">
        <f t="shared" si="19"/>
        <v>0</v>
      </c>
      <c r="AD26" s="267">
        <f t="shared" si="19"/>
        <v>0</v>
      </c>
      <c r="AE26" s="267">
        <f t="shared" si="19"/>
        <v>0</v>
      </c>
      <c r="AF26" s="267">
        <f t="shared" si="20"/>
        <v>0</v>
      </c>
      <c r="AG26" s="263"/>
      <c r="AH26" s="262">
        <f>Inputs!A26</f>
        <v>0</v>
      </c>
      <c r="AI26" s="262">
        <f t="shared" si="21"/>
        <v>0</v>
      </c>
      <c r="AJ26" s="262">
        <f t="shared" si="22"/>
        <v>0</v>
      </c>
      <c r="AK26" s="262">
        <f t="shared" si="22"/>
        <v>0</v>
      </c>
      <c r="AL26" s="262">
        <f t="shared" si="22"/>
        <v>0</v>
      </c>
      <c r="AM26" s="262">
        <f t="shared" si="22"/>
        <v>0</v>
      </c>
      <c r="AN26" s="262">
        <f t="shared" si="22"/>
        <v>0</v>
      </c>
      <c r="AO26" s="262">
        <f t="shared" si="22"/>
        <v>0</v>
      </c>
      <c r="AP26" s="262">
        <f t="shared" si="22"/>
        <v>0</v>
      </c>
      <c r="AQ26" s="262">
        <f t="shared" si="22"/>
        <v>0</v>
      </c>
      <c r="AR26" s="263"/>
      <c r="AS26" s="262">
        <f>Inputs!A26</f>
        <v>0</v>
      </c>
      <c r="AT26" s="262">
        <f>X26*Inputs!F26*Inputs!G26</f>
        <v>0</v>
      </c>
      <c r="AU26" s="262">
        <f>Y26*Inputs!F26*Inputs!G26</f>
        <v>0</v>
      </c>
      <c r="AV26" s="262">
        <f>Z26*Inputs!F26*Inputs!G26</f>
        <v>0</v>
      </c>
      <c r="AW26" s="262">
        <f>AA26*Inputs!F26*Inputs!G26</f>
        <v>0</v>
      </c>
      <c r="AX26" s="262">
        <f>AB26*Inputs!F26*Inputs!G26</f>
        <v>0</v>
      </c>
      <c r="AY26" s="262">
        <f>AC26*Inputs!F26*Inputs!G26</f>
        <v>0</v>
      </c>
      <c r="AZ26" s="262">
        <f>AD26*Inputs!F26*Inputs!G26</f>
        <v>0</v>
      </c>
      <c r="BA26" s="262">
        <f>AE26*Inputs!F26*Inputs!G26</f>
        <v>0</v>
      </c>
      <c r="BB26" s="262">
        <f>AF26*Inputs!F26*Inputs!H26</f>
        <v>0</v>
      </c>
      <c r="BC26" s="263"/>
      <c r="BD26" s="262">
        <f>Inputs!A26</f>
        <v>0</v>
      </c>
      <c r="BE26" s="262">
        <f>AI26*Inputs!F26*Inputs!I26</f>
        <v>0</v>
      </c>
      <c r="BF26" s="262">
        <f>AJ26*Inputs!F26*Inputs!I26</f>
        <v>0</v>
      </c>
      <c r="BG26" s="262">
        <f>AK26*Inputs!F26*Inputs!I26</f>
        <v>0</v>
      </c>
      <c r="BH26" s="262">
        <f>AL26*Inputs!F26*Inputs!I26</f>
        <v>0</v>
      </c>
      <c r="BI26" s="262">
        <f>AM26*Inputs!F26*Inputs!I26</f>
        <v>0</v>
      </c>
      <c r="BJ26" s="262">
        <f>AN26*Inputs!F26*Inputs!I26</f>
        <v>0</v>
      </c>
      <c r="BK26" s="262">
        <f>AO26*Inputs!F26*Inputs!I26</f>
        <v>0</v>
      </c>
      <c r="BL26" s="262">
        <f>AP26*Inputs!F26*Inputs!I26</f>
        <v>0</v>
      </c>
      <c r="BM26" s="262">
        <f>AQ26*Inputs!F26*Inputs!I26</f>
        <v>0</v>
      </c>
      <c r="BN26" s="263"/>
      <c r="BO26" s="263"/>
    </row>
    <row r="27" spans="1:67" x14ac:dyDescent="0.25">
      <c r="A27" s="262"/>
      <c r="B27" s="262"/>
      <c r="C27" s="262"/>
      <c r="D27" s="262"/>
      <c r="E27" s="262"/>
      <c r="F27" s="262"/>
      <c r="G27" s="262"/>
      <c r="H27" s="262"/>
      <c r="I27" s="262"/>
      <c r="J27" s="262"/>
      <c r="K27" s="263"/>
      <c r="L27" s="262">
        <f>Inputs!A27</f>
        <v>0</v>
      </c>
      <c r="M27" s="262"/>
      <c r="N27" s="262"/>
      <c r="O27" s="262"/>
      <c r="P27" s="262"/>
      <c r="Q27" s="262"/>
      <c r="R27" s="262"/>
      <c r="S27" s="262"/>
      <c r="T27" s="262"/>
      <c r="U27" s="262"/>
      <c r="V27" s="263"/>
      <c r="W27" s="262">
        <f>Inputs!A27</f>
        <v>0</v>
      </c>
      <c r="X27" s="262">
        <f t="shared" si="18"/>
        <v>0</v>
      </c>
      <c r="Y27" s="267">
        <f t="shared" si="19"/>
        <v>0</v>
      </c>
      <c r="Z27" s="267">
        <f t="shared" si="19"/>
        <v>0</v>
      </c>
      <c r="AA27" s="267">
        <f t="shared" si="19"/>
        <v>0</v>
      </c>
      <c r="AB27" s="267">
        <f t="shared" si="19"/>
        <v>0</v>
      </c>
      <c r="AC27" s="267">
        <f t="shared" si="19"/>
        <v>0</v>
      </c>
      <c r="AD27" s="267">
        <f t="shared" si="19"/>
        <v>0</v>
      </c>
      <c r="AE27" s="267">
        <f t="shared" si="19"/>
        <v>0</v>
      </c>
      <c r="AF27" s="267">
        <f t="shared" si="20"/>
        <v>0</v>
      </c>
      <c r="AG27" s="263"/>
      <c r="AH27" s="262">
        <f>Inputs!A27</f>
        <v>0</v>
      </c>
      <c r="AI27" s="262">
        <f t="shared" si="21"/>
        <v>0</v>
      </c>
      <c r="AJ27" s="262">
        <f t="shared" si="22"/>
        <v>0</v>
      </c>
      <c r="AK27" s="262">
        <f t="shared" si="22"/>
        <v>0</v>
      </c>
      <c r="AL27" s="262">
        <f t="shared" si="22"/>
        <v>0</v>
      </c>
      <c r="AM27" s="262">
        <f t="shared" si="22"/>
        <v>0</v>
      </c>
      <c r="AN27" s="262">
        <f t="shared" si="22"/>
        <v>0</v>
      </c>
      <c r="AO27" s="262">
        <f t="shared" si="22"/>
        <v>0</v>
      </c>
      <c r="AP27" s="262">
        <f t="shared" si="22"/>
        <v>0</v>
      </c>
      <c r="AQ27" s="262">
        <f t="shared" si="22"/>
        <v>0</v>
      </c>
      <c r="AR27" s="263"/>
      <c r="AS27" s="262">
        <f>Inputs!A27</f>
        <v>0</v>
      </c>
      <c r="AT27" s="262">
        <f>X27*Inputs!F27*Inputs!G27</f>
        <v>0</v>
      </c>
      <c r="AU27" s="262">
        <f>Y27*Inputs!F27*Inputs!G27</f>
        <v>0</v>
      </c>
      <c r="AV27" s="262">
        <f>Z27*Inputs!F27*Inputs!G27</f>
        <v>0</v>
      </c>
      <c r="AW27" s="262">
        <f>AA27*Inputs!F27*Inputs!G27</f>
        <v>0</v>
      </c>
      <c r="AX27" s="262">
        <f>AB27*Inputs!F27*Inputs!G27</f>
        <v>0</v>
      </c>
      <c r="AY27" s="262">
        <f>AC27*Inputs!F27*Inputs!G27</f>
        <v>0</v>
      </c>
      <c r="AZ27" s="262">
        <f>AD27*Inputs!F27*Inputs!G27</f>
        <v>0</v>
      </c>
      <c r="BA27" s="262">
        <f>AE27*Inputs!F27*Inputs!G27</f>
        <v>0</v>
      </c>
      <c r="BB27" s="262">
        <f>AF27*Inputs!F27*Inputs!H27</f>
        <v>0</v>
      </c>
      <c r="BC27" s="263"/>
      <c r="BD27" s="262">
        <f>Inputs!A27</f>
        <v>0</v>
      </c>
      <c r="BE27" s="262">
        <f>AI27*Inputs!F27*Inputs!I27</f>
        <v>0</v>
      </c>
      <c r="BF27" s="262">
        <f>AJ27*Inputs!F27*Inputs!I27</f>
        <v>0</v>
      </c>
      <c r="BG27" s="262">
        <f>AK27*Inputs!F27*Inputs!I27</f>
        <v>0</v>
      </c>
      <c r="BH27" s="262">
        <f>AL27*Inputs!F27*Inputs!I27</f>
        <v>0</v>
      </c>
      <c r="BI27" s="262">
        <f>AM27*Inputs!F27*Inputs!I27</f>
        <v>0</v>
      </c>
      <c r="BJ27" s="262">
        <f>AN27*Inputs!F27*Inputs!I27</f>
        <v>0</v>
      </c>
      <c r="BK27" s="262">
        <f>AO27*Inputs!F27*Inputs!I27</f>
        <v>0</v>
      </c>
      <c r="BL27" s="262">
        <f>AP27*Inputs!F27*Inputs!I27</f>
        <v>0</v>
      </c>
      <c r="BM27" s="262">
        <f>AQ27*Inputs!F27*Inputs!I27</f>
        <v>0</v>
      </c>
      <c r="BN27" s="263"/>
      <c r="BO27" s="263"/>
    </row>
    <row r="28" spans="1:67" x14ac:dyDescent="0.25">
      <c r="A28" s="262"/>
      <c r="B28" s="262"/>
      <c r="C28" s="262"/>
      <c r="D28" s="262"/>
      <c r="E28" s="262"/>
      <c r="F28" s="262"/>
      <c r="G28" s="262"/>
      <c r="H28" s="262"/>
      <c r="I28" s="262"/>
      <c r="J28" s="262"/>
      <c r="K28" s="263"/>
      <c r="L28" s="262">
        <f>Inputs!A28</f>
        <v>0</v>
      </c>
      <c r="M28" s="262"/>
      <c r="N28" s="262"/>
      <c r="O28" s="262"/>
      <c r="P28" s="262"/>
      <c r="Q28" s="262"/>
      <c r="R28" s="262"/>
      <c r="S28" s="262"/>
      <c r="T28" s="262"/>
      <c r="U28" s="262"/>
      <c r="V28" s="263"/>
      <c r="W28" s="262">
        <f>Inputs!A28</f>
        <v>0</v>
      </c>
      <c r="X28" s="262">
        <f t="shared" si="18"/>
        <v>0</v>
      </c>
      <c r="Y28" s="267">
        <f t="shared" si="19"/>
        <v>0</v>
      </c>
      <c r="Z28" s="267">
        <f t="shared" si="19"/>
        <v>0</v>
      </c>
      <c r="AA28" s="267">
        <f t="shared" si="19"/>
        <v>0</v>
      </c>
      <c r="AB28" s="267">
        <f t="shared" si="19"/>
        <v>0</v>
      </c>
      <c r="AC28" s="267">
        <f t="shared" si="19"/>
        <v>0</v>
      </c>
      <c r="AD28" s="267">
        <f t="shared" si="19"/>
        <v>0</v>
      </c>
      <c r="AE28" s="267">
        <f t="shared" si="19"/>
        <v>0</v>
      </c>
      <c r="AF28" s="267">
        <f t="shared" si="20"/>
        <v>0</v>
      </c>
      <c r="AG28" s="263"/>
      <c r="AH28" s="262">
        <f>Inputs!A28</f>
        <v>0</v>
      </c>
      <c r="AI28" s="262">
        <f t="shared" si="21"/>
        <v>0</v>
      </c>
      <c r="AJ28" s="262">
        <f t="shared" si="22"/>
        <v>0</v>
      </c>
      <c r="AK28" s="262">
        <f t="shared" si="22"/>
        <v>0</v>
      </c>
      <c r="AL28" s="262">
        <f t="shared" si="22"/>
        <v>0</v>
      </c>
      <c r="AM28" s="262">
        <f t="shared" si="22"/>
        <v>0</v>
      </c>
      <c r="AN28" s="262">
        <f t="shared" si="22"/>
        <v>0</v>
      </c>
      <c r="AO28" s="262">
        <f t="shared" si="22"/>
        <v>0</v>
      </c>
      <c r="AP28" s="262">
        <f t="shared" si="22"/>
        <v>0</v>
      </c>
      <c r="AQ28" s="262">
        <f t="shared" si="22"/>
        <v>0</v>
      </c>
      <c r="AR28" s="263"/>
      <c r="AS28" s="262">
        <f>Inputs!A28</f>
        <v>0</v>
      </c>
      <c r="AT28" s="262">
        <f>X28*Inputs!F28*Inputs!G28</f>
        <v>0</v>
      </c>
      <c r="AU28" s="262">
        <f>Y28*Inputs!F28*Inputs!G28</f>
        <v>0</v>
      </c>
      <c r="AV28" s="262">
        <f>Z28*Inputs!F28*Inputs!G28</f>
        <v>0</v>
      </c>
      <c r="AW28" s="262">
        <f>AA28*Inputs!F28*Inputs!G28</f>
        <v>0</v>
      </c>
      <c r="AX28" s="262">
        <f>AB28*Inputs!F28*Inputs!G28</f>
        <v>0</v>
      </c>
      <c r="AY28" s="262">
        <f>AC28*Inputs!F28*Inputs!G28</f>
        <v>0</v>
      </c>
      <c r="AZ28" s="262">
        <f>AD28*Inputs!F28*Inputs!G28</f>
        <v>0</v>
      </c>
      <c r="BA28" s="262">
        <f>AE28*Inputs!F28*Inputs!G28</f>
        <v>0</v>
      </c>
      <c r="BB28" s="262">
        <f>AF28*Inputs!F28*Inputs!H28</f>
        <v>0</v>
      </c>
      <c r="BC28" s="263"/>
      <c r="BD28" s="262">
        <f>Inputs!A28</f>
        <v>0</v>
      </c>
      <c r="BE28" s="262">
        <f>AI28*Inputs!F28*Inputs!I28</f>
        <v>0</v>
      </c>
      <c r="BF28" s="262">
        <f>AJ28*Inputs!F28*Inputs!I28</f>
        <v>0</v>
      </c>
      <c r="BG28" s="262">
        <f>AK28*Inputs!F28*Inputs!I28</f>
        <v>0</v>
      </c>
      <c r="BH28" s="262">
        <f>AL28*Inputs!F28*Inputs!I28</f>
        <v>0</v>
      </c>
      <c r="BI28" s="262">
        <f>AM28*Inputs!F28*Inputs!I28</f>
        <v>0</v>
      </c>
      <c r="BJ28" s="262">
        <f>AN28*Inputs!F28*Inputs!I28</f>
        <v>0</v>
      </c>
      <c r="BK28" s="262">
        <f>AO28*Inputs!F28*Inputs!I28</f>
        <v>0</v>
      </c>
      <c r="BL28" s="262">
        <f>AP28*Inputs!F28*Inputs!I28</f>
        <v>0</v>
      </c>
      <c r="BM28" s="262">
        <f>AQ28*Inputs!F28*Inputs!I28</f>
        <v>0</v>
      </c>
      <c r="BN28" s="263"/>
      <c r="BO28" s="263"/>
    </row>
    <row r="29" spans="1:67" x14ac:dyDescent="0.25">
      <c r="A29" s="262"/>
      <c r="B29" s="262"/>
      <c r="C29" s="262"/>
      <c r="D29" s="262"/>
      <c r="E29" s="262"/>
      <c r="F29" s="262"/>
      <c r="G29" s="262"/>
      <c r="H29" s="262"/>
      <c r="I29" s="262"/>
      <c r="J29" s="262"/>
      <c r="K29" s="263"/>
      <c r="L29" s="262">
        <f>Inputs!A29</f>
        <v>0</v>
      </c>
      <c r="M29" s="262"/>
      <c r="N29" s="262"/>
      <c r="O29" s="262"/>
      <c r="P29" s="262"/>
      <c r="Q29" s="262"/>
      <c r="R29" s="262"/>
      <c r="S29" s="262"/>
      <c r="T29" s="262"/>
      <c r="U29" s="262"/>
      <c r="V29" s="263"/>
      <c r="W29" s="262">
        <f>Inputs!A29</f>
        <v>0</v>
      </c>
      <c r="X29" s="262">
        <f t="shared" si="18"/>
        <v>0</v>
      </c>
      <c r="Y29" s="267">
        <f t="shared" si="19"/>
        <v>0</v>
      </c>
      <c r="Z29" s="267">
        <f t="shared" si="19"/>
        <v>0</v>
      </c>
      <c r="AA29" s="267">
        <f t="shared" si="19"/>
        <v>0</v>
      </c>
      <c r="AB29" s="267">
        <f t="shared" si="19"/>
        <v>0</v>
      </c>
      <c r="AC29" s="267">
        <f t="shared" si="19"/>
        <v>0</v>
      </c>
      <c r="AD29" s="267">
        <f t="shared" si="19"/>
        <v>0</v>
      </c>
      <c r="AE29" s="267">
        <f t="shared" si="19"/>
        <v>0</v>
      </c>
      <c r="AF29" s="267">
        <f t="shared" si="20"/>
        <v>0</v>
      </c>
      <c r="AG29" s="263"/>
      <c r="AH29" s="262">
        <f>Inputs!A29</f>
        <v>0</v>
      </c>
      <c r="AI29" s="262">
        <f t="shared" si="21"/>
        <v>0</v>
      </c>
      <c r="AJ29" s="262">
        <f t="shared" si="22"/>
        <v>0</v>
      </c>
      <c r="AK29" s="262">
        <f t="shared" si="22"/>
        <v>0</v>
      </c>
      <c r="AL29" s="262">
        <f t="shared" si="22"/>
        <v>0</v>
      </c>
      <c r="AM29" s="262">
        <f t="shared" si="22"/>
        <v>0</v>
      </c>
      <c r="AN29" s="262">
        <f t="shared" si="22"/>
        <v>0</v>
      </c>
      <c r="AO29" s="262">
        <f t="shared" si="22"/>
        <v>0</v>
      </c>
      <c r="AP29" s="262">
        <f t="shared" si="22"/>
        <v>0</v>
      </c>
      <c r="AQ29" s="262">
        <f t="shared" si="22"/>
        <v>0</v>
      </c>
      <c r="AR29" s="263"/>
      <c r="AS29" s="262">
        <f>Inputs!A29</f>
        <v>0</v>
      </c>
      <c r="AT29" s="262">
        <f>X29*Inputs!F29*Inputs!G29</f>
        <v>0</v>
      </c>
      <c r="AU29" s="262">
        <f>Y29*Inputs!F29*Inputs!G29</f>
        <v>0</v>
      </c>
      <c r="AV29" s="262">
        <f>Z29*Inputs!F29*Inputs!G29</f>
        <v>0</v>
      </c>
      <c r="AW29" s="262">
        <f>AA29*Inputs!F29*Inputs!G29</f>
        <v>0</v>
      </c>
      <c r="AX29" s="262">
        <f>AB29*Inputs!F29*Inputs!G29</f>
        <v>0</v>
      </c>
      <c r="AY29" s="262">
        <f>AC29*Inputs!F29*Inputs!G29</f>
        <v>0</v>
      </c>
      <c r="AZ29" s="262">
        <f>AD29*Inputs!F29*Inputs!G29</f>
        <v>0</v>
      </c>
      <c r="BA29" s="262">
        <f>AE29*Inputs!F29*Inputs!G29</f>
        <v>0</v>
      </c>
      <c r="BB29" s="262">
        <f>AF29*Inputs!F29*Inputs!H29</f>
        <v>0</v>
      </c>
      <c r="BC29" s="263"/>
      <c r="BD29" s="262">
        <f>Inputs!A29</f>
        <v>0</v>
      </c>
      <c r="BE29" s="262">
        <f>AI29*Inputs!F29*Inputs!I29</f>
        <v>0</v>
      </c>
      <c r="BF29" s="262">
        <f>AJ29*Inputs!F29*Inputs!I29</f>
        <v>0</v>
      </c>
      <c r="BG29" s="262">
        <f>AK29*Inputs!F29*Inputs!I29</f>
        <v>0</v>
      </c>
      <c r="BH29" s="262">
        <f>AL29*Inputs!F29*Inputs!I29</f>
        <v>0</v>
      </c>
      <c r="BI29" s="262">
        <f>AM29*Inputs!F29*Inputs!I29</f>
        <v>0</v>
      </c>
      <c r="BJ29" s="262">
        <f>AN29*Inputs!F29*Inputs!I29</f>
        <v>0</v>
      </c>
      <c r="BK29" s="262">
        <f>AO29*Inputs!F29*Inputs!I29</f>
        <v>0</v>
      </c>
      <c r="BL29" s="262">
        <f>AP29*Inputs!F29*Inputs!I29</f>
        <v>0</v>
      </c>
      <c r="BM29" s="262">
        <f>AQ29*Inputs!F29*Inputs!I29</f>
        <v>0</v>
      </c>
      <c r="BN29" s="263"/>
      <c r="BO29" s="263"/>
    </row>
    <row r="30" spans="1:67" x14ac:dyDescent="0.25">
      <c r="A30" s="262"/>
      <c r="B30" s="262"/>
      <c r="C30" s="262"/>
      <c r="D30" s="262"/>
      <c r="E30" s="262"/>
      <c r="F30" s="262"/>
      <c r="G30" s="262"/>
      <c r="H30" s="262"/>
      <c r="I30" s="262"/>
      <c r="J30" s="262"/>
      <c r="K30" s="263"/>
      <c r="L30" s="262">
        <f>Inputs!A30</f>
        <v>0</v>
      </c>
      <c r="M30" s="262"/>
      <c r="N30" s="262"/>
      <c r="O30" s="262"/>
      <c r="P30" s="262"/>
      <c r="Q30" s="262"/>
      <c r="R30" s="262"/>
      <c r="S30" s="262"/>
      <c r="T30" s="262"/>
      <c r="U30" s="262"/>
      <c r="V30" s="263"/>
      <c r="W30" s="262">
        <f>Inputs!A30</f>
        <v>0</v>
      </c>
      <c r="X30" s="262">
        <f t="shared" si="18"/>
        <v>0</v>
      </c>
      <c r="Y30" s="267">
        <f t="shared" si="19"/>
        <v>0</v>
      </c>
      <c r="Z30" s="267">
        <f t="shared" si="19"/>
        <v>0</v>
      </c>
      <c r="AA30" s="267">
        <f t="shared" si="19"/>
        <v>0</v>
      </c>
      <c r="AB30" s="267">
        <f t="shared" si="19"/>
        <v>0</v>
      </c>
      <c r="AC30" s="267">
        <f t="shared" si="19"/>
        <v>0</v>
      </c>
      <c r="AD30" s="267">
        <f t="shared" si="19"/>
        <v>0</v>
      </c>
      <c r="AE30" s="267">
        <f t="shared" si="19"/>
        <v>0</v>
      </c>
      <c r="AF30" s="267">
        <f t="shared" si="20"/>
        <v>0</v>
      </c>
      <c r="AG30" s="263"/>
      <c r="AH30" s="262">
        <f>Inputs!A30</f>
        <v>0</v>
      </c>
      <c r="AI30" s="262">
        <f t="shared" si="21"/>
        <v>0</v>
      </c>
      <c r="AJ30" s="262">
        <f t="shared" si="22"/>
        <v>0</v>
      </c>
      <c r="AK30" s="262">
        <f t="shared" si="22"/>
        <v>0</v>
      </c>
      <c r="AL30" s="262">
        <f t="shared" si="22"/>
        <v>0</v>
      </c>
      <c r="AM30" s="262">
        <f t="shared" si="22"/>
        <v>0</v>
      </c>
      <c r="AN30" s="262">
        <f t="shared" si="22"/>
        <v>0</v>
      </c>
      <c r="AO30" s="262">
        <f t="shared" si="22"/>
        <v>0</v>
      </c>
      <c r="AP30" s="262">
        <f t="shared" si="22"/>
        <v>0</v>
      </c>
      <c r="AQ30" s="262">
        <f t="shared" si="22"/>
        <v>0</v>
      </c>
      <c r="AR30" s="263"/>
      <c r="AS30" s="262">
        <f>Inputs!A30</f>
        <v>0</v>
      </c>
      <c r="AT30" s="262">
        <f>X30*Inputs!F30*Inputs!G30</f>
        <v>0</v>
      </c>
      <c r="AU30" s="262">
        <f>Y30*Inputs!F30*Inputs!G30</f>
        <v>0</v>
      </c>
      <c r="AV30" s="262">
        <f>Z30*Inputs!F30*Inputs!G30</f>
        <v>0</v>
      </c>
      <c r="AW30" s="262">
        <f>AA30*Inputs!F30*Inputs!G30</f>
        <v>0</v>
      </c>
      <c r="AX30" s="262">
        <f>AB30*Inputs!F30*Inputs!G30</f>
        <v>0</v>
      </c>
      <c r="AY30" s="262">
        <f>AC30*Inputs!F30*Inputs!G30</f>
        <v>0</v>
      </c>
      <c r="AZ30" s="262">
        <f>AD30*Inputs!F30*Inputs!G30</f>
        <v>0</v>
      </c>
      <c r="BA30" s="262">
        <f>AE30*Inputs!F30*Inputs!G30</f>
        <v>0</v>
      </c>
      <c r="BB30" s="262">
        <f>AF30*Inputs!F30*Inputs!H30</f>
        <v>0</v>
      </c>
      <c r="BC30" s="263"/>
      <c r="BD30" s="262">
        <f>Inputs!A30</f>
        <v>0</v>
      </c>
      <c r="BE30" s="262">
        <f>AI30*Inputs!F30*Inputs!I30</f>
        <v>0</v>
      </c>
      <c r="BF30" s="262">
        <f>AJ30*Inputs!F30*Inputs!I30</f>
        <v>0</v>
      </c>
      <c r="BG30" s="262">
        <f>AK30*Inputs!F30*Inputs!I30</f>
        <v>0</v>
      </c>
      <c r="BH30" s="262">
        <f>AL30*Inputs!F30*Inputs!I30</f>
        <v>0</v>
      </c>
      <c r="BI30" s="262">
        <f>AM30*Inputs!F30*Inputs!I30</f>
        <v>0</v>
      </c>
      <c r="BJ30" s="262">
        <f>AN30*Inputs!F30*Inputs!I30</f>
        <v>0</v>
      </c>
      <c r="BK30" s="262">
        <f>AO30*Inputs!F30*Inputs!I30</f>
        <v>0</v>
      </c>
      <c r="BL30" s="262">
        <f>AP30*Inputs!F30*Inputs!I30</f>
        <v>0</v>
      </c>
      <c r="BM30" s="262">
        <f>AQ30*Inputs!F30*Inputs!I30</f>
        <v>0</v>
      </c>
      <c r="BN30" s="263"/>
      <c r="BO30" s="263"/>
    </row>
    <row r="31" spans="1:67" x14ac:dyDescent="0.25">
      <c r="A31" s="262"/>
      <c r="B31" s="262"/>
      <c r="C31" s="262"/>
      <c r="D31" s="262"/>
      <c r="E31" s="262"/>
      <c r="F31" s="262"/>
      <c r="G31" s="262"/>
      <c r="H31" s="262"/>
      <c r="I31" s="262"/>
      <c r="J31" s="262"/>
      <c r="K31" s="263"/>
      <c r="L31" s="262">
        <f>Inputs!A31</f>
        <v>0</v>
      </c>
      <c r="M31" s="262"/>
      <c r="N31" s="262"/>
      <c r="O31" s="262"/>
      <c r="P31" s="262"/>
      <c r="Q31" s="262"/>
      <c r="R31" s="262"/>
      <c r="S31" s="262"/>
      <c r="T31" s="262"/>
      <c r="U31" s="262"/>
      <c r="V31" s="263"/>
      <c r="W31" s="262">
        <f>Inputs!A31</f>
        <v>0</v>
      </c>
      <c r="X31" s="262">
        <f t="shared" si="18"/>
        <v>0</v>
      </c>
      <c r="Y31" s="267">
        <f t="shared" si="19"/>
        <v>0</v>
      </c>
      <c r="Z31" s="267">
        <f t="shared" si="19"/>
        <v>0</v>
      </c>
      <c r="AA31" s="267">
        <f t="shared" si="19"/>
        <v>0</v>
      </c>
      <c r="AB31" s="267">
        <f t="shared" si="19"/>
        <v>0</v>
      </c>
      <c r="AC31" s="267">
        <f t="shared" si="19"/>
        <v>0</v>
      </c>
      <c r="AD31" s="267">
        <f t="shared" si="19"/>
        <v>0</v>
      </c>
      <c r="AE31" s="267">
        <f t="shared" si="19"/>
        <v>0</v>
      </c>
      <c r="AF31" s="267">
        <f t="shared" si="20"/>
        <v>0</v>
      </c>
      <c r="AG31" s="263"/>
      <c r="AH31" s="262">
        <f>Inputs!A31</f>
        <v>0</v>
      </c>
      <c r="AI31" s="262">
        <f t="shared" si="21"/>
        <v>0</v>
      </c>
      <c r="AJ31" s="262">
        <f t="shared" si="22"/>
        <v>0</v>
      </c>
      <c r="AK31" s="262">
        <f t="shared" si="22"/>
        <v>0</v>
      </c>
      <c r="AL31" s="262">
        <f t="shared" si="22"/>
        <v>0</v>
      </c>
      <c r="AM31" s="262">
        <f t="shared" si="22"/>
        <v>0</v>
      </c>
      <c r="AN31" s="262">
        <f t="shared" si="22"/>
        <v>0</v>
      </c>
      <c r="AO31" s="262">
        <f t="shared" si="22"/>
        <v>0</v>
      </c>
      <c r="AP31" s="262">
        <f t="shared" si="22"/>
        <v>0</v>
      </c>
      <c r="AQ31" s="262">
        <f t="shared" si="22"/>
        <v>0</v>
      </c>
      <c r="AR31" s="263"/>
      <c r="AS31" s="262">
        <f>Inputs!A31</f>
        <v>0</v>
      </c>
      <c r="AT31" s="262">
        <f>X31*Inputs!F31*Inputs!G31</f>
        <v>0</v>
      </c>
      <c r="AU31" s="262">
        <f>Y31*Inputs!F31*Inputs!G31</f>
        <v>0</v>
      </c>
      <c r="AV31" s="262">
        <f>Z31*Inputs!F31*Inputs!G31</f>
        <v>0</v>
      </c>
      <c r="AW31" s="262">
        <f>AA31*Inputs!F31*Inputs!G31</f>
        <v>0</v>
      </c>
      <c r="AX31" s="262">
        <f>AB31*Inputs!F31*Inputs!G31</f>
        <v>0</v>
      </c>
      <c r="AY31" s="262">
        <f>AC31*Inputs!F31*Inputs!G31</f>
        <v>0</v>
      </c>
      <c r="AZ31" s="262">
        <f>AD31*Inputs!F31*Inputs!G31</f>
        <v>0</v>
      </c>
      <c r="BA31" s="262">
        <f>AE31*Inputs!F31*Inputs!G31</f>
        <v>0</v>
      </c>
      <c r="BB31" s="262">
        <f>AF31*Inputs!F31*Inputs!H31</f>
        <v>0</v>
      </c>
      <c r="BC31" s="263"/>
      <c r="BD31" s="262">
        <f>Inputs!A31</f>
        <v>0</v>
      </c>
      <c r="BE31" s="262">
        <f>AI31*Inputs!F31*Inputs!I31</f>
        <v>0</v>
      </c>
      <c r="BF31" s="262">
        <f>AJ31*Inputs!F31*Inputs!I31</f>
        <v>0</v>
      </c>
      <c r="BG31" s="262">
        <f>AK31*Inputs!F31*Inputs!I31</f>
        <v>0</v>
      </c>
      <c r="BH31" s="262">
        <f>AL31*Inputs!F31*Inputs!I31</f>
        <v>0</v>
      </c>
      <c r="BI31" s="262">
        <f>AM31*Inputs!F31*Inputs!I31</f>
        <v>0</v>
      </c>
      <c r="BJ31" s="262">
        <f>AN31*Inputs!F31*Inputs!I31</f>
        <v>0</v>
      </c>
      <c r="BK31" s="262">
        <f>AO31*Inputs!F31*Inputs!I31</f>
        <v>0</v>
      </c>
      <c r="BL31" s="262">
        <f>AP31*Inputs!F31*Inputs!I31</f>
        <v>0</v>
      </c>
      <c r="BM31" s="262">
        <f>AQ31*Inputs!F31*Inputs!I31</f>
        <v>0</v>
      </c>
      <c r="BN31" s="263"/>
      <c r="BO31" s="263"/>
    </row>
    <row r="32" spans="1:67" x14ac:dyDescent="0.25">
      <c r="A32" s="262"/>
      <c r="B32" s="262"/>
      <c r="C32" s="262"/>
      <c r="D32" s="262"/>
      <c r="E32" s="262"/>
      <c r="F32" s="262"/>
      <c r="G32" s="262"/>
      <c r="H32" s="262"/>
      <c r="I32" s="262"/>
      <c r="J32" s="262"/>
      <c r="K32" s="263"/>
      <c r="L32" s="262">
        <f>Inputs!A32</f>
        <v>0</v>
      </c>
      <c r="M32" s="262"/>
      <c r="N32" s="262"/>
      <c r="O32" s="262"/>
      <c r="P32" s="262"/>
      <c r="Q32" s="262"/>
      <c r="R32" s="262"/>
      <c r="S32" s="262"/>
      <c r="T32" s="262"/>
      <c r="U32" s="262"/>
      <c r="V32" s="263"/>
      <c r="W32" s="262">
        <f>Inputs!A32</f>
        <v>0</v>
      </c>
      <c r="X32" s="262">
        <f t="shared" si="18"/>
        <v>0</v>
      </c>
      <c r="Y32" s="267">
        <f t="shared" si="19"/>
        <v>0</v>
      </c>
      <c r="Z32" s="267">
        <f t="shared" si="19"/>
        <v>0</v>
      </c>
      <c r="AA32" s="267">
        <f t="shared" si="19"/>
        <v>0</v>
      </c>
      <c r="AB32" s="267">
        <f t="shared" si="19"/>
        <v>0</v>
      </c>
      <c r="AC32" s="267">
        <f t="shared" si="19"/>
        <v>0</v>
      </c>
      <c r="AD32" s="267">
        <f t="shared" si="19"/>
        <v>0</v>
      </c>
      <c r="AE32" s="267">
        <f t="shared" si="19"/>
        <v>0</v>
      </c>
      <c r="AF32" s="267">
        <f t="shared" si="20"/>
        <v>0</v>
      </c>
      <c r="AG32" s="263"/>
      <c r="AH32" s="262">
        <f>Inputs!A32</f>
        <v>0</v>
      </c>
      <c r="AI32" s="262">
        <f t="shared" si="21"/>
        <v>0</v>
      </c>
      <c r="AJ32" s="262">
        <f t="shared" si="22"/>
        <v>0</v>
      </c>
      <c r="AK32" s="262">
        <f t="shared" si="22"/>
        <v>0</v>
      </c>
      <c r="AL32" s="262">
        <f t="shared" si="22"/>
        <v>0</v>
      </c>
      <c r="AM32" s="262">
        <f t="shared" si="22"/>
        <v>0</v>
      </c>
      <c r="AN32" s="262">
        <f t="shared" si="22"/>
        <v>0</v>
      </c>
      <c r="AO32" s="262">
        <f t="shared" si="22"/>
        <v>0</v>
      </c>
      <c r="AP32" s="262">
        <f t="shared" si="22"/>
        <v>0</v>
      </c>
      <c r="AQ32" s="262">
        <f t="shared" si="22"/>
        <v>0</v>
      </c>
      <c r="AR32" s="263"/>
      <c r="AS32" s="262">
        <f>Inputs!A32</f>
        <v>0</v>
      </c>
      <c r="AT32" s="262">
        <f>X32*Inputs!F32*Inputs!G32</f>
        <v>0</v>
      </c>
      <c r="AU32" s="262">
        <f>Y32*Inputs!F32*Inputs!G32</f>
        <v>0</v>
      </c>
      <c r="AV32" s="262">
        <f>Z32*Inputs!F32*Inputs!G32</f>
        <v>0</v>
      </c>
      <c r="AW32" s="262">
        <f>AA32*Inputs!F32*Inputs!G32</f>
        <v>0</v>
      </c>
      <c r="AX32" s="262">
        <f>AB32*Inputs!F32*Inputs!G32</f>
        <v>0</v>
      </c>
      <c r="AY32" s="262">
        <f>AC32*Inputs!F32*Inputs!G32</f>
        <v>0</v>
      </c>
      <c r="AZ32" s="262">
        <f>AD32*Inputs!F32*Inputs!G32</f>
        <v>0</v>
      </c>
      <c r="BA32" s="262">
        <f>AE32*Inputs!F32*Inputs!G32</f>
        <v>0</v>
      </c>
      <c r="BB32" s="262">
        <f>AF32*Inputs!F32*Inputs!H32</f>
        <v>0</v>
      </c>
      <c r="BC32" s="263"/>
      <c r="BD32" s="262">
        <f>Inputs!A32</f>
        <v>0</v>
      </c>
      <c r="BE32" s="262">
        <f>AI32*Inputs!F32*Inputs!I32</f>
        <v>0</v>
      </c>
      <c r="BF32" s="262">
        <f>AJ32*Inputs!F32*Inputs!I32</f>
        <v>0</v>
      </c>
      <c r="BG32" s="262">
        <f>AK32*Inputs!F32*Inputs!I32</f>
        <v>0</v>
      </c>
      <c r="BH32" s="262">
        <f>AL32*Inputs!F32*Inputs!I32</f>
        <v>0</v>
      </c>
      <c r="BI32" s="262">
        <f>AM32*Inputs!F32*Inputs!I32</f>
        <v>0</v>
      </c>
      <c r="BJ32" s="262">
        <f>AN32*Inputs!F32*Inputs!I32</f>
        <v>0</v>
      </c>
      <c r="BK32" s="262">
        <f>AO32*Inputs!F32*Inputs!I32</f>
        <v>0</v>
      </c>
      <c r="BL32" s="262">
        <f>AP32*Inputs!F32*Inputs!I32</f>
        <v>0</v>
      </c>
      <c r="BM32" s="262">
        <f>AQ32*Inputs!F32*Inputs!I32</f>
        <v>0</v>
      </c>
      <c r="BN32" s="263"/>
      <c r="BO32" s="263"/>
    </row>
    <row r="33" spans="1:67" x14ac:dyDescent="0.25">
      <c r="A33" s="262"/>
      <c r="B33" s="262"/>
      <c r="C33" s="262"/>
      <c r="D33" s="262"/>
      <c r="E33" s="262"/>
      <c r="F33" s="262"/>
      <c r="G33" s="262"/>
      <c r="H33" s="262"/>
      <c r="I33" s="262"/>
      <c r="J33" s="262"/>
      <c r="K33" s="263"/>
      <c r="L33" s="262">
        <f>Inputs!A33</f>
        <v>0</v>
      </c>
      <c r="M33" s="262"/>
      <c r="N33" s="262"/>
      <c r="O33" s="262"/>
      <c r="P33" s="262"/>
      <c r="Q33" s="262"/>
      <c r="R33" s="262"/>
      <c r="S33" s="262"/>
      <c r="T33" s="262"/>
      <c r="U33" s="262"/>
      <c r="V33" s="263"/>
      <c r="W33" s="262">
        <f>Inputs!A33</f>
        <v>0</v>
      </c>
      <c r="X33" s="262">
        <f t="shared" si="18"/>
        <v>0</v>
      </c>
      <c r="Y33" s="267">
        <f t="shared" si="19"/>
        <v>0</v>
      </c>
      <c r="Z33" s="267">
        <f t="shared" si="19"/>
        <v>0</v>
      </c>
      <c r="AA33" s="267">
        <f t="shared" si="19"/>
        <v>0</v>
      </c>
      <c r="AB33" s="267">
        <f t="shared" si="19"/>
        <v>0</v>
      </c>
      <c r="AC33" s="267">
        <f t="shared" si="19"/>
        <v>0</v>
      </c>
      <c r="AD33" s="267">
        <f t="shared" si="19"/>
        <v>0</v>
      </c>
      <c r="AE33" s="267">
        <f t="shared" si="19"/>
        <v>0</v>
      </c>
      <c r="AF33" s="267">
        <f t="shared" si="20"/>
        <v>0</v>
      </c>
      <c r="AG33" s="263"/>
      <c r="AH33" s="262">
        <f>Inputs!A33</f>
        <v>0</v>
      </c>
      <c r="AI33" s="262">
        <f t="shared" si="21"/>
        <v>0</v>
      </c>
      <c r="AJ33" s="262">
        <f t="shared" si="22"/>
        <v>0</v>
      </c>
      <c r="AK33" s="262">
        <f t="shared" si="22"/>
        <v>0</v>
      </c>
      <c r="AL33" s="262">
        <f t="shared" si="22"/>
        <v>0</v>
      </c>
      <c r="AM33" s="262">
        <f t="shared" si="22"/>
        <v>0</v>
      </c>
      <c r="AN33" s="262">
        <f t="shared" si="22"/>
        <v>0</v>
      </c>
      <c r="AO33" s="262">
        <f t="shared" si="22"/>
        <v>0</v>
      </c>
      <c r="AP33" s="262">
        <f t="shared" si="22"/>
        <v>0</v>
      </c>
      <c r="AQ33" s="262">
        <f t="shared" si="22"/>
        <v>0</v>
      </c>
      <c r="AR33" s="263"/>
      <c r="AS33" s="262">
        <f>Inputs!A33</f>
        <v>0</v>
      </c>
      <c r="AT33" s="262">
        <f>X33*Inputs!F33*Inputs!G33</f>
        <v>0</v>
      </c>
      <c r="AU33" s="262">
        <f>Y33*Inputs!F33*Inputs!G33</f>
        <v>0</v>
      </c>
      <c r="AV33" s="262">
        <f>Z33*Inputs!F33*Inputs!G33</f>
        <v>0</v>
      </c>
      <c r="AW33" s="262">
        <f>AA33*Inputs!F33*Inputs!G33</f>
        <v>0</v>
      </c>
      <c r="AX33" s="262">
        <f>AB33*Inputs!F33*Inputs!G33</f>
        <v>0</v>
      </c>
      <c r="AY33" s="262">
        <f>AC33*Inputs!F33*Inputs!G33</f>
        <v>0</v>
      </c>
      <c r="AZ33" s="262">
        <f>AD33*Inputs!F33*Inputs!G33</f>
        <v>0</v>
      </c>
      <c r="BA33" s="262">
        <f>AE33*Inputs!F33*Inputs!G33</f>
        <v>0</v>
      </c>
      <c r="BB33" s="262">
        <f>AF33*Inputs!F33*Inputs!H33</f>
        <v>0</v>
      </c>
      <c r="BC33" s="263"/>
      <c r="BD33" s="262">
        <f>Inputs!A33</f>
        <v>0</v>
      </c>
      <c r="BE33" s="262">
        <f>AI33*Inputs!F33*Inputs!I33</f>
        <v>0</v>
      </c>
      <c r="BF33" s="262">
        <f>AJ33*Inputs!F33*Inputs!I33</f>
        <v>0</v>
      </c>
      <c r="BG33" s="262">
        <f>AK33*Inputs!F33*Inputs!I33</f>
        <v>0</v>
      </c>
      <c r="BH33" s="262">
        <f>AL33*Inputs!F33*Inputs!I33</f>
        <v>0</v>
      </c>
      <c r="BI33" s="262">
        <f>AM33*Inputs!F33*Inputs!I33</f>
        <v>0</v>
      </c>
      <c r="BJ33" s="262">
        <f>AN33*Inputs!F33*Inputs!I33</f>
        <v>0</v>
      </c>
      <c r="BK33" s="262">
        <f>AO33*Inputs!F33*Inputs!I33</f>
        <v>0</v>
      </c>
      <c r="BL33" s="262">
        <f>AP33*Inputs!F33*Inputs!I33</f>
        <v>0</v>
      </c>
      <c r="BM33" s="262">
        <f>AQ33*Inputs!F33*Inputs!I33</f>
        <v>0</v>
      </c>
      <c r="BN33" s="263"/>
      <c r="BO33" s="263"/>
    </row>
    <row r="34" spans="1:67" x14ac:dyDescent="0.25">
      <c r="A34" s="262"/>
      <c r="B34" s="262"/>
      <c r="C34" s="262"/>
      <c r="D34" s="262"/>
      <c r="E34" s="262"/>
      <c r="F34" s="262"/>
      <c r="G34" s="262"/>
      <c r="H34" s="262"/>
      <c r="I34" s="262"/>
      <c r="J34" s="262"/>
      <c r="K34" s="263"/>
      <c r="L34" s="262">
        <f>Inputs!A34</f>
        <v>0</v>
      </c>
      <c r="M34" s="262"/>
      <c r="N34" s="262"/>
      <c r="O34" s="262"/>
      <c r="P34" s="262"/>
      <c r="Q34" s="262"/>
      <c r="R34" s="262"/>
      <c r="S34" s="262"/>
      <c r="T34" s="262"/>
      <c r="U34" s="262"/>
      <c r="V34" s="263"/>
      <c r="W34" s="262">
        <f>Inputs!A34</f>
        <v>0</v>
      </c>
      <c r="X34" s="262">
        <f t="shared" si="18"/>
        <v>0</v>
      </c>
      <c r="Y34" s="267">
        <f t="shared" si="19"/>
        <v>0</v>
      </c>
      <c r="Z34" s="267">
        <f t="shared" si="19"/>
        <v>0</v>
      </c>
      <c r="AA34" s="267">
        <f t="shared" si="19"/>
        <v>0</v>
      </c>
      <c r="AB34" s="267">
        <f t="shared" si="19"/>
        <v>0</v>
      </c>
      <c r="AC34" s="267">
        <f t="shared" si="19"/>
        <v>0</v>
      </c>
      <c r="AD34" s="267">
        <f t="shared" si="19"/>
        <v>0</v>
      </c>
      <c r="AE34" s="267">
        <f t="shared" si="19"/>
        <v>0</v>
      </c>
      <c r="AF34" s="267">
        <f t="shared" si="20"/>
        <v>0</v>
      </c>
      <c r="AG34" s="263"/>
      <c r="AH34" s="262">
        <f>Inputs!A34</f>
        <v>0</v>
      </c>
      <c r="AI34" s="262">
        <f t="shared" si="21"/>
        <v>0</v>
      </c>
      <c r="AJ34" s="262">
        <f t="shared" si="22"/>
        <v>0</v>
      </c>
      <c r="AK34" s="262">
        <f t="shared" si="22"/>
        <v>0</v>
      </c>
      <c r="AL34" s="262">
        <f t="shared" si="22"/>
        <v>0</v>
      </c>
      <c r="AM34" s="262">
        <f t="shared" si="22"/>
        <v>0</v>
      </c>
      <c r="AN34" s="262">
        <f t="shared" si="22"/>
        <v>0</v>
      </c>
      <c r="AO34" s="262">
        <f t="shared" si="22"/>
        <v>0</v>
      </c>
      <c r="AP34" s="262">
        <f t="shared" si="22"/>
        <v>0</v>
      </c>
      <c r="AQ34" s="262">
        <f t="shared" ref="AQ34:AQ52" si="23">MAX(-(J34+AE34-U34),0)</f>
        <v>0</v>
      </c>
      <c r="AR34" s="263"/>
      <c r="AS34" s="262">
        <f>Inputs!A34</f>
        <v>0</v>
      </c>
      <c r="AT34" s="262">
        <f>X34*Inputs!F34*Inputs!G34</f>
        <v>0</v>
      </c>
      <c r="AU34" s="262">
        <f>Y34*Inputs!F34*Inputs!G34</f>
        <v>0</v>
      </c>
      <c r="AV34" s="262">
        <f>Z34*Inputs!F34*Inputs!G34</f>
        <v>0</v>
      </c>
      <c r="AW34" s="262">
        <f>AA34*Inputs!F34*Inputs!G34</f>
        <v>0</v>
      </c>
      <c r="AX34" s="262">
        <f>AB34*Inputs!F34*Inputs!G34</f>
        <v>0</v>
      </c>
      <c r="AY34" s="262">
        <f>AC34*Inputs!F34*Inputs!G34</f>
        <v>0</v>
      </c>
      <c r="AZ34" s="262">
        <f>AD34*Inputs!F34*Inputs!G34</f>
        <v>0</v>
      </c>
      <c r="BA34" s="262">
        <f>AE34*Inputs!F34*Inputs!G34</f>
        <v>0</v>
      </c>
      <c r="BB34" s="262">
        <f>AF34*Inputs!F34*Inputs!H34</f>
        <v>0</v>
      </c>
      <c r="BC34" s="263"/>
      <c r="BD34" s="262">
        <f>Inputs!A34</f>
        <v>0</v>
      </c>
      <c r="BE34" s="262">
        <f>AI34*Inputs!F34*Inputs!I34</f>
        <v>0</v>
      </c>
      <c r="BF34" s="262">
        <f>AJ34*Inputs!F34*Inputs!I34</f>
        <v>0</v>
      </c>
      <c r="BG34" s="262">
        <f>AK34*Inputs!F34*Inputs!I34</f>
        <v>0</v>
      </c>
      <c r="BH34" s="262">
        <f>AL34*Inputs!F34*Inputs!I34</f>
        <v>0</v>
      </c>
      <c r="BI34" s="262">
        <f>AM34*Inputs!F34*Inputs!I34</f>
        <v>0</v>
      </c>
      <c r="BJ34" s="262">
        <f>AN34*Inputs!F34*Inputs!I34</f>
        <v>0</v>
      </c>
      <c r="BK34" s="262">
        <f>AO34*Inputs!F34*Inputs!I34</f>
        <v>0</v>
      </c>
      <c r="BL34" s="262">
        <f>AP34*Inputs!F34*Inputs!I34</f>
        <v>0</v>
      </c>
      <c r="BM34" s="262">
        <f>AQ34*Inputs!F34*Inputs!I34</f>
        <v>0</v>
      </c>
      <c r="BN34" s="263"/>
      <c r="BO34" s="263"/>
    </row>
    <row r="35" spans="1:67" x14ac:dyDescent="0.25">
      <c r="A35" s="262"/>
      <c r="B35" s="262"/>
      <c r="C35" s="262"/>
      <c r="D35" s="262"/>
      <c r="E35" s="262"/>
      <c r="F35" s="262"/>
      <c r="G35" s="262"/>
      <c r="H35" s="262"/>
      <c r="I35" s="262"/>
      <c r="J35" s="262"/>
      <c r="K35" s="263"/>
      <c r="L35" s="262">
        <f>Inputs!A35</f>
        <v>0</v>
      </c>
      <c r="M35" s="262"/>
      <c r="N35" s="262"/>
      <c r="O35" s="262"/>
      <c r="P35" s="262"/>
      <c r="Q35" s="262"/>
      <c r="R35" s="262"/>
      <c r="S35" s="262"/>
      <c r="T35" s="262"/>
      <c r="U35" s="262"/>
      <c r="V35" s="263"/>
      <c r="W35" s="262">
        <f>Inputs!A35</f>
        <v>0</v>
      </c>
      <c r="X35" s="262">
        <f t="shared" si="18"/>
        <v>0</v>
      </c>
      <c r="Y35" s="267">
        <f t="shared" si="19"/>
        <v>0</v>
      </c>
      <c r="Z35" s="267">
        <f t="shared" si="19"/>
        <v>0</v>
      </c>
      <c r="AA35" s="267">
        <f t="shared" si="19"/>
        <v>0</v>
      </c>
      <c r="AB35" s="267">
        <f t="shared" si="19"/>
        <v>0</v>
      </c>
      <c r="AC35" s="267">
        <f t="shared" si="19"/>
        <v>0</v>
      </c>
      <c r="AD35" s="267">
        <f t="shared" si="19"/>
        <v>0</v>
      </c>
      <c r="AE35" s="267">
        <f t="shared" si="19"/>
        <v>0</v>
      </c>
      <c r="AF35" s="267">
        <f t="shared" si="20"/>
        <v>0</v>
      </c>
      <c r="AG35" s="263"/>
      <c r="AH35" s="262">
        <f>Inputs!A35</f>
        <v>0</v>
      </c>
      <c r="AI35" s="262">
        <f t="shared" si="21"/>
        <v>0</v>
      </c>
      <c r="AJ35" s="262">
        <f t="shared" ref="AJ35:AP52" si="24">MAX(-(C35+X35-N35),0)</f>
        <v>0</v>
      </c>
      <c r="AK35" s="262">
        <f t="shared" si="24"/>
        <v>0</v>
      </c>
      <c r="AL35" s="262">
        <f t="shared" si="24"/>
        <v>0</v>
      </c>
      <c r="AM35" s="262">
        <f t="shared" si="24"/>
        <v>0</v>
      </c>
      <c r="AN35" s="262">
        <f t="shared" si="24"/>
        <v>0</v>
      </c>
      <c r="AO35" s="262">
        <f t="shared" si="24"/>
        <v>0</v>
      </c>
      <c r="AP35" s="262">
        <f t="shared" si="24"/>
        <v>0</v>
      </c>
      <c r="AQ35" s="262">
        <f t="shared" si="23"/>
        <v>0</v>
      </c>
      <c r="AR35" s="263"/>
      <c r="AS35" s="262">
        <f>Inputs!A35</f>
        <v>0</v>
      </c>
      <c r="AT35" s="262">
        <f>X35*Inputs!F35*Inputs!G35</f>
        <v>0</v>
      </c>
      <c r="AU35" s="262">
        <f>Y35*Inputs!F35*Inputs!G35</f>
        <v>0</v>
      </c>
      <c r="AV35" s="262">
        <f>Z35*Inputs!F35*Inputs!G35</f>
        <v>0</v>
      </c>
      <c r="AW35" s="262">
        <f>AA35*Inputs!F35*Inputs!G35</f>
        <v>0</v>
      </c>
      <c r="AX35" s="262">
        <f>AB35*Inputs!F35*Inputs!G35</f>
        <v>0</v>
      </c>
      <c r="AY35" s="262">
        <f>AC35*Inputs!F35*Inputs!G35</f>
        <v>0</v>
      </c>
      <c r="AZ35" s="262">
        <f>AD35*Inputs!F35*Inputs!G35</f>
        <v>0</v>
      </c>
      <c r="BA35" s="262">
        <f>AE35*Inputs!F35*Inputs!G35</f>
        <v>0</v>
      </c>
      <c r="BB35" s="262">
        <f>AF35*Inputs!F35*Inputs!H35</f>
        <v>0</v>
      </c>
      <c r="BC35" s="263"/>
      <c r="BD35" s="262">
        <f>Inputs!A35</f>
        <v>0</v>
      </c>
      <c r="BE35" s="262">
        <f>AI35*Inputs!F35*Inputs!I35</f>
        <v>0</v>
      </c>
      <c r="BF35" s="262">
        <f>AJ35*Inputs!F35*Inputs!I35</f>
        <v>0</v>
      </c>
      <c r="BG35" s="262">
        <f>AK35*Inputs!F35*Inputs!I35</f>
        <v>0</v>
      </c>
      <c r="BH35" s="262">
        <f>AL35*Inputs!F35*Inputs!I35</f>
        <v>0</v>
      </c>
      <c r="BI35" s="262">
        <f>AM35*Inputs!F35*Inputs!I35</f>
        <v>0</v>
      </c>
      <c r="BJ35" s="262">
        <f>AN35*Inputs!F35*Inputs!I35</f>
        <v>0</v>
      </c>
      <c r="BK35" s="262">
        <f>AO35*Inputs!F35*Inputs!I35</f>
        <v>0</v>
      </c>
      <c r="BL35" s="262">
        <f>AP35*Inputs!F35*Inputs!I35</f>
        <v>0</v>
      </c>
      <c r="BM35" s="262">
        <f>AQ35*Inputs!F35*Inputs!I35</f>
        <v>0</v>
      </c>
      <c r="BN35" s="263"/>
      <c r="BO35" s="263"/>
    </row>
    <row r="36" spans="1:67" x14ac:dyDescent="0.25">
      <c r="A36" s="262"/>
      <c r="B36" s="262"/>
      <c r="C36" s="262"/>
      <c r="D36" s="262"/>
      <c r="E36" s="262"/>
      <c r="F36" s="262"/>
      <c r="G36" s="262"/>
      <c r="H36" s="262"/>
      <c r="I36" s="262"/>
      <c r="J36" s="262"/>
      <c r="K36" s="263"/>
      <c r="L36" s="262">
        <f>Inputs!A36</f>
        <v>0</v>
      </c>
      <c r="M36" s="262"/>
      <c r="N36" s="262"/>
      <c r="O36" s="262"/>
      <c r="P36" s="262"/>
      <c r="Q36" s="262"/>
      <c r="R36" s="262"/>
      <c r="S36" s="262"/>
      <c r="T36" s="262"/>
      <c r="U36" s="262"/>
      <c r="V36" s="263"/>
      <c r="W36" s="262">
        <f>Inputs!A36</f>
        <v>0</v>
      </c>
      <c r="X36" s="262">
        <f t="shared" si="18"/>
        <v>0</v>
      </c>
      <c r="Y36" s="267">
        <f t="shared" si="19"/>
        <v>0</v>
      </c>
      <c r="Z36" s="267">
        <f t="shared" si="19"/>
        <v>0</v>
      </c>
      <c r="AA36" s="267">
        <f t="shared" si="19"/>
        <v>0</v>
      </c>
      <c r="AB36" s="267">
        <f t="shared" si="19"/>
        <v>0</v>
      </c>
      <c r="AC36" s="267">
        <f t="shared" si="19"/>
        <v>0</v>
      </c>
      <c r="AD36" s="267">
        <f t="shared" si="19"/>
        <v>0</v>
      </c>
      <c r="AE36" s="267">
        <f t="shared" si="19"/>
        <v>0</v>
      </c>
      <c r="AF36" s="267">
        <f t="shared" si="20"/>
        <v>0</v>
      </c>
      <c r="AG36" s="263"/>
      <c r="AH36" s="262">
        <f>Inputs!A36</f>
        <v>0</v>
      </c>
      <c r="AI36" s="262">
        <f t="shared" si="21"/>
        <v>0</v>
      </c>
      <c r="AJ36" s="262">
        <f t="shared" si="24"/>
        <v>0</v>
      </c>
      <c r="AK36" s="262">
        <f t="shared" si="24"/>
        <v>0</v>
      </c>
      <c r="AL36" s="262">
        <f t="shared" si="24"/>
        <v>0</v>
      </c>
      <c r="AM36" s="262">
        <f t="shared" si="24"/>
        <v>0</v>
      </c>
      <c r="AN36" s="262">
        <f t="shared" si="24"/>
        <v>0</v>
      </c>
      <c r="AO36" s="262">
        <f t="shared" si="24"/>
        <v>0</v>
      </c>
      <c r="AP36" s="262">
        <f t="shared" si="24"/>
        <v>0</v>
      </c>
      <c r="AQ36" s="262">
        <f t="shared" si="23"/>
        <v>0</v>
      </c>
      <c r="AR36" s="263"/>
      <c r="AS36" s="262">
        <f>Inputs!A36</f>
        <v>0</v>
      </c>
      <c r="AT36" s="262">
        <f>X36*Inputs!F36*Inputs!G36</f>
        <v>0</v>
      </c>
      <c r="AU36" s="262">
        <f>Y36*Inputs!F36*Inputs!G36</f>
        <v>0</v>
      </c>
      <c r="AV36" s="262">
        <f>Z36*Inputs!F36*Inputs!G36</f>
        <v>0</v>
      </c>
      <c r="AW36" s="262">
        <f>AA36*Inputs!F36*Inputs!G36</f>
        <v>0</v>
      </c>
      <c r="AX36" s="262">
        <f>AB36*Inputs!F36*Inputs!G36</f>
        <v>0</v>
      </c>
      <c r="AY36" s="262">
        <f>AC36*Inputs!F36*Inputs!G36</f>
        <v>0</v>
      </c>
      <c r="AZ36" s="262">
        <f>AD36*Inputs!F36*Inputs!G36</f>
        <v>0</v>
      </c>
      <c r="BA36" s="262">
        <f>AE36*Inputs!F36*Inputs!G36</f>
        <v>0</v>
      </c>
      <c r="BB36" s="262">
        <f>AF36*Inputs!F36*Inputs!H36</f>
        <v>0</v>
      </c>
      <c r="BC36" s="263"/>
      <c r="BD36" s="262">
        <f>Inputs!A36</f>
        <v>0</v>
      </c>
      <c r="BE36" s="262">
        <f>AI36*Inputs!F36*Inputs!I36</f>
        <v>0</v>
      </c>
      <c r="BF36" s="262">
        <f>AJ36*Inputs!F36*Inputs!I36</f>
        <v>0</v>
      </c>
      <c r="BG36" s="262">
        <f>AK36*Inputs!F36*Inputs!I36</f>
        <v>0</v>
      </c>
      <c r="BH36" s="262">
        <f>AL36*Inputs!F36*Inputs!I36</f>
        <v>0</v>
      </c>
      <c r="BI36" s="262">
        <f>AM36*Inputs!F36*Inputs!I36</f>
        <v>0</v>
      </c>
      <c r="BJ36" s="262">
        <f>AN36*Inputs!F36*Inputs!I36</f>
        <v>0</v>
      </c>
      <c r="BK36" s="262">
        <f>AO36*Inputs!F36*Inputs!I36</f>
        <v>0</v>
      </c>
      <c r="BL36" s="262">
        <f>AP36*Inputs!F36*Inputs!I36</f>
        <v>0</v>
      </c>
      <c r="BM36" s="262">
        <f>AQ36*Inputs!F36*Inputs!I36</f>
        <v>0</v>
      </c>
      <c r="BN36" s="263"/>
      <c r="BO36" s="263"/>
    </row>
    <row r="37" spans="1:67" x14ac:dyDescent="0.25">
      <c r="A37" s="262"/>
      <c r="B37" s="262"/>
      <c r="C37" s="262"/>
      <c r="D37" s="262"/>
      <c r="E37" s="262"/>
      <c r="F37" s="262"/>
      <c r="G37" s="262"/>
      <c r="H37" s="262"/>
      <c r="I37" s="262"/>
      <c r="J37" s="262"/>
      <c r="K37" s="263"/>
      <c r="L37" s="262">
        <f>Inputs!A37</f>
        <v>0</v>
      </c>
      <c r="M37" s="262"/>
      <c r="N37" s="262"/>
      <c r="O37" s="262"/>
      <c r="P37" s="262"/>
      <c r="Q37" s="262"/>
      <c r="R37" s="262"/>
      <c r="S37" s="262"/>
      <c r="T37" s="262"/>
      <c r="U37" s="262"/>
      <c r="V37" s="263"/>
      <c r="W37" s="262">
        <f>Inputs!A37</f>
        <v>0</v>
      </c>
      <c r="X37" s="262">
        <f t="shared" si="18"/>
        <v>0</v>
      </c>
      <c r="Y37" s="267">
        <f t="shared" si="19"/>
        <v>0</v>
      </c>
      <c r="Z37" s="267">
        <f t="shared" si="19"/>
        <v>0</v>
      </c>
      <c r="AA37" s="267">
        <f t="shared" si="19"/>
        <v>0</v>
      </c>
      <c r="AB37" s="267">
        <f t="shared" si="19"/>
        <v>0</v>
      </c>
      <c r="AC37" s="267">
        <f t="shared" si="19"/>
        <v>0</v>
      </c>
      <c r="AD37" s="267">
        <f t="shared" si="19"/>
        <v>0</v>
      </c>
      <c r="AE37" s="267">
        <f t="shared" si="19"/>
        <v>0</v>
      </c>
      <c r="AF37" s="267">
        <f t="shared" si="20"/>
        <v>0</v>
      </c>
      <c r="AG37" s="263"/>
      <c r="AH37" s="262">
        <f>Inputs!A37</f>
        <v>0</v>
      </c>
      <c r="AI37" s="262">
        <f t="shared" si="21"/>
        <v>0</v>
      </c>
      <c r="AJ37" s="262">
        <f t="shared" si="24"/>
        <v>0</v>
      </c>
      <c r="AK37" s="262">
        <f t="shared" si="24"/>
        <v>0</v>
      </c>
      <c r="AL37" s="262">
        <f t="shared" si="24"/>
        <v>0</v>
      </c>
      <c r="AM37" s="262">
        <f t="shared" si="24"/>
        <v>0</v>
      </c>
      <c r="AN37" s="262">
        <f t="shared" si="24"/>
        <v>0</v>
      </c>
      <c r="AO37" s="262">
        <f t="shared" si="24"/>
        <v>0</v>
      </c>
      <c r="AP37" s="262">
        <f t="shared" si="24"/>
        <v>0</v>
      </c>
      <c r="AQ37" s="262">
        <f t="shared" si="23"/>
        <v>0</v>
      </c>
      <c r="AR37" s="263"/>
      <c r="AS37" s="262">
        <f>Inputs!A37</f>
        <v>0</v>
      </c>
      <c r="AT37" s="262">
        <f>X37*Inputs!F37*Inputs!G37</f>
        <v>0</v>
      </c>
      <c r="AU37" s="262">
        <f>Y37*Inputs!F37*Inputs!G37</f>
        <v>0</v>
      </c>
      <c r="AV37" s="262">
        <f>Z37*Inputs!F37*Inputs!G37</f>
        <v>0</v>
      </c>
      <c r="AW37" s="262">
        <f>AA37*Inputs!F37*Inputs!G37</f>
        <v>0</v>
      </c>
      <c r="AX37" s="262">
        <f>AB37*Inputs!F37*Inputs!G37</f>
        <v>0</v>
      </c>
      <c r="AY37" s="262">
        <f>AC37*Inputs!F37*Inputs!G37</f>
        <v>0</v>
      </c>
      <c r="AZ37" s="262">
        <f>AD37*Inputs!F37*Inputs!G37</f>
        <v>0</v>
      </c>
      <c r="BA37" s="262">
        <f>AE37*Inputs!F37*Inputs!G37</f>
        <v>0</v>
      </c>
      <c r="BB37" s="262">
        <f>AF37*Inputs!F37*Inputs!H37</f>
        <v>0</v>
      </c>
      <c r="BC37" s="263"/>
      <c r="BD37" s="262">
        <f>Inputs!A37</f>
        <v>0</v>
      </c>
      <c r="BE37" s="262">
        <f>AI37*Inputs!F37*Inputs!I37</f>
        <v>0</v>
      </c>
      <c r="BF37" s="262">
        <f>AJ37*Inputs!F37*Inputs!I37</f>
        <v>0</v>
      </c>
      <c r="BG37" s="262">
        <f>AK37*Inputs!F37*Inputs!I37</f>
        <v>0</v>
      </c>
      <c r="BH37" s="262">
        <f>AL37*Inputs!F37*Inputs!I37</f>
        <v>0</v>
      </c>
      <c r="BI37" s="262">
        <f>AM37*Inputs!F37*Inputs!I37</f>
        <v>0</v>
      </c>
      <c r="BJ37" s="262">
        <f>AN37*Inputs!F37*Inputs!I37</f>
        <v>0</v>
      </c>
      <c r="BK37" s="262">
        <f>AO37*Inputs!F37*Inputs!I37</f>
        <v>0</v>
      </c>
      <c r="BL37" s="262">
        <f>AP37*Inputs!F37*Inputs!I37</f>
        <v>0</v>
      </c>
      <c r="BM37" s="262">
        <f>AQ37*Inputs!F37*Inputs!I37</f>
        <v>0</v>
      </c>
      <c r="BN37" s="263"/>
      <c r="BO37" s="263"/>
    </row>
    <row r="38" spans="1:67" x14ac:dyDescent="0.25">
      <c r="A38" s="262"/>
      <c r="B38" s="262"/>
      <c r="C38" s="262"/>
      <c r="D38" s="262"/>
      <c r="E38" s="262"/>
      <c r="F38" s="262"/>
      <c r="G38" s="262"/>
      <c r="H38" s="262"/>
      <c r="I38" s="262"/>
      <c r="J38" s="262"/>
      <c r="K38" s="263"/>
      <c r="L38" s="262">
        <f>Inputs!A38</f>
        <v>0</v>
      </c>
      <c r="M38" s="262"/>
      <c r="N38" s="262"/>
      <c r="O38" s="262"/>
      <c r="P38" s="262"/>
      <c r="Q38" s="262"/>
      <c r="R38" s="262"/>
      <c r="S38" s="262"/>
      <c r="T38" s="262"/>
      <c r="U38" s="262"/>
      <c r="V38" s="263"/>
      <c r="W38" s="262">
        <f>Inputs!A38</f>
        <v>0</v>
      </c>
      <c r="X38" s="262">
        <f t="shared" si="18"/>
        <v>0</v>
      </c>
      <c r="Y38" s="267">
        <f t="shared" si="19"/>
        <v>0</v>
      </c>
      <c r="Z38" s="267">
        <f t="shared" si="19"/>
        <v>0</v>
      </c>
      <c r="AA38" s="267">
        <f t="shared" si="19"/>
        <v>0</v>
      </c>
      <c r="AB38" s="267">
        <f t="shared" si="19"/>
        <v>0</v>
      </c>
      <c r="AC38" s="267">
        <f t="shared" si="19"/>
        <v>0</v>
      </c>
      <c r="AD38" s="267">
        <f t="shared" si="19"/>
        <v>0</v>
      </c>
      <c r="AE38" s="267">
        <f t="shared" si="19"/>
        <v>0</v>
      </c>
      <c r="AF38" s="267">
        <f t="shared" si="20"/>
        <v>0</v>
      </c>
      <c r="AG38" s="263"/>
      <c r="AH38" s="262">
        <f>Inputs!A38</f>
        <v>0</v>
      </c>
      <c r="AI38" s="262">
        <f t="shared" si="21"/>
        <v>0</v>
      </c>
      <c r="AJ38" s="262">
        <f t="shared" si="24"/>
        <v>0</v>
      </c>
      <c r="AK38" s="262">
        <f t="shared" si="24"/>
        <v>0</v>
      </c>
      <c r="AL38" s="262">
        <f t="shared" si="24"/>
        <v>0</v>
      </c>
      <c r="AM38" s="262">
        <f t="shared" si="24"/>
        <v>0</v>
      </c>
      <c r="AN38" s="262">
        <f t="shared" si="24"/>
        <v>0</v>
      </c>
      <c r="AO38" s="262">
        <f t="shared" si="24"/>
        <v>0</v>
      </c>
      <c r="AP38" s="262">
        <f t="shared" si="24"/>
        <v>0</v>
      </c>
      <c r="AQ38" s="262">
        <f t="shared" si="23"/>
        <v>0</v>
      </c>
      <c r="AR38" s="263"/>
      <c r="AS38" s="262">
        <f>Inputs!A38</f>
        <v>0</v>
      </c>
      <c r="AT38" s="262">
        <f>X38*Inputs!F38*Inputs!G38</f>
        <v>0</v>
      </c>
      <c r="AU38" s="262">
        <f>Y38*Inputs!F38*Inputs!G38</f>
        <v>0</v>
      </c>
      <c r="AV38" s="262">
        <f>Z38*Inputs!F38*Inputs!G38</f>
        <v>0</v>
      </c>
      <c r="AW38" s="262">
        <f>AA38*Inputs!F38*Inputs!G38</f>
        <v>0</v>
      </c>
      <c r="AX38" s="262">
        <f>AB38*Inputs!F38*Inputs!G38</f>
        <v>0</v>
      </c>
      <c r="AY38" s="262">
        <f>AC38*Inputs!F38*Inputs!G38</f>
        <v>0</v>
      </c>
      <c r="AZ38" s="262">
        <f>AD38*Inputs!F38*Inputs!G38</f>
        <v>0</v>
      </c>
      <c r="BA38" s="262">
        <f>AE38*Inputs!F38*Inputs!G38</f>
        <v>0</v>
      </c>
      <c r="BB38" s="262">
        <f>AF38*Inputs!F38*Inputs!H38</f>
        <v>0</v>
      </c>
      <c r="BC38" s="263"/>
      <c r="BD38" s="262">
        <f>Inputs!A38</f>
        <v>0</v>
      </c>
      <c r="BE38" s="262">
        <f>AI38*Inputs!F38*Inputs!I38</f>
        <v>0</v>
      </c>
      <c r="BF38" s="262">
        <f>AJ38*Inputs!F38*Inputs!I38</f>
        <v>0</v>
      </c>
      <c r="BG38" s="262">
        <f>AK38*Inputs!F38*Inputs!I38</f>
        <v>0</v>
      </c>
      <c r="BH38" s="262">
        <f>AL38*Inputs!F38*Inputs!I38</f>
        <v>0</v>
      </c>
      <c r="BI38" s="262">
        <f>AM38*Inputs!F38*Inputs!I38</f>
        <v>0</v>
      </c>
      <c r="BJ38" s="262">
        <f>AN38*Inputs!F38*Inputs!I38</f>
        <v>0</v>
      </c>
      <c r="BK38" s="262">
        <f>AO38*Inputs!F38*Inputs!I38</f>
        <v>0</v>
      </c>
      <c r="BL38" s="262">
        <f>AP38*Inputs!F38*Inputs!I38</f>
        <v>0</v>
      </c>
      <c r="BM38" s="262">
        <f>AQ38*Inputs!F38*Inputs!I38</f>
        <v>0</v>
      </c>
      <c r="BN38" s="263"/>
      <c r="BO38" s="263"/>
    </row>
    <row r="39" spans="1:67" x14ac:dyDescent="0.25">
      <c r="A39" s="262"/>
      <c r="B39" s="262"/>
      <c r="C39" s="262"/>
      <c r="D39" s="262"/>
      <c r="E39" s="262"/>
      <c r="F39" s="262"/>
      <c r="G39" s="262"/>
      <c r="H39" s="262"/>
      <c r="I39" s="262"/>
      <c r="J39" s="262"/>
      <c r="K39" s="263"/>
      <c r="L39" s="262">
        <f>Inputs!A39</f>
        <v>0</v>
      </c>
      <c r="M39" s="262"/>
      <c r="N39" s="262"/>
      <c r="O39" s="262"/>
      <c r="P39" s="262"/>
      <c r="Q39" s="262"/>
      <c r="R39" s="262"/>
      <c r="S39" s="262"/>
      <c r="T39" s="262"/>
      <c r="U39" s="262"/>
      <c r="V39" s="263"/>
      <c r="W39" s="262">
        <f>Inputs!A39</f>
        <v>0</v>
      </c>
      <c r="X39" s="262">
        <f t="shared" si="18"/>
        <v>0</v>
      </c>
      <c r="Y39" s="267">
        <f t="shared" si="19"/>
        <v>0</v>
      </c>
      <c r="Z39" s="267">
        <f t="shared" si="19"/>
        <v>0</v>
      </c>
      <c r="AA39" s="267">
        <f t="shared" si="19"/>
        <v>0</v>
      </c>
      <c r="AB39" s="267">
        <f t="shared" si="19"/>
        <v>0</v>
      </c>
      <c r="AC39" s="267">
        <f t="shared" si="19"/>
        <v>0</v>
      </c>
      <c r="AD39" s="267">
        <f t="shared" si="19"/>
        <v>0</v>
      </c>
      <c r="AE39" s="267">
        <f t="shared" si="19"/>
        <v>0</v>
      </c>
      <c r="AF39" s="267">
        <f t="shared" si="20"/>
        <v>0</v>
      </c>
      <c r="AG39" s="263"/>
      <c r="AH39" s="262">
        <f>Inputs!A39</f>
        <v>0</v>
      </c>
      <c r="AI39" s="262">
        <f t="shared" si="21"/>
        <v>0</v>
      </c>
      <c r="AJ39" s="262">
        <f t="shared" si="24"/>
        <v>0</v>
      </c>
      <c r="AK39" s="262">
        <f t="shared" si="24"/>
        <v>0</v>
      </c>
      <c r="AL39" s="262">
        <f t="shared" si="24"/>
        <v>0</v>
      </c>
      <c r="AM39" s="262">
        <f t="shared" si="24"/>
        <v>0</v>
      </c>
      <c r="AN39" s="262">
        <f t="shared" si="24"/>
        <v>0</v>
      </c>
      <c r="AO39" s="262">
        <f t="shared" si="24"/>
        <v>0</v>
      </c>
      <c r="AP39" s="262">
        <f t="shared" si="24"/>
        <v>0</v>
      </c>
      <c r="AQ39" s="262">
        <f t="shared" si="23"/>
        <v>0</v>
      </c>
      <c r="AR39" s="263"/>
      <c r="AS39" s="262">
        <f>Inputs!A39</f>
        <v>0</v>
      </c>
      <c r="AT39" s="262">
        <f>X39*Inputs!F39*Inputs!G39</f>
        <v>0</v>
      </c>
      <c r="AU39" s="262">
        <f>Y39*Inputs!F39*Inputs!G39</f>
        <v>0</v>
      </c>
      <c r="AV39" s="262">
        <f>Z39*Inputs!F39*Inputs!G39</f>
        <v>0</v>
      </c>
      <c r="AW39" s="262">
        <f>AA39*Inputs!F39*Inputs!G39</f>
        <v>0</v>
      </c>
      <c r="AX39" s="262">
        <f>AB39*Inputs!F39*Inputs!G39</f>
        <v>0</v>
      </c>
      <c r="AY39" s="262">
        <f>AC39*Inputs!F39*Inputs!G39</f>
        <v>0</v>
      </c>
      <c r="AZ39" s="262">
        <f>AD39*Inputs!F39*Inputs!G39</f>
        <v>0</v>
      </c>
      <c r="BA39" s="262">
        <f>AE39*Inputs!F39*Inputs!G39</f>
        <v>0</v>
      </c>
      <c r="BB39" s="262">
        <f>AF39*Inputs!F39*Inputs!H39</f>
        <v>0</v>
      </c>
      <c r="BC39" s="263"/>
      <c r="BD39" s="262">
        <f>Inputs!A39</f>
        <v>0</v>
      </c>
      <c r="BE39" s="262">
        <f>AI39*Inputs!F39*Inputs!I39</f>
        <v>0</v>
      </c>
      <c r="BF39" s="262">
        <f>AJ39*Inputs!F39*Inputs!I39</f>
        <v>0</v>
      </c>
      <c r="BG39" s="262">
        <f>AK39*Inputs!F39*Inputs!I39</f>
        <v>0</v>
      </c>
      <c r="BH39" s="262">
        <f>AL39*Inputs!F39*Inputs!I39</f>
        <v>0</v>
      </c>
      <c r="BI39" s="262">
        <f>AM39*Inputs!F39*Inputs!I39</f>
        <v>0</v>
      </c>
      <c r="BJ39" s="262">
        <f>AN39*Inputs!F39*Inputs!I39</f>
        <v>0</v>
      </c>
      <c r="BK39" s="262">
        <f>AO39*Inputs!F39*Inputs!I39</f>
        <v>0</v>
      </c>
      <c r="BL39" s="262">
        <f>AP39*Inputs!F39*Inputs!I39</f>
        <v>0</v>
      </c>
      <c r="BM39" s="262">
        <f>AQ39*Inputs!F39*Inputs!I39</f>
        <v>0</v>
      </c>
      <c r="BN39" s="263"/>
      <c r="BO39" s="263"/>
    </row>
    <row r="40" spans="1:67" x14ac:dyDescent="0.25">
      <c r="A40" s="262"/>
      <c r="B40" s="262"/>
      <c r="C40" s="262"/>
      <c r="D40" s="262"/>
      <c r="E40" s="262"/>
      <c r="F40" s="262"/>
      <c r="G40" s="262"/>
      <c r="H40" s="262"/>
      <c r="I40" s="262"/>
      <c r="J40" s="262"/>
      <c r="K40" s="263"/>
      <c r="L40" s="262">
        <f>Inputs!A40</f>
        <v>0</v>
      </c>
      <c r="M40" s="262"/>
      <c r="N40" s="262"/>
      <c r="O40" s="262"/>
      <c r="P40" s="262"/>
      <c r="Q40" s="262"/>
      <c r="R40" s="262"/>
      <c r="S40" s="262"/>
      <c r="T40" s="262"/>
      <c r="U40" s="262"/>
      <c r="V40" s="263"/>
      <c r="W40" s="262">
        <f>Inputs!A40</f>
        <v>0</v>
      </c>
      <c r="X40" s="262">
        <f t="shared" si="18"/>
        <v>0</v>
      </c>
      <c r="Y40" s="267">
        <f t="shared" si="19"/>
        <v>0</v>
      </c>
      <c r="Z40" s="267">
        <f t="shared" si="19"/>
        <v>0</v>
      </c>
      <c r="AA40" s="267">
        <f t="shared" si="19"/>
        <v>0</v>
      </c>
      <c r="AB40" s="267">
        <f t="shared" si="19"/>
        <v>0</v>
      </c>
      <c r="AC40" s="267">
        <f t="shared" si="19"/>
        <v>0</v>
      </c>
      <c r="AD40" s="267">
        <f t="shared" si="19"/>
        <v>0</v>
      </c>
      <c r="AE40" s="267">
        <f t="shared" si="19"/>
        <v>0</v>
      </c>
      <c r="AF40" s="267">
        <f t="shared" si="20"/>
        <v>0</v>
      </c>
      <c r="AG40" s="263"/>
      <c r="AH40" s="262">
        <f>Inputs!A40</f>
        <v>0</v>
      </c>
      <c r="AI40" s="262">
        <f t="shared" si="21"/>
        <v>0</v>
      </c>
      <c r="AJ40" s="262">
        <f t="shared" si="24"/>
        <v>0</v>
      </c>
      <c r="AK40" s="262">
        <f t="shared" si="24"/>
        <v>0</v>
      </c>
      <c r="AL40" s="262">
        <f t="shared" si="24"/>
        <v>0</v>
      </c>
      <c r="AM40" s="262">
        <f t="shared" si="24"/>
        <v>0</v>
      </c>
      <c r="AN40" s="262">
        <f t="shared" si="24"/>
        <v>0</v>
      </c>
      <c r="AO40" s="262">
        <f t="shared" si="24"/>
        <v>0</v>
      </c>
      <c r="AP40" s="262">
        <f t="shared" si="24"/>
        <v>0</v>
      </c>
      <c r="AQ40" s="262">
        <f t="shared" si="23"/>
        <v>0</v>
      </c>
      <c r="AR40" s="263"/>
      <c r="AS40" s="262">
        <f>Inputs!A40</f>
        <v>0</v>
      </c>
      <c r="AT40" s="262">
        <f>X40*Inputs!F40*Inputs!G40</f>
        <v>0</v>
      </c>
      <c r="AU40" s="262">
        <f>Y40*Inputs!F40*Inputs!G40</f>
        <v>0</v>
      </c>
      <c r="AV40" s="262">
        <f>Z40*Inputs!F40*Inputs!G40</f>
        <v>0</v>
      </c>
      <c r="AW40" s="262">
        <f>AA40*Inputs!F40*Inputs!G40</f>
        <v>0</v>
      </c>
      <c r="AX40" s="262">
        <f>AB40*Inputs!F40*Inputs!G40</f>
        <v>0</v>
      </c>
      <c r="AY40" s="262">
        <f>AC40*Inputs!F40*Inputs!G40</f>
        <v>0</v>
      </c>
      <c r="AZ40" s="262">
        <f>AD40*Inputs!F40*Inputs!G40</f>
        <v>0</v>
      </c>
      <c r="BA40" s="262">
        <f>AE40*Inputs!F40*Inputs!G40</f>
        <v>0</v>
      </c>
      <c r="BB40" s="262">
        <f>AF40*Inputs!F40*Inputs!H40</f>
        <v>0</v>
      </c>
      <c r="BC40" s="263"/>
      <c r="BD40" s="262">
        <f>Inputs!A40</f>
        <v>0</v>
      </c>
      <c r="BE40" s="262">
        <f>AI40*Inputs!F40*Inputs!I40</f>
        <v>0</v>
      </c>
      <c r="BF40" s="262">
        <f>AJ40*Inputs!F40*Inputs!I40</f>
        <v>0</v>
      </c>
      <c r="BG40" s="262">
        <f>AK40*Inputs!F40*Inputs!I40</f>
        <v>0</v>
      </c>
      <c r="BH40" s="262">
        <f>AL40*Inputs!F40*Inputs!I40</f>
        <v>0</v>
      </c>
      <c r="BI40" s="262">
        <f>AM40*Inputs!F40*Inputs!I40</f>
        <v>0</v>
      </c>
      <c r="BJ40" s="262">
        <f>AN40*Inputs!F40*Inputs!I40</f>
        <v>0</v>
      </c>
      <c r="BK40" s="262">
        <f>AO40*Inputs!F40*Inputs!I40</f>
        <v>0</v>
      </c>
      <c r="BL40" s="262">
        <f>AP40*Inputs!F40*Inputs!I40</f>
        <v>0</v>
      </c>
      <c r="BM40" s="262">
        <f>AQ40*Inputs!F40*Inputs!I40</f>
        <v>0</v>
      </c>
      <c r="BN40" s="263"/>
      <c r="BO40" s="263"/>
    </row>
    <row r="41" spans="1:67" x14ac:dyDescent="0.25">
      <c r="A41" s="262"/>
      <c r="B41" s="262"/>
      <c r="C41" s="262"/>
      <c r="D41" s="262"/>
      <c r="E41" s="262"/>
      <c r="F41" s="262"/>
      <c r="G41" s="262"/>
      <c r="H41" s="262"/>
      <c r="I41" s="262"/>
      <c r="J41" s="262"/>
      <c r="K41" s="263"/>
      <c r="L41" s="262">
        <f>Inputs!A41</f>
        <v>0</v>
      </c>
      <c r="M41" s="262"/>
      <c r="N41" s="262"/>
      <c r="O41" s="262"/>
      <c r="P41" s="262"/>
      <c r="Q41" s="262"/>
      <c r="R41" s="262"/>
      <c r="S41" s="262"/>
      <c r="T41" s="262"/>
      <c r="U41" s="262"/>
      <c r="V41" s="263"/>
      <c r="W41" s="262">
        <f>Inputs!A41</f>
        <v>0</v>
      </c>
      <c r="X41" s="262">
        <f t="shared" si="18"/>
        <v>0</v>
      </c>
      <c r="Y41" s="267">
        <f t="shared" si="19"/>
        <v>0</v>
      </c>
      <c r="Z41" s="267">
        <f t="shared" si="19"/>
        <v>0</v>
      </c>
      <c r="AA41" s="267">
        <f t="shared" si="19"/>
        <v>0</v>
      </c>
      <c r="AB41" s="267">
        <f t="shared" si="19"/>
        <v>0</v>
      </c>
      <c r="AC41" s="267">
        <f t="shared" si="19"/>
        <v>0</v>
      </c>
      <c r="AD41" s="267">
        <f t="shared" si="19"/>
        <v>0</v>
      </c>
      <c r="AE41" s="267">
        <f t="shared" si="19"/>
        <v>0</v>
      </c>
      <c r="AF41" s="267">
        <f t="shared" si="20"/>
        <v>0</v>
      </c>
      <c r="AG41" s="263"/>
      <c r="AH41" s="262">
        <f>Inputs!A41</f>
        <v>0</v>
      </c>
      <c r="AI41" s="262">
        <f t="shared" si="21"/>
        <v>0</v>
      </c>
      <c r="AJ41" s="262">
        <f t="shared" si="24"/>
        <v>0</v>
      </c>
      <c r="AK41" s="262">
        <f t="shared" si="24"/>
        <v>0</v>
      </c>
      <c r="AL41" s="262">
        <f t="shared" si="24"/>
        <v>0</v>
      </c>
      <c r="AM41" s="262">
        <f t="shared" si="24"/>
        <v>0</v>
      </c>
      <c r="AN41" s="262">
        <f t="shared" si="24"/>
        <v>0</v>
      </c>
      <c r="AO41" s="262">
        <f t="shared" si="24"/>
        <v>0</v>
      </c>
      <c r="AP41" s="262">
        <f t="shared" si="24"/>
        <v>0</v>
      </c>
      <c r="AQ41" s="262">
        <f t="shared" si="23"/>
        <v>0</v>
      </c>
      <c r="AR41" s="263"/>
      <c r="AS41" s="262">
        <f>Inputs!A41</f>
        <v>0</v>
      </c>
      <c r="AT41" s="262">
        <f>X41*Inputs!F41*Inputs!G41</f>
        <v>0</v>
      </c>
      <c r="AU41" s="262">
        <f>Y41*Inputs!F41*Inputs!G41</f>
        <v>0</v>
      </c>
      <c r="AV41" s="262">
        <f>Z41*Inputs!F41*Inputs!G41</f>
        <v>0</v>
      </c>
      <c r="AW41" s="262">
        <f>AA41*Inputs!F41*Inputs!G41</f>
        <v>0</v>
      </c>
      <c r="AX41" s="262">
        <f>AB41*Inputs!F41*Inputs!G41</f>
        <v>0</v>
      </c>
      <c r="AY41" s="262">
        <f>AC41*Inputs!F41*Inputs!G41</f>
        <v>0</v>
      </c>
      <c r="AZ41" s="262">
        <f>AD41*Inputs!F41*Inputs!G41</f>
        <v>0</v>
      </c>
      <c r="BA41" s="262">
        <f>AE41*Inputs!F41*Inputs!G41</f>
        <v>0</v>
      </c>
      <c r="BB41" s="262">
        <f>AF41*Inputs!F41*Inputs!H41</f>
        <v>0</v>
      </c>
      <c r="BC41" s="263"/>
      <c r="BD41" s="262">
        <f>Inputs!A41</f>
        <v>0</v>
      </c>
      <c r="BE41" s="262">
        <f>AI41*Inputs!F41*Inputs!I41</f>
        <v>0</v>
      </c>
      <c r="BF41" s="262">
        <f>AJ41*Inputs!F41*Inputs!I41</f>
        <v>0</v>
      </c>
      <c r="BG41" s="262">
        <f>AK41*Inputs!F41*Inputs!I41</f>
        <v>0</v>
      </c>
      <c r="BH41" s="262">
        <f>AL41*Inputs!F41*Inputs!I41</f>
        <v>0</v>
      </c>
      <c r="BI41" s="262">
        <f>AM41*Inputs!F41*Inputs!I41</f>
        <v>0</v>
      </c>
      <c r="BJ41" s="262">
        <f>AN41*Inputs!F41*Inputs!I41</f>
        <v>0</v>
      </c>
      <c r="BK41" s="262">
        <f>AO41*Inputs!F41*Inputs!I41</f>
        <v>0</v>
      </c>
      <c r="BL41" s="262">
        <f>AP41*Inputs!F41*Inputs!I41</f>
        <v>0</v>
      </c>
      <c r="BM41" s="262">
        <f>AQ41*Inputs!F41*Inputs!I41</f>
        <v>0</v>
      </c>
      <c r="BN41" s="263"/>
      <c r="BO41" s="263"/>
    </row>
    <row r="42" spans="1:67" x14ac:dyDescent="0.25">
      <c r="A42" s="262"/>
      <c r="B42" s="262"/>
      <c r="C42" s="262"/>
      <c r="D42" s="262"/>
      <c r="E42" s="262"/>
      <c r="F42" s="262"/>
      <c r="G42" s="262"/>
      <c r="H42" s="262"/>
      <c r="I42" s="262"/>
      <c r="J42" s="262"/>
      <c r="K42" s="263"/>
      <c r="L42" s="262">
        <f>Inputs!A42</f>
        <v>0</v>
      </c>
      <c r="M42" s="262"/>
      <c r="N42" s="262"/>
      <c r="O42" s="262"/>
      <c r="P42" s="262"/>
      <c r="Q42" s="262"/>
      <c r="R42" s="262"/>
      <c r="S42" s="262"/>
      <c r="T42" s="262"/>
      <c r="U42" s="262"/>
      <c r="V42" s="263"/>
      <c r="W42" s="262">
        <f>Inputs!A42</f>
        <v>0</v>
      </c>
      <c r="X42" s="262">
        <f t="shared" si="18"/>
        <v>0</v>
      </c>
      <c r="Y42" s="267">
        <f t="shared" si="19"/>
        <v>0</v>
      </c>
      <c r="Z42" s="267">
        <f t="shared" si="19"/>
        <v>0</v>
      </c>
      <c r="AA42" s="267">
        <f t="shared" si="19"/>
        <v>0</v>
      </c>
      <c r="AB42" s="267">
        <f t="shared" si="19"/>
        <v>0</v>
      </c>
      <c r="AC42" s="267">
        <f t="shared" si="19"/>
        <v>0</v>
      </c>
      <c r="AD42" s="267">
        <f t="shared" si="19"/>
        <v>0</v>
      </c>
      <c r="AE42" s="267">
        <f t="shared" si="19"/>
        <v>0</v>
      </c>
      <c r="AF42" s="267">
        <f t="shared" si="20"/>
        <v>0</v>
      </c>
      <c r="AG42" s="263"/>
      <c r="AH42" s="262">
        <f>Inputs!A42</f>
        <v>0</v>
      </c>
      <c r="AI42" s="262">
        <f t="shared" si="21"/>
        <v>0</v>
      </c>
      <c r="AJ42" s="262">
        <f t="shared" si="24"/>
        <v>0</v>
      </c>
      <c r="AK42" s="262">
        <f t="shared" si="24"/>
        <v>0</v>
      </c>
      <c r="AL42" s="262">
        <f t="shared" si="24"/>
        <v>0</v>
      </c>
      <c r="AM42" s="262">
        <f t="shared" si="24"/>
        <v>0</v>
      </c>
      <c r="AN42" s="262">
        <f t="shared" si="24"/>
        <v>0</v>
      </c>
      <c r="AO42" s="262">
        <f t="shared" si="24"/>
        <v>0</v>
      </c>
      <c r="AP42" s="262">
        <f t="shared" si="24"/>
        <v>0</v>
      </c>
      <c r="AQ42" s="262">
        <f t="shared" si="23"/>
        <v>0</v>
      </c>
      <c r="AR42" s="263"/>
      <c r="AS42" s="262">
        <f>Inputs!A42</f>
        <v>0</v>
      </c>
      <c r="AT42" s="262">
        <f>X42*Inputs!F42*Inputs!G42</f>
        <v>0</v>
      </c>
      <c r="AU42" s="262">
        <f>Y42*Inputs!F42*Inputs!G42</f>
        <v>0</v>
      </c>
      <c r="AV42" s="262">
        <f>Z42*Inputs!F42*Inputs!G42</f>
        <v>0</v>
      </c>
      <c r="AW42" s="262">
        <f>AA42*Inputs!F42*Inputs!G42</f>
        <v>0</v>
      </c>
      <c r="AX42" s="262">
        <f>AB42*Inputs!F42*Inputs!G42</f>
        <v>0</v>
      </c>
      <c r="AY42" s="262">
        <f>AC42*Inputs!F42*Inputs!G42</f>
        <v>0</v>
      </c>
      <c r="AZ42" s="262">
        <f>AD42*Inputs!F42*Inputs!G42</f>
        <v>0</v>
      </c>
      <c r="BA42" s="262">
        <f>AE42*Inputs!F42*Inputs!G42</f>
        <v>0</v>
      </c>
      <c r="BB42" s="262">
        <f>AF42*Inputs!F42*Inputs!H42</f>
        <v>0</v>
      </c>
      <c r="BC42" s="263"/>
      <c r="BD42" s="262">
        <f>Inputs!A42</f>
        <v>0</v>
      </c>
      <c r="BE42" s="262">
        <f>AI42*Inputs!F42*Inputs!I42</f>
        <v>0</v>
      </c>
      <c r="BF42" s="262">
        <f>AJ42*Inputs!F42*Inputs!I42</f>
        <v>0</v>
      </c>
      <c r="BG42" s="262">
        <f>AK42*Inputs!F42*Inputs!I42</f>
        <v>0</v>
      </c>
      <c r="BH42" s="262">
        <f>AL42*Inputs!F42*Inputs!I42</f>
        <v>0</v>
      </c>
      <c r="BI42" s="262">
        <f>AM42*Inputs!F42*Inputs!I42</f>
        <v>0</v>
      </c>
      <c r="BJ42" s="262">
        <f>AN42*Inputs!F42*Inputs!I42</f>
        <v>0</v>
      </c>
      <c r="BK42" s="262">
        <f>AO42*Inputs!F42*Inputs!I42</f>
        <v>0</v>
      </c>
      <c r="BL42" s="262">
        <f>AP42*Inputs!F42*Inputs!I42</f>
        <v>0</v>
      </c>
      <c r="BM42" s="262">
        <f>AQ42*Inputs!F42*Inputs!I42</f>
        <v>0</v>
      </c>
      <c r="BN42" s="263"/>
      <c r="BO42" s="263"/>
    </row>
    <row r="43" spans="1:67" x14ac:dyDescent="0.25">
      <c r="A43" s="262"/>
      <c r="B43" s="262"/>
      <c r="C43" s="262"/>
      <c r="D43" s="262"/>
      <c r="E43" s="262"/>
      <c r="F43" s="262"/>
      <c r="G43" s="262"/>
      <c r="H43" s="262"/>
      <c r="I43" s="262"/>
      <c r="J43" s="262"/>
      <c r="K43" s="263"/>
      <c r="L43" s="262">
        <f>Inputs!A43</f>
        <v>0</v>
      </c>
      <c r="M43" s="262"/>
      <c r="N43" s="262"/>
      <c r="O43" s="262"/>
      <c r="P43" s="262"/>
      <c r="Q43" s="262"/>
      <c r="R43" s="262"/>
      <c r="S43" s="262"/>
      <c r="T43" s="262"/>
      <c r="U43" s="262"/>
      <c r="V43" s="263"/>
      <c r="W43" s="262">
        <f>Inputs!A43</f>
        <v>0</v>
      </c>
      <c r="X43" s="262">
        <f t="shared" si="18"/>
        <v>0</v>
      </c>
      <c r="Y43" s="267">
        <f t="shared" si="19"/>
        <v>0</v>
      </c>
      <c r="Z43" s="267">
        <f t="shared" si="19"/>
        <v>0</v>
      </c>
      <c r="AA43" s="267">
        <f t="shared" si="19"/>
        <v>0</v>
      </c>
      <c r="AB43" s="267">
        <f t="shared" si="19"/>
        <v>0</v>
      </c>
      <c r="AC43" s="267">
        <f t="shared" si="19"/>
        <v>0</v>
      </c>
      <c r="AD43" s="267">
        <f t="shared" si="19"/>
        <v>0</v>
      </c>
      <c r="AE43" s="267">
        <f t="shared" si="19"/>
        <v>0</v>
      </c>
      <c r="AF43" s="267">
        <f t="shared" si="20"/>
        <v>0</v>
      </c>
      <c r="AG43" s="263"/>
      <c r="AH43" s="262">
        <f>Inputs!A43</f>
        <v>0</v>
      </c>
      <c r="AI43" s="262">
        <f t="shared" si="21"/>
        <v>0</v>
      </c>
      <c r="AJ43" s="262">
        <f t="shared" si="24"/>
        <v>0</v>
      </c>
      <c r="AK43" s="262">
        <f t="shared" si="24"/>
        <v>0</v>
      </c>
      <c r="AL43" s="262">
        <f t="shared" si="24"/>
        <v>0</v>
      </c>
      <c r="AM43" s="262">
        <f t="shared" si="24"/>
        <v>0</v>
      </c>
      <c r="AN43" s="262">
        <f t="shared" si="24"/>
        <v>0</v>
      </c>
      <c r="AO43" s="262">
        <f t="shared" si="24"/>
        <v>0</v>
      </c>
      <c r="AP43" s="262">
        <f t="shared" si="24"/>
        <v>0</v>
      </c>
      <c r="AQ43" s="262">
        <f t="shared" si="23"/>
        <v>0</v>
      </c>
      <c r="AR43" s="263"/>
      <c r="AS43" s="262">
        <f>Inputs!A43</f>
        <v>0</v>
      </c>
      <c r="AT43" s="262">
        <f>X43*Inputs!F43*Inputs!G43</f>
        <v>0</v>
      </c>
      <c r="AU43" s="262">
        <f>Y43*Inputs!F43*Inputs!G43</f>
        <v>0</v>
      </c>
      <c r="AV43" s="262">
        <f>Z43*Inputs!F43*Inputs!G43</f>
        <v>0</v>
      </c>
      <c r="AW43" s="262">
        <f>AA43*Inputs!F43*Inputs!G43</f>
        <v>0</v>
      </c>
      <c r="AX43" s="262">
        <f>AB43*Inputs!F43*Inputs!G43</f>
        <v>0</v>
      </c>
      <c r="AY43" s="262">
        <f>AC43*Inputs!F43*Inputs!G43</f>
        <v>0</v>
      </c>
      <c r="AZ43" s="262">
        <f>AD43*Inputs!F43*Inputs!G43</f>
        <v>0</v>
      </c>
      <c r="BA43" s="262">
        <f>AE43*Inputs!F43*Inputs!G43</f>
        <v>0</v>
      </c>
      <c r="BB43" s="262">
        <f>AF43*Inputs!F43*Inputs!H43</f>
        <v>0</v>
      </c>
      <c r="BC43" s="263"/>
      <c r="BD43" s="262">
        <f>Inputs!A43</f>
        <v>0</v>
      </c>
      <c r="BE43" s="262">
        <f>AI43*Inputs!F43*Inputs!I43</f>
        <v>0</v>
      </c>
      <c r="BF43" s="262">
        <f>AJ43*Inputs!F43*Inputs!I43</f>
        <v>0</v>
      </c>
      <c r="BG43" s="262">
        <f>AK43*Inputs!F43*Inputs!I43</f>
        <v>0</v>
      </c>
      <c r="BH43" s="262">
        <f>AL43*Inputs!F43*Inputs!I43</f>
        <v>0</v>
      </c>
      <c r="BI43" s="262">
        <f>AM43*Inputs!F43*Inputs!I43</f>
        <v>0</v>
      </c>
      <c r="BJ43" s="262">
        <f>AN43*Inputs!F43*Inputs!I43</f>
        <v>0</v>
      </c>
      <c r="BK43" s="262">
        <f>AO43*Inputs!F43*Inputs!I43</f>
        <v>0</v>
      </c>
      <c r="BL43" s="262">
        <f>AP43*Inputs!F43*Inputs!I43</f>
        <v>0</v>
      </c>
      <c r="BM43" s="262">
        <f>AQ43*Inputs!F43*Inputs!I43</f>
        <v>0</v>
      </c>
      <c r="BN43" s="263"/>
      <c r="BO43" s="263"/>
    </row>
    <row r="44" spans="1:67" x14ac:dyDescent="0.25">
      <c r="A44" s="262"/>
      <c r="B44" s="262"/>
      <c r="C44" s="262"/>
      <c r="D44" s="262"/>
      <c r="E44" s="262"/>
      <c r="F44" s="262"/>
      <c r="G44" s="262"/>
      <c r="H44" s="262"/>
      <c r="I44" s="262"/>
      <c r="J44" s="262"/>
      <c r="K44" s="263"/>
      <c r="L44" s="262">
        <f>Inputs!A44</f>
        <v>0</v>
      </c>
      <c r="M44" s="262"/>
      <c r="N44" s="262"/>
      <c r="O44" s="262"/>
      <c r="P44" s="262"/>
      <c r="Q44" s="262"/>
      <c r="R44" s="262"/>
      <c r="S44" s="262"/>
      <c r="T44" s="262"/>
      <c r="U44" s="262"/>
      <c r="V44" s="263"/>
      <c r="W44" s="262">
        <f>Inputs!A44</f>
        <v>0</v>
      </c>
      <c r="X44" s="262">
        <f t="shared" si="18"/>
        <v>0</v>
      </c>
      <c r="Y44" s="267">
        <f t="shared" si="19"/>
        <v>0</v>
      </c>
      <c r="Z44" s="267">
        <f t="shared" si="19"/>
        <v>0</v>
      </c>
      <c r="AA44" s="267">
        <f t="shared" si="19"/>
        <v>0</v>
      </c>
      <c r="AB44" s="267">
        <f t="shared" si="19"/>
        <v>0</v>
      </c>
      <c r="AC44" s="267">
        <f t="shared" si="19"/>
        <v>0</v>
      </c>
      <c r="AD44" s="267">
        <f t="shared" si="19"/>
        <v>0</v>
      </c>
      <c r="AE44" s="267">
        <f t="shared" si="19"/>
        <v>0</v>
      </c>
      <c r="AF44" s="267">
        <f t="shared" si="20"/>
        <v>0</v>
      </c>
      <c r="AG44" s="263"/>
      <c r="AH44" s="262">
        <f>Inputs!A44</f>
        <v>0</v>
      </c>
      <c r="AI44" s="262">
        <f t="shared" si="21"/>
        <v>0</v>
      </c>
      <c r="AJ44" s="262">
        <f t="shared" si="24"/>
        <v>0</v>
      </c>
      <c r="AK44" s="262">
        <f t="shared" si="24"/>
        <v>0</v>
      </c>
      <c r="AL44" s="262">
        <f t="shared" si="24"/>
        <v>0</v>
      </c>
      <c r="AM44" s="262">
        <f t="shared" si="24"/>
        <v>0</v>
      </c>
      <c r="AN44" s="262">
        <f t="shared" si="24"/>
        <v>0</v>
      </c>
      <c r="AO44" s="262">
        <f t="shared" si="24"/>
        <v>0</v>
      </c>
      <c r="AP44" s="262">
        <f t="shared" si="24"/>
        <v>0</v>
      </c>
      <c r="AQ44" s="262">
        <f t="shared" si="23"/>
        <v>0</v>
      </c>
      <c r="AR44" s="263"/>
      <c r="AS44" s="262">
        <f>Inputs!A44</f>
        <v>0</v>
      </c>
      <c r="AT44" s="262">
        <f>X44*Inputs!F44*Inputs!G44</f>
        <v>0</v>
      </c>
      <c r="AU44" s="262">
        <f>Y44*Inputs!F44*Inputs!G44</f>
        <v>0</v>
      </c>
      <c r="AV44" s="262">
        <f>Z44*Inputs!F44*Inputs!G44</f>
        <v>0</v>
      </c>
      <c r="AW44" s="262">
        <f>AA44*Inputs!F44*Inputs!G44</f>
        <v>0</v>
      </c>
      <c r="AX44" s="262">
        <f>AB44*Inputs!F44*Inputs!G44</f>
        <v>0</v>
      </c>
      <c r="AY44" s="262">
        <f>AC44*Inputs!F44*Inputs!G44</f>
        <v>0</v>
      </c>
      <c r="AZ44" s="262">
        <f>AD44*Inputs!F44*Inputs!G44</f>
        <v>0</v>
      </c>
      <c r="BA44" s="262">
        <f>AE44*Inputs!F44*Inputs!G44</f>
        <v>0</v>
      </c>
      <c r="BB44" s="262">
        <f>AF44*Inputs!F44*Inputs!H44</f>
        <v>0</v>
      </c>
      <c r="BC44" s="263"/>
      <c r="BD44" s="262">
        <f>Inputs!A44</f>
        <v>0</v>
      </c>
      <c r="BE44" s="262">
        <f>AI44*Inputs!F44*Inputs!I44</f>
        <v>0</v>
      </c>
      <c r="BF44" s="262">
        <f>AJ44*Inputs!F44*Inputs!I44</f>
        <v>0</v>
      </c>
      <c r="BG44" s="262">
        <f>AK44*Inputs!F44*Inputs!I44</f>
        <v>0</v>
      </c>
      <c r="BH44" s="262">
        <f>AL44*Inputs!F44*Inputs!I44</f>
        <v>0</v>
      </c>
      <c r="BI44" s="262">
        <f>AM44*Inputs!F44*Inputs!I44</f>
        <v>0</v>
      </c>
      <c r="BJ44" s="262">
        <f>AN44*Inputs!F44*Inputs!I44</f>
        <v>0</v>
      </c>
      <c r="BK44" s="262">
        <f>AO44*Inputs!F44*Inputs!I44</f>
        <v>0</v>
      </c>
      <c r="BL44" s="262">
        <f>AP44*Inputs!F44*Inputs!I44</f>
        <v>0</v>
      </c>
      <c r="BM44" s="262">
        <f>AQ44*Inputs!F44*Inputs!I44</f>
        <v>0</v>
      </c>
      <c r="BN44" s="263"/>
      <c r="BO44" s="263"/>
    </row>
    <row r="45" spans="1:67" x14ac:dyDescent="0.25">
      <c r="A45" s="262"/>
      <c r="B45" s="262"/>
      <c r="C45" s="262"/>
      <c r="D45" s="262"/>
      <c r="E45" s="262"/>
      <c r="F45" s="262"/>
      <c r="G45" s="262"/>
      <c r="H45" s="262"/>
      <c r="I45" s="262"/>
      <c r="J45" s="262"/>
      <c r="K45" s="263"/>
      <c r="L45" s="262">
        <f>Inputs!A45</f>
        <v>0</v>
      </c>
      <c r="M45" s="262"/>
      <c r="N45" s="262"/>
      <c r="O45" s="262"/>
      <c r="P45" s="262"/>
      <c r="Q45" s="262"/>
      <c r="R45" s="262"/>
      <c r="S45" s="262"/>
      <c r="T45" s="262"/>
      <c r="U45" s="262"/>
      <c r="V45" s="263"/>
      <c r="W45" s="262">
        <f>Inputs!A45</f>
        <v>0</v>
      </c>
      <c r="X45" s="262">
        <f t="shared" si="18"/>
        <v>0</v>
      </c>
      <c r="Y45" s="267">
        <f t="shared" si="19"/>
        <v>0</v>
      </c>
      <c r="Z45" s="267">
        <f t="shared" si="19"/>
        <v>0</v>
      </c>
      <c r="AA45" s="267">
        <f t="shared" si="19"/>
        <v>0</v>
      </c>
      <c r="AB45" s="267">
        <f t="shared" si="19"/>
        <v>0</v>
      </c>
      <c r="AC45" s="267">
        <f t="shared" si="19"/>
        <v>0</v>
      </c>
      <c r="AD45" s="267">
        <f t="shared" si="19"/>
        <v>0</v>
      </c>
      <c r="AE45" s="267">
        <f t="shared" si="19"/>
        <v>0</v>
      </c>
      <c r="AF45" s="267">
        <f t="shared" si="20"/>
        <v>0</v>
      </c>
      <c r="AG45" s="263"/>
      <c r="AH45" s="262">
        <f>Inputs!A45</f>
        <v>0</v>
      </c>
      <c r="AI45" s="262">
        <f t="shared" si="21"/>
        <v>0</v>
      </c>
      <c r="AJ45" s="262">
        <f t="shared" si="24"/>
        <v>0</v>
      </c>
      <c r="AK45" s="262">
        <f t="shared" si="24"/>
        <v>0</v>
      </c>
      <c r="AL45" s="262">
        <f t="shared" si="24"/>
        <v>0</v>
      </c>
      <c r="AM45" s="262">
        <f t="shared" si="24"/>
        <v>0</v>
      </c>
      <c r="AN45" s="262">
        <f t="shared" si="24"/>
        <v>0</v>
      </c>
      <c r="AO45" s="262">
        <f t="shared" si="24"/>
        <v>0</v>
      </c>
      <c r="AP45" s="262">
        <f t="shared" si="24"/>
        <v>0</v>
      </c>
      <c r="AQ45" s="262">
        <f t="shared" si="23"/>
        <v>0</v>
      </c>
      <c r="AR45" s="263"/>
      <c r="AS45" s="262">
        <f>Inputs!A45</f>
        <v>0</v>
      </c>
      <c r="AT45" s="262">
        <f>X45*Inputs!F45*Inputs!G45</f>
        <v>0</v>
      </c>
      <c r="AU45" s="262">
        <f>Y45*Inputs!F45*Inputs!G45</f>
        <v>0</v>
      </c>
      <c r="AV45" s="262">
        <f>Z45*Inputs!F45*Inputs!G45</f>
        <v>0</v>
      </c>
      <c r="AW45" s="262">
        <f>AA45*Inputs!F45*Inputs!G45</f>
        <v>0</v>
      </c>
      <c r="AX45" s="262">
        <f>AB45*Inputs!F45*Inputs!G45</f>
        <v>0</v>
      </c>
      <c r="AY45" s="262">
        <f>AC45*Inputs!F45*Inputs!G45</f>
        <v>0</v>
      </c>
      <c r="AZ45" s="262">
        <f>AD45*Inputs!F45*Inputs!G45</f>
        <v>0</v>
      </c>
      <c r="BA45" s="262">
        <f>AE45*Inputs!F45*Inputs!G45</f>
        <v>0</v>
      </c>
      <c r="BB45" s="262">
        <f>AF45*Inputs!F45*Inputs!H45</f>
        <v>0</v>
      </c>
      <c r="BC45" s="263"/>
      <c r="BD45" s="262">
        <f>Inputs!A45</f>
        <v>0</v>
      </c>
      <c r="BE45" s="262">
        <f>AI45*Inputs!F45*Inputs!I45</f>
        <v>0</v>
      </c>
      <c r="BF45" s="262">
        <f>AJ45*Inputs!F45*Inputs!I45</f>
        <v>0</v>
      </c>
      <c r="BG45" s="262">
        <f>AK45*Inputs!F45*Inputs!I45</f>
        <v>0</v>
      </c>
      <c r="BH45" s="262">
        <f>AL45*Inputs!F45*Inputs!I45</f>
        <v>0</v>
      </c>
      <c r="BI45" s="262">
        <f>AM45*Inputs!F45*Inputs!I45</f>
        <v>0</v>
      </c>
      <c r="BJ45" s="262">
        <f>AN45*Inputs!F45*Inputs!I45</f>
        <v>0</v>
      </c>
      <c r="BK45" s="262">
        <f>AO45*Inputs!F45*Inputs!I45</f>
        <v>0</v>
      </c>
      <c r="BL45" s="262">
        <f>AP45*Inputs!F45*Inputs!I45</f>
        <v>0</v>
      </c>
      <c r="BM45" s="262">
        <f>AQ45*Inputs!F45*Inputs!I45</f>
        <v>0</v>
      </c>
      <c r="BN45" s="263"/>
      <c r="BO45" s="263"/>
    </row>
    <row r="46" spans="1:67" x14ac:dyDescent="0.25">
      <c r="A46" s="262"/>
      <c r="B46" s="262"/>
      <c r="C46" s="262"/>
      <c r="D46" s="262"/>
      <c r="E46" s="262"/>
      <c r="F46" s="262"/>
      <c r="G46" s="262"/>
      <c r="H46" s="262"/>
      <c r="I46" s="262"/>
      <c r="J46" s="262"/>
      <c r="K46" s="263"/>
      <c r="L46" s="262">
        <f>Inputs!A46</f>
        <v>0</v>
      </c>
      <c r="M46" s="262"/>
      <c r="N46" s="262"/>
      <c r="O46" s="262"/>
      <c r="P46" s="262"/>
      <c r="Q46" s="262"/>
      <c r="R46" s="262"/>
      <c r="S46" s="262"/>
      <c r="T46" s="262"/>
      <c r="U46" s="262"/>
      <c r="V46" s="263"/>
      <c r="W46" s="262">
        <f>Inputs!A46</f>
        <v>0</v>
      </c>
      <c r="X46" s="262">
        <f t="shared" si="18"/>
        <v>0</v>
      </c>
      <c r="Y46" s="267">
        <f t="shared" si="19"/>
        <v>0</v>
      </c>
      <c r="Z46" s="267">
        <f t="shared" si="19"/>
        <v>0</v>
      </c>
      <c r="AA46" s="267">
        <f t="shared" si="19"/>
        <v>0</v>
      </c>
      <c r="AB46" s="267">
        <f t="shared" si="19"/>
        <v>0</v>
      </c>
      <c r="AC46" s="267">
        <f t="shared" si="19"/>
        <v>0</v>
      </c>
      <c r="AD46" s="267">
        <f t="shared" si="19"/>
        <v>0</v>
      </c>
      <c r="AE46" s="267">
        <f t="shared" si="19"/>
        <v>0</v>
      </c>
      <c r="AF46" s="267">
        <f t="shared" si="20"/>
        <v>0</v>
      </c>
      <c r="AG46" s="263"/>
      <c r="AH46" s="262">
        <f>Inputs!A46</f>
        <v>0</v>
      </c>
      <c r="AI46" s="262">
        <f t="shared" si="21"/>
        <v>0</v>
      </c>
      <c r="AJ46" s="262">
        <f t="shared" si="24"/>
        <v>0</v>
      </c>
      <c r="AK46" s="262">
        <f t="shared" si="24"/>
        <v>0</v>
      </c>
      <c r="AL46" s="262">
        <f t="shared" si="24"/>
        <v>0</v>
      </c>
      <c r="AM46" s="262">
        <f t="shared" si="24"/>
        <v>0</v>
      </c>
      <c r="AN46" s="262">
        <f t="shared" si="24"/>
        <v>0</v>
      </c>
      <c r="AO46" s="262">
        <f t="shared" si="24"/>
        <v>0</v>
      </c>
      <c r="AP46" s="262">
        <f t="shared" si="24"/>
        <v>0</v>
      </c>
      <c r="AQ46" s="262">
        <f t="shared" si="23"/>
        <v>0</v>
      </c>
      <c r="AR46" s="263"/>
      <c r="AS46" s="262">
        <f>Inputs!A46</f>
        <v>0</v>
      </c>
      <c r="AT46" s="262">
        <f>X46*Inputs!F46*Inputs!G46</f>
        <v>0</v>
      </c>
      <c r="AU46" s="262">
        <f>Y46*Inputs!F46*Inputs!G46</f>
        <v>0</v>
      </c>
      <c r="AV46" s="262">
        <f>Z46*Inputs!F46*Inputs!G46</f>
        <v>0</v>
      </c>
      <c r="AW46" s="262">
        <f>AA46*Inputs!F46*Inputs!G46</f>
        <v>0</v>
      </c>
      <c r="AX46" s="262">
        <f>AB46*Inputs!F46*Inputs!G46</f>
        <v>0</v>
      </c>
      <c r="AY46" s="262">
        <f>AC46*Inputs!F46*Inputs!G46</f>
        <v>0</v>
      </c>
      <c r="AZ46" s="262">
        <f>AD46*Inputs!F46*Inputs!G46</f>
        <v>0</v>
      </c>
      <c r="BA46" s="262">
        <f>AE46*Inputs!F46*Inputs!G46</f>
        <v>0</v>
      </c>
      <c r="BB46" s="262">
        <f>AF46*Inputs!F46*Inputs!H46</f>
        <v>0</v>
      </c>
      <c r="BC46" s="263"/>
      <c r="BD46" s="262">
        <f>Inputs!A46</f>
        <v>0</v>
      </c>
      <c r="BE46" s="262">
        <f>AI46*Inputs!F46*Inputs!I46</f>
        <v>0</v>
      </c>
      <c r="BF46" s="262">
        <f>AJ46*Inputs!F46*Inputs!I46</f>
        <v>0</v>
      </c>
      <c r="BG46" s="262">
        <f>AK46*Inputs!F46*Inputs!I46</f>
        <v>0</v>
      </c>
      <c r="BH46" s="262">
        <f>AL46*Inputs!F46*Inputs!I46</f>
        <v>0</v>
      </c>
      <c r="BI46" s="262">
        <f>AM46*Inputs!F46*Inputs!I46</f>
        <v>0</v>
      </c>
      <c r="BJ46" s="262">
        <f>AN46*Inputs!F46*Inputs!I46</f>
        <v>0</v>
      </c>
      <c r="BK46" s="262">
        <f>AO46*Inputs!F46*Inputs!I46</f>
        <v>0</v>
      </c>
      <c r="BL46" s="262">
        <f>AP46*Inputs!F46*Inputs!I46</f>
        <v>0</v>
      </c>
      <c r="BM46" s="262">
        <f>AQ46*Inputs!F46*Inputs!I46</f>
        <v>0</v>
      </c>
      <c r="BN46" s="263"/>
      <c r="BO46" s="263"/>
    </row>
    <row r="47" spans="1:67" x14ac:dyDescent="0.25">
      <c r="A47" s="262"/>
      <c r="B47" s="262"/>
      <c r="C47" s="262"/>
      <c r="D47" s="262"/>
      <c r="E47" s="262"/>
      <c r="F47" s="262"/>
      <c r="G47" s="262"/>
      <c r="H47" s="262"/>
      <c r="I47" s="262"/>
      <c r="J47" s="262"/>
      <c r="K47" s="263"/>
      <c r="L47" s="262">
        <f>Inputs!A47</f>
        <v>0</v>
      </c>
      <c r="M47" s="262"/>
      <c r="N47" s="262"/>
      <c r="O47" s="262"/>
      <c r="P47" s="262"/>
      <c r="Q47" s="262"/>
      <c r="R47" s="262"/>
      <c r="S47" s="262"/>
      <c r="T47" s="262"/>
      <c r="U47" s="262"/>
      <c r="V47" s="263"/>
      <c r="W47" s="262">
        <f>Inputs!A47</f>
        <v>0</v>
      </c>
      <c r="X47" s="262">
        <f t="shared" si="18"/>
        <v>0</v>
      </c>
      <c r="Y47" s="267">
        <f t="shared" si="19"/>
        <v>0</v>
      </c>
      <c r="Z47" s="267">
        <f t="shared" si="19"/>
        <v>0</v>
      </c>
      <c r="AA47" s="267">
        <f t="shared" si="19"/>
        <v>0</v>
      </c>
      <c r="AB47" s="267">
        <f t="shared" si="19"/>
        <v>0</v>
      </c>
      <c r="AC47" s="267">
        <f t="shared" si="19"/>
        <v>0</v>
      </c>
      <c r="AD47" s="267">
        <f t="shared" si="19"/>
        <v>0</v>
      </c>
      <c r="AE47" s="267">
        <f t="shared" si="19"/>
        <v>0</v>
      </c>
      <c r="AF47" s="267">
        <f t="shared" si="20"/>
        <v>0</v>
      </c>
      <c r="AG47" s="263"/>
      <c r="AH47" s="262">
        <f>Inputs!A47</f>
        <v>0</v>
      </c>
      <c r="AI47" s="262">
        <f t="shared" si="21"/>
        <v>0</v>
      </c>
      <c r="AJ47" s="262">
        <f t="shared" si="24"/>
        <v>0</v>
      </c>
      <c r="AK47" s="262">
        <f t="shared" si="24"/>
        <v>0</v>
      </c>
      <c r="AL47" s="262">
        <f t="shared" si="24"/>
        <v>0</v>
      </c>
      <c r="AM47" s="262">
        <f t="shared" si="24"/>
        <v>0</v>
      </c>
      <c r="AN47" s="262">
        <f t="shared" si="24"/>
        <v>0</v>
      </c>
      <c r="AO47" s="262">
        <f t="shared" si="24"/>
        <v>0</v>
      </c>
      <c r="AP47" s="262">
        <f t="shared" si="24"/>
        <v>0</v>
      </c>
      <c r="AQ47" s="262">
        <f t="shared" si="23"/>
        <v>0</v>
      </c>
      <c r="AR47" s="263"/>
      <c r="AS47" s="262">
        <f>Inputs!A47</f>
        <v>0</v>
      </c>
      <c r="AT47" s="262">
        <f>X47*Inputs!F47*Inputs!G47</f>
        <v>0</v>
      </c>
      <c r="AU47" s="262">
        <f>Y47*Inputs!F47*Inputs!G47</f>
        <v>0</v>
      </c>
      <c r="AV47" s="262">
        <f>Z47*Inputs!F47*Inputs!G47</f>
        <v>0</v>
      </c>
      <c r="AW47" s="262">
        <f>AA47*Inputs!F47*Inputs!G47</f>
        <v>0</v>
      </c>
      <c r="AX47" s="262">
        <f>AB47*Inputs!F47*Inputs!G47</f>
        <v>0</v>
      </c>
      <c r="AY47" s="262">
        <f>AC47*Inputs!F47*Inputs!G47</f>
        <v>0</v>
      </c>
      <c r="AZ47" s="262">
        <f>AD47*Inputs!F47*Inputs!G47</f>
        <v>0</v>
      </c>
      <c r="BA47" s="262">
        <f>AE47*Inputs!F47*Inputs!G47</f>
        <v>0</v>
      </c>
      <c r="BB47" s="262">
        <f>AF47*Inputs!F47*Inputs!H47</f>
        <v>0</v>
      </c>
      <c r="BC47" s="263"/>
      <c r="BD47" s="262">
        <f>Inputs!A47</f>
        <v>0</v>
      </c>
      <c r="BE47" s="262">
        <f>AI47*Inputs!F47*Inputs!I47</f>
        <v>0</v>
      </c>
      <c r="BF47" s="262">
        <f>AJ47*Inputs!F47*Inputs!I47</f>
        <v>0</v>
      </c>
      <c r="BG47" s="262">
        <f>AK47*Inputs!F47*Inputs!I47</f>
        <v>0</v>
      </c>
      <c r="BH47" s="262">
        <f>AL47*Inputs!F47*Inputs!I47</f>
        <v>0</v>
      </c>
      <c r="BI47" s="262">
        <f>AM47*Inputs!F47*Inputs!I47</f>
        <v>0</v>
      </c>
      <c r="BJ47" s="262">
        <f>AN47*Inputs!F47*Inputs!I47</f>
        <v>0</v>
      </c>
      <c r="BK47" s="262">
        <f>AO47*Inputs!F47*Inputs!I47</f>
        <v>0</v>
      </c>
      <c r="BL47" s="262">
        <f>AP47*Inputs!F47*Inputs!I47</f>
        <v>0</v>
      </c>
      <c r="BM47" s="262">
        <f>AQ47*Inputs!F47*Inputs!I47</f>
        <v>0</v>
      </c>
      <c r="BN47" s="263"/>
      <c r="BO47" s="263"/>
    </row>
    <row r="48" spans="1:67" x14ac:dyDescent="0.25">
      <c r="A48" s="262"/>
      <c r="B48" s="262"/>
      <c r="C48" s="262"/>
      <c r="D48" s="262"/>
      <c r="E48" s="262"/>
      <c r="F48" s="262"/>
      <c r="G48" s="262"/>
      <c r="H48" s="262"/>
      <c r="I48" s="262"/>
      <c r="J48" s="262"/>
      <c r="K48" s="263"/>
      <c r="L48" s="262">
        <f>Inputs!A48</f>
        <v>0</v>
      </c>
      <c r="M48" s="262"/>
      <c r="N48" s="262"/>
      <c r="O48" s="262"/>
      <c r="P48" s="262"/>
      <c r="Q48" s="262"/>
      <c r="R48" s="262"/>
      <c r="S48" s="262"/>
      <c r="T48" s="262"/>
      <c r="U48" s="262"/>
      <c r="V48" s="263"/>
      <c r="W48" s="262">
        <f>Inputs!A48</f>
        <v>0</v>
      </c>
      <c r="X48" s="262">
        <f t="shared" si="18"/>
        <v>0</v>
      </c>
      <c r="Y48" s="267">
        <f t="shared" si="19"/>
        <v>0</v>
      </c>
      <c r="Z48" s="267">
        <f t="shared" si="19"/>
        <v>0</v>
      </c>
      <c r="AA48" s="267">
        <f t="shared" si="19"/>
        <v>0</v>
      </c>
      <c r="AB48" s="267">
        <f t="shared" si="19"/>
        <v>0</v>
      </c>
      <c r="AC48" s="267">
        <f t="shared" si="19"/>
        <v>0</v>
      </c>
      <c r="AD48" s="267">
        <f t="shared" si="19"/>
        <v>0</v>
      </c>
      <c r="AE48" s="267">
        <f t="shared" si="19"/>
        <v>0</v>
      </c>
      <c r="AF48" s="267">
        <f t="shared" si="20"/>
        <v>0</v>
      </c>
      <c r="AG48" s="263"/>
      <c r="AH48" s="262">
        <f>Inputs!A48</f>
        <v>0</v>
      </c>
      <c r="AI48" s="262">
        <f t="shared" si="21"/>
        <v>0</v>
      </c>
      <c r="AJ48" s="262">
        <f t="shared" si="24"/>
        <v>0</v>
      </c>
      <c r="AK48" s="262">
        <f t="shared" si="24"/>
        <v>0</v>
      </c>
      <c r="AL48" s="262">
        <f t="shared" si="24"/>
        <v>0</v>
      </c>
      <c r="AM48" s="262">
        <f t="shared" si="24"/>
        <v>0</v>
      </c>
      <c r="AN48" s="262">
        <f t="shared" si="24"/>
        <v>0</v>
      </c>
      <c r="AO48" s="262">
        <f t="shared" si="24"/>
        <v>0</v>
      </c>
      <c r="AP48" s="262">
        <f t="shared" si="24"/>
        <v>0</v>
      </c>
      <c r="AQ48" s="262">
        <f t="shared" si="23"/>
        <v>0</v>
      </c>
      <c r="AR48" s="263"/>
      <c r="AS48" s="262">
        <f>Inputs!A48</f>
        <v>0</v>
      </c>
      <c r="AT48" s="262">
        <f>X48*Inputs!F48*Inputs!G48</f>
        <v>0</v>
      </c>
      <c r="AU48" s="262">
        <f>Y48*Inputs!F48*Inputs!G48</f>
        <v>0</v>
      </c>
      <c r="AV48" s="262">
        <f>Z48*Inputs!F48*Inputs!G48</f>
        <v>0</v>
      </c>
      <c r="AW48" s="262">
        <f>AA48*Inputs!F48*Inputs!G48</f>
        <v>0</v>
      </c>
      <c r="AX48" s="262">
        <f>AB48*Inputs!F48*Inputs!G48</f>
        <v>0</v>
      </c>
      <c r="AY48" s="262">
        <f>AC48*Inputs!F48*Inputs!G48</f>
        <v>0</v>
      </c>
      <c r="AZ48" s="262">
        <f>AD48*Inputs!F48*Inputs!G48</f>
        <v>0</v>
      </c>
      <c r="BA48" s="262">
        <f>AE48*Inputs!F48*Inputs!G48</f>
        <v>0</v>
      </c>
      <c r="BB48" s="262">
        <f>AF48*Inputs!F48*Inputs!H48</f>
        <v>0</v>
      </c>
      <c r="BC48" s="263"/>
      <c r="BD48" s="262">
        <f>Inputs!A48</f>
        <v>0</v>
      </c>
      <c r="BE48" s="262">
        <f>AI48*Inputs!F48*Inputs!I48</f>
        <v>0</v>
      </c>
      <c r="BF48" s="262">
        <f>AJ48*Inputs!F48*Inputs!I48</f>
        <v>0</v>
      </c>
      <c r="BG48" s="262">
        <f>AK48*Inputs!F48*Inputs!I48</f>
        <v>0</v>
      </c>
      <c r="BH48" s="262">
        <f>AL48*Inputs!F48*Inputs!I48</f>
        <v>0</v>
      </c>
      <c r="BI48" s="262">
        <f>AM48*Inputs!F48*Inputs!I48</f>
        <v>0</v>
      </c>
      <c r="BJ48" s="262">
        <f>AN48*Inputs!F48*Inputs!I48</f>
        <v>0</v>
      </c>
      <c r="BK48" s="262">
        <f>AO48*Inputs!F48*Inputs!I48</f>
        <v>0</v>
      </c>
      <c r="BL48" s="262">
        <f>AP48*Inputs!F48*Inputs!I48</f>
        <v>0</v>
      </c>
      <c r="BM48" s="262">
        <f>AQ48*Inputs!F48*Inputs!I48</f>
        <v>0</v>
      </c>
      <c r="BN48" s="263"/>
      <c r="BO48" s="263"/>
    </row>
    <row r="49" spans="1:67" x14ac:dyDescent="0.25">
      <c r="A49" s="262"/>
      <c r="B49" s="262"/>
      <c r="C49" s="262"/>
      <c r="D49" s="262"/>
      <c r="E49" s="262"/>
      <c r="F49" s="262"/>
      <c r="G49" s="262"/>
      <c r="H49" s="262"/>
      <c r="I49" s="262"/>
      <c r="J49" s="262"/>
      <c r="K49" s="263"/>
      <c r="L49" s="262">
        <f>Inputs!A49</f>
        <v>0</v>
      </c>
      <c r="M49" s="262"/>
      <c r="N49" s="262"/>
      <c r="O49" s="262"/>
      <c r="P49" s="262"/>
      <c r="Q49" s="262"/>
      <c r="R49" s="262"/>
      <c r="S49" s="262"/>
      <c r="T49" s="262"/>
      <c r="U49" s="262"/>
      <c r="V49" s="263"/>
      <c r="W49" s="262">
        <f>Inputs!A49</f>
        <v>0</v>
      </c>
      <c r="X49" s="262">
        <f t="shared" si="18"/>
        <v>0</v>
      </c>
      <c r="Y49" s="267">
        <f t="shared" si="19"/>
        <v>0</v>
      </c>
      <c r="Z49" s="267">
        <f t="shared" si="19"/>
        <v>0</v>
      </c>
      <c r="AA49" s="267">
        <f t="shared" si="19"/>
        <v>0</v>
      </c>
      <c r="AB49" s="267">
        <f t="shared" si="19"/>
        <v>0</v>
      </c>
      <c r="AC49" s="267">
        <f t="shared" si="19"/>
        <v>0</v>
      </c>
      <c r="AD49" s="267">
        <f t="shared" si="19"/>
        <v>0</v>
      </c>
      <c r="AE49" s="267">
        <f t="shared" si="19"/>
        <v>0</v>
      </c>
      <c r="AF49" s="267">
        <f t="shared" si="20"/>
        <v>0</v>
      </c>
      <c r="AG49" s="263"/>
      <c r="AH49" s="262">
        <f>Inputs!A49</f>
        <v>0</v>
      </c>
      <c r="AI49" s="262">
        <f t="shared" si="21"/>
        <v>0</v>
      </c>
      <c r="AJ49" s="262">
        <f t="shared" si="24"/>
        <v>0</v>
      </c>
      <c r="AK49" s="262">
        <f t="shared" si="24"/>
        <v>0</v>
      </c>
      <c r="AL49" s="262">
        <f t="shared" si="24"/>
        <v>0</v>
      </c>
      <c r="AM49" s="262">
        <f t="shared" si="24"/>
        <v>0</v>
      </c>
      <c r="AN49" s="262">
        <f t="shared" si="24"/>
        <v>0</v>
      </c>
      <c r="AO49" s="262">
        <f t="shared" si="24"/>
        <v>0</v>
      </c>
      <c r="AP49" s="262">
        <f t="shared" si="24"/>
        <v>0</v>
      </c>
      <c r="AQ49" s="262">
        <f t="shared" si="23"/>
        <v>0</v>
      </c>
      <c r="AR49" s="263"/>
      <c r="AS49" s="262">
        <f>Inputs!A49</f>
        <v>0</v>
      </c>
      <c r="AT49" s="262">
        <f>X49*Inputs!F49*Inputs!G49</f>
        <v>0</v>
      </c>
      <c r="AU49" s="262">
        <f>Y49*Inputs!F49*Inputs!G49</f>
        <v>0</v>
      </c>
      <c r="AV49" s="262">
        <f>Z49*Inputs!F49*Inputs!G49</f>
        <v>0</v>
      </c>
      <c r="AW49" s="262">
        <f>AA49*Inputs!F49*Inputs!G49</f>
        <v>0</v>
      </c>
      <c r="AX49" s="262">
        <f>AB49*Inputs!F49*Inputs!G49</f>
        <v>0</v>
      </c>
      <c r="AY49" s="262">
        <f>AC49*Inputs!F49*Inputs!G49</f>
        <v>0</v>
      </c>
      <c r="AZ49" s="262">
        <f>AD49*Inputs!F49*Inputs!G49</f>
        <v>0</v>
      </c>
      <c r="BA49" s="262">
        <f>AE49*Inputs!F49*Inputs!G49</f>
        <v>0</v>
      </c>
      <c r="BB49" s="262">
        <f>AF49*Inputs!F49*Inputs!H49</f>
        <v>0</v>
      </c>
      <c r="BC49" s="263"/>
      <c r="BD49" s="262">
        <f>Inputs!A49</f>
        <v>0</v>
      </c>
      <c r="BE49" s="262">
        <f>AI49*Inputs!F49*Inputs!I49</f>
        <v>0</v>
      </c>
      <c r="BF49" s="262">
        <f>AJ49*Inputs!F49*Inputs!I49</f>
        <v>0</v>
      </c>
      <c r="BG49" s="262">
        <f>AK49*Inputs!F49*Inputs!I49</f>
        <v>0</v>
      </c>
      <c r="BH49" s="262">
        <f>AL49*Inputs!F49*Inputs!I49</f>
        <v>0</v>
      </c>
      <c r="BI49" s="262">
        <f>AM49*Inputs!F49*Inputs!I49</f>
        <v>0</v>
      </c>
      <c r="BJ49" s="262">
        <f>AN49*Inputs!F49*Inputs!I49</f>
        <v>0</v>
      </c>
      <c r="BK49" s="262">
        <f>AO49*Inputs!F49*Inputs!I49</f>
        <v>0</v>
      </c>
      <c r="BL49" s="262">
        <f>AP49*Inputs!F49*Inputs!I49</f>
        <v>0</v>
      </c>
      <c r="BM49" s="262">
        <f>AQ49*Inputs!F49*Inputs!I49</f>
        <v>0</v>
      </c>
      <c r="BN49" s="263"/>
      <c r="BO49" s="263"/>
    </row>
    <row r="50" spans="1:67" x14ac:dyDescent="0.25">
      <c r="A50" s="262"/>
      <c r="B50" s="262"/>
      <c r="C50" s="262"/>
      <c r="D50" s="262"/>
      <c r="E50" s="262"/>
      <c r="F50" s="262"/>
      <c r="G50" s="262"/>
      <c r="H50" s="262"/>
      <c r="I50" s="262"/>
      <c r="J50" s="262"/>
      <c r="K50" s="263"/>
      <c r="L50" s="262">
        <f>Inputs!A50</f>
        <v>0</v>
      </c>
      <c r="M50" s="262"/>
      <c r="N50" s="262"/>
      <c r="O50" s="262"/>
      <c r="P50" s="262"/>
      <c r="Q50" s="262"/>
      <c r="R50" s="262"/>
      <c r="S50" s="262"/>
      <c r="T50" s="262"/>
      <c r="U50" s="262"/>
      <c r="V50" s="263"/>
      <c r="W50" s="262">
        <f>Inputs!A50</f>
        <v>0</v>
      </c>
      <c r="X50" s="262">
        <f t="shared" si="18"/>
        <v>0</v>
      </c>
      <c r="Y50" s="267">
        <f t="shared" si="19"/>
        <v>0</v>
      </c>
      <c r="Z50" s="267">
        <f t="shared" si="19"/>
        <v>0</v>
      </c>
      <c r="AA50" s="267">
        <f t="shared" si="19"/>
        <v>0</v>
      </c>
      <c r="AB50" s="267">
        <f t="shared" si="19"/>
        <v>0</v>
      </c>
      <c r="AC50" s="267">
        <f t="shared" si="19"/>
        <v>0</v>
      </c>
      <c r="AD50" s="267">
        <f t="shared" si="19"/>
        <v>0</v>
      </c>
      <c r="AE50" s="267">
        <f t="shared" si="19"/>
        <v>0</v>
      </c>
      <c r="AF50" s="267">
        <f t="shared" si="20"/>
        <v>0</v>
      </c>
      <c r="AG50" s="263"/>
      <c r="AH50" s="262">
        <f>Inputs!A50</f>
        <v>0</v>
      </c>
      <c r="AI50" s="262">
        <f t="shared" si="21"/>
        <v>0</v>
      </c>
      <c r="AJ50" s="262">
        <f t="shared" si="24"/>
        <v>0</v>
      </c>
      <c r="AK50" s="262">
        <f t="shared" si="24"/>
        <v>0</v>
      </c>
      <c r="AL50" s="262">
        <f t="shared" si="24"/>
        <v>0</v>
      </c>
      <c r="AM50" s="262">
        <f t="shared" si="24"/>
        <v>0</v>
      </c>
      <c r="AN50" s="262">
        <f t="shared" si="24"/>
        <v>0</v>
      </c>
      <c r="AO50" s="262">
        <f t="shared" si="24"/>
        <v>0</v>
      </c>
      <c r="AP50" s="262">
        <f t="shared" si="24"/>
        <v>0</v>
      </c>
      <c r="AQ50" s="262">
        <f t="shared" si="23"/>
        <v>0</v>
      </c>
      <c r="AR50" s="263"/>
      <c r="AS50" s="262">
        <f>Inputs!A50</f>
        <v>0</v>
      </c>
      <c r="AT50" s="262">
        <f>X50*Inputs!F50*Inputs!G50</f>
        <v>0</v>
      </c>
      <c r="AU50" s="262">
        <f>Y50*Inputs!F50*Inputs!G50</f>
        <v>0</v>
      </c>
      <c r="AV50" s="262">
        <f>Z50*Inputs!F50*Inputs!G50</f>
        <v>0</v>
      </c>
      <c r="AW50" s="262">
        <f>AA50*Inputs!F50*Inputs!G50</f>
        <v>0</v>
      </c>
      <c r="AX50" s="262">
        <f>AB50*Inputs!F50*Inputs!G50</f>
        <v>0</v>
      </c>
      <c r="AY50" s="262">
        <f>AC50*Inputs!F50*Inputs!G50</f>
        <v>0</v>
      </c>
      <c r="AZ50" s="262">
        <f>AD50*Inputs!F50*Inputs!G50</f>
        <v>0</v>
      </c>
      <c r="BA50" s="262">
        <f>AE50*Inputs!F50*Inputs!G50</f>
        <v>0</v>
      </c>
      <c r="BB50" s="262">
        <f>AF50*Inputs!F50*Inputs!H50</f>
        <v>0</v>
      </c>
      <c r="BC50" s="263"/>
      <c r="BD50" s="262">
        <f>Inputs!A50</f>
        <v>0</v>
      </c>
      <c r="BE50" s="262">
        <f>AI50*Inputs!F50*Inputs!I50</f>
        <v>0</v>
      </c>
      <c r="BF50" s="262">
        <f>AJ50*Inputs!F50*Inputs!I50</f>
        <v>0</v>
      </c>
      <c r="BG50" s="262">
        <f>AK50*Inputs!F50*Inputs!I50</f>
        <v>0</v>
      </c>
      <c r="BH50" s="262">
        <f>AL50*Inputs!F50*Inputs!I50</f>
        <v>0</v>
      </c>
      <c r="BI50" s="262">
        <f>AM50*Inputs!F50*Inputs!I50</f>
        <v>0</v>
      </c>
      <c r="BJ50" s="262">
        <f>AN50*Inputs!F50*Inputs!I50</f>
        <v>0</v>
      </c>
      <c r="BK50" s="262">
        <f>AO50*Inputs!F50*Inputs!I50</f>
        <v>0</v>
      </c>
      <c r="BL50" s="262">
        <f>AP50*Inputs!F50*Inputs!I50</f>
        <v>0</v>
      </c>
      <c r="BM50" s="262">
        <f>AQ50*Inputs!F50*Inputs!I50</f>
        <v>0</v>
      </c>
      <c r="BN50" s="263"/>
      <c r="BO50" s="263"/>
    </row>
    <row r="51" spans="1:67" x14ac:dyDescent="0.25">
      <c r="A51" s="262"/>
      <c r="B51" s="262"/>
      <c r="C51" s="262"/>
      <c r="D51" s="262"/>
      <c r="E51" s="262"/>
      <c r="F51" s="262"/>
      <c r="G51" s="262"/>
      <c r="H51" s="262"/>
      <c r="I51" s="262"/>
      <c r="J51" s="262"/>
      <c r="K51" s="263"/>
      <c r="L51" s="262">
        <f>Inputs!A51</f>
        <v>0</v>
      </c>
      <c r="M51" s="262"/>
      <c r="N51" s="262"/>
      <c r="O51" s="262"/>
      <c r="P51" s="262"/>
      <c r="Q51" s="262"/>
      <c r="R51" s="262"/>
      <c r="S51" s="262"/>
      <c r="T51" s="262"/>
      <c r="U51" s="262"/>
      <c r="V51" s="263"/>
      <c r="W51" s="262">
        <f>Inputs!A51</f>
        <v>0</v>
      </c>
      <c r="X51" s="262">
        <f t="shared" si="18"/>
        <v>0</v>
      </c>
      <c r="Y51" s="267">
        <f t="shared" si="19"/>
        <v>0</v>
      </c>
      <c r="Z51" s="267">
        <f t="shared" si="19"/>
        <v>0</v>
      </c>
      <c r="AA51" s="267">
        <f t="shared" si="19"/>
        <v>0</v>
      </c>
      <c r="AB51" s="267">
        <f t="shared" si="19"/>
        <v>0</v>
      </c>
      <c r="AC51" s="267">
        <f t="shared" si="19"/>
        <v>0</v>
      </c>
      <c r="AD51" s="267">
        <f t="shared" si="19"/>
        <v>0</v>
      </c>
      <c r="AE51" s="267">
        <f t="shared" si="19"/>
        <v>0</v>
      </c>
      <c r="AF51" s="267">
        <f t="shared" si="20"/>
        <v>0</v>
      </c>
      <c r="AG51" s="263"/>
      <c r="AH51" s="262">
        <f>Inputs!A51</f>
        <v>0</v>
      </c>
      <c r="AI51" s="262">
        <f t="shared" si="21"/>
        <v>0</v>
      </c>
      <c r="AJ51" s="262">
        <f t="shared" si="24"/>
        <v>0</v>
      </c>
      <c r="AK51" s="262">
        <f t="shared" si="24"/>
        <v>0</v>
      </c>
      <c r="AL51" s="262">
        <f t="shared" si="24"/>
        <v>0</v>
      </c>
      <c r="AM51" s="262">
        <f t="shared" si="24"/>
        <v>0</v>
      </c>
      <c r="AN51" s="262">
        <f t="shared" si="24"/>
        <v>0</v>
      </c>
      <c r="AO51" s="262">
        <f t="shared" si="24"/>
        <v>0</v>
      </c>
      <c r="AP51" s="262">
        <f t="shared" si="24"/>
        <v>0</v>
      </c>
      <c r="AQ51" s="262">
        <f t="shared" si="23"/>
        <v>0</v>
      </c>
      <c r="AR51" s="263"/>
      <c r="AS51" s="262">
        <f>Inputs!A51</f>
        <v>0</v>
      </c>
      <c r="AT51" s="262">
        <f>X51*Inputs!F51*Inputs!G51</f>
        <v>0</v>
      </c>
      <c r="AU51" s="262">
        <f>Y51*Inputs!F51*Inputs!G51</f>
        <v>0</v>
      </c>
      <c r="AV51" s="262">
        <f>Z51*Inputs!F51*Inputs!G51</f>
        <v>0</v>
      </c>
      <c r="AW51" s="262">
        <f>AA51*Inputs!F51*Inputs!G51</f>
        <v>0</v>
      </c>
      <c r="AX51" s="262">
        <f>AB51*Inputs!F51*Inputs!G51</f>
        <v>0</v>
      </c>
      <c r="AY51" s="262">
        <f>AC51*Inputs!F51*Inputs!G51</f>
        <v>0</v>
      </c>
      <c r="AZ51" s="262">
        <f>AD51*Inputs!F51*Inputs!G51</f>
        <v>0</v>
      </c>
      <c r="BA51" s="262">
        <f>AE51*Inputs!F51*Inputs!G51</f>
        <v>0</v>
      </c>
      <c r="BB51" s="262">
        <f>AF51*Inputs!F51*Inputs!H51</f>
        <v>0</v>
      </c>
      <c r="BC51" s="263"/>
      <c r="BD51" s="262">
        <f>Inputs!A51</f>
        <v>0</v>
      </c>
      <c r="BE51" s="262">
        <f>AI51*Inputs!F51*Inputs!I51</f>
        <v>0</v>
      </c>
      <c r="BF51" s="262">
        <f>AJ51*Inputs!F51*Inputs!I51</f>
        <v>0</v>
      </c>
      <c r="BG51" s="262">
        <f>AK51*Inputs!F51*Inputs!I51</f>
        <v>0</v>
      </c>
      <c r="BH51" s="262">
        <f>AL51*Inputs!F51*Inputs!I51</f>
        <v>0</v>
      </c>
      <c r="BI51" s="262">
        <f>AM51*Inputs!F51*Inputs!I51</f>
        <v>0</v>
      </c>
      <c r="BJ51" s="262">
        <f>AN51*Inputs!F51*Inputs!I51</f>
        <v>0</v>
      </c>
      <c r="BK51" s="262">
        <f>AO51*Inputs!F51*Inputs!I51</f>
        <v>0</v>
      </c>
      <c r="BL51" s="262">
        <f>AP51*Inputs!F51*Inputs!I51</f>
        <v>0</v>
      </c>
      <c r="BM51" s="262">
        <f>AQ51*Inputs!F51*Inputs!I51</f>
        <v>0</v>
      </c>
      <c r="BN51" s="263"/>
      <c r="BO51" s="263"/>
    </row>
    <row r="52" spans="1:67" x14ac:dyDescent="0.25">
      <c r="A52" s="262"/>
      <c r="B52" s="262"/>
      <c r="C52" s="262"/>
      <c r="D52" s="262"/>
      <c r="E52" s="262"/>
      <c r="F52" s="262"/>
      <c r="G52" s="262"/>
      <c r="H52" s="262"/>
      <c r="I52" s="262"/>
      <c r="J52" s="262"/>
      <c r="K52" s="263"/>
      <c r="L52" s="262">
        <f>Inputs!A52</f>
        <v>0</v>
      </c>
      <c r="M52" s="262"/>
      <c r="N52" s="262"/>
      <c r="O52" s="262"/>
      <c r="P52" s="262"/>
      <c r="Q52" s="262"/>
      <c r="R52" s="262"/>
      <c r="S52" s="262"/>
      <c r="T52" s="262"/>
      <c r="U52" s="262"/>
      <c r="V52" s="263"/>
      <c r="W52" s="262">
        <f>Inputs!A52</f>
        <v>0</v>
      </c>
      <c r="X52" s="262">
        <f t="shared" si="18"/>
        <v>0</v>
      </c>
      <c r="Y52" s="267">
        <f t="shared" si="19"/>
        <v>0</v>
      </c>
      <c r="Z52" s="267">
        <f t="shared" si="19"/>
        <v>0</v>
      </c>
      <c r="AA52" s="267">
        <f t="shared" si="19"/>
        <v>0</v>
      </c>
      <c r="AB52" s="267">
        <f>MAX(AA52+F52-Q52,0)</f>
        <v>0</v>
      </c>
      <c r="AC52" s="267">
        <f>MAX(AB52+G52-R52,0)</f>
        <v>0</v>
      </c>
      <c r="AD52" s="267">
        <f>MAX(AC52+H52-S52,0)</f>
        <v>0</v>
      </c>
      <c r="AE52" s="267">
        <f>MAX(AD52+I52-T52,0)</f>
        <v>0</v>
      </c>
      <c r="AF52" s="267">
        <f t="shared" si="20"/>
        <v>0</v>
      </c>
      <c r="AG52" s="263"/>
      <c r="AH52" s="262">
        <f>Inputs!A52</f>
        <v>0</v>
      </c>
      <c r="AI52" s="262">
        <f t="shared" si="21"/>
        <v>0</v>
      </c>
      <c r="AJ52" s="262">
        <f t="shared" si="24"/>
        <v>0</v>
      </c>
      <c r="AK52" s="262">
        <f t="shared" si="24"/>
        <v>0</v>
      </c>
      <c r="AL52" s="262">
        <f t="shared" si="24"/>
        <v>0</v>
      </c>
      <c r="AM52" s="262">
        <f t="shared" si="24"/>
        <v>0</v>
      </c>
      <c r="AN52" s="262">
        <f t="shared" si="24"/>
        <v>0</v>
      </c>
      <c r="AO52" s="262">
        <f t="shared" si="24"/>
        <v>0</v>
      </c>
      <c r="AP52" s="262">
        <f t="shared" si="24"/>
        <v>0</v>
      </c>
      <c r="AQ52" s="262">
        <f t="shared" si="23"/>
        <v>0</v>
      </c>
      <c r="AR52" s="263"/>
      <c r="AS52" s="262">
        <f>Inputs!A52</f>
        <v>0</v>
      </c>
      <c r="AT52" s="262">
        <f>X52*Inputs!F52*Inputs!G52</f>
        <v>0</v>
      </c>
      <c r="AU52" s="262">
        <f>Y52*Inputs!F52*Inputs!G52</f>
        <v>0</v>
      </c>
      <c r="AV52" s="262">
        <f>Z52*Inputs!F52*Inputs!G52</f>
        <v>0</v>
      </c>
      <c r="AW52" s="262">
        <f>AA52*Inputs!F52*Inputs!G52</f>
        <v>0</v>
      </c>
      <c r="AX52" s="262">
        <f>AB52*Inputs!F52*Inputs!G52</f>
        <v>0</v>
      </c>
      <c r="AY52" s="262">
        <f>AC52*Inputs!F52*Inputs!G52</f>
        <v>0</v>
      </c>
      <c r="AZ52" s="262">
        <f>AD52*Inputs!F52*Inputs!G52</f>
        <v>0</v>
      </c>
      <c r="BA52" s="262">
        <f>AE52*Inputs!F52*Inputs!G52</f>
        <v>0</v>
      </c>
      <c r="BB52" s="262">
        <f>AF52*Inputs!F52*Inputs!H52</f>
        <v>0</v>
      </c>
      <c r="BC52" s="263"/>
      <c r="BD52" s="262">
        <f>Inputs!A52</f>
        <v>0</v>
      </c>
      <c r="BE52" s="262">
        <f>AI52*Inputs!F52*Inputs!I52</f>
        <v>0</v>
      </c>
      <c r="BF52" s="262">
        <f>AJ52*Inputs!F52*Inputs!I52</f>
        <v>0</v>
      </c>
      <c r="BG52" s="262">
        <f>AK52*Inputs!F52*Inputs!I52</f>
        <v>0</v>
      </c>
      <c r="BH52" s="262">
        <f>AL52*Inputs!F52*Inputs!I52</f>
        <v>0</v>
      </c>
      <c r="BI52" s="262">
        <f>AM52*Inputs!F52*Inputs!I52</f>
        <v>0</v>
      </c>
      <c r="BJ52" s="262">
        <f>AN52*Inputs!F52*Inputs!I52</f>
        <v>0</v>
      </c>
      <c r="BK52" s="262">
        <f>AO52*Inputs!F52*Inputs!I52</f>
        <v>0</v>
      </c>
      <c r="BL52" s="262">
        <f>AP52*Inputs!F52*Inputs!I52</f>
        <v>0</v>
      </c>
      <c r="BM52" s="262">
        <f>AQ52*Inputs!F52*Inputs!I52</f>
        <v>0</v>
      </c>
      <c r="BN52" s="263"/>
      <c r="BO52" s="263"/>
    </row>
    <row r="53" spans="1:67" x14ac:dyDescent="0.25">
      <c r="A53" s="263"/>
      <c r="B53" s="263"/>
      <c r="C53" s="263"/>
      <c r="D53" s="263"/>
      <c r="E53" s="263"/>
      <c r="F53" s="263"/>
      <c r="G53" s="263"/>
      <c r="H53" s="263"/>
      <c r="I53" s="263"/>
      <c r="J53" s="263"/>
      <c r="K53" s="263"/>
      <c r="L53" s="263"/>
      <c r="M53" s="263"/>
      <c r="N53" s="263"/>
      <c r="O53" s="263"/>
      <c r="P53" s="263"/>
      <c r="Q53" s="263"/>
      <c r="R53" s="263"/>
      <c r="S53" s="263"/>
      <c r="T53" s="263"/>
      <c r="U53" s="263"/>
      <c r="V53" s="263"/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3"/>
      <c r="AH53" s="263"/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3"/>
      <c r="AT53" s="263"/>
      <c r="AU53" s="263"/>
      <c r="AV53" s="263"/>
      <c r="AW53" s="263"/>
      <c r="AX53" s="263"/>
      <c r="AY53" s="263"/>
      <c r="AZ53" s="263"/>
      <c r="BA53" s="263"/>
      <c r="BB53" s="263"/>
      <c r="BC53" s="263"/>
      <c r="BD53" s="263"/>
      <c r="BE53" s="263"/>
      <c r="BF53" s="263"/>
      <c r="BG53" s="263"/>
      <c r="BH53" s="263"/>
      <c r="BI53" s="263"/>
      <c r="BJ53" s="263"/>
      <c r="BK53" s="268"/>
      <c r="BL53" s="263"/>
      <c r="BM53" s="263"/>
      <c r="BN53" s="263"/>
      <c r="BO53" s="263"/>
    </row>
    <row r="54" spans="1:67" x14ac:dyDescent="0.25">
      <c r="A54" s="263"/>
      <c r="B54" s="263"/>
      <c r="C54" s="263"/>
      <c r="D54" s="263"/>
      <c r="E54" s="263"/>
      <c r="F54" s="263"/>
      <c r="G54" s="263"/>
      <c r="H54" s="263"/>
      <c r="I54" s="263"/>
      <c r="J54" s="263"/>
      <c r="K54" s="263"/>
      <c r="L54" s="263"/>
      <c r="M54" s="263"/>
      <c r="N54" s="263"/>
      <c r="O54" s="263"/>
      <c r="P54" s="263"/>
      <c r="Q54" s="263"/>
      <c r="R54" s="263"/>
      <c r="S54" s="263"/>
      <c r="T54" s="263"/>
      <c r="U54" s="263"/>
      <c r="V54" s="263"/>
      <c r="W54" s="263"/>
      <c r="X54" s="263"/>
      <c r="Y54" s="263"/>
      <c r="Z54" s="263"/>
      <c r="AA54" s="263"/>
      <c r="AB54" s="263"/>
      <c r="AC54" s="263"/>
      <c r="AD54" s="263"/>
      <c r="AE54" s="263"/>
      <c r="AF54" s="263"/>
      <c r="AG54" s="263"/>
      <c r="AH54" s="263"/>
      <c r="AI54" s="263"/>
      <c r="AJ54" s="263"/>
      <c r="AK54" s="263"/>
      <c r="AL54" s="263"/>
      <c r="AM54" s="263"/>
      <c r="AN54" s="263"/>
      <c r="AO54" s="263"/>
      <c r="AP54" s="263"/>
      <c r="AQ54" s="263"/>
      <c r="AR54" s="263"/>
      <c r="AS54" s="263"/>
      <c r="AT54" s="263"/>
      <c r="AU54" s="263"/>
      <c r="AV54" s="263"/>
      <c r="AW54" s="263"/>
      <c r="AX54" s="263"/>
      <c r="AY54" s="263"/>
      <c r="AZ54" s="263"/>
      <c r="BA54" s="263"/>
      <c r="BB54" s="263"/>
      <c r="BC54" s="263"/>
      <c r="BD54" s="263"/>
      <c r="BE54" s="263"/>
      <c r="BF54" s="263"/>
      <c r="BG54" s="263"/>
      <c r="BH54" s="263"/>
      <c r="BI54" s="263"/>
      <c r="BJ54" s="263"/>
      <c r="BK54" s="268"/>
      <c r="BL54" s="263"/>
      <c r="BM54" s="263"/>
      <c r="BN54" s="263"/>
      <c r="BO54" s="263"/>
    </row>
    <row r="55" spans="1:67" x14ac:dyDescent="0.25">
      <c r="A55" s="263"/>
      <c r="B55" s="263"/>
      <c r="C55" s="263"/>
      <c r="D55" s="263"/>
      <c r="E55" s="263"/>
      <c r="F55" s="263"/>
      <c r="G55" s="263"/>
      <c r="H55" s="263"/>
      <c r="I55" s="263"/>
      <c r="J55" s="263"/>
      <c r="K55" s="263"/>
      <c r="L55" s="263"/>
      <c r="M55" s="263"/>
      <c r="N55" s="263"/>
      <c r="O55" s="263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3"/>
      <c r="AB55" s="263"/>
      <c r="AC55" s="263"/>
      <c r="AD55" s="263"/>
      <c r="AE55" s="263"/>
      <c r="AF55" s="263"/>
      <c r="AG55" s="263"/>
      <c r="AH55" s="263"/>
      <c r="AI55" s="263"/>
      <c r="AJ55" s="263"/>
      <c r="AK55" s="263"/>
      <c r="AL55" s="263"/>
      <c r="AM55" s="263"/>
      <c r="AN55" s="263"/>
      <c r="AO55" s="263"/>
      <c r="AP55" s="263"/>
      <c r="AQ55" s="263"/>
      <c r="AR55" s="263"/>
      <c r="AS55" s="263"/>
      <c r="AT55" s="263"/>
      <c r="AU55" s="263"/>
      <c r="AV55" s="263"/>
      <c r="AW55" s="263"/>
      <c r="AX55" s="263"/>
      <c r="AY55" s="263"/>
      <c r="AZ55" s="263"/>
      <c r="BA55" s="263"/>
      <c r="BB55" s="263"/>
      <c r="BC55" s="263"/>
      <c r="BD55" s="263"/>
      <c r="BE55" s="263"/>
      <c r="BF55" s="263"/>
      <c r="BG55" s="263"/>
      <c r="BH55" s="263"/>
      <c r="BI55" s="263"/>
      <c r="BJ55" s="263"/>
      <c r="BK55" s="268"/>
      <c r="BL55" s="263"/>
      <c r="BM55" s="263"/>
      <c r="BN55" s="263"/>
      <c r="BO55" s="263"/>
    </row>
    <row r="56" spans="1:67" x14ac:dyDescent="0.25">
      <c r="A56" s="263"/>
      <c r="B56" s="263"/>
      <c r="C56" s="263"/>
      <c r="D56" s="263"/>
      <c r="E56" s="263"/>
      <c r="F56" s="263"/>
      <c r="G56" s="263"/>
      <c r="H56" s="263"/>
      <c r="I56" s="263"/>
      <c r="J56" s="263"/>
      <c r="K56" s="263"/>
      <c r="L56" s="263"/>
      <c r="M56" s="263"/>
      <c r="N56" s="263"/>
      <c r="O56" s="263"/>
      <c r="P56" s="263"/>
      <c r="Q56" s="263"/>
      <c r="R56" s="263"/>
      <c r="S56" s="263"/>
      <c r="T56" s="263"/>
      <c r="U56" s="263"/>
      <c r="V56" s="263"/>
      <c r="W56" s="263"/>
      <c r="X56" s="263"/>
      <c r="Y56" s="263"/>
      <c r="Z56" s="263"/>
      <c r="AA56" s="263"/>
      <c r="AB56" s="263"/>
      <c r="AC56" s="263"/>
      <c r="AD56" s="263"/>
      <c r="AE56" s="263"/>
      <c r="AF56" s="263"/>
      <c r="AG56" s="263"/>
      <c r="AH56" s="263"/>
      <c r="AI56" s="263"/>
      <c r="AJ56" s="263"/>
      <c r="AK56" s="263"/>
      <c r="AL56" s="263"/>
      <c r="AM56" s="263"/>
      <c r="AN56" s="263"/>
      <c r="AO56" s="263"/>
      <c r="AP56" s="263"/>
      <c r="AQ56" s="263"/>
      <c r="AR56" s="263"/>
      <c r="AS56" s="263"/>
      <c r="AT56" s="263"/>
      <c r="AU56" s="263"/>
      <c r="AV56" s="263"/>
      <c r="AW56" s="263"/>
      <c r="AX56" s="263"/>
      <c r="AY56" s="263"/>
      <c r="AZ56" s="263"/>
      <c r="BA56" s="263"/>
      <c r="BB56" s="263"/>
      <c r="BC56" s="263"/>
      <c r="BD56" s="263"/>
      <c r="BE56" s="263"/>
      <c r="BF56" s="263"/>
      <c r="BG56" s="263"/>
      <c r="BH56" s="263"/>
      <c r="BI56" s="263"/>
      <c r="BJ56" s="263"/>
      <c r="BK56" s="268"/>
      <c r="BL56" s="263"/>
      <c r="BM56" s="263"/>
      <c r="BN56" s="263"/>
      <c r="BO56" s="263"/>
    </row>
    <row r="57" spans="1:67" x14ac:dyDescent="0.25">
      <c r="A57" s="263"/>
      <c r="B57" s="263"/>
      <c r="C57" s="263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  <c r="O57" s="263"/>
      <c r="P57" s="263"/>
      <c r="Q57" s="263"/>
      <c r="R57" s="263"/>
      <c r="S57" s="263"/>
      <c r="T57" s="263"/>
      <c r="U57" s="263"/>
      <c r="V57" s="263"/>
      <c r="W57" s="263"/>
      <c r="X57" s="263"/>
      <c r="Y57" s="263"/>
      <c r="Z57" s="263"/>
      <c r="AA57" s="263"/>
      <c r="AB57" s="263"/>
      <c r="AC57" s="263"/>
      <c r="AD57" s="263"/>
      <c r="AE57" s="263"/>
      <c r="AF57" s="263"/>
      <c r="AG57" s="263"/>
      <c r="AH57" s="263"/>
      <c r="AI57" s="263"/>
      <c r="AJ57" s="263"/>
      <c r="AK57" s="263"/>
      <c r="AL57" s="263"/>
      <c r="AM57" s="263"/>
      <c r="AN57" s="263"/>
      <c r="AO57" s="263"/>
      <c r="AP57" s="263"/>
      <c r="AQ57" s="263"/>
      <c r="AR57" s="263"/>
      <c r="AS57" s="263"/>
      <c r="AT57" s="263"/>
      <c r="AU57" s="263"/>
      <c r="AV57" s="263"/>
      <c r="AW57" s="263"/>
      <c r="AX57" s="263"/>
      <c r="AY57" s="263"/>
      <c r="AZ57" s="263"/>
      <c r="BA57" s="263"/>
      <c r="BB57" s="263"/>
      <c r="BC57" s="263"/>
      <c r="BD57" s="263"/>
      <c r="BE57" s="263"/>
      <c r="BF57" s="263"/>
      <c r="BG57" s="263"/>
      <c r="BH57" s="263"/>
      <c r="BI57" s="263"/>
      <c r="BJ57" s="263"/>
      <c r="BK57" s="268"/>
      <c r="BL57" s="263"/>
      <c r="BM57" s="263"/>
      <c r="BN57" s="263"/>
      <c r="BO57" s="263"/>
    </row>
    <row r="58" spans="1:67" x14ac:dyDescent="0.25">
      <c r="A58" s="263"/>
      <c r="B58" s="263"/>
      <c r="C58" s="263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263"/>
      <c r="S58" s="263"/>
      <c r="T58" s="263"/>
      <c r="U58" s="263"/>
      <c r="V58" s="263"/>
      <c r="W58" s="263"/>
      <c r="X58" s="263"/>
      <c r="Y58" s="263"/>
      <c r="Z58" s="263"/>
      <c r="AA58" s="263"/>
      <c r="AB58" s="263"/>
      <c r="AC58" s="263"/>
      <c r="AD58" s="263"/>
      <c r="AE58" s="263"/>
      <c r="AF58" s="263"/>
      <c r="AG58" s="263"/>
      <c r="AH58" s="263"/>
      <c r="AI58" s="263"/>
      <c r="AJ58" s="263"/>
      <c r="AK58" s="263"/>
      <c r="AL58" s="263"/>
      <c r="AM58" s="263"/>
      <c r="AN58" s="263"/>
      <c r="AO58" s="263"/>
      <c r="AP58" s="263"/>
      <c r="AQ58" s="263"/>
      <c r="AR58" s="263"/>
      <c r="AS58" s="263"/>
      <c r="AT58" s="263"/>
      <c r="AU58" s="263"/>
      <c r="AV58" s="263"/>
      <c r="AW58" s="263"/>
      <c r="AX58" s="263"/>
      <c r="AY58" s="263"/>
      <c r="AZ58" s="263"/>
      <c r="BA58" s="263"/>
      <c r="BB58" s="263"/>
      <c r="BC58" s="263"/>
      <c r="BD58" s="263"/>
      <c r="BE58" s="263"/>
      <c r="BF58" s="263"/>
      <c r="BG58" s="263"/>
      <c r="BH58" s="263"/>
      <c r="BI58" s="263"/>
      <c r="BJ58" s="263"/>
      <c r="BK58" s="268"/>
      <c r="BL58" s="263"/>
      <c r="BM58" s="263"/>
      <c r="BN58" s="263"/>
      <c r="BO58" s="263"/>
    </row>
    <row r="59" spans="1:67" x14ac:dyDescent="0.25">
      <c r="A59" s="263"/>
      <c r="B59" s="263"/>
      <c r="C59" s="263"/>
      <c r="D59" s="263"/>
      <c r="E59" s="263"/>
      <c r="F59" s="263"/>
      <c r="G59" s="263"/>
      <c r="H59" s="263"/>
      <c r="I59" s="263"/>
      <c r="J59" s="263"/>
      <c r="K59" s="263"/>
      <c r="L59" s="263"/>
      <c r="M59" s="263"/>
      <c r="N59" s="263"/>
      <c r="O59" s="263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H59" s="263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3"/>
      <c r="AX59" s="263"/>
      <c r="AY59" s="263"/>
      <c r="AZ59" s="263"/>
      <c r="BA59" s="263"/>
      <c r="BB59" s="263"/>
      <c r="BC59" s="263"/>
      <c r="BD59" s="263"/>
      <c r="BE59" s="263"/>
      <c r="BF59" s="263"/>
      <c r="BG59" s="263"/>
      <c r="BH59" s="263"/>
      <c r="BI59" s="263"/>
      <c r="BJ59" s="263"/>
      <c r="BK59" s="268"/>
      <c r="BL59" s="263"/>
      <c r="BM59" s="263"/>
      <c r="BN59" s="263"/>
      <c r="BO59" s="263"/>
    </row>
    <row r="60" spans="1:67" x14ac:dyDescent="0.25">
      <c r="A60" s="263"/>
      <c r="B60" s="263"/>
      <c r="C60" s="263"/>
      <c r="D60" s="263"/>
      <c r="E60" s="263"/>
      <c r="F60" s="263"/>
      <c r="G60" s="263"/>
      <c r="H60" s="263"/>
      <c r="I60" s="263"/>
      <c r="J60" s="263"/>
      <c r="K60" s="263"/>
      <c r="L60" s="263"/>
      <c r="M60" s="263"/>
      <c r="N60" s="263"/>
      <c r="O60" s="263"/>
      <c r="P60" s="263"/>
      <c r="Q60" s="263"/>
      <c r="R60" s="263"/>
      <c r="S60" s="263"/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3"/>
      <c r="AX60" s="263"/>
      <c r="AY60" s="263"/>
      <c r="AZ60" s="263"/>
      <c r="BA60" s="263"/>
      <c r="BB60" s="263"/>
      <c r="BC60" s="263"/>
      <c r="BD60" s="263"/>
      <c r="BE60" s="263"/>
      <c r="BF60" s="263"/>
      <c r="BG60" s="263"/>
      <c r="BH60" s="263"/>
      <c r="BI60" s="263"/>
      <c r="BJ60" s="263"/>
      <c r="BK60" s="268"/>
      <c r="BL60" s="263"/>
      <c r="BM60" s="263"/>
      <c r="BN60" s="263"/>
      <c r="BO60" s="263"/>
    </row>
    <row r="61" spans="1:67" x14ac:dyDescent="0.25">
      <c r="A61" s="263"/>
      <c r="B61" s="263"/>
      <c r="C61" s="263"/>
      <c r="D61" s="263"/>
      <c r="E61" s="263"/>
      <c r="F61" s="263"/>
      <c r="G61" s="263"/>
      <c r="H61" s="263"/>
      <c r="I61" s="263"/>
      <c r="J61" s="263"/>
      <c r="K61" s="263"/>
      <c r="L61" s="263"/>
      <c r="M61" s="263"/>
      <c r="N61" s="263"/>
      <c r="O61" s="263"/>
      <c r="P61" s="263"/>
      <c r="Q61" s="263"/>
      <c r="R61" s="263"/>
      <c r="S61" s="263"/>
      <c r="T61" s="263"/>
      <c r="U61" s="263"/>
      <c r="V61" s="263"/>
      <c r="W61" s="263"/>
      <c r="X61" s="263"/>
      <c r="Y61" s="263"/>
      <c r="Z61" s="263"/>
      <c r="AA61" s="263"/>
      <c r="AB61" s="263"/>
      <c r="AC61" s="263"/>
      <c r="AD61" s="263"/>
      <c r="AE61" s="263"/>
      <c r="AF61" s="263"/>
      <c r="AG61" s="263"/>
      <c r="AH61" s="263"/>
      <c r="AI61" s="263"/>
      <c r="AJ61" s="263"/>
      <c r="AK61" s="263"/>
      <c r="AL61" s="263"/>
      <c r="AM61" s="263"/>
      <c r="AN61" s="263"/>
      <c r="AO61" s="263"/>
      <c r="AP61" s="263"/>
      <c r="AQ61" s="263"/>
      <c r="AR61" s="263"/>
      <c r="AS61" s="263"/>
      <c r="AT61" s="263"/>
      <c r="AU61" s="263"/>
      <c r="AV61" s="263"/>
      <c r="AW61" s="263"/>
      <c r="AX61" s="263"/>
      <c r="AY61" s="263"/>
      <c r="AZ61" s="263"/>
      <c r="BA61" s="263"/>
      <c r="BB61" s="263"/>
      <c r="BC61" s="263"/>
      <c r="BD61" s="263"/>
      <c r="BE61" s="263"/>
      <c r="BF61" s="263"/>
      <c r="BG61" s="263"/>
      <c r="BH61" s="263"/>
      <c r="BI61" s="263"/>
      <c r="BJ61" s="263"/>
      <c r="BK61" s="268"/>
      <c r="BL61" s="263"/>
      <c r="BM61" s="263"/>
      <c r="BN61" s="263"/>
      <c r="BO61" s="263"/>
    </row>
    <row r="62" spans="1:67" x14ac:dyDescent="0.25">
      <c r="A62" s="263"/>
      <c r="B62" s="263"/>
      <c r="C62" s="263"/>
      <c r="D62" s="263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263"/>
      <c r="S62" s="263"/>
      <c r="T62" s="263"/>
      <c r="U62" s="263"/>
      <c r="V62" s="263"/>
      <c r="W62" s="263"/>
      <c r="X62" s="263"/>
      <c r="Y62" s="263"/>
      <c r="Z62" s="263"/>
      <c r="AA62" s="263"/>
      <c r="AB62" s="263"/>
      <c r="AC62" s="263"/>
      <c r="AD62" s="263"/>
      <c r="AE62" s="263"/>
      <c r="AF62" s="263"/>
      <c r="AG62" s="263"/>
      <c r="AH62" s="263"/>
      <c r="AI62" s="263"/>
      <c r="AJ62" s="263"/>
      <c r="AK62" s="263"/>
      <c r="AL62" s="263"/>
      <c r="AM62" s="263"/>
      <c r="AN62" s="263"/>
      <c r="AO62" s="263"/>
      <c r="AP62" s="263"/>
      <c r="AQ62" s="263"/>
      <c r="AR62" s="263"/>
      <c r="AS62" s="263"/>
      <c r="AT62" s="263"/>
      <c r="AU62" s="263"/>
      <c r="AV62" s="263"/>
      <c r="AW62" s="263"/>
      <c r="AX62" s="263"/>
      <c r="AY62" s="263"/>
      <c r="AZ62" s="263"/>
      <c r="BA62" s="263"/>
      <c r="BB62" s="263"/>
      <c r="BC62" s="263"/>
      <c r="BD62" s="263"/>
      <c r="BE62" s="263"/>
      <c r="BF62" s="263"/>
      <c r="BG62" s="263"/>
      <c r="BH62" s="263"/>
      <c r="BI62" s="263"/>
      <c r="BJ62" s="263"/>
      <c r="BK62" s="268"/>
      <c r="BL62" s="263"/>
      <c r="BM62" s="263"/>
      <c r="BN62" s="263"/>
      <c r="BO62" s="263"/>
    </row>
    <row r="63" spans="1:67" x14ac:dyDescent="0.25">
      <c r="A63" s="263"/>
      <c r="B63" s="263"/>
      <c r="C63" s="263"/>
      <c r="D63" s="263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263"/>
      <c r="S63" s="263"/>
      <c r="T63" s="263"/>
      <c r="U63" s="263"/>
      <c r="V63" s="263"/>
      <c r="W63" s="263"/>
      <c r="X63" s="263"/>
      <c r="Y63" s="263"/>
      <c r="Z63" s="263"/>
      <c r="AA63" s="263"/>
      <c r="AB63" s="263"/>
      <c r="AC63" s="263"/>
      <c r="AD63" s="263"/>
      <c r="AE63" s="263"/>
      <c r="AF63" s="263"/>
      <c r="AG63" s="263"/>
      <c r="AH63" s="263"/>
      <c r="AI63" s="263"/>
      <c r="AJ63" s="263"/>
      <c r="AK63" s="263"/>
      <c r="AL63" s="263"/>
      <c r="AM63" s="263"/>
      <c r="AN63" s="263"/>
      <c r="AO63" s="263"/>
      <c r="AP63" s="263"/>
      <c r="AQ63" s="263"/>
      <c r="AR63" s="263"/>
      <c r="AS63" s="263"/>
      <c r="AT63" s="263"/>
      <c r="AU63" s="263"/>
      <c r="AV63" s="263"/>
      <c r="AW63" s="263"/>
      <c r="AX63" s="263"/>
      <c r="AY63" s="263"/>
      <c r="AZ63" s="263"/>
      <c r="BA63" s="263"/>
      <c r="BB63" s="263"/>
      <c r="BC63" s="263"/>
      <c r="BD63" s="263"/>
      <c r="BE63" s="263"/>
      <c r="BF63" s="263"/>
      <c r="BG63" s="263"/>
      <c r="BH63" s="263"/>
      <c r="BI63" s="263"/>
      <c r="BJ63" s="263"/>
      <c r="BK63" s="268"/>
      <c r="BL63" s="263"/>
      <c r="BM63" s="263"/>
      <c r="BN63" s="263"/>
      <c r="BO63" s="263"/>
    </row>
    <row r="64" spans="1:67" x14ac:dyDescent="0.25">
      <c r="A64" s="263"/>
      <c r="B64" s="263"/>
      <c r="C64" s="263"/>
      <c r="D64" s="263"/>
      <c r="E64" s="263"/>
      <c r="F64" s="263"/>
      <c r="G64" s="263"/>
      <c r="H64" s="263"/>
      <c r="I64" s="263"/>
      <c r="J64" s="263"/>
      <c r="K64" s="263"/>
      <c r="L64" s="263"/>
      <c r="M64" s="263"/>
      <c r="N64" s="263"/>
      <c r="O64" s="263"/>
      <c r="P64" s="263"/>
      <c r="Q64" s="263"/>
      <c r="R64" s="263"/>
      <c r="S64" s="263"/>
      <c r="T64" s="263"/>
      <c r="U64" s="263"/>
      <c r="V64" s="263"/>
      <c r="W64" s="263"/>
      <c r="X64" s="263"/>
      <c r="Y64" s="263"/>
      <c r="Z64" s="263"/>
      <c r="AA64" s="263"/>
      <c r="AB64" s="263"/>
      <c r="AC64" s="263"/>
      <c r="AD64" s="263"/>
      <c r="AE64" s="263"/>
      <c r="AF64" s="263"/>
      <c r="AG64" s="263"/>
      <c r="AH64" s="263"/>
      <c r="AI64" s="263"/>
      <c r="AJ64" s="263"/>
      <c r="AK64" s="263"/>
      <c r="AL64" s="263"/>
      <c r="AM64" s="263"/>
      <c r="AN64" s="263"/>
      <c r="AO64" s="263"/>
      <c r="AP64" s="263"/>
      <c r="AQ64" s="263"/>
      <c r="AR64" s="263"/>
      <c r="AS64" s="263"/>
      <c r="AT64" s="263"/>
      <c r="AU64" s="263"/>
      <c r="AV64" s="263"/>
      <c r="AW64" s="263"/>
      <c r="AX64" s="263"/>
      <c r="AY64" s="263"/>
      <c r="AZ64" s="263"/>
      <c r="BA64" s="263"/>
      <c r="BB64" s="263"/>
      <c r="BC64" s="263"/>
      <c r="BD64" s="263"/>
      <c r="BE64" s="263"/>
      <c r="BF64" s="263"/>
      <c r="BG64" s="263"/>
      <c r="BH64" s="263"/>
      <c r="BI64" s="263"/>
      <c r="BJ64" s="263"/>
      <c r="BK64" s="268"/>
      <c r="BL64" s="263"/>
      <c r="BM64" s="263"/>
      <c r="BN64" s="263"/>
      <c r="BO64" s="263"/>
    </row>
    <row r="65" spans="1:67" x14ac:dyDescent="0.25">
      <c r="A65" s="263"/>
      <c r="B65" s="263"/>
      <c r="C65" s="263"/>
      <c r="D65" s="263"/>
      <c r="E65" s="263"/>
      <c r="F65" s="263"/>
      <c r="G65" s="263"/>
      <c r="H65" s="263"/>
      <c r="I65" s="263"/>
      <c r="J65" s="263"/>
      <c r="K65" s="263"/>
      <c r="L65" s="263"/>
      <c r="M65" s="263"/>
      <c r="N65" s="263"/>
      <c r="O65" s="263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8"/>
      <c r="BL65" s="263"/>
      <c r="BM65" s="263"/>
      <c r="BN65" s="263"/>
      <c r="BO65" s="263"/>
    </row>
    <row r="66" spans="1:67" x14ac:dyDescent="0.25">
      <c r="A66" s="263"/>
      <c r="B66" s="263"/>
      <c r="C66" s="263"/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8"/>
      <c r="BL66" s="263"/>
      <c r="BM66" s="263"/>
      <c r="BN66" s="263"/>
      <c r="BO66" s="263"/>
    </row>
    <row r="67" spans="1:67" x14ac:dyDescent="0.25">
      <c r="A67" s="263"/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8"/>
      <c r="BL67" s="263"/>
      <c r="BM67" s="263"/>
      <c r="BN67" s="263"/>
      <c r="BO67" s="263"/>
    </row>
    <row r="68" spans="1:67" x14ac:dyDescent="0.25">
      <c r="A68" s="263"/>
      <c r="B68" s="263"/>
      <c r="C68" s="263"/>
      <c r="D68" s="263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  <c r="BA68" s="263"/>
      <c r="BB68" s="263"/>
      <c r="BC68" s="263"/>
      <c r="BD68" s="263"/>
      <c r="BE68" s="263"/>
      <c r="BF68" s="263"/>
      <c r="BG68" s="263"/>
      <c r="BH68" s="263"/>
      <c r="BI68" s="263"/>
      <c r="BJ68" s="263"/>
      <c r="BK68" s="268"/>
      <c r="BL68" s="263"/>
      <c r="BM68" s="263"/>
      <c r="BN68" s="263"/>
      <c r="BO68" s="263"/>
    </row>
    <row r="69" spans="1:67" x14ac:dyDescent="0.25">
      <c r="A69" s="263"/>
      <c r="B69" s="263"/>
      <c r="C69" s="263"/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8"/>
      <c r="BL69" s="263"/>
      <c r="BM69" s="263"/>
      <c r="BN69" s="263"/>
      <c r="BO69" s="263"/>
    </row>
    <row r="70" spans="1:67" x14ac:dyDescent="0.25">
      <c r="A70" s="263"/>
      <c r="B70" s="263"/>
      <c r="C70" s="263"/>
      <c r="D70" s="263"/>
      <c r="E70" s="263"/>
      <c r="F70" s="263"/>
      <c r="G70" s="263"/>
      <c r="H70" s="263"/>
      <c r="I70" s="263"/>
      <c r="J70" s="263"/>
      <c r="K70" s="263"/>
      <c r="L70" s="263"/>
      <c r="M70" s="263"/>
      <c r="N70" s="263"/>
      <c r="O70" s="26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8"/>
      <c r="BL70" s="263"/>
      <c r="BM70" s="263"/>
      <c r="BN70" s="263"/>
      <c r="BO70" s="263"/>
    </row>
    <row r="71" spans="1:67" x14ac:dyDescent="0.25">
      <c r="A71" s="263"/>
      <c r="B71" s="263"/>
      <c r="C71" s="263"/>
      <c r="D71" s="263"/>
      <c r="E71" s="263"/>
      <c r="F71" s="263"/>
      <c r="G71" s="263"/>
      <c r="H71" s="263"/>
      <c r="I71" s="263"/>
      <c r="J71" s="263"/>
      <c r="K71" s="263"/>
      <c r="L71" s="263"/>
      <c r="M71" s="263"/>
      <c r="N71" s="263"/>
      <c r="O71" s="263"/>
      <c r="P71" s="263"/>
      <c r="Q71" s="263"/>
      <c r="R71" s="263"/>
      <c r="S71" s="263"/>
      <c r="T71" s="263"/>
      <c r="U71" s="263"/>
      <c r="V71" s="263"/>
      <c r="W71" s="263"/>
      <c r="X71" s="263"/>
      <c r="Y71" s="263"/>
      <c r="Z71" s="263"/>
      <c r="AA71" s="263"/>
      <c r="AB71" s="263"/>
      <c r="AC71" s="263"/>
      <c r="AD71" s="263"/>
      <c r="AE71" s="263"/>
      <c r="AF71" s="263"/>
      <c r="AG71" s="263"/>
      <c r="AH71" s="263"/>
      <c r="AI71" s="263"/>
      <c r="AJ71" s="263"/>
      <c r="AK71" s="263"/>
      <c r="AL71" s="263"/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AY71" s="263"/>
      <c r="AZ71" s="263"/>
      <c r="BA71" s="263"/>
      <c r="BB71" s="263"/>
      <c r="BC71" s="263"/>
      <c r="BD71" s="263"/>
      <c r="BE71" s="263"/>
      <c r="BF71" s="263"/>
      <c r="BG71" s="263"/>
      <c r="BH71" s="263"/>
      <c r="BI71" s="263"/>
      <c r="BJ71" s="263"/>
      <c r="BK71" s="268"/>
      <c r="BL71" s="263"/>
      <c r="BM71" s="263"/>
      <c r="BN71" s="263"/>
      <c r="BO71" s="263"/>
    </row>
    <row r="72" spans="1:67" x14ac:dyDescent="0.25">
      <c r="A72" s="263"/>
      <c r="B72" s="263"/>
      <c r="C72" s="263"/>
      <c r="D72" s="263"/>
      <c r="E72" s="263"/>
      <c r="F72" s="263"/>
      <c r="G72" s="263"/>
      <c r="H72" s="263"/>
      <c r="I72" s="263"/>
      <c r="J72" s="263"/>
      <c r="K72" s="263"/>
      <c r="L72" s="263"/>
      <c r="M72" s="263"/>
      <c r="N72" s="263"/>
      <c r="O72" s="263"/>
      <c r="P72" s="263"/>
      <c r="Q72" s="263"/>
      <c r="R72" s="263"/>
      <c r="S72" s="263"/>
      <c r="T72" s="263"/>
      <c r="U72" s="263"/>
      <c r="V72" s="263"/>
      <c r="W72" s="263"/>
      <c r="X72" s="263"/>
      <c r="Y72" s="263"/>
      <c r="Z72" s="263"/>
      <c r="AA72" s="263"/>
      <c r="AB72" s="263"/>
      <c r="AC72" s="263"/>
      <c r="AD72" s="263"/>
      <c r="AE72" s="263"/>
      <c r="AF72" s="263"/>
      <c r="AG72" s="263"/>
      <c r="AH72" s="263"/>
      <c r="AI72" s="263"/>
      <c r="AJ72" s="263"/>
      <c r="AK72" s="263"/>
      <c r="AL72" s="263"/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  <c r="AY72" s="263"/>
      <c r="AZ72" s="263"/>
      <c r="BA72" s="263"/>
      <c r="BB72" s="263"/>
      <c r="BC72" s="263"/>
      <c r="BD72" s="263"/>
      <c r="BE72" s="263"/>
      <c r="BF72" s="263"/>
      <c r="BG72" s="263"/>
      <c r="BH72" s="263"/>
      <c r="BI72" s="263"/>
      <c r="BJ72" s="263"/>
      <c r="BK72" s="268"/>
      <c r="BL72" s="263"/>
      <c r="BM72" s="263"/>
      <c r="BN72" s="263"/>
      <c r="BO72" s="263"/>
    </row>
    <row r="73" spans="1:67" x14ac:dyDescent="0.25">
      <c r="A73" s="263"/>
      <c r="B73" s="263"/>
      <c r="C73" s="263"/>
      <c r="D73" s="263"/>
      <c r="E73" s="263"/>
      <c r="F73" s="263"/>
      <c r="G73" s="263"/>
      <c r="H73" s="263"/>
      <c r="I73" s="263"/>
      <c r="J73" s="263"/>
      <c r="K73" s="263"/>
      <c r="L73" s="263"/>
      <c r="M73" s="263"/>
      <c r="N73" s="263"/>
      <c r="O73" s="263"/>
      <c r="P73" s="263"/>
      <c r="Q73" s="263"/>
      <c r="R73" s="263"/>
      <c r="S73" s="263"/>
      <c r="T73" s="263"/>
      <c r="U73" s="263"/>
      <c r="V73" s="263"/>
      <c r="W73" s="263"/>
      <c r="X73" s="263"/>
      <c r="Y73" s="263"/>
      <c r="Z73" s="263"/>
      <c r="AA73" s="263"/>
      <c r="AB73" s="263"/>
      <c r="AC73" s="263"/>
      <c r="AD73" s="263"/>
      <c r="AE73" s="263"/>
      <c r="AF73" s="263"/>
      <c r="AG73" s="263"/>
      <c r="AH73" s="263"/>
      <c r="AI73" s="263"/>
      <c r="AJ73" s="263"/>
      <c r="AK73" s="263"/>
      <c r="AL73" s="263"/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  <c r="AY73" s="263"/>
      <c r="AZ73" s="263"/>
      <c r="BA73" s="263"/>
      <c r="BB73" s="263"/>
      <c r="BC73" s="263"/>
      <c r="BD73" s="263"/>
      <c r="BE73" s="263"/>
      <c r="BF73" s="263"/>
      <c r="BG73" s="263"/>
      <c r="BH73" s="263"/>
      <c r="BI73" s="263"/>
      <c r="BJ73" s="263"/>
      <c r="BK73" s="268"/>
      <c r="BL73" s="263"/>
      <c r="BM73" s="263"/>
      <c r="BN73" s="263"/>
      <c r="BO73" s="263"/>
    </row>
    <row r="74" spans="1:67" x14ac:dyDescent="0.25">
      <c r="A74" s="263"/>
      <c r="B74" s="263"/>
      <c r="C74" s="263"/>
      <c r="D74" s="263"/>
      <c r="E74" s="263"/>
      <c r="F74" s="263"/>
      <c r="G74" s="263"/>
      <c r="H74" s="263"/>
      <c r="I74" s="263"/>
      <c r="J74" s="263"/>
      <c r="K74" s="263"/>
      <c r="L74" s="263"/>
      <c r="M74" s="263"/>
      <c r="N74" s="263"/>
      <c r="O74" s="263"/>
      <c r="P74" s="263"/>
      <c r="Q74" s="263"/>
      <c r="R74" s="263"/>
      <c r="S74" s="263"/>
      <c r="T74" s="263"/>
      <c r="U74" s="263"/>
      <c r="V74" s="263"/>
      <c r="W74" s="263"/>
      <c r="X74" s="263"/>
      <c r="Y74" s="263"/>
      <c r="Z74" s="263"/>
      <c r="AA74" s="263"/>
      <c r="AB74" s="263"/>
      <c r="AC74" s="263"/>
      <c r="AD74" s="263"/>
      <c r="AE74" s="263"/>
      <c r="AF74" s="263"/>
      <c r="AG74" s="263"/>
      <c r="AH74" s="263"/>
      <c r="AI74" s="263"/>
      <c r="AJ74" s="263"/>
      <c r="AK74" s="263"/>
      <c r="AL74" s="263"/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  <c r="AY74" s="263"/>
      <c r="AZ74" s="263"/>
      <c r="BA74" s="263"/>
      <c r="BB74" s="263"/>
      <c r="BC74" s="263"/>
      <c r="BD74" s="263"/>
      <c r="BE74" s="263"/>
      <c r="BF74" s="263"/>
      <c r="BG74" s="263"/>
      <c r="BH74" s="263"/>
      <c r="BI74" s="263"/>
      <c r="BJ74" s="263"/>
      <c r="BK74" s="268"/>
      <c r="BL74" s="263"/>
      <c r="BM74" s="263"/>
      <c r="BN74" s="263"/>
      <c r="BO74" s="263"/>
    </row>
    <row r="75" spans="1:67" x14ac:dyDescent="0.25">
      <c r="A75" s="263"/>
      <c r="B75" s="263"/>
      <c r="C75" s="263"/>
      <c r="D75" s="263"/>
      <c r="E75" s="263"/>
      <c r="F75" s="263"/>
      <c r="G75" s="263"/>
      <c r="H75" s="263"/>
      <c r="I75" s="263"/>
      <c r="J75" s="263"/>
      <c r="K75" s="263"/>
      <c r="L75" s="263"/>
      <c r="M75" s="263"/>
      <c r="N75" s="263"/>
      <c r="O75" s="263"/>
      <c r="P75" s="263"/>
      <c r="Q75" s="263"/>
      <c r="R75" s="263"/>
      <c r="S75" s="263"/>
      <c r="T75" s="263"/>
      <c r="U75" s="263"/>
      <c r="V75" s="263"/>
      <c r="W75" s="263"/>
      <c r="X75" s="263"/>
      <c r="Y75" s="263"/>
      <c r="Z75" s="263"/>
      <c r="AA75" s="263"/>
      <c r="AB75" s="263"/>
      <c r="AC75" s="263"/>
      <c r="AD75" s="263"/>
      <c r="AE75" s="263"/>
      <c r="AF75" s="263"/>
      <c r="AG75" s="263"/>
      <c r="AH75" s="263"/>
      <c r="AI75" s="263"/>
      <c r="AJ75" s="263"/>
      <c r="AK75" s="263"/>
      <c r="AL75" s="263"/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  <c r="AY75" s="263"/>
      <c r="AZ75" s="263"/>
      <c r="BA75" s="263"/>
      <c r="BB75" s="263"/>
      <c r="BC75" s="263"/>
      <c r="BD75" s="263"/>
      <c r="BE75" s="263"/>
      <c r="BF75" s="263"/>
      <c r="BG75" s="263"/>
      <c r="BH75" s="263"/>
      <c r="BI75" s="263"/>
      <c r="BJ75" s="263"/>
      <c r="BK75" s="268"/>
      <c r="BL75" s="263"/>
      <c r="BM75" s="263"/>
      <c r="BN75" s="263"/>
      <c r="BO75" s="263"/>
    </row>
    <row r="76" spans="1:67" x14ac:dyDescent="0.25">
      <c r="A76" s="263"/>
      <c r="B76" s="263"/>
      <c r="C76" s="263"/>
      <c r="D76" s="263"/>
      <c r="E76" s="263"/>
      <c r="F76" s="263"/>
      <c r="G76" s="263"/>
      <c r="H76" s="263"/>
      <c r="I76" s="263"/>
      <c r="J76" s="263"/>
      <c r="K76" s="263"/>
      <c r="L76" s="263"/>
      <c r="M76" s="263"/>
      <c r="N76" s="263"/>
      <c r="O76" s="263"/>
      <c r="P76" s="263"/>
      <c r="Q76" s="263"/>
      <c r="R76" s="263"/>
      <c r="S76" s="263"/>
      <c r="T76" s="263"/>
      <c r="U76" s="263"/>
      <c r="V76" s="263"/>
      <c r="W76" s="263"/>
      <c r="X76" s="263"/>
      <c r="Y76" s="263"/>
      <c r="Z76" s="263"/>
      <c r="AA76" s="263"/>
      <c r="AB76" s="263"/>
      <c r="AC76" s="263"/>
      <c r="AD76" s="263"/>
      <c r="AE76" s="263"/>
      <c r="AF76" s="263"/>
      <c r="AG76" s="263"/>
      <c r="AH76" s="263"/>
      <c r="AI76" s="263"/>
      <c r="AJ76" s="263"/>
      <c r="AK76" s="263"/>
      <c r="AL76" s="263"/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  <c r="AY76" s="263"/>
      <c r="AZ76" s="263"/>
      <c r="BA76" s="263"/>
      <c r="BB76" s="263"/>
      <c r="BC76" s="263"/>
      <c r="BD76" s="263"/>
      <c r="BE76" s="263"/>
      <c r="BF76" s="263"/>
      <c r="BG76" s="263"/>
      <c r="BH76" s="263"/>
      <c r="BI76" s="263"/>
      <c r="BJ76" s="263"/>
      <c r="BK76" s="268"/>
      <c r="BL76" s="263"/>
      <c r="BM76" s="263"/>
      <c r="BN76" s="263"/>
      <c r="BO76" s="263"/>
    </row>
    <row r="77" spans="1:67" x14ac:dyDescent="0.25">
      <c r="A77" s="263"/>
      <c r="B77" s="263"/>
      <c r="C77" s="263"/>
      <c r="D77" s="263"/>
      <c r="E77" s="263"/>
      <c r="F77" s="263"/>
      <c r="G77" s="263"/>
      <c r="H77" s="263"/>
      <c r="I77" s="263"/>
      <c r="J77" s="263"/>
      <c r="K77" s="263"/>
      <c r="L77" s="263"/>
      <c r="M77" s="263"/>
      <c r="N77" s="263"/>
      <c r="O77" s="263"/>
      <c r="P77" s="263"/>
      <c r="Q77" s="263"/>
      <c r="R77" s="263"/>
      <c r="S77" s="263"/>
      <c r="T77" s="263"/>
      <c r="U77" s="263"/>
      <c r="V77" s="263"/>
      <c r="W77" s="263"/>
      <c r="X77" s="263"/>
      <c r="Y77" s="263"/>
      <c r="Z77" s="263"/>
      <c r="AA77" s="263"/>
      <c r="AB77" s="263"/>
      <c r="AC77" s="263"/>
      <c r="AD77" s="263"/>
      <c r="AE77" s="263"/>
      <c r="AF77" s="263"/>
      <c r="AG77" s="263"/>
      <c r="AH77" s="263"/>
      <c r="AI77" s="263"/>
      <c r="AJ77" s="263"/>
      <c r="AK77" s="263"/>
      <c r="AL77" s="263"/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  <c r="AY77" s="263"/>
      <c r="AZ77" s="263"/>
      <c r="BA77" s="263"/>
      <c r="BB77" s="263"/>
      <c r="BC77" s="263"/>
      <c r="BD77" s="263"/>
      <c r="BE77" s="263"/>
      <c r="BF77" s="263"/>
      <c r="BG77" s="263"/>
      <c r="BH77" s="263"/>
      <c r="BI77" s="263"/>
      <c r="BJ77" s="263"/>
      <c r="BK77" s="268"/>
      <c r="BL77" s="263"/>
      <c r="BM77" s="263"/>
      <c r="BN77" s="263"/>
      <c r="BO77" s="263"/>
    </row>
    <row r="78" spans="1:67" x14ac:dyDescent="0.25">
      <c r="A78" s="263"/>
      <c r="B78" s="263"/>
      <c r="C78" s="263"/>
      <c r="D78" s="263"/>
      <c r="E78" s="263"/>
      <c r="F78" s="263"/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3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  <c r="AY78" s="263"/>
      <c r="AZ78" s="263"/>
      <c r="BA78" s="263"/>
      <c r="BB78" s="263"/>
      <c r="BC78" s="263"/>
      <c r="BD78" s="263"/>
      <c r="BE78" s="263"/>
      <c r="BF78" s="263"/>
      <c r="BG78" s="263"/>
      <c r="BH78" s="263"/>
      <c r="BI78" s="263"/>
      <c r="BJ78" s="263"/>
      <c r="BK78" s="268"/>
      <c r="BL78" s="263"/>
      <c r="BM78" s="263"/>
      <c r="BN78" s="263"/>
      <c r="BO78" s="263"/>
    </row>
    <row r="79" spans="1:67" x14ac:dyDescent="0.25">
      <c r="A79" s="263"/>
      <c r="B79" s="263"/>
      <c r="C79" s="263"/>
      <c r="D79" s="263"/>
      <c r="E79" s="263"/>
      <c r="F79" s="263"/>
      <c r="G79" s="263"/>
      <c r="H79" s="263"/>
      <c r="I79" s="263"/>
      <c r="J79" s="263"/>
      <c r="K79" s="263"/>
      <c r="L79" s="263"/>
      <c r="M79" s="263"/>
      <c r="N79" s="263"/>
      <c r="O79" s="263"/>
      <c r="P79" s="263"/>
      <c r="Q79" s="263"/>
      <c r="R79" s="263"/>
      <c r="S79" s="263"/>
      <c r="T79" s="263"/>
      <c r="U79" s="263"/>
      <c r="V79" s="263"/>
      <c r="W79" s="263"/>
      <c r="X79" s="263"/>
      <c r="Y79" s="263"/>
      <c r="Z79" s="263"/>
      <c r="AA79" s="263"/>
      <c r="AB79" s="263"/>
      <c r="AC79" s="263"/>
      <c r="AD79" s="263"/>
      <c r="AE79" s="263"/>
      <c r="AF79" s="263"/>
      <c r="AG79" s="263"/>
      <c r="AH79" s="263"/>
      <c r="AI79" s="263"/>
      <c r="AJ79" s="263"/>
      <c r="AK79" s="263"/>
      <c r="AL79" s="263"/>
      <c r="AM79" s="263"/>
      <c r="AN79" s="263"/>
      <c r="AO79" s="263"/>
      <c r="AP79" s="263"/>
      <c r="AQ79" s="263"/>
      <c r="AR79" s="263"/>
      <c r="AS79" s="263"/>
      <c r="AT79" s="263"/>
      <c r="AU79" s="263"/>
      <c r="AV79" s="263"/>
      <c r="AW79" s="263"/>
      <c r="AX79" s="263"/>
      <c r="AY79" s="263"/>
      <c r="AZ79" s="263"/>
      <c r="BA79" s="263"/>
      <c r="BB79" s="263"/>
      <c r="BC79" s="263"/>
      <c r="BD79" s="263"/>
      <c r="BE79" s="263"/>
      <c r="BF79" s="263"/>
      <c r="BG79" s="263"/>
      <c r="BH79" s="263"/>
      <c r="BI79" s="263"/>
      <c r="BJ79" s="263"/>
      <c r="BK79" s="268"/>
      <c r="BL79" s="263"/>
      <c r="BM79" s="263"/>
      <c r="BN79" s="263"/>
      <c r="BO79" s="263"/>
    </row>
    <row r="80" spans="1:67" x14ac:dyDescent="0.25">
      <c r="A80" s="263"/>
      <c r="B80" s="263"/>
      <c r="C80" s="263"/>
      <c r="D80" s="263"/>
      <c r="E80" s="263"/>
      <c r="F80" s="263"/>
      <c r="G80" s="263"/>
      <c r="H80" s="263"/>
      <c r="I80" s="263"/>
      <c r="J80" s="263"/>
      <c r="K80" s="263"/>
      <c r="L80" s="263"/>
      <c r="M80" s="263"/>
      <c r="N80" s="263"/>
      <c r="O80" s="263"/>
      <c r="P80" s="263"/>
      <c r="Q80" s="263"/>
      <c r="R80" s="263"/>
      <c r="S80" s="263"/>
      <c r="T80" s="263"/>
      <c r="U80" s="263"/>
      <c r="V80" s="263"/>
      <c r="W80" s="263"/>
      <c r="X80" s="263"/>
      <c r="Y80" s="263"/>
      <c r="Z80" s="263"/>
      <c r="AA80" s="263"/>
      <c r="AB80" s="263"/>
      <c r="AC80" s="263"/>
      <c r="AD80" s="263"/>
      <c r="AE80" s="263"/>
      <c r="AF80" s="263"/>
      <c r="AG80" s="263"/>
      <c r="AH80" s="263"/>
      <c r="AI80" s="263"/>
      <c r="AJ80" s="263"/>
      <c r="AK80" s="263"/>
      <c r="AL80" s="263"/>
      <c r="AM80" s="263"/>
      <c r="AN80" s="263"/>
      <c r="AO80" s="263"/>
      <c r="AP80" s="263"/>
      <c r="AQ80" s="263"/>
      <c r="AR80" s="263"/>
      <c r="AS80" s="263"/>
      <c r="AT80" s="263"/>
      <c r="AU80" s="263"/>
      <c r="AV80" s="263"/>
      <c r="AW80" s="263"/>
      <c r="AX80" s="263"/>
      <c r="AY80" s="263"/>
      <c r="AZ80" s="263"/>
      <c r="BA80" s="263"/>
      <c r="BB80" s="263"/>
      <c r="BC80" s="263"/>
      <c r="BD80" s="263"/>
      <c r="BE80" s="263"/>
      <c r="BF80" s="263"/>
      <c r="BG80" s="263"/>
      <c r="BH80" s="263"/>
      <c r="BI80" s="263"/>
      <c r="BJ80" s="263"/>
      <c r="BK80" s="268"/>
      <c r="BL80" s="263"/>
      <c r="BM80" s="263"/>
      <c r="BN80" s="263"/>
      <c r="BO80" s="263"/>
    </row>
    <row r="81" spans="1:67" x14ac:dyDescent="0.25">
      <c r="A81" s="263"/>
      <c r="B81" s="263"/>
      <c r="C81" s="263"/>
      <c r="D81" s="263"/>
      <c r="E81" s="263"/>
      <c r="F81" s="263"/>
      <c r="G81" s="263"/>
      <c r="H81" s="263"/>
      <c r="I81" s="263"/>
      <c r="J81" s="263"/>
      <c r="K81" s="263"/>
      <c r="L81" s="263"/>
      <c r="M81" s="263"/>
      <c r="N81" s="263"/>
      <c r="O81" s="263"/>
      <c r="P81" s="263"/>
      <c r="Q81" s="263"/>
      <c r="R81" s="263"/>
      <c r="S81" s="263"/>
      <c r="T81" s="263"/>
      <c r="U81" s="263"/>
      <c r="V81" s="263"/>
      <c r="W81" s="263"/>
      <c r="X81" s="263"/>
      <c r="Y81" s="263"/>
      <c r="Z81" s="263"/>
      <c r="AA81" s="263"/>
      <c r="AB81" s="263"/>
      <c r="AC81" s="263"/>
      <c r="AD81" s="263"/>
      <c r="AE81" s="263"/>
      <c r="AF81" s="263"/>
      <c r="AG81" s="263"/>
      <c r="AH81" s="263"/>
      <c r="AI81" s="263"/>
      <c r="AJ81" s="263"/>
      <c r="AK81" s="263"/>
      <c r="AL81" s="263"/>
      <c r="AM81" s="263"/>
      <c r="AN81" s="263"/>
      <c r="AO81" s="263"/>
      <c r="AP81" s="263"/>
      <c r="AQ81" s="263"/>
      <c r="AR81" s="263"/>
      <c r="AS81" s="263"/>
      <c r="AT81" s="263"/>
      <c r="AU81" s="263"/>
      <c r="AV81" s="263"/>
      <c r="AW81" s="263"/>
      <c r="AX81" s="263"/>
      <c r="AY81" s="263"/>
      <c r="AZ81" s="263"/>
      <c r="BA81" s="263"/>
      <c r="BB81" s="263"/>
      <c r="BC81" s="263"/>
      <c r="BD81" s="263"/>
      <c r="BE81" s="263"/>
      <c r="BF81" s="263"/>
      <c r="BG81" s="263"/>
      <c r="BH81" s="263"/>
      <c r="BI81" s="263"/>
      <c r="BJ81" s="263"/>
      <c r="BK81" s="268"/>
      <c r="BL81" s="263"/>
      <c r="BM81" s="263"/>
      <c r="BN81" s="263"/>
      <c r="BO81" s="263"/>
    </row>
    <row r="82" spans="1:67" x14ac:dyDescent="0.25">
      <c r="A82" s="263"/>
      <c r="B82" s="263"/>
      <c r="C82" s="263"/>
      <c r="D82" s="263"/>
      <c r="E82" s="263"/>
      <c r="F82" s="263"/>
      <c r="G82" s="263"/>
      <c r="H82" s="263"/>
      <c r="I82" s="263"/>
      <c r="J82" s="263"/>
      <c r="K82" s="263"/>
      <c r="L82" s="263"/>
      <c r="M82" s="263"/>
      <c r="N82" s="263"/>
      <c r="O82" s="263"/>
      <c r="P82" s="263"/>
      <c r="Q82" s="263"/>
      <c r="R82" s="263"/>
      <c r="S82" s="263"/>
      <c r="T82" s="263"/>
      <c r="U82" s="263"/>
      <c r="V82" s="263"/>
      <c r="W82" s="263"/>
      <c r="X82" s="263"/>
      <c r="Y82" s="263"/>
      <c r="Z82" s="263"/>
      <c r="AA82" s="263"/>
      <c r="AB82" s="263"/>
      <c r="AC82" s="263"/>
      <c r="AD82" s="263"/>
      <c r="AE82" s="263"/>
      <c r="AF82" s="263"/>
      <c r="AG82" s="263"/>
      <c r="AH82" s="263"/>
      <c r="AI82" s="263"/>
      <c r="AJ82" s="263"/>
      <c r="AK82" s="263"/>
      <c r="AL82" s="263"/>
      <c r="AM82" s="263"/>
      <c r="AN82" s="263"/>
      <c r="AO82" s="263"/>
      <c r="AP82" s="263"/>
      <c r="AQ82" s="263"/>
      <c r="AR82" s="263"/>
      <c r="AS82" s="263"/>
      <c r="AT82" s="263"/>
      <c r="AU82" s="263"/>
      <c r="AV82" s="263"/>
      <c r="AW82" s="263"/>
      <c r="AX82" s="263"/>
      <c r="AY82" s="263"/>
      <c r="AZ82" s="263"/>
      <c r="BA82" s="263"/>
      <c r="BB82" s="263"/>
      <c r="BC82" s="263"/>
      <c r="BD82" s="263"/>
      <c r="BE82" s="263"/>
      <c r="BF82" s="263"/>
      <c r="BG82" s="263"/>
      <c r="BH82" s="263"/>
      <c r="BI82" s="263"/>
      <c r="BJ82" s="263"/>
      <c r="BK82" s="268"/>
      <c r="BL82" s="263"/>
      <c r="BM82" s="263"/>
      <c r="BN82" s="263"/>
      <c r="BO82" s="263"/>
    </row>
    <row r="83" spans="1:67" x14ac:dyDescent="0.25">
      <c r="A83" s="263"/>
      <c r="B83" s="263"/>
      <c r="C83" s="263"/>
      <c r="D83" s="263"/>
      <c r="E83" s="263"/>
      <c r="F83" s="263"/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  <c r="U83" s="263"/>
      <c r="V83" s="263"/>
      <c r="W83" s="263"/>
      <c r="X83" s="263"/>
      <c r="Y83" s="263"/>
      <c r="Z83" s="263"/>
      <c r="AA83" s="263"/>
      <c r="AB83" s="263"/>
      <c r="AC83" s="263"/>
      <c r="AD83" s="263"/>
      <c r="AE83" s="263"/>
      <c r="AF83" s="263"/>
      <c r="AG83" s="263"/>
      <c r="AH83" s="263"/>
      <c r="AI83" s="263"/>
      <c r="AJ83" s="263"/>
      <c r="AK83" s="263"/>
      <c r="AL83" s="263"/>
      <c r="AM83" s="263"/>
      <c r="AN83" s="263"/>
      <c r="AO83" s="263"/>
      <c r="AP83" s="263"/>
      <c r="AQ83" s="263"/>
      <c r="AR83" s="263"/>
      <c r="AS83" s="263"/>
      <c r="AT83" s="263"/>
      <c r="AU83" s="263"/>
      <c r="AV83" s="263"/>
      <c r="AW83" s="263"/>
      <c r="AX83" s="263"/>
      <c r="AY83" s="263"/>
      <c r="AZ83" s="263"/>
      <c r="BA83" s="263"/>
      <c r="BB83" s="263"/>
      <c r="BC83" s="263"/>
      <c r="BD83" s="263"/>
      <c r="BE83" s="263"/>
      <c r="BF83" s="263"/>
      <c r="BG83" s="263"/>
      <c r="BH83" s="263"/>
      <c r="BI83" s="263"/>
      <c r="BJ83" s="263"/>
      <c r="BK83" s="268"/>
      <c r="BL83" s="263"/>
      <c r="BM83" s="263"/>
      <c r="BN83" s="263"/>
      <c r="BO83" s="263"/>
    </row>
    <row r="84" spans="1:67" x14ac:dyDescent="0.25">
      <c r="A84" s="263"/>
      <c r="B84" s="263"/>
      <c r="C84" s="263"/>
      <c r="D84" s="263"/>
      <c r="E84" s="263"/>
      <c r="F84" s="263"/>
      <c r="G84" s="263"/>
      <c r="H84" s="263"/>
      <c r="I84" s="263"/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  <c r="U84" s="263"/>
      <c r="V84" s="263"/>
      <c r="W84" s="263"/>
      <c r="X84" s="263"/>
      <c r="Y84" s="263"/>
      <c r="Z84" s="263"/>
      <c r="AA84" s="263"/>
      <c r="AB84" s="263"/>
      <c r="AC84" s="263"/>
      <c r="AD84" s="263"/>
      <c r="AE84" s="263"/>
      <c r="AF84" s="263"/>
      <c r="AG84" s="263"/>
      <c r="AH84" s="263"/>
      <c r="AI84" s="263"/>
      <c r="AJ84" s="263"/>
      <c r="AK84" s="263"/>
      <c r="AL84" s="263"/>
      <c r="AM84" s="263"/>
      <c r="AN84" s="263"/>
      <c r="AO84" s="263"/>
      <c r="AP84" s="263"/>
      <c r="AQ84" s="263"/>
      <c r="AR84" s="263"/>
      <c r="AS84" s="263"/>
      <c r="AT84" s="263"/>
      <c r="AU84" s="263"/>
      <c r="AV84" s="263"/>
      <c r="AW84" s="263"/>
      <c r="AX84" s="263"/>
      <c r="AY84" s="263"/>
      <c r="AZ84" s="263"/>
      <c r="BA84" s="263"/>
      <c r="BB84" s="263"/>
      <c r="BC84" s="263"/>
      <c r="BD84" s="263"/>
      <c r="BE84" s="263"/>
      <c r="BF84" s="263"/>
      <c r="BG84" s="263"/>
      <c r="BH84" s="263"/>
      <c r="BI84" s="263"/>
      <c r="BJ84" s="263"/>
      <c r="BK84" s="268"/>
      <c r="BL84" s="263"/>
      <c r="BM84" s="263"/>
      <c r="BN84" s="263"/>
      <c r="BO84" s="263"/>
    </row>
    <row r="85" spans="1:67" x14ac:dyDescent="0.25">
      <c r="A85" s="263"/>
      <c r="B85" s="263"/>
      <c r="C85" s="263"/>
      <c r="D85" s="263"/>
      <c r="E85" s="263"/>
      <c r="F85" s="263"/>
      <c r="G85" s="263"/>
      <c r="H85" s="263"/>
      <c r="I85" s="263"/>
      <c r="J85" s="263"/>
      <c r="K85" s="263"/>
      <c r="L85" s="263"/>
      <c r="M85" s="263"/>
      <c r="N85" s="263"/>
      <c r="O85" s="263"/>
      <c r="P85" s="263"/>
      <c r="Q85" s="263"/>
      <c r="R85" s="263"/>
      <c r="S85" s="263"/>
      <c r="T85" s="263"/>
      <c r="U85" s="263"/>
      <c r="V85" s="263"/>
      <c r="W85" s="263"/>
      <c r="X85" s="263"/>
      <c r="Y85" s="263"/>
      <c r="Z85" s="263"/>
      <c r="AA85" s="263"/>
      <c r="AB85" s="263"/>
      <c r="AC85" s="263"/>
      <c r="AD85" s="263"/>
      <c r="AE85" s="263"/>
      <c r="AF85" s="263"/>
      <c r="AG85" s="263"/>
      <c r="AH85" s="263"/>
      <c r="AI85" s="263"/>
      <c r="AJ85" s="263"/>
      <c r="AK85" s="263"/>
      <c r="AL85" s="263"/>
      <c r="AM85" s="263"/>
      <c r="AN85" s="263"/>
      <c r="AO85" s="263"/>
      <c r="AP85" s="263"/>
      <c r="AQ85" s="263"/>
      <c r="AR85" s="263"/>
      <c r="AS85" s="263"/>
      <c r="AT85" s="263"/>
      <c r="AU85" s="263"/>
      <c r="AV85" s="263"/>
      <c r="AW85" s="263"/>
      <c r="AX85" s="263"/>
      <c r="AY85" s="263"/>
      <c r="AZ85" s="263"/>
      <c r="BA85" s="263"/>
      <c r="BB85" s="263"/>
      <c r="BC85" s="263"/>
      <c r="BD85" s="263"/>
      <c r="BE85" s="263"/>
      <c r="BF85" s="263"/>
      <c r="BG85" s="263"/>
      <c r="BH85" s="263"/>
      <c r="BI85" s="263"/>
      <c r="BJ85" s="263"/>
      <c r="BK85" s="268"/>
      <c r="BL85" s="263"/>
      <c r="BM85" s="263"/>
      <c r="BN85" s="263"/>
      <c r="BO85" s="263"/>
    </row>
    <row r="86" spans="1:67" x14ac:dyDescent="0.25">
      <c r="A86" s="263"/>
      <c r="B86" s="263"/>
      <c r="C86" s="263"/>
      <c r="D86" s="263"/>
      <c r="E86" s="263"/>
      <c r="F86" s="263"/>
      <c r="G86" s="263"/>
      <c r="H86" s="263"/>
      <c r="I86" s="263"/>
      <c r="J86" s="263"/>
      <c r="K86" s="263"/>
      <c r="L86" s="263"/>
      <c r="M86" s="263"/>
      <c r="N86" s="263"/>
      <c r="O86" s="263"/>
      <c r="P86" s="263"/>
      <c r="Q86" s="263"/>
      <c r="R86" s="263"/>
      <c r="S86" s="263"/>
      <c r="T86" s="263"/>
      <c r="U86" s="263"/>
      <c r="V86" s="263"/>
      <c r="W86" s="263"/>
      <c r="X86" s="263"/>
      <c r="Y86" s="263"/>
      <c r="Z86" s="263"/>
      <c r="AA86" s="263"/>
      <c r="AB86" s="263"/>
      <c r="AC86" s="263"/>
      <c r="AD86" s="263"/>
      <c r="AE86" s="263"/>
      <c r="AF86" s="263"/>
      <c r="AG86" s="263"/>
      <c r="AH86" s="263"/>
      <c r="AI86" s="263"/>
      <c r="AJ86" s="263"/>
      <c r="AK86" s="263"/>
      <c r="AL86" s="263"/>
      <c r="AM86" s="263"/>
      <c r="AN86" s="263"/>
      <c r="AO86" s="263"/>
      <c r="AP86" s="263"/>
      <c r="AQ86" s="263"/>
      <c r="AR86" s="263"/>
      <c r="AS86" s="263"/>
      <c r="AT86" s="263"/>
      <c r="AU86" s="263"/>
      <c r="AV86" s="263"/>
      <c r="AW86" s="263"/>
      <c r="AX86" s="263"/>
      <c r="AY86" s="263"/>
      <c r="AZ86" s="263"/>
      <c r="BA86" s="263"/>
      <c r="BB86" s="263"/>
      <c r="BC86" s="263"/>
      <c r="BD86" s="263"/>
      <c r="BE86" s="263"/>
      <c r="BF86" s="263"/>
      <c r="BG86" s="263"/>
      <c r="BH86" s="263"/>
      <c r="BI86" s="263"/>
      <c r="BJ86" s="263"/>
      <c r="BK86" s="268"/>
      <c r="BL86" s="263"/>
      <c r="BM86" s="263"/>
      <c r="BN86" s="263"/>
      <c r="BO86" s="263"/>
    </row>
    <row r="87" spans="1:67" x14ac:dyDescent="0.25">
      <c r="A87" s="263"/>
      <c r="B87" s="263"/>
      <c r="C87" s="263"/>
      <c r="D87" s="263"/>
      <c r="E87" s="263"/>
      <c r="F87" s="263"/>
      <c r="G87" s="263"/>
      <c r="H87" s="263"/>
      <c r="I87" s="263"/>
      <c r="J87" s="263"/>
      <c r="K87" s="263"/>
      <c r="L87" s="263"/>
      <c r="M87" s="263"/>
      <c r="N87" s="263"/>
      <c r="O87" s="263"/>
      <c r="P87" s="263"/>
      <c r="Q87" s="263"/>
      <c r="R87" s="263"/>
      <c r="S87" s="263"/>
      <c r="T87" s="263"/>
      <c r="U87" s="263"/>
      <c r="V87" s="263"/>
      <c r="W87" s="263"/>
      <c r="X87" s="263"/>
      <c r="Y87" s="263"/>
      <c r="Z87" s="263"/>
      <c r="AA87" s="263"/>
      <c r="AB87" s="263"/>
      <c r="AC87" s="263"/>
      <c r="AD87" s="263"/>
      <c r="AE87" s="263"/>
      <c r="AF87" s="263"/>
      <c r="AG87" s="263"/>
      <c r="AH87" s="263"/>
      <c r="AI87" s="263"/>
      <c r="AJ87" s="263"/>
      <c r="AK87" s="263"/>
      <c r="AL87" s="263"/>
      <c r="AM87" s="263"/>
      <c r="AN87" s="263"/>
      <c r="AO87" s="263"/>
      <c r="AP87" s="263"/>
      <c r="AQ87" s="263"/>
      <c r="AR87" s="263"/>
      <c r="AS87" s="263"/>
      <c r="AT87" s="263"/>
      <c r="AU87" s="263"/>
      <c r="AV87" s="263"/>
      <c r="AW87" s="263"/>
      <c r="AX87" s="263"/>
      <c r="AY87" s="263"/>
      <c r="AZ87" s="263"/>
      <c r="BA87" s="263"/>
      <c r="BB87" s="263"/>
      <c r="BC87" s="263"/>
      <c r="BD87" s="263"/>
      <c r="BE87" s="263"/>
      <c r="BF87" s="263"/>
      <c r="BG87" s="263"/>
      <c r="BH87" s="263"/>
      <c r="BI87" s="263"/>
      <c r="BJ87" s="263"/>
      <c r="BK87" s="268"/>
      <c r="BL87" s="263"/>
      <c r="BM87" s="263"/>
      <c r="BN87" s="263"/>
      <c r="BO87" s="263"/>
    </row>
    <row r="88" spans="1:67" x14ac:dyDescent="0.25">
      <c r="A88" s="263"/>
      <c r="B88" s="263"/>
      <c r="C88" s="263"/>
      <c r="D88" s="263"/>
      <c r="E88" s="263"/>
      <c r="F88" s="263"/>
      <c r="G88" s="263"/>
      <c r="H88" s="263"/>
      <c r="I88" s="263"/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  <c r="U88" s="263"/>
      <c r="V88" s="263"/>
      <c r="W88" s="263"/>
      <c r="X88" s="263"/>
      <c r="Y88" s="263"/>
      <c r="Z88" s="263"/>
      <c r="AA88" s="263"/>
      <c r="AB88" s="263"/>
      <c r="AC88" s="263"/>
      <c r="AD88" s="263"/>
      <c r="AE88" s="263"/>
      <c r="AF88" s="263"/>
      <c r="AG88" s="263"/>
      <c r="AH88" s="263"/>
      <c r="AI88" s="263"/>
      <c r="AJ88" s="263"/>
      <c r="AK88" s="263"/>
      <c r="AL88" s="263"/>
      <c r="AM88" s="263"/>
      <c r="AN88" s="263"/>
      <c r="AO88" s="263"/>
      <c r="AP88" s="263"/>
      <c r="AQ88" s="263"/>
      <c r="AR88" s="263"/>
      <c r="AS88" s="263"/>
      <c r="AT88" s="263"/>
      <c r="AU88" s="263"/>
      <c r="AV88" s="263"/>
      <c r="AW88" s="263"/>
      <c r="AX88" s="263"/>
      <c r="AY88" s="263"/>
      <c r="AZ88" s="263"/>
      <c r="BA88" s="263"/>
      <c r="BB88" s="263"/>
      <c r="BC88" s="263"/>
      <c r="BD88" s="263"/>
      <c r="BE88" s="263"/>
      <c r="BF88" s="263"/>
      <c r="BG88" s="263"/>
      <c r="BH88" s="263"/>
      <c r="BI88" s="263"/>
      <c r="BJ88" s="263"/>
      <c r="BK88" s="268"/>
      <c r="BL88" s="263"/>
      <c r="BM88" s="263"/>
      <c r="BN88" s="263"/>
      <c r="BO88" s="263"/>
    </row>
    <row r="89" spans="1:67" x14ac:dyDescent="0.25">
      <c r="A89" s="263"/>
      <c r="B89" s="263"/>
      <c r="C89" s="263"/>
      <c r="D89" s="263"/>
      <c r="E89" s="263"/>
      <c r="F89" s="263"/>
      <c r="G89" s="263"/>
      <c r="H89" s="263"/>
      <c r="I89" s="263"/>
      <c r="J89" s="263"/>
      <c r="K89" s="263"/>
      <c r="L89" s="263"/>
      <c r="M89" s="263"/>
      <c r="N89" s="263"/>
      <c r="O89" s="263"/>
      <c r="P89" s="263"/>
      <c r="Q89" s="263"/>
      <c r="R89" s="263"/>
      <c r="S89" s="263"/>
      <c r="T89" s="263"/>
      <c r="U89" s="263"/>
      <c r="V89" s="263"/>
      <c r="W89" s="263"/>
      <c r="X89" s="263"/>
      <c r="Y89" s="263"/>
      <c r="Z89" s="263"/>
      <c r="AA89" s="263"/>
      <c r="AB89" s="263"/>
      <c r="AC89" s="263"/>
      <c r="AD89" s="263"/>
      <c r="AE89" s="263"/>
      <c r="AF89" s="263"/>
      <c r="AG89" s="263"/>
      <c r="AH89" s="263"/>
      <c r="AI89" s="263"/>
      <c r="AJ89" s="263"/>
      <c r="AK89" s="263"/>
      <c r="AL89" s="263"/>
      <c r="AM89" s="263"/>
      <c r="AN89" s="263"/>
      <c r="AO89" s="263"/>
      <c r="AP89" s="263"/>
      <c r="AQ89" s="263"/>
      <c r="AR89" s="263"/>
      <c r="AS89" s="263"/>
      <c r="AT89" s="263"/>
      <c r="AU89" s="263"/>
      <c r="AV89" s="263"/>
      <c r="AW89" s="263"/>
      <c r="AX89" s="263"/>
      <c r="AY89" s="263"/>
      <c r="AZ89" s="263"/>
      <c r="BA89" s="263"/>
      <c r="BB89" s="263"/>
      <c r="BC89" s="263"/>
      <c r="BD89" s="263"/>
      <c r="BE89" s="263"/>
      <c r="BF89" s="263"/>
      <c r="BG89" s="263"/>
      <c r="BH89" s="263"/>
      <c r="BI89" s="263"/>
      <c r="BJ89" s="263"/>
      <c r="BK89" s="263"/>
      <c r="BL89" s="263"/>
      <c r="BM89" s="263"/>
      <c r="BN89" s="263"/>
      <c r="BO89" s="263"/>
    </row>
    <row r="90" spans="1:67" x14ac:dyDescent="0.25">
      <c r="A90" s="263"/>
      <c r="B90" s="263"/>
      <c r="C90" s="263"/>
      <c r="D90" s="263"/>
      <c r="E90" s="263"/>
      <c r="F90" s="263"/>
      <c r="G90" s="263"/>
      <c r="H90" s="263"/>
      <c r="I90" s="263"/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  <c r="U90" s="263"/>
      <c r="V90" s="263"/>
      <c r="W90" s="263"/>
      <c r="X90" s="263"/>
      <c r="Y90" s="263"/>
      <c r="Z90" s="263"/>
      <c r="AA90" s="263"/>
      <c r="AB90" s="263"/>
      <c r="AC90" s="263"/>
      <c r="AD90" s="263"/>
      <c r="AE90" s="263"/>
      <c r="AF90" s="263"/>
      <c r="AG90" s="263"/>
      <c r="AH90" s="263"/>
      <c r="AI90" s="263"/>
      <c r="AJ90" s="263"/>
      <c r="AK90" s="263"/>
      <c r="AL90" s="263"/>
      <c r="AM90" s="263"/>
      <c r="AN90" s="263"/>
      <c r="AO90" s="263"/>
      <c r="AP90" s="263"/>
      <c r="AQ90" s="263"/>
      <c r="AR90" s="263"/>
      <c r="AS90" s="263"/>
      <c r="AT90" s="263"/>
      <c r="AU90" s="263"/>
      <c r="AV90" s="263"/>
      <c r="AW90" s="263"/>
      <c r="AX90" s="263"/>
      <c r="AY90" s="263"/>
      <c r="AZ90" s="263"/>
      <c r="BA90" s="263"/>
      <c r="BB90" s="263"/>
      <c r="BC90" s="263"/>
      <c r="BD90" s="263"/>
      <c r="BE90" s="263"/>
      <c r="BF90" s="263"/>
      <c r="BG90" s="263"/>
      <c r="BH90" s="263"/>
      <c r="BI90" s="263"/>
      <c r="BJ90" s="263"/>
      <c r="BK90" s="263"/>
      <c r="BL90" s="263"/>
      <c r="BM90" s="263"/>
      <c r="BN90" s="263"/>
      <c r="BO90" s="263"/>
    </row>
    <row r="91" spans="1:67" x14ac:dyDescent="0.25">
      <c r="A91" s="263"/>
      <c r="B91" s="263"/>
      <c r="C91" s="263"/>
      <c r="D91" s="263"/>
      <c r="E91" s="263"/>
      <c r="F91" s="263"/>
      <c r="G91" s="263"/>
      <c r="H91" s="263"/>
      <c r="I91" s="263"/>
      <c r="J91" s="263"/>
      <c r="K91" s="263"/>
      <c r="L91" s="263"/>
      <c r="M91" s="263"/>
      <c r="N91" s="263"/>
      <c r="O91" s="263"/>
      <c r="P91" s="263"/>
      <c r="Q91" s="263"/>
      <c r="R91" s="263"/>
      <c r="S91" s="263"/>
      <c r="T91" s="263"/>
      <c r="U91" s="263"/>
      <c r="V91" s="263"/>
      <c r="W91" s="263"/>
      <c r="X91" s="263"/>
      <c r="Y91" s="263"/>
      <c r="Z91" s="263"/>
      <c r="AA91" s="263"/>
      <c r="AB91" s="263"/>
      <c r="AC91" s="263"/>
      <c r="AD91" s="263"/>
      <c r="AE91" s="263"/>
      <c r="AF91" s="263"/>
      <c r="AG91" s="263"/>
      <c r="AH91" s="263"/>
      <c r="AI91" s="263"/>
      <c r="AJ91" s="263"/>
      <c r="AK91" s="263"/>
      <c r="AL91" s="263"/>
      <c r="AM91" s="263"/>
      <c r="AN91" s="263"/>
      <c r="AO91" s="263"/>
      <c r="AP91" s="263"/>
      <c r="AQ91" s="263"/>
      <c r="AR91" s="263"/>
      <c r="AS91" s="263"/>
      <c r="AT91" s="263"/>
      <c r="AU91" s="263"/>
      <c r="AV91" s="263"/>
      <c r="AW91" s="263"/>
      <c r="AX91" s="263"/>
      <c r="AY91" s="263"/>
      <c r="AZ91" s="263"/>
      <c r="BA91" s="263"/>
      <c r="BB91" s="263"/>
      <c r="BC91" s="263"/>
      <c r="BD91" s="263"/>
      <c r="BE91" s="263"/>
      <c r="BF91" s="263"/>
      <c r="BG91" s="263"/>
      <c r="BH91" s="263"/>
      <c r="BI91" s="263"/>
      <c r="BJ91" s="263"/>
      <c r="BK91" s="263"/>
      <c r="BL91" s="263"/>
      <c r="BM91" s="263"/>
      <c r="BN91" s="263"/>
      <c r="BO91" s="263"/>
    </row>
    <row r="92" spans="1:67" x14ac:dyDescent="0.25">
      <c r="A92" s="263"/>
      <c r="B92" s="263"/>
      <c r="C92" s="263"/>
      <c r="D92" s="263"/>
      <c r="E92" s="263"/>
      <c r="F92" s="263"/>
      <c r="G92" s="263"/>
      <c r="H92" s="263"/>
      <c r="I92" s="263"/>
      <c r="J92" s="263"/>
      <c r="K92" s="263"/>
      <c r="L92" s="263"/>
      <c r="M92" s="263"/>
      <c r="N92" s="263"/>
      <c r="O92" s="263"/>
      <c r="P92" s="263"/>
      <c r="Q92" s="263"/>
      <c r="R92" s="263"/>
      <c r="S92" s="263"/>
      <c r="T92" s="263"/>
      <c r="U92" s="263"/>
      <c r="V92" s="263"/>
      <c r="W92" s="263"/>
      <c r="X92" s="263"/>
      <c r="Y92" s="263"/>
      <c r="Z92" s="263"/>
      <c r="AA92" s="263"/>
      <c r="AB92" s="263"/>
      <c r="AC92" s="263"/>
      <c r="AD92" s="263"/>
      <c r="AE92" s="263"/>
      <c r="AF92" s="263"/>
      <c r="AG92" s="263"/>
      <c r="AH92" s="263"/>
      <c r="AI92" s="263"/>
      <c r="AJ92" s="263"/>
      <c r="AK92" s="263"/>
      <c r="AL92" s="263"/>
      <c r="AM92" s="263"/>
      <c r="AN92" s="263"/>
      <c r="AO92" s="263"/>
      <c r="AP92" s="263"/>
      <c r="AQ92" s="263"/>
      <c r="AR92" s="263"/>
      <c r="AS92" s="263"/>
      <c r="AT92" s="263"/>
      <c r="AU92" s="263"/>
      <c r="AV92" s="263"/>
      <c r="AW92" s="263"/>
      <c r="AX92" s="263"/>
      <c r="AY92" s="263"/>
      <c r="AZ92" s="263"/>
      <c r="BA92" s="263"/>
      <c r="BB92" s="263"/>
      <c r="BC92" s="263"/>
      <c r="BD92" s="263"/>
      <c r="BE92" s="263"/>
      <c r="BF92" s="263"/>
      <c r="BG92" s="263"/>
      <c r="BH92" s="263"/>
      <c r="BI92" s="263"/>
      <c r="BJ92" s="263"/>
      <c r="BK92" s="263"/>
      <c r="BL92" s="263"/>
      <c r="BM92" s="263"/>
      <c r="BN92" s="263"/>
      <c r="BO92" s="263"/>
    </row>
    <row r="93" spans="1:67" x14ac:dyDescent="0.25">
      <c r="A93" s="263"/>
      <c r="B93" s="263"/>
      <c r="C93" s="263"/>
      <c r="D93" s="263"/>
      <c r="E93" s="263"/>
      <c r="F93" s="263"/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3"/>
      <c r="AH93" s="263"/>
      <c r="AI93" s="263"/>
      <c r="AJ93" s="263"/>
      <c r="AK93" s="263"/>
      <c r="AL93" s="263"/>
      <c r="AM93" s="263"/>
      <c r="AN93" s="263"/>
      <c r="AO93" s="263"/>
      <c r="AP93" s="263"/>
      <c r="AQ93" s="263"/>
      <c r="AR93" s="263"/>
      <c r="AS93" s="263"/>
      <c r="AT93" s="263"/>
      <c r="AU93" s="263"/>
      <c r="AV93" s="263"/>
      <c r="AW93" s="263"/>
      <c r="AX93" s="263"/>
      <c r="AY93" s="263"/>
      <c r="AZ93" s="263"/>
      <c r="BA93" s="263"/>
      <c r="BB93" s="263"/>
      <c r="BC93" s="263"/>
      <c r="BD93" s="263"/>
      <c r="BE93" s="263"/>
      <c r="BF93" s="263"/>
      <c r="BG93" s="263"/>
      <c r="BH93" s="263"/>
      <c r="BI93" s="263"/>
      <c r="BJ93" s="263"/>
      <c r="BK93" s="263"/>
      <c r="BL93" s="263"/>
      <c r="BM93" s="263"/>
      <c r="BN93" s="263"/>
      <c r="BO93" s="263"/>
    </row>
    <row r="94" spans="1:67" x14ac:dyDescent="0.25">
      <c r="A94" s="263"/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3"/>
      <c r="P94" s="263"/>
      <c r="Q94" s="263"/>
      <c r="R94" s="263"/>
      <c r="S94" s="263"/>
      <c r="T94" s="263"/>
      <c r="U94" s="263"/>
      <c r="V94" s="263"/>
      <c r="W94" s="263"/>
      <c r="X94" s="263"/>
      <c r="Y94" s="263"/>
      <c r="Z94" s="263"/>
      <c r="AA94" s="263"/>
      <c r="AB94" s="263"/>
      <c r="AC94" s="263"/>
      <c r="AD94" s="263"/>
      <c r="AE94" s="263"/>
      <c r="AF94" s="263"/>
      <c r="AG94" s="263"/>
      <c r="AH94" s="263"/>
      <c r="AI94" s="263"/>
      <c r="AJ94" s="263"/>
      <c r="AK94" s="263"/>
      <c r="AL94" s="263"/>
      <c r="AM94" s="263"/>
      <c r="AN94" s="263"/>
      <c r="AO94" s="263"/>
      <c r="AP94" s="263"/>
      <c r="AQ94" s="263"/>
      <c r="AR94" s="263"/>
      <c r="AS94" s="263"/>
      <c r="AT94" s="263"/>
      <c r="AU94" s="263"/>
      <c r="AV94" s="263"/>
      <c r="AW94" s="263"/>
      <c r="AX94" s="263"/>
      <c r="AY94" s="263"/>
      <c r="AZ94" s="263"/>
      <c r="BA94" s="263"/>
      <c r="BB94" s="263"/>
      <c r="BC94" s="263"/>
      <c r="BD94" s="263"/>
      <c r="BE94" s="263"/>
      <c r="BF94" s="263"/>
      <c r="BG94" s="263"/>
      <c r="BH94" s="263"/>
      <c r="BI94" s="263"/>
      <c r="BJ94" s="263"/>
      <c r="BK94" s="263"/>
      <c r="BL94" s="263"/>
      <c r="BM94" s="263"/>
      <c r="BN94" s="263"/>
      <c r="BO94" s="263"/>
    </row>
    <row r="95" spans="1:67" x14ac:dyDescent="0.25">
      <c r="A95" s="263"/>
      <c r="B95" s="263"/>
      <c r="C95" s="263"/>
      <c r="D95" s="263"/>
      <c r="E95" s="263"/>
      <c r="F95" s="263"/>
      <c r="G95" s="263"/>
      <c r="H95" s="263"/>
      <c r="I95" s="263"/>
      <c r="J95" s="263"/>
      <c r="K95" s="263"/>
      <c r="L95" s="263"/>
      <c r="M95" s="263"/>
      <c r="N95" s="263"/>
      <c r="O95" s="263"/>
      <c r="P95" s="263"/>
      <c r="Q95" s="263"/>
      <c r="R95" s="263"/>
      <c r="S95" s="263"/>
      <c r="T95" s="263"/>
      <c r="U95" s="263"/>
      <c r="V95" s="263"/>
      <c r="W95" s="263"/>
      <c r="X95" s="263"/>
      <c r="Y95" s="263"/>
      <c r="Z95" s="263"/>
      <c r="AA95" s="263"/>
      <c r="AB95" s="263"/>
      <c r="AC95" s="263"/>
      <c r="AD95" s="263"/>
      <c r="AE95" s="263"/>
      <c r="AF95" s="263"/>
      <c r="AG95" s="263"/>
      <c r="AH95" s="263"/>
      <c r="AI95" s="263"/>
      <c r="AJ95" s="263"/>
      <c r="AK95" s="263"/>
      <c r="AL95" s="263"/>
      <c r="AM95" s="263"/>
      <c r="AN95" s="263"/>
      <c r="AO95" s="263"/>
      <c r="AP95" s="263"/>
      <c r="AQ95" s="263"/>
      <c r="AR95" s="263"/>
      <c r="AS95" s="263"/>
      <c r="AT95" s="263"/>
      <c r="AU95" s="263"/>
      <c r="AV95" s="263"/>
      <c r="AW95" s="263"/>
      <c r="AX95" s="263"/>
      <c r="AY95" s="263"/>
      <c r="AZ95" s="263"/>
      <c r="BA95" s="263"/>
      <c r="BB95" s="263"/>
      <c r="BC95" s="263"/>
      <c r="BD95" s="263"/>
      <c r="BE95" s="263"/>
      <c r="BF95" s="263"/>
      <c r="BG95" s="263"/>
      <c r="BH95" s="263"/>
      <c r="BI95" s="263"/>
      <c r="BJ95" s="263"/>
      <c r="BK95" s="263"/>
      <c r="BL95" s="263"/>
      <c r="BM95" s="263"/>
      <c r="BN95" s="263"/>
      <c r="BO95" s="263"/>
    </row>
    <row r="96" spans="1:67" x14ac:dyDescent="0.25">
      <c r="A96" s="263"/>
      <c r="B96" s="263"/>
      <c r="C96" s="263"/>
      <c r="D96" s="263"/>
      <c r="E96" s="263"/>
      <c r="F96" s="263"/>
      <c r="G96" s="263"/>
      <c r="H96" s="263"/>
      <c r="I96" s="263"/>
      <c r="J96" s="263"/>
      <c r="K96" s="263"/>
      <c r="L96" s="263"/>
      <c r="M96" s="263"/>
      <c r="N96" s="263"/>
      <c r="O96" s="263"/>
      <c r="P96" s="263"/>
      <c r="Q96" s="263"/>
      <c r="R96" s="263"/>
      <c r="S96" s="263"/>
      <c r="T96" s="263"/>
      <c r="U96" s="263"/>
      <c r="V96" s="263"/>
      <c r="W96" s="263"/>
      <c r="X96" s="263"/>
      <c r="Y96" s="263"/>
      <c r="Z96" s="263"/>
      <c r="AA96" s="263"/>
      <c r="AB96" s="263"/>
      <c r="AC96" s="263"/>
      <c r="AD96" s="263"/>
      <c r="AE96" s="263"/>
      <c r="AF96" s="263"/>
      <c r="AG96" s="263"/>
      <c r="AH96" s="263"/>
      <c r="AI96" s="263"/>
      <c r="AJ96" s="263"/>
      <c r="AK96" s="263"/>
      <c r="AL96" s="263"/>
      <c r="AM96" s="263"/>
      <c r="AN96" s="263"/>
      <c r="AO96" s="263"/>
      <c r="AP96" s="263"/>
      <c r="AQ96" s="263"/>
      <c r="AR96" s="263"/>
      <c r="AS96" s="263"/>
      <c r="AT96" s="263"/>
      <c r="AU96" s="263"/>
      <c r="AV96" s="263"/>
      <c r="AW96" s="263"/>
      <c r="AX96" s="263"/>
      <c r="AY96" s="263"/>
      <c r="AZ96" s="263"/>
      <c r="BA96" s="263"/>
      <c r="BB96" s="263"/>
      <c r="BC96" s="263"/>
      <c r="BD96" s="263"/>
      <c r="BE96" s="263"/>
      <c r="BF96" s="263"/>
      <c r="BG96" s="263"/>
      <c r="BH96" s="263"/>
      <c r="BI96" s="263"/>
      <c r="BJ96" s="263"/>
      <c r="BK96" s="263"/>
      <c r="BL96" s="263"/>
      <c r="BM96" s="263"/>
      <c r="BN96" s="263"/>
      <c r="BO96" s="263"/>
    </row>
    <row r="97" spans="1:67" x14ac:dyDescent="0.25">
      <c r="A97" s="263"/>
      <c r="B97" s="263"/>
      <c r="C97" s="263"/>
      <c r="D97" s="263"/>
      <c r="E97" s="263"/>
      <c r="F97" s="263"/>
      <c r="G97" s="263"/>
      <c r="H97" s="263"/>
      <c r="I97" s="263"/>
      <c r="J97" s="263"/>
      <c r="K97" s="263"/>
      <c r="L97" s="263"/>
      <c r="M97" s="263"/>
      <c r="N97" s="263"/>
      <c r="O97" s="263"/>
      <c r="P97" s="263"/>
      <c r="Q97" s="263"/>
      <c r="R97" s="263"/>
      <c r="S97" s="263"/>
      <c r="T97" s="263"/>
      <c r="U97" s="263"/>
      <c r="V97" s="263"/>
      <c r="W97" s="263"/>
      <c r="X97" s="263"/>
      <c r="Y97" s="263"/>
      <c r="Z97" s="263"/>
      <c r="AA97" s="263"/>
      <c r="AB97" s="263"/>
      <c r="AC97" s="263"/>
      <c r="AD97" s="263"/>
      <c r="AE97" s="263"/>
      <c r="AF97" s="263"/>
      <c r="AG97" s="263"/>
      <c r="AH97" s="263"/>
      <c r="AI97" s="263"/>
      <c r="AJ97" s="263"/>
      <c r="AK97" s="263"/>
      <c r="AL97" s="263"/>
      <c r="AM97" s="263"/>
      <c r="AN97" s="263"/>
      <c r="AO97" s="263"/>
      <c r="AP97" s="263"/>
      <c r="AQ97" s="263"/>
      <c r="AR97" s="263"/>
      <c r="AS97" s="263"/>
      <c r="AT97" s="263"/>
      <c r="AU97" s="263"/>
      <c r="AV97" s="263"/>
      <c r="AW97" s="263"/>
      <c r="AX97" s="263"/>
      <c r="AY97" s="263"/>
      <c r="AZ97" s="263"/>
      <c r="BA97" s="263"/>
      <c r="BB97" s="263"/>
      <c r="BC97" s="263"/>
      <c r="BD97" s="263"/>
      <c r="BE97" s="263"/>
      <c r="BF97" s="263"/>
      <c r="BG97" s="263"/>
      <c r="BH97" s="263"/>
      <c r="BI97" s="263"/>
      <c r="BJ97" s="263"/>
      <c r="BK97" s="263"/>
      <c r="BL97" s="263"/>
      <c r="BM97" s="263"/>
      <c r="BN97" s="263"/>
      <c r="BO97" s="263"/>
    </row>
    <row r="98" spans="1:67" x14ac:dyDescent="0.25">
      <c r="A98" s="263"/>
      <c r="B98" s="263"/>
      <c r="C98" s="263"/>
      <c r="D98" s="263"/>
      <c r="E98" s="263"/>
      <c r="F98" s="263"/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  <c r="U98" s="263"/>
      <c r="V98" s="263"/>
      <c r="W98" s="263"/>
      <c r="X98" s="263"/>
      <c r="Y98" s="263"/>
      <c r="Z98" s="263"/>
      <c r="AA98" s="263"/>
      <c r="AB98" s="263"/>
      <c r="AC98" s="263"/>
      <c r="AD98" s="263"/>
      <c r="AE98" s="263"/>
      <c r="AF98" s="263"/>
      <c r="AG98" s="263"/>
      <c r="AH98" s="263"/>
      <c r="AI98" s="263"/>
      <c r="AJ98" s="263"/>
      <c r="AK98" s="263"/>
      <c r="AL98" s="263"/>
      <c r="AM98" s="263"/>
      <c r="AN98" s="263"/>
      <c r="AO98" s="263"/>
      <c r="AP98" s="263"/>
      <c r="AQ98" s="263"/>
      <c r="AR98" s="263"/>
      <c r="AS98" s="263"/>
      <c r="AT98" s="263"/>
      <c r="AU98" s="263"/>
      <c r="AV98" s="263"/>
      <c r="AW98" s="263"/>
      <c r="AX98" s="263"/>
      <c r="AY98" s="263"/>
      <c r="AZ98" s="263"/>
      <c r="BA98" s="263"/>
      <c r="BB98" s="263"/>
      <c r="BC98" s="263"/>
      <c r="BD98" s="263"/>
      <c r="BE98" s="263"/>
      <c r="BF98" s="263"/>
      <c r="BG98" s="263"/>
      <c r="BH98" s="263"/>
      <c r="BI98" s="263"/>
      <c r="BJ98" s="263"/>
      <c r="BK98" s="263"/>
      <c r="BL98" s="263"/>
      <c r="BM98" s="263"/>
      <c r="BN98" s="263"/>
      <c r="BO98" s="263"/>
    </row>
    <row r="99" spans="1:67" x14ac:dyDescent="0.25">
      <c r="A99" s="263"/>
      <c r="B99" s="263"/>
      <c r="C99" s="263"/>
      <c r="D99" s="263"/>
      <c r="E99" s="263"/>
      <c r="F99" s="263"/>
      <c r="G99" s="263"/>
      <c r="H99" s="263"/>
      <c r="I99" s="263"/>
      <c r="J99" s="263"/>
      <c r="K99" s="263"/>
      <c r="L99" s="263"/>
      <c r="M99" s="263"/>
      <c r="N99" s="263"/>
      <c r="O99" s="263"/>
      <c r="P99" s="263"/>
      <c r="Q99" s="263"/>
      <c r="R99" s="263"/>
      <c r="S99" s="263"/>
      <c r="T99" s="263"/>
      <c r="U99" s="263"/>
      <c r="V99" s="263"/>
      <c r="W99" s="263"/>
      <c r="X99" s="263"/>
      <c r="Y99" s="263"/>
      <c r="Z99" s="263"/>
      <c r="AA99" s="263"/>
      <c r="AB99" s="263"/>
      <c r="AC99" s="263"/>
      <c r="AD99" s="263"/>
      <c r="AE99" s="263"/>
      <c r="AF99" s="263"/>
      <c r="AG99" s="263"/>
      <c r="AH99" s="263"/>
      <c r="AI99" s="263"/>
      <c r="AJ99" s="263"/>
      <c r="AK99" s="263"/>
      <c r="AL99" s="263"/>
      <c r="AM99" s="263"/>
      <c r="AN99" s="263"/>
      <c r="AO99" s="263"/>
      <c r="AP99" s="263"/>
      <c r="AQ99" s="263"/>
      <c r="AR99" s="263"/>
      <c r="AS99" s="263"/>
      <c r="AT99" s="263"/>
      <c r="AU99" s="263"/>
      <c r="AV99" s="263"/>
      <c r="AW99" s="263"/>
      <c r="AX99" s="263"/>
      <c r="AY99" s="263"/>
      <c r="AZ99" s="263"/>
      <c r="BA99" s="263"/>
      <c r="BB99" s="263"/>
      <c r="BC99" s="263"/>
      <c r="BD99" s="263"/>
      <c r="BE99" s="263"/>
      <c r="BF99" s="263"/>
      <c r="BG99" s="263"/>
      <c r="BH99" s="263"/>
      <c r="BI99" s="263"/>
      <c r="BJ99" s="263"/>
      <c r="BK99" s="263"/>
      <c r="BL99" s="263"/>
      <c r="BM99" s="263"/>
      <c r="BN99" s="263"/>
      <c r="BO99" s="263"/>
    </row>
    <row r="100" spans="1:67" x14ac:dyDescent="0.25">
      <c r="A100" s="263"/>
      <c r="B100" s="263"/>
      <c r="C100" s="263"/>
      <c r="D100" s="263"/>
      <c r="E100" s="263"/>
      <c r="F100" s="263"/>
      <c r="G100" s="263"/>
      <c r="H100" s="263"/>
      <c r="I100" s="263"/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  <c r="U100" s="263"/>
      <c r="V100" s="263"/>
      <c r="W100" s="263"/>
      <c r="X100" s="263"/>
      <c r="Y100" s="263"/>
      <c r="Z100" s="263"/>
      <c r="AA100" s="263"/>
      <c r="AB100" s="263"/>
      <c r="AC100" s="263"/>
      <c r="AD100" s="263"/>
      <c r="AE100" s="263"/>
      <c r="AF100" s="263"/>
      <c r="AG100" s="263"/>
      <c r="AH100" s="263"/>
      <c r="AI100" s="263"/>
      <c r="AJ100" s="263"/>
      <c r="AK100" s="263"/>
      <c r="AL100" s="263"/>
      <c r="AM100" s="263"/>
      <c r="AN100" s="263"/>
      <c r="AO100" s="263"/>
      <c r="AP100" s="263"/>
      <c r="AQ100" s="263"/>
      <c r="AR100" s="263"/>
      <c r="AS100" s="263"/>
      <c r="AT100" s="263"/>
      <c r="AU100" s="263"/>
      <c r="AV100" s="263"/>
      <c r="AW100" s="263"/>
      <c r="AX100" s="263"/>
      <c r="AY100" s="263"/>
      <c r="AZ100" s="263"/>
      <c r="BA100" s="263"/>
      <c r="BB100" s="263"/>
      <c r="BC100" s="263"/>
      <c r="BD100" s="263"/>
      <c r="BE100" s="263"/>
      <c r="BF100" s="263"/>
      <c r="BG100" s="263"/>
      <c r="BH100" s="263"/>
      <c r="BI100" s="263"/>
      <c r="BJ100" s="263"/>
      <c r="BK100" s="263"/>
      <c r="BL100" s="263"/>
      <c r="BM100" s="263"/>
      <c r="BN100" s="263"/>
      <c r="BO100" s="263"/>
    </row>
  </sheetData>
  <conditionalFormatting sqref="A2:BM52">
    <cfRule type="expression" dxfId="4" priority="1">
      <formula>$A2=0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S216"/>
  <sheetViews>
    <sheetView zoomScale="70" zoomScaleNormal="70" workbookViewId="0"/>
  </sheetViews>
  <sheetFormatPr defaultRowHeight="15" x14ac:dyDescent="0.25"/>
  <cols>
    <col min="1" max="1" width="14.7109375" style="186" customWidth="1"/>
    <col min="2" max="2" width="14.85546875" style="205" customWidth="1"/>
    <col min="3" max="3" width="13.85546875" style="205" bestFit="1" customWidth="1"/>
    <col min="4" max="4" width="17.28515625" style="205" bestFit="1" customWidth="1"/>
    <col min="5" max="5" width="17.28515625" style="104" bestFit="1" customWidth="1"/>
    <col min="6" max="7" width="16.7109375" style="104" bestFit="1" customWidth="1"/>
    <col min="8" max="8" width="10.7109375" style="186" bestFit="1" customWidth="1"/>
    <col min="9" max="9" width="19" style="186" bestFit="1" customWidth="1"/>
    <col min="10" max="10" width="19.28515625" style="186" bestFit="1" customWidth="1"/>
    <col min="11" max="12" width="14.7109375" style="186" bestFit="1" customWidth="1"/>
    <col min="13" max="13" width="10" style="186" bestFit="1" customWidth="1"/>
    <col min="14" max="14" width="14" style="186" bestFit="1" customWidth="1"/>
    <col min="15" max="15" width="10.7109375" style="186" bestFit="1" customWidth="1"/>
    <col min="16" max="16384" width="9.140625" style="186"/>
  </cols>
  <sheetData>
    <row r="1" spans="1:7" ht="29.25" customHeight="1" x14ac:dyDescent="0.4">
      <c r="A1" s="202"/>
      <c r="B1" s="215" t="s">
        <v>130</v>
      </c>
      <c r="C1" s="203"/>
      <c r="D1" s="203"/>
    </row>
    <row r="2" spans="1:7" s="161" customFormat="1" ht="29.25" customHeight="1" x14ac:dyDescent="0.4">
      <c r="B2" s="162"/>
      <c r="C2" s="162"/>
      <c r="D2" s="162"/>
      <c r="E2" s="104"/>
      <c r="F2" s="104"/>
      <c r="G2" s="104"/>
    </row>
    <row r="3" spans="1:7" ht="15.75" customHeight="1" x14ac:dyDescent="0.25">
      <c r="A3" s="147" t="s">
        <v>88</v>
      </c>
      <c r="B3" s="146" t="s">
        <v>127</v>
      </c>
      <c r="C3" s="146"/>
      <c r="D3" s="146"/>
    </row>
    <row r="4" spans="1:7" ht="15.75" customHeight="1" x14ac:dyDescent="0.25">
      <c r="A4" s="186" t="s">
        <v>15</v>
      </c>
      <c r="B4" s="204">
        <v>7275.7999999999975</v>
      </c>
      <c r="C4" s="146"/>
      <c r="D4" s="146"/>
    </row>
    <row r="5" spans="1:7" ht="15.75" customHeight="1" x14ac:dyDescent="0.25">
      <c r="A5" s="186" t="s">
        <v>16</v>
      </c>
      <c r="B5" s="137">
        <v>5729.1</v>
      </c>
      <c r="C5" s="146"/>
      <c r="D5" s="146"/>
    </row>
    <row r="6" spans="1:7" ht="15.75" customHeight="1" x14ac:dyDescent="0.25">
      <c r="A6" s="186" t="s">
        <v>17</v>
      </c>
      <c r="B6" s="137">
        <v>6968.3</v>
      </c>
      <c r="C6" s="146"/>
      <c r="D6" s="146"/>
    </row>
    <row r="7" spans="1:7" ht="15.75" customHeight="1" x14ac:dyDescent="0.25">
      <c r="A7" s="186" t="s">
        <v>18</v>
      </c>
      <c r="B7" s="137">
        <v>5649.9</v>
      </c>
      <c r="C7" s="146"/>
      <c r="D7" s="146"/>
    </row>
    <row r="8" spans="1:7" ht="15.75" customHeight="1" x14ac:dyDescent="0.25">
      <c r="A8" s="186" t="s">
        <v>29</v>
      </c>
      <c r="B8" s="137">
        <v>5555.6</v>
      </c>
      <c r="C8" s="146"/>
      <c r="D8" s="146"/>
    </row>
    <row r="9" spans="1:7" ht="15.75" customHeight="1" x14ac:dyDescent="0.25">
      <c r="A9" s="186" t="s">
        <v>19</v>
      </c>
      <c r="B9" s="137">
        <v>6566</v>
      </c>
      <c r="C9" s="146"/>
      <c r="D9" s="146"/>
    </row>
    <row r="10" spans="1:7" ht="15.75" customHeight="1" x14ac:dyDescent="0.25">
      <c r="A10" s="186" t="s">
        <v>20</v>
      </c>
      <c r="B10" s="137">
        <v>6654.6</v>
      </c>
      <c r="C10" s="146"/>
      <c r="D10" s="146"/>
    </row>
    <row r="11" spans="1:7" ht="15.75" customHeight="1" x14ac:dyDescent="0.25">
      <c r="A11" s="186" t="s">
        <v>21</v>
      </c>
      <c r="B11" s="138">
        <v>6985.2</v>
      </c>
      <c r="C11" s="146"/>
      <c r="D11" s="146"/>
    </row>
    <row r="12" spans="1:7" ht="15.75" customHeight="1" x14ac:dyDescent="0.25">
      <c r="A12" s="186" t="s">
        <v>105</v>
      </c>
      <c r="B12" s="139">
        <v>6052.7</v>
      </c>
      <c r="C12" s="146"/>
      <c r="D12" s="146"/>
    </row>
    <row r="13" spans="1:7" ht="15.75" customHeight="1" x14ac:dyDescent="0.25">
      <c r="B13" s="146"/>
      <c r="C13" s="146"/>
      <c r="D13" s="146"/>
    </row>
    <row r="14" spans="1:7" ht="15.75" customHeight="1" x14ac:dyDescent="0.25">
      <c r="B14" s="146"/>
      <c r="C14" s="146"/>
      <c r="D14" s="146"/>
    </row>
    <row r="15" spans="1:7" ht="15.75" customHeight="1" x14ac:dyDescent="0.25">
      <c r="A15" s="161" t="s">
        <v>89</v>
      </c>
      <c r="B15" s="205" t="s">
        <v>127</v>
      </c>
      <c r="C15" s="146"/>
      <c r="D15" s="146"/>
    </row>
    <row r="16" spans="1:7" ht="15.75" customHeight="1" x14ac:dyDescent="0.25">
      <c r="A16" s="186" t="s">
        <v>15</v>
      </c>
      <c r="B16" s="295">
        <v>7340.9</v>
      </c>
      <c r="C16" s="146"/>
      <c r="D16" s="146"/>
    </row>
    <row r="17" spans="1:19" ht="15.75" customHeight="1" x14ac:dyDescent="0.25">
      <c r="A17" s="186" t="s">
        <v>16</v>
      </c>
      <c r="B17" s="296">
        <v>7008</v>
      </c>
      <c r="C17" s="146"/>
      <c r="D17" s="146"/>
    </row>
    <row r="18" spans="1:19" ht="15.75" customHeight="1" x14ac:dyDescent="0.25">
      <c r="A18" s="186" t="s">
        <v>17</v>
      </c>
      <c r="B18" s="296">
        <v>6854.9</v>
      </c>
      <c r="C18" s="146"/>
      <c r="D18" s="146"/>
    </row>
    <row r="19" spans="1:19" ht="15.75" customHeight="1" x14ac:dyDescent="0.25">
      <c r="A19" s="186" t="s">
        <v>18</v>
      </c>
      <c r="B19" s="296">
        <v>6575.2</v>
      </c>
      <c r="C19" s="293"/>
      <c r="D19" s="293"/>
    </row>
    <row r="20" spans="1:19" ht="15.75" customHeight="1" x14ac:dyDescent="0.25">
      <c r="A20" s="186" t="s">
        <v>29</v>
      </c>
      <c r="B20" s="296">
        <v>6768</v>
      </c>
      <c r="C20" s="293"/>
      <c r="D20" s="293"/>
    </row>
    <row r="21" spans="1:19" ht="15.75" customHeight="1" x14ac:dyDescent="0.25">
      <c r="A21" s="186" t="s">
        <v>19</v>
      </c>
      <c r="B21" s="296">
        <v>7747</v>
      </c>
      <c r="C21" s="293"/>
      <c r="D21" s="293"/>
    </row>
    <row r="22" spans="1:19" ht="15.75" customHeight="1" x14ac:dyDescent="0.25">
      <c r="A22" s="186" t="s">
        <v>20</v>
      </c>
      <c r="B22" s="296">
        <v>7429.4</v>
      </c>
      <c r="C22" s="293"/>
      <c r="D22" s="293"/>
    </row>
    <row r="23" spans="1:19" ht="15.75" customHeight="1" x14ac:dyDescent="0.25">
      <c r="A23" s="186" t="s">
        <v>21</v>
      </c>
      <c r="B23" s="297">
        <v>7302.7</v>
      </c>
      <c r="C23" s="293"/>
      <c r="D23" s="293"/>
    </row>
    <row r="24" spans="1:19" ht="15.75" customHeight="1" x14ac:dyDescent="0.25">
      <c r="A24" s="186" t="s">
        <v>105</v>
      </c>
      <c r="B24" s="298">
        <v>7138.8</v>
      </c>
      <c r="C24" s="293"/>
      <c r="D24" s="293"/>
    </row>
    <row r="25" spans="1:19" ht="29.25" customHeight="1" x14ac:dyDescent="0.4">
      <c r="A25" s="202"/>
      <c r="B25" s="292" t="s">
        <v>107</v>
      </c>
      <c r="C25" s="294"/>
      <c r="D25" s="294"/>
    </row>
    <row r="26" spans="1:19" s="104" customFormat="1" x14ac:dyDescent="0.25">
      <c r="B26" s="164">
        <v>0.1</v>
      </c>
      <c r="C26" s="164">
        <v>0.1</v>
      </c>
      <c r="D26" s="164">
        <v>0.1</v>
      </c>
      <c r="E26" s="163">
        <v>0.1</v>
      </c>
      <c r="F26" s="104">
        <v>0.1</v>
      </c>
      <c r="G26" s="104">
        <v>0.1</v>
      </c>
      <c r="H26" s="104">
        <v>0.1</v>
      </c>
      <c r="I26" s="104">
        <v>0.1</v>
      </c>
      <c r="J26" s="165"/>
    </row>
    <row r="27" spans="1:19" s="208" customFormat="1" x14ac:dyDescent="0.25">
      <c r="A27" s="206" t="s">
        <v>9</v>
      </c>
      <c r="B27" s="214" t="s">
        <v>104</v>
      </c>
      <c r="C27" s="165" t="s">
        <v>35</v>
      </c>
      <c r="D27" s="214" t="s">
        <v>36</v>
      </c>
      <c r="E27" s="207" t="s">
        <v>149</v>
      </c>
      <c r="F27" s="156" t="s">
        <v>31</v>
      </c>
      <c r="G27" s="156" t="s">
        <v>32</v>
      </c>
      <c r="H27" s="156" t="s">
        <v>33</v>
      </c>
      <c r="I27" s="156" t="s">
        <v>34</v>
      </c>
      <c r="J27" s="212"/>
      <c r="K27" s="209"/>
      <c r="L27" s="209"/>
      <c r="M27" s="209"/>
      <c r="N27" s="209"/>
      <c r="O27" s="209"/>
      <c r="P27" s="209"/>
      <c r="Q27" s="209"/>
      <c r="R27" s="209"/>
      <c r="S27" s="209"/>
    </row>
    <row r="28" spans="1:19" x14ac:dyDescent="0.25">
      <c r="A28" s="186" t="s">
        <v>15</v>
      </c>
      <c r="B28" s="214">
        <v>0</v>
      </c>
      <c r="C28" s="214">
        <v>0</v>
      </c>
      <c r="D28" s="214">
        <v>0</v>
      </c>
      <c r="E28" s="205">
        <v>0</v>
      </c>
      <c r="F28" s="104">
        <v>0</v>
      </c>
      <c r="G28" s="104">
        <v>0</v>
      </c>
      <c r="H28" s="104">
        <v>0</v>
      </c>
      <c r="I28" s="104">
        <v>0</v>
      </c>
      <c r="J28" s="212"/>
      <c r="K28" s="184"/>
      <c r="L28" s="184"/>
      <c r="M28" s="184"/>
      <c r="N28" s="184"/>
      <c r="O28" s="184"/>
      <c r="P28" s="184"/>
      <c r="Q28" s="184"/>
      <c r="R28" s="184"/>
      <c r="S28" s="184"/>
    </row>
    <row r="29" spans="1:19" x14ac:dyDescent="0.25">
      <c r="A29" s="186" t="s">
        <v>16</v>
      </c>
      <c r="B29" s="214">
        <v>0</v>
      </c>
      <c r="C29" s="214">
        <v>0</v>
      </c>
      <c r="D29" s="214">
        <v>0</v>
      </c>
      <c r="E29" s="205">
        <v>0</v>
      </c>
      <c r="F29" s="104">
        <v>0</v>
      </c>
      <c r="G29" s="104">
        <v>0</v>
      </c>
      <c r="H29" s="104">
        <v>0</v>
      </c>
      <c r="I29" s="104">
        <v>0</v>
      </c>
      <c r="J29" s="212"/>
      <c r="K29" s="184"/>
      <c r="L29" s="184"/>
      <c r="M29" s="184"/>
      <c r="N29" s="184"/>
      <c r="O29" s="184"/>
      <c r="P29" s="184"/>
      <c r="Q29" s="184"/>
      <c r="R29" s="184"/>
      <c r="S29" s="184"/>
    </row>
    <row r="30" spans="1:19" x14ac:dyDescent="0.25">
      <c r="A30" s="186" t="s">
        <v>17</v>
      </c>
      <c r="B30" s="214">
        <v>0</v>
      </c>
      <c r="C30" s="214">
        <v>0</v>
      </c>
      <c r="D30" s="214">
        <v>0</v>
      </c>
      <c r="E30" s="205">
        <v>0</v>
      </c>
      <c r="F30" s="104">
        <v>0</v>
      </c>
      <c r="G30" s="104">
        <v>0</v>
      </c>
      <c r="H30" s="104">
        <v>0</v>
      </c>
      <c r="I30" s="104">
        <v>0</v>
      </c>
      <c r="J30" s="212"/>
      <c r="K30" s="184"/>
      <c r="L30" s="210"/>
      <c r="M30" s="184"/>
      <c r="N30" s="184"/>
      <c r="O30" s="184"/>
      <c r="P30" s="184"/>
      <c r="Q30" s="184"/>
      <c r="R30" s="184"/>
      <c r="S30" s="184"/>
    </row>
    <row r="31" spans="1:19" x14ac:dyDescent="0.25">
      <c r="A31" s="186" t="s">
        <v>18</v>
      </c>
      <c r="B31" s="205">
        <v>0</v>
      </c>
      <c r="C31" s="205">
        <v>0</v>
      </c>
      <c r="D31" s="205">
        <v>0</v>
      </c>
      <c r="E31" s="205">
        <v>0</v>
      </c>
      <c r="F31" s="104">
        <v>0</v>
      </c>
      <c r="G31" s="104">
        <v>0</v>
      </c>
      <c r="H31" s="104">
        <v>0</v>
      </c>
      <c r="I31" s="104">
        <v>0</v>
      </c>
      <c r="J31" s="212"/>
      <c r="K31" s="184"/>
      <c r="L31" s="184"/>
      <c r="M31" s="184"/>
      <c r="N31" s="184"/>
      <c r="O31" s="184"/>
      <c r="P31" s="184"/>
      <c r="Q31" s="184"/>
      <c r="R31" s="184"/>
      <c r="S31" s="184"/>
    </row>
    <row r="32" spans="1:19" x14ac:dyDescent="0.25">
      <c r="A32" s="186" t="s">
        <v>29</v>
      </c>
      <c r="B32" s="205">
        <v>4.3489515920269221E-2</v>
      </c>
      <c r="C32" s="205">
        <v>4.1220265117123657E-2</v>
      </c>
      <c r="D32" s="205">
        <v>9.1304347826086957E-2</v>
      </c>
      <c r="E32" s="205">
        <v>0</v>
      </c>
      <c r="F32" s="104">
        <v>5.8671376287826614E-2</v>
      </c>
      <c r="G32" s="104">
        <v>6.66666666667E-2</v>
      </c>
      <c r="H32" s="104">
        <v>0.14000000000000001</v>
      </c>
      <c r="I32" s="104">
        <v>0.33333333333350001</v>
      </c>
      <c r="J32" s="212"/>
      <c r="K32" s="184"/>
      <c r="L32" s="184"/>
      <c r="M32" s="184"/>
      <c r="N32" s="184"/>
      <c r="O32" s="184"/>
      <c r="P32" s="184"/>
      <c r="Q32" s="184"/>
      <c r="R32" s="184"/>
      <c r="S32" s="184"/>
    </row>
    <row r="33" spans="1:13" x14ac:dyDescent="0.25">
      <c r="A33" s="186" t="s">
        <v>19</v>
      </c>
      <c r="B33" s="205">
        <v>0.72637846233497283</v>
      </c>
      <c r="C33" s="205">
        <v>0.53150535681859445</v>
      </c>
      <c r="D33" s="205">
        <v>0.11067193675889328</v>
      </c>
      <c r="E33" s="205">
        <v>0.39049586776859502</v>
      </c>
      <c r="F33" s="104">
        <v>0.45618525197082022</v>
      </c>
      <c r="G33" s="104">
        <v>0.1333333333334</v>
      </c>
      <c r="H33" s="104">
        <v>0.23</v>
      </c>
      <c r="I33" s="104">
        <v>0.2666666666668</v>
      </c>
      <c r="J33" s="212"/>
    </row>
    <row r="34" spans="1:13" x14ac:dyDescent="0.25">
      <c r="A34" s="186" t="s">
        <v>20</v>
      </c>
      <c r="B34" s="205">
        <v>0.21252912244369659</v>
      </c>
      <c r="C34" s="205">
        <v>0.36335572907209002</v>
      </c>
      <c r="D34" s="205">
        <v>0.59644268774703557</v>
      </c>
      <c r="E34" s="205">
        <v>0.52272727272727271</v>
      </c>
      <c r="F34" s="104">
        <v>0.39077584642094071</v>
      </c>
      <c r="G34" s="104">
        <v>0.20000000000009999</v>
      </c>
      <c r="H34" s="104">
        <v>0.26</v>
      </c>
      <c r="I34" s="104">
        <v>0.20000000000009999</v>
      </c>
      <c r="J34" s="212"/>
    </row>
    <row r="35" spans="1:13" x14ac:dyDescent="0.25">
      <c r="A35" s="186" t="s">
        <v>21</v>
      </c>
      <c r="B35" s="205">
        <v>1.3202174475796013E-2</v>
      </c>
      <c r="C35" s="205">
        <v>3.4501543490103502E-2</v>
      </c>
      <c r="D35" s="205">
        <v>0.16996047430830039</v>
      </c>
      <c r="E35" s="205">
        <v>8.6776859504132234E-2</v>
      </c>
      <c r="F35" s="104">
        <v>7.2554730758066635E-2</v>
      </c>
      <c r="G35" s="104">
        <v>0.2666666666668</v>
      </c>
      <c r="H35" s="104">
        <v>0.23</v>
      </c>
      <c r="I35" s="104">
        <v>0.1333333333334</v>
      </c>
      <c r="J35" s="212"/>
    </row>
    <row r="36" spans="1:13" x14ac:dyDescent="0.25">
      <c r="A36" s="186" t="s">
        <v>105</v>
      </c>
      <c r="B36" s="205">
        <v>4.4007248252653378E-3</v>
      </c>
      <c r="C36" s="205">
        <v>2.9417105502088248E-2</v>
      </c>
      <c r="D36" s="205">
        <v>3.1620553359683792E-2</v>
      </c>
      <c r="E36" s="205">
        <v>0</v>
      </c>
      <c r="F36" s="104">
        <v>2.1812794562345795E-2</v>
      </c>
      <c r="G36" s="104">
        <v>0.33333333333350001</v>
      </c>
      <c r="H36" s="104">
        <v>0.14000000000000001</v>
      </c>
      <c r="I36" s="104">
        <v>6.66666666667E-2</v>
      </c>
      <c r="J36" s="212"/>
    </row>
    <row r="37" spans="1:13" x14ac:dyDescent="0.25">
      <c r="H37" s="104"/>
      <c r="K37" s="161"/>
    </row>
    <row r="38" spans="1:13" s="104" customFormat="1" x14ac:dyDescent="0.25">
      <c r="B38" s="163">
        <v>0.1</v>
      </c>
      <c r="C38" s="163">
        <v>0.1</v>
      </c>
      <c r="D38" s="163">
        <v>0.1</v>
      </c>
      <c r="E38" s="163">
        <v>0.1</v>
      </c>
      <c r="F38" s="104">
        <v>0.1</v>
      </c>
      <c r="G38" s="104">
        <v>0.1</v>
      </c>
      <c r="H38" s="104">
        <v>0.1</v>
      </c>
      <c r="I38" s="104">
        <v>0.1</v>
      </c>
      <c r="J38" s="165"/>
    </row>
    <row r="39" spans="1:13" s="208" customFormat="1" x14ac:dyDescent="0.25">
      <c r="A39" s="206" t="s">
        <v>10</v>
      </c>
      <c r="B39" s="207" t="s">
        <v>104</v>
      </c>
      <c r="C39" s="158" t="s">
        <v>35</v>
      </c>
      <c r="D39" s="211" t="s">
        <v>36</v>
      </c>
      <c r="E39" s="211" t="s">
        <v>149</v>
      </c>
      <c r="F39" s="156" t="s">
        <v>31</v>
      </c>
      <c r="G39" s="158" t="s">
        <v>32</v>
      </c>
      <c r="H39" s="156" t="s">
        <v>33</v>
      </c>
      <c r="I39" s="158" t="s">
        <v>34</v>
      </c>
      <c r="J39" s="212"/>
    </row>
    <row r="40" spans="1:13" x14ac:dyDescent="0.25">
      <c r="A40" s="186" t="s">
        <v>15</v>
      </c>
      <c r="B40" s="205">
        <v>0</v>
      </c>
      <c r="C40" s="205">
        <v>0</v>
      </c>
      <c r="D40" s="205">
        <v>0</v>
      </c>
      <c r="E40" s="205">
        <v>0</v>
      </c>
      <c r="F40" s="104">
        <v>0</v>
      </c>
      <c r="G40" s="104">
        <v>0</v>
      </c>
      <c r="H40" s="104">
        <v>0</v>
      </c>
      <c r="I40" s="104">
        <v>0</v>
      </c>
      <c r="J40" s="212"/>
      <c r="M40" s="205"/>
    </row>
    <row r="41" spans="1:13" x14ac:dyDescent="0.25">
      <c r="A41" s="186" t="s">
        <v>16</v>
      </c>
      <c r="B41" s="205">
        <v>0</v>
      </c>
      <c r="C41" s="205">
        <v>0</v>
      </c>
      <c r="D41" s="205">
        <v>0</v>
      </c>
      <c r="E41" s="205">
        <v>0</v>
      </c>
      <c r="F41" s="104">
        <v>0</v>
      </c>
      <c r="G41" s="104">
        <v>0</v>
      </c>
      <c r="H41" s="104">
        <v>0</v>
      </c>
      <c r="I41" s="104">
        <v>0</v>
      </c>
      <c r="J41" s="212"/>
      <c r="M41" s="205"/>
    </row>
    <row r="42" spans="1:13" x14ac:dyDescent="0.25">
      <c r="A42" s="186" t="s">
        <v>17</v>
      </c>
      <c r="B42" s="205">
        <v>0</v>
      </c>
      <c r="C42" s="205">
        <v>0</v>
      </c>
      <c r="D42" s="205">
        <v>0</v>
      </c>
      <c r="E42" s="205">
        <v>0</v>
      </c>
      <c r="F42" s="104">
        <v>0</v>
      </c>
      <c r="G42" s="104">
        <v>0</v>
      </c>
      <c r="H42" s="104">
        <v>0</v>
      </c>
      <c r="I42" s="104">
        <v>0</v>
      </c>
      <c r="J42" s="212"/>
      <c r="M42" s="205"/>
    </row>
    <row r="43" spans="1:13" x14ac:dyDescent="0.25">
      <c r="A43" s="186" t="s">
        <v>18</v>
      </c>
      <c r="B43" s="205">
        <v>0.10219236209335218</v>
      </c>
      <c r="C43" s="205">
        <v>6.9482288828337874E-2</v>
      </c>
      <c r="D43" s="205">
        <v>6.0135135135135138E-2</v>
      </c>
      <c r="E43" s="205">
        <v>0</v>
      </c>
      <c r="F43" s="104">
        <v>7.7269928685608391E-2</v>
      </c>
      <c r="G43" s="104">
        <v>0</v>
      </c>
      <c r="H43" s="104">
        <v>0</v>
      </c>
      <c r="I43" s="104">
        <v>0</v>
      </c>
      <c r="J43" s="212"/>
      <c r="M43" s="205"/>
    </row>
    <row r="44" spans="1:13" x14ac:dyDescent="0.25">
      <c r="A44" s="186" t="s">
        <v>29</v>
      </c>
      <c r="B44" s="205">
        <v>0.15594059405940594</v>
      </c>
      <c r="C44" s="205">
        <v>0.1883514986376022</v>
      </c>
      <c r="D44" s="205">
        <v>0.25304054054054054</v>
      </c>
      <c r="E44" s="205">
        <v>0.347757136384232</v>
      </c>
      <c r="F44" s="104">
        <v>0.19911087774584954</v>
      </c>
      <c r="G44" s="104">
        <v>6.66666666667E-2</v>
      </c>
      <c r="H44" s="104">
        <v>0.14000000000000001</v>
      </c>
      <c r="I44" s="104">
        <v>0.33333333333350001</v>
      </c>
      <c r="J44" s="212"/>
      <c r="M44" s="205"/>
    </row>
    <row r="45" spans="1:13" x14ac:dyDescent="0.25">
      <c r="A45" s="186" t="s">
        <v>19</v>
      </c>
      <c r="B45" s="205">
        <v>0.40770862800565766</v>
      </c>
      <c r="C45" s="205">
        <v>0.44209809264305189</v>
      </c>
      <c r="D45" s="205">
        <v>0.41081081081081078</v>
      </c>
      <c r="E45" s="205">
        <v>0.41708201178069776</v>
      </c>
      <c r="F45" s="104">
        <v>0.42020584381984011</v>
      </c>
      <c r="G45" s="104">
        <v>0.1333333333334</v>
      </c>
      <c r="H45" s="104">
        <v>0.23</v>
      </c>
      <c r="I45" s="104">
        <v>0.2666666666668</v>
      </c>
      <c r="J45" s="212"/>
      <c r="M45" s="205"/>
    </row>
    <row r="46" spans="1:13" x14ac:dyDescent="0.25">
      <c r="A46" s="186" t="s">
        <v>20</v>
      </c>
      <c r="B46" s="205">
        <v>0.21428571428571427</v>
      </c>
      <c r="C46" s="205">
        <v>0.28065395095367851</v>
      </c>
      <c r="D46" s="205">
        <v>0.23885135135135135</v>
      </c>
      <c r="E46" s="205">
        <v>0.21681014952424105</v>
      </c>
      <c r="F46" s="104">
        <v>0.24459700553024807</v>
      </c>
      <c r="G46" s="104">
        <v>0.20000000000009999</v>
      </c>
      <c r="H46" s="104">
        <v>0.26</v>
      </c>
      <c r="I46" s="104">
        <v>0.20000000000009999</v>
      </c>
      <c r="J46" s="212"/>
      <c r="M46" s="205"/>
    </row>
    <row r="47" spans="1:13" x14ac:dyDescent="0.25">
      <c r="A47" s="186" t="s">
        <v>21</v>
      </c>
      <c r="B47" s="205">
        <v>8.2036775106082024E-2</v>
      </c>
      <c r="C47" s="205">
        <v>1.9414168937329702E-2</v>
      </c>
      <c r="D47" s="205">
        <v>3.7162162162162164E-2</v>
      </c>
      <c r="E47" s="205">
        <v>7.0231082917988222E-3</v>
      </c>
      <c r="F47" s="104">
        <v>4.6204368735191299E-2</v>
      </c>
      <c r="G47" s="104">
        <v>0.2666666666668</v>
      </c>
      <c r="H47" s="104">
        <v>0.23</v>
      </c>
      <c r="I47" s="104">
        <v>0.1333333333334</v>
      </c>
      <c r="J47" s="212"/>
    </row>
    <row r="48" spans="1:13" x14ac:dyDescent="0.25">
      <c r="A48" s="186" t="s">
        <v>105</v>
      </c>
      <c r="B48" s="205">
        <v>3.7835926449787831E-2</v>
      </c>
      <c r="C48" s="205">
        <v>0</v>
      </c>
      <c r="D48" s="205">
        <v>0</v>
      </c>
      <c r="E48" s="205">
        <v>1.1327594019030359E-2</v>
      </c>
      <c r="F48" s="104">
        <v>1.261197548326261E-2</v>
      </c>
      <c r="G48" s="104">
        <v>0.33333333333350001</v>
      </c>
      <c r="H48" s="104">
        <v>0.14000000000000001</v>
      </c>
      <c r="I48" s="104">
        <v>6.66666666667E-2</v>
      </c>
      <c r="J48" s="238"/>
    </row>
    <row r="49" spans="1:12" x14ac:dyDescent="0.25">
      <c r="H49" s="104"/>
      <c r="K49" s="161"/>
    </row>
    <row r="50" spans="1:12" s="104" customFormat="1" x14ac:dyDescent="0.25">
      <c r="B50" s="163">
        <v>0.1</v>
      </c>
      <c r="C50" s="163">
        <v>0.1</v>
      </c>
      <c r="D50" s="163">
        <v>0.1</v>
      </c>
      <c r="E50" s="163">
        <v>0.1</v>
      </c>
      <c r="F50" s="104">
        <v>0.1</v>
      </c>
      <c r="G50" s="104">
        <v>0.1</v>
      </c>
      <c r="H50" s="104">
        <v>0.1</v>
      </c>
      <c r="I50" s="104">
        <v>0.1</v>
      </c>
    </row>
    <row r="51" spans="1:12" s="208" customFormat="1" x14ac:dyDescent="0.25">
      <c r="A51" s="206" t="s">
        <v>11</v>
      </c>
      <c r="B51" s="207" t="s">
        <v>104</v>
      </c>
      <c r="C51" s="156" t="s">
        <v>35</v>
      </c>
      <c r="D51" s="207" t="s">
        <v>36</v>
      </c>
      <c r="E51" s="207" t="s">
        <v>149</v>
      </c>
      <c r="F51" s="156" t="s">
        <v>31</v>
      </c>
      <c r="G51" s="156" t="s">
        <v>32</v>
      </c>
      <c r="H51" s="156" t="s">
        <v>33</v>
      </c>
      <c r="I51" s="156" t="s">
        <v>34</v>
      </c>
    </row>
    <row r="52" spans="1:12" x14ac:dyDescent="0.25">
      <c r="A52" s="186" t="s">
        <v>15</v>
      </c>
      <c r="B52" s="205">
        <v>0</v>
      </c>
      <c r="C52" s="205">
        <v>0</v>
      </c>
      <c r="D52" s="205">
        <v>0</v>
      </c>
      <c r="E52" s="205">
        <v>0</v>
      </c>
      <c r="F52" s="104">
        <v>0</v>
      </c>
      <c r="G52" s="104">
        <v>0</v>
      </c>
      <c r="H52" s="104">
        <v>0</v>
      </c>
      <c r="I52" s="104">
        <v>0</v>
      </c>
    </row>
    <row r="53" spans="1:12" x14ac:dyDescent="0.25">
      <c r="A53" s="186" t="s">
        <v>16</v>
      </c>
      <c r="B53" s="205">
        <v>0</v>
      </c>
      <c r="C53" s="205">
        <v>0</v>
      </c>
      <c r="D53" s="205">
        <v>0</v>
      </c>
      <c r="E53" s="205">
        <v>0</v>
      </c>
      <c r="F53" s="104">
        <v>0</v>
      </c>
      <c r="G53" s="104">
        <v>0</v>
      </c>
      <c r="H53" s="104">
        <v>0</v>
      </c>
      <c r="I53" s="104">
        <v>0</v>
      </c>
    </row>
    <row r="54" spans="1:12" x14ac:dyDescent="0.25">
      <c r="A54" s="186" t="s">
        <v>17</v>
      </c>
      <c r="B54" s="205">
        <v>0</v>
      </c>
      <c r="C54" s="205">
        <v>0</v>
      </c>
      <c r="D54" s="205">
        <v>0</v>
      </c>
      <c r="E54" s="205">
        <v>0</v>
      </c>
      <c r="F54" s="104">
        <v>2.0370370370370369E-2</v>
      </c>
      <c r="G54" s="104">
        <v>0</v>
      </c>
      <c r="H54" s="104">
        <v>0</v>
      </c>
      <c r="I54" s="104">
        <v>0</v>
      </c>
    </row>
    <row r="55" spans="1:12" x14ac:dyDescent="0.25">
      <c r="A55" s="186" t="s">
        <v>18</v>
      </c>
      <c r="B55" s="205">
        <v>5.6795580110497228E-2</v>
      </c>
      <c r="C55" s="205">
        <v>1.0095911155981827E-3</v>
      </c>
      <c r="D55" s="205">
        <v>1.0442046641141664E-2</v>
      </c>
      <c r="E55" s="205">
        <v>0</v>
      </c>
      <c r="F55" s="104">
        <v>2.2536364264907616E-2</v>
      </c>
      <c r="G55" s="104">
        <v>0</v>
      </c>
      <c r="H55" s="104">
        <v>0</v>
      </c>
      <c r="I55" s="104">
        <v>0</v>
      </c>
    </row>
    <row r="56" spans="1:12" x14ac:dyDescent="0.25">
      <c r="A56" s="186" t="s">
        <v>29</v>
      </c>
      <c r="B56" s="205">
        <v>2.9613259668508283E-2</v>
      </c>
      <c r="C56" s="205">
        <v>7.7738515901060068E-2</v>
      </c>
      <c r="D56" s="205">
        <v>6.543682561782109E-2</v>
      </c>
      <c r="E56" s="205">
        <v>2.9381619405534676E-2</v>
      </c>
      <c r="F56" s="104">
        <v>5.6263228022100126E-2</v>
      </c>
      <c r="G56" s="104">
        <v>6.66666666667E-2</v>
      </c>
      <c r="H56" s="104">
        <v>0.14000000000000001</v>
      </c>
      <c r="I56" s="104">
        <v>0.33333333333350001</v>
      </c>
    </row>
    <row r="57" spans="1:12" x14ac:dyDescent="0.25">
      <c r="A57" s="186" t="s">
        <v>19</v>
      </c>
      <c r="B57" s="205">
        <v>0.4311602209944751</v>
      </c>
      <c r="C57" s="205">
        <v>0.24230186774356385</v>
      </c>
      <c r="D57" s="205">
        <v>0.22798468499825966</v>
      </c>
      <c r="E57" s="205">
        <v>0.64195421933720531</v>
      </c>
      <c r="F57" s="104">
        <v>0.29583812543991278</v>
      </c>
      <c r="G57" s="104">
        <v>0.1333333333334</v>
      </c>
      <c r="H57" s="104">
        <v>0.23</v>
      </c>
      <c r="I57" s="104">
        <v>0.2666666666668</v>
      </c>
    </row>
    <row r="58" spans="1:12" x14ac:dyDescent="0.25">
      <c r="A58" s="186" t="s">
        <v>20</v>
      </c>
      <c r="B58" s="205">
        <v>0.34232044198895023</v>
      </c>
      <c r="C58" s="205">
        <v>0.50681474003028781</v>
      </c>
      <c r="D58" s="205">
        <v>0.49773755656108598</v>
      </c>
      <c r="E58" s="205">
        <v>0.30509053638537753</v>
      </c>
      <c r="F58" s="104">
        <v>0.43881848115238214</v>
      </c>
      <c r="G58" s="104">
        <v>0.20000000000009999</v>
      </c>
      <c r="H58" s="104">
        <v>0.26</v>
      </c>
      <c r="I58" s="104">
        <v>0.20000000000009999</v>
      </c>
    </row>
    <row r="59" spans="1:12" x14ac:dyDescent="0.25">
      <c r="A59" s="186" t="s">
        <v>21</v>
      </c>
      <c r="B59" s="205">
        <v>0.11845303867403313</v>
      </c>
      <c r="C59" s="205">
        <v>0.14840989399293286</v>
      </c>
      <c r="D59" s="205">
        <v>0.10790114862513052</v>
      </c>
      <c r="E59" s="205">
        <v>2.3573624871882474E-2</v>
      </c>
      <c r="F59" s="104">
        <v>0.12272337406981655</v>
      </c>
      <c r="G59" s="104">
        <v>0.2666666666668</v>
      </c>
      <c r="H59" s="104">
        <v>0.23</v>
      </c>
      <c r="I59" s="104">
        <v>0.1333333333334</v>
      </c>
    </row>
    <row r="60" spans="1:12" x14ac:dyDescent="0.25">
      <c r="A60" s="186" t="s">
        <v>105</v>
      </c>
      <c r="B60" s="205">
        <v>2.165745856353591E-2</v>
      </c>
      <c r="C60" s="205">
        <v>2.3725391216557295E-2</v>
      </c>
      <c r="D60" s="205">
        <v>9.0497737556561084E-2</v>
      </c>
      <c r="E60" s="205">
        <v>0</v>
      </c>
      <c r="F60" s="104">
        <v>4.3450056680510364E-2</v>
      </c>
      <c r="G60" s="104">
        <v>0.33333333333350001</v>
      </c>
      <c r="H60" s="104">
        <v>0.14000000000000001</v>
      </c>
      <c r="I60" s="104">
        <v>6.66666666667E-2</v>
      </c>
      <c r="J60" s="185"/>
    </row>
    <row r="61" spans="1:12" x14ac:dyDescent="0.25">
      <c r="H61" s="104"/>
      <c r="K61" s="161"/>
    </row>
    <row r="62" spans="1:12" x14ac:dyDescent="0.25">
      <c r="B62" s="163">
        <v>0.1</v>
      </c>
      <c r="C62" s="163">
        <v>0.1</v>
      </c>
      <c r="D62" s="163">
        <v>0.1</v>
      </c>
      <c r="E62" s="163">
        <v>0.1</v>
      </c>
      <c r="F62" s="104">
        <v>0.1</v>
      </c>
      <c r="G62" s="104">
        <v>0.1</v>
      </c>
      <c r="H62" s="104">
        <v>0.1</v>
      </c>
      <c r="I62" s="104">
        <v>0.1</v>
      </c>
      <c r="J62" s="212"/>
      <c r="L62" s="161"/>
    </row>
    <row r="63" spans="1:12" s="208" customFormat="1" x14ac:dyDescent="0.25">
      <c r="A63" s="206" t="s">
        <v>12</v>
      </c>
      <c r="B63" s="207" t="s">
        <v>104</v>
      </c>
      <c r="C63" s="156" t="s">
        <v>35</v>
      </c>
      <c r="D63" s="207" t="s">
        <v>36</v>
      </c>
      <c r="E63" s="207" t="s">
        <v>149</v>
      </c>
      <c r="F63" s="156" t="s">
        <v>31</v>
      </c>
      <c r="G63" s="156" t="s">
        <v>32</v>
      </c>
      <c r="H63" s="156" t="s">
        <v>33</v>
      </c>
      <c r="I63" s="156" t="s">
        <v>34</v>
      </c>
      <c r="J63" s="212"/>
    </row>
    <row r="64" spans="1:12" x14ac:dyDescent="0.25">
      <c r="A64" s="186" t="s">
        <v>15</v>
      </c>
      <c r="B64" s="205">
        <v>0</v>
      </c>
      <c r="C64" s="205">
        <v>0</v>
      </c>
      <c r="D64" s="205">
        <v>0</v>
      </c>
      <c r="E64" s="205">
        <v>0</v>
      </c>
      <c r="F64" s="104">
        <v>0</v>
      </c>
      <c r="G64" s="104">
        <v>0</v>
      </c>
      <c r="H64" s="104">
        <v>0</v>
      </c>
      <c r="I64" s="104">
        <v>0</v>
      </c>
      <c r="J64" s="212"/>
    </row>
    <row r="65" spans="1:10" x14ac:dyDescent="0.25">
      <c r="A65" s="186" t="s">
        <v>16</v>
      </c>
      <c r="B65" s="205">
        <v>0</v>
      </c>
      <c r="C65" s="205">
        <v>0</v>
      </c>
      <c r="D65" s="205">
        <v>0</v>
      </c>
      <c r="E65" s="205">
        <v>0</v>
      </c>
      <c r="F65" s="104">
        <v>0</v>
      </c>
      <c r="G65" s="104">
        <v>0</v>
      </c>
      <c r="H65" s="104">
        <v>0</v>
      </c>
      <c r="I65" s="104">
        <v>0</v>
      </c>
      <c r="J65" s="212"/>
    </row>
    <row r="66" spans="1:10" x14ac:dyDescent="0.25">
      <c r="A66" s="186" t="s">
        <v>17</v>
      </c>
      <c r="B66" s="205">
        <v>0</v>
      </c>
      <c r="C66" s="205">
        <v>0</v>
      </c>
      <c r="D66" s="205">
        <v>0</v>
      </c>
      <c r="E66" s="205">
        <v>0</v>
      </c>
      <c r="F66" s="104">
        <v>0</v>
      </c>
      <c r="G66" s="104">
        <v>0</v>
      </c>
      <c r="H66" s="104">
        <v>0</v>
      </c>
      <c r="I66" s="104">
        <v>0</v>
      </c>
      <c r="J66" s="212"/>
    </row>
    <row r="67" spans="1:10" x14ac:dyDescent="0.25">
      <c r="A67" s="186" t="s">
        <v>18</v>
      </c>
      <c r="B67" s="205">
        <v>0</v>
      </c>
      <c r="C67" s="205">
        <v>0</v>
      </c>
      <c r="D67" s="205">
        <v>0</v>
      </c>
      <c r="E67" s="205">
        <v>0</v>
      </c>
      <c r="F67" s="104">
        <v>0</v>
      </c>
      <c r="G67" s="104">
        <v>0</v>
      </c>
      <c r="H67" s="104">
        <v>0</v>
      </c>
      <c r="I67" s="104">
        <v>0</v>
      </c>
      <c r="J67" s="212"/>
    </row>
    <row r="68" spans="1:10" x14ac:dyDescent="0.25">
      <c r="A68" s="186" t="s">
        <v>29</v>
      </c>
      <c r="B68" s="205">
        <v>0</v>
      </c>
      <c r="C68" s="205">
        <v>0</v>
      </c>
      <c r="D68" s="205">
        <v>0</v>
      </c>
      <c r="E68" s="205">
        <v>0</v>
      </c>
      <c r="F68" s="104">
        <v>0</v>
      </c>
      <c r="G68" s="104">
        <v>6.66666666667E-2</v>
      </c>
      <c r="H68" s="104">
        <v>0.14000000000000001</v>
      </c>
      <c r="I68" s="104">
        <v>0.33333333333350001</v>
      </c>
      <c r="J68" s="212"/>
    </row>
    <row r="69" spans="1:10" x14ac:dyDescent="0.25">
      <c r="A69" s="186" t="s">
        <v>19</v>
      </c>
      <c r="B69" s="205">
        <v>0.11799702528507686</v>
      </c>
      <c r="C69" s="205">
        <v>0.29815919108115119</v>
      </c>
      <c r="D69" s="205">
        <v>5.9970566593083148E-2</v>
      </c>
      <c r="E69" s="205">
        <v>0.21244979919678714</v>
      </c>
      <c r="F69" s="104">
        <v>0.15870892765310371</v>
      </c>
      <c r="G69" s="104">
        <v>0.1333333333334</v>
      </c>
      <c r="H69" s="104">
        <v>0.23</v>
      </c>
      <c r="I69" s="104">
        <v>0.2666666666668</v>
      </c>
      <c r="J69" s="212"/>
    </row>
    <row r="70" spans="1:10" x14ac:dyDescent="0.25">
      <c r="A70" s="186" t="s">
        <v>20</v>
      </c>
      <c r="B70" s="205">
        <v>0.40976698066435308</v>
      </c>
      <c r="C70" s="205">
        <v>0.33264194970184086</v>
      </c>
      <c r="D70" s="205">
        <v>0.46173657100809418</v>
      </c>
      <c r="E70" s="205">
        <v>0.54417670682730923</v>
      </c>
      <c r="F70" s="104">
        <v>0.40138183379142939</v>
      </c>
      <c r="G70" s="104">
        <v>0.20000000000009999</v>
      </c>
      <c r="H70" s="104">
        <v>0.26</v>
      </c>
      <c r="I70" s="104">
        <v>0.20000000000009999</v>
      </c>
      <c r="J70" s="212"/>
    </row>
    <row r="71" spans="1:10" x14ac:dyDescent="0.25">
      <c r="A71" s="186" t="s">
        <v>21</v>
      </c>
      <c r="B71" s="205">
        <v>0.47223599405057021</v>
      </c>
      <c r="C71" s="205">
        <v>0.36582836401348195</v>
      </c>
      <c r="D71" s="205">
        <v>0.47829286239882263</v>
      </c>
      <c r="E71" s="205">
        <v>0.2433734939759036</v>
      </c>
      <c r="F71" s="104">
        <v>0.43878574015429156</v>
      </c>
      <c r="G71" s="104">
        <v>0.2666666666668</v>
      </c>
      <c r="H71" s="104">
        <v>0.23</v>
      </c>
      <c r="I71" s="104">
        <v>0.1333333333334</v>
      </c>
      <c r="J71" s="212"/>
    </row>
    <row r="72" spans="1:10" x14ac:dyDescent="0.25">
      <c r="A72" s="186" t="s">
        <v>105</v>
      </c>
      <c r="B72" s="205">
        <v>0</v>
      </c>
      <c r="C72" s="205">
        <v>3.3704952035260569E-3</v>
      </c>
      <c r="D72" s="205">
        <v>0</v>
      </c>
      <c r="E72" s="205">
        <v>0</v>
      </c>
      <c r="F72" s="104">
        <v>1.1234984011753524E-3</v>
      </c>
      <c r="G72" s="104">
        <v>0.33333333333350001</v>
      </c>
      <c r="H72" s="104">
        <v>0.14000000000000001</v>
      </c>
      <c r="I72" s="104">
        <v>6.66666666667E-2</v>
      </c>
      <c r="J72" s="212"/>
    </row>
    <row r="73" spans="1:10" x14ac:dyDescent="0.25">
      <c r="H73" s="104"/>
    </row>
    <row r="74" spans="1:10" x14ac:dyDescent="0.25">
      <c r="B74" s="163">
        <v>0.1</v>
      </c>
      <c r="C74" s="163">
        <v>0.1</v>
      </c>
      <c r="D74" s="163">
        <v>0.1</v>
      </c>
      <c r="E74" s="104">
        <v>0.1</v>
      </c>
      <c r="F74" s="104">
        <v>0.1</v>
      </c>
      <c r="H74" s="104"/>
    </row>
    <row r="75" spans="1:10" s="208" customFormat="1" x14ac:dyDescent="0.25">
      <c r="A75" s="206" t="s">
        <v>13</v>
      </c>
      <c r="B75" s="156" t="s">
        <v>35</v>
      </c>
      <c r="C75" s="207" t="s">
        <v>36</v>
      </c>
      <c r="D75" s="156" t="s">
        <v>32</v>
      </c>
      <c r="E75" s="156" t="s">
        <v>33</v>
      </c>
      <c r="F75" s="156" t="s">
        <v>34</v>
      </c>
    </row>
    <row r="76" spans="1:10" x14ac:dyDescent="0.25">
      <c r="A76" s="186" t="s">
        <v>15</v>
      </c>
      <c r="B76" s="205">
        <v>0</v>
      </c>
      <c r="C76" s="205">
        <v>0</v>
      </c>
      <c r="D76" s="104">
        <v>0</v>
      </c>
      <c r="E76" s="104">
        <v>0</v>
      </c>
      <c r="F76" s="104">
        <v>0</v>
      </c>
      <c r="G76" s="186"/>
    </row>
    <row r="77" spans="1:10" x14ac:dyDescent="0.25">
      <c r="A77" s="186" t="s">
        <v>16</v>
      </c>
      <c r="B77" s="205">
        <v>0</v>
      </c>
      <c r="C77" s="205">
        <v>0</v>
      </c>
      <c r="D77" s="104">
        <v>0</v>
      </c>
      <c r="E77" s="104">
        <v>0</v>
      </c>
      <c r="F77" s="104">
        <v>0</v>
      </c>
      <c r="G77" s="186"/>
    </row>
    <row r="78" spans="1:10" x14ac:dyDescent="0.25">
      <c r="A78" s="186" t="s">
        <v>17</v>
      </c>
      <c r="B78" s="205">
        <v>0</v>
      </c>
      <c r="C78" s="205">
        <v>0</v>
      </c>
      <c r="D78" s="104">
        <v>0</v>
      </c>
      <c r="E78" s="104">
        <v>0</v>
      </c>
      <c r="F78" s="104">
        <v>0</v>
      </c>
      <c r="G78" s="186"/>
    </row>
    <row r="79" spans="1:10" x14ac:dyDescent="0.25">
      <c r="A79" s="186" t="s">
        <v>18</v>
      </c>
      <c r="B79" s="205">
        <v>0</v>
      </c>
      <c r="C79" s="205">
        <v>0</v>
      </c>
      <c r="D79" s="104">
        <v>0</v>
      </c>
      <c r="E79" s="104">
        <v>0</v>
      </c>
      <c r="F79" s="104">
        <v>0</v>
      </c>
      <c r="G79" s="186"/>
    </row>
    <row r="80" spans="1:10" x14ac:dyDescent="0.25">
      <c r="A80" s="186" t="s">
        <v>29</v>
      </c>
      <c r="B80" s="205">
        <v>0</v>
      </c>
      <c r="C80" s="205">
        <v>0</v>
      </c>
      <c r="D80" s="104">
        <v>6.66666666667E-2</v>
      </c>
      <c r="E80" s="104">
        <v>0.14000000000000001</v>
      </c>
      <c r="F80" s="104">
        <v>0.33333333333350001</v>
      </c>
      <c r="G80" s="186"/>
    </row>
    <row r="81" spans="1:9" x14ac:dyDescent="0.25">
      <c r="A81" s="186" t="s">
        <v>19</v>
      </c>
      <c r="B81" s="205">
        <v>0.99715909090909094</v>
      </c>
      <c r="C81" s="205">
        <v>0.94306049822064053</v>
      </c>
      <c r="D81" s="104">
        <v>0.1333333333334</v>
      </c>
      <c r="E81" s="104">
        <v>0.23</v>
      </c>
      <c r="F81" s="104">
        <v>0.2666666666668</v>
      </c>
      <c r="G81" s="186"/>
    </row>
    <row r="82" spans="1:9" x14ac:dyDescent="0.25">
      <c r="A82" s="186" t="s">
        <v>20</v>
      </c>
      <c r="B82" s="205">
        <v>0</v>
      </c>
      <c r="C82" s="205">
        <v>5.6939501779359428E-2</v>
      </c>
      <c r="D82" s="104">
        <v>0.20000000000009999</v>
      </c>
      <c r="E82" s="104">
        <v>0.26</v>
      </c>
      <c r="F82" s="104">
        <v>0.20000000000009999</v>
      </c>
      <c r="G82" s="186"/>
    </row>
    <row r="83" spans="1:9" x14ac:dyDescent="0.25">
      <c r="A83" s="186" t="s">
        <v>21</v>
      </c>
      <c r="B83" s="205">
        <v>0</v>
      </c>
      <c r="C83" s="205">
        <v>0</v>
      </c>
      <c r="D83" s="104">
        <v>0.2666666666668</v>
      </c>
      <c r="E83" s="104">
        <v>0.23</v>
      </c>
      <c r="F83" s="104">
        <v>0.1333333333334</v>
      </c>
      <c r="G83" s="186"/>
    </row>
    <row r="84" spans="1:9" x14ac:dyDescent="0.25">
      <c r="A84" s="186" t="s">
        <v>105</v>
      </c>
      <c r="B84" s="205">
        <v>2.840909090909091E-3</v>
      </c>
      <c r="C84" s="205">
        <v>0</v>
      </c>
      <c r="D84" s="104">
        <v>0.33333333333350001</v>
      </c>
      <c r="E84" s="104">
        <v>0.14000000000000001</v>
      </c>
      <c r="F84" s="104">
        <v>6.66666666667E-2</v>
      </c>
      <c r="G84" s="186"/>
    </row>
    <row r="85" spans="1:9" x14ac:dyDescent="0.25">
      <c r="H85" s="104"/>
    </row>
    <row r="86" spans="1:9" x14ac:dyDescent="0.25">
      <c r="B86" s="163">
        <v>0.1</v>
      </c>
      <c r="C86" s="163">
        <v>0.1</v>
      </c>
      <c r="D86" s="163">
        <v>0.1</v>
      </c>
      <c r="E86" s="163">
        <v>0.1</v>
      </c>
      <c r="F86" s="104">
        <v>0.1</v>
      </c>
      <c r="H86" s="104"/>
      <c r="I86" s="104"/>
    </row>
    <row r="87" spans="1:9" s="208" customFormat="1" x14ac:dyDescent="0.25">
      <c r="A87" s="206" t="s">
        <v>14</v>
      </c>
      <c r="B87" s="156" t="s">
        <v>36</v>
      </c>
      <c r="C87" s="156" t="s">
        <v>149</v>
      </c>
      <c r="D87" s="156" t="s">
        <v>32</v>
      </c>
      <c r="E87" s="156" t="s">
        <v>33</v>
      </c>
      <c r="F87" s="156" t="s">
        <v>34</v>
      </c>
      <c r="G87" s="209"/>
      <c r="H87" s="209"/>
      <c r="I87" s="209"/>
    </row>
    <row r="88" spans="1:9" x14ac:dyDescent="0.25">
      <c r="A88" s="186" t="s">
        <v>15</v>
      </c>
      <c r="B88" s="104">
        <v>0</v>
      </c>
      <c r="C88" s="104">
        <v>0</v>
      </c>
      <c r="D88" s="104">
        <v>0</v>
      </c>
      <c r="E88" s="104">
        <v>0</v>
      </c>
      <c r="F88" s="104">
        <v>0</v>
      </c>
      <c r="G88" s="184"/>
      <c r="H88" s="184"/>
      <c r="I88" s="184"/>
    </row>
    <row r="89" spans="1:9" x14ac:dyDescent="0.25">
      <c r="A89" s="186" t="s">
        <v>16</v>
      </c>
      <c r="B89" s="104">
        <v>0</v>
      </c>
      <c r="C89" s="104">
        <v>0</v>
      </c>
      <c r="D89" s="104">
        <v>0</v>
      </c>
      <c r="E89" s="104">
        <v>0</v>
      </c>
      <c r="F89" s="104">
        <v>0</v>
      </c>
      <c r="G89" s="184"/>
      <c r="H89" s="184"/>
      <c r="I89" s="184"/>
    </row>
    <row r="90" spans="1:9" x14ac:dyDescent="0.25">
      <c r="A90" s="186" t="s">
        <v>17</v>
      </c>
      <c r="B90" s="104">
        <v>1.8927359498154583E-5</v>
      </c>
      <c r="C90" s="104">
        <v>0</v>
      </c>
      <c r="D90" s="104">
        <v>0</v>
      </c>
      <c r="E90" s="104">
        <v>0</v>
      </c>
      <c r="F90" s="104">
        <v>0</v>
      </c>
      <c r="G90" s="184"/>
      <c r="H90" s="184"/>
      <c r="I90" s="184"/>
    </row>
    <row r="91" spans="1:9" x14ac:dyDescent="0.25">
      <c r="A91" s="186" t="s">
        <v>18</v>
      </c>
      <c r="B91" s="104">
        <v>3.2528019251828522E-3</v>
      </c>
      <c r="C91" s="104">
        <v>0</v>
      </c>
      <c r="D91" s="104">
        <v>0</v>
      </c>
      <c r="E91" s="104">
        <v>0</v>
      </c>
      <c r="F91" s="104">
        <v>0</v>
      </c>
      <c r="G91" s="184"/>
      <c r="H91" s="184"/>
      <c r="I91" s="184"/>
    </row>
    <row r="92" spans="1:9" x14ac:dyDescent="0.25">
      <c r="A92" s="186" t="s">
        <v>29</v>
      </c>
      <c r="B92" s="104">
        <v>8.0286893414107524E-2</v>
      </c>
      <c r="C92" s="104">
        <v>1.6544012778823664E-3</v>
      </c>
      <c r="D92" s="104">
        <v>6.66666666667E-2</v>
      </c>
      <c r="E92" s="104">
        <v>0.14000000000000001</v>
      </c>
      <c r="F92" s="104">
        <v>0.33333333333350001</v>
      </c>
      <c r="G92" s="184"/>
      <c r="H92" s="184"/>
      <c r="I92" s="184"/>
    </row>
    <row r="93" spans="1:9" x14ac:dyDescent="0.25">
      <c r="A93" s="186" t="s">
        <v>19</v>
      </c>
      <c r="B93" s="104">
        <v>0.25456251850759953</v>
      </c>
      <c r="C93" s="104">
        <v>3.6510924753266017E-3</v>
      </c>
      <c r="D93" s="104">
        <v>0.1333333333334</v>
      </c>
      <c r="E93" s="104">
        <v>0.23</v>
      </c>
      <c r="F93" s="104">
        <v>0.2666666666668</v>
      </c>
      <c r="G93" s="184"/>
      <c r="H93" s="184"/>
      <c r="I93" s="184"/>
    </row>
    <row r="94" spans="1:9" x14ac:dyDescent="0.25">
      <c r="A94" s="186" t="s">
        <v>20</v>
      </c>
      <c r="B94" s="104">
        <v>0.35616144427091945</v>
      </c>
      <c r="C94" s="104">
        <v>3.8108277711221404E-2</v>
      </c>
      <c r="D94" s="104">
        <v>0.20000000000009999</v>
      </c>
      <c r="E94" s="104">
        <v>0.26</v>
      </c>
      <c r="F94" s="104">
        <v>0.20000000000009999</v>
      </c>
      <c r="G94" s="184"/>
      <c r="H94" s="184"/>
      <c r="I94" s="184"/>
    </row>
    <row r="95" spans="1:9" x14ac:dyDescent="0.25">
      <c r="A95" s="186" t="s">
        <v>21</v>
      </c>
      <c r="B95" s="104">
        <v>0.23485102554452139</v>
      </c>
      <c r="C95" s="104">
        <v>0.43430885960408466</v>
      </c>
      <c r="D95" s="104">
        <v>0.2666666666668</v>
      </c>
      <c r="E95" s="104">
        <v>0.23</v>
      </c>
      <c r="F95" s="104">
        <v>0.1333333333334</v>
      </c>
      <c r="G95" s="184"/>
      <c r="H95" s="184"/>
      <c r="I95" s="184"/>
    </row>
    <row r="96" spans="1:9" x14ac:dyDescent="0.25">
      <c r="A96" s="186" t="s">
        <v>105</v>
      </c>
      <c r="B96" s="104">
        <v>7.0866388978171185E-2</v>
      </c>
      <c r="C96" s="104">
        <v>0.52227736893148502</v>
      </c>
      <c r="D96" s="104">
        <v>0.33333333333350001</v>
      </c>
      <c r="E96" s="104">
        <v>0.14000000000000001</v>
      </c>
      <c r="F96" s="104">
        <v>6.66666666667E-2</v>
      </c>
      <c r="G96" s="184"/>
      <c r="H96" s="184"/>
      <c r="I96" s="184"/>
    </row>
    <row r="98" spans="1:11" x14ac:dyDescent="0.25">
      <c r="B98" s="163">
        <v>0.1</v>
      </c>
      <c r="C98" s="163">
        <v>0.1</v>
      </c>
      <c r="D98" s="163">
        <v>0.1</v>
      </c>
      <c r="E98" s="163">
        <v>0.1</v>
      </c>
      <c r="F98" s="104">
        <v>0.1</v>
      </c>
      <c r="H98" s="104"/>
      <c r="I98" s="104"/>
    </row>
    <row r="99" spans="1:11" s="208" customFormat="1" x14ac:dyDescent="0.25">
      <c r="A99" s="206" t="s">
        <v>111</v>
      </c>
      <c r="B99" s="156" t="s">
        <v>36</v>
      </c>
      <c r="C99" s="156" t="s">
        <v>149</v>
      </c>
      <c r="D99" s="156" t="s">
        <v>32</v>
      </c>
      <c r="E99" s="156" t="s">
        <v>33</v>
      </c>
      <c r="F99" s="156" t="s">
        <v>34</v>
      </c>
    </row>
    <row r="100" spans="1:11" x14ac:dyDescent="0.25">
      <c r="A100" s="186" t="s">
        <v>15</v>
      </c>
      <c r="B100" s="205">
        <v>0</v>
      </c>
      <c r="C100" s="205">
        <v>0</v>
      </c>
      <c r="D100" s="104">
        <v>0</v>
      </c>
      <c r="E100" s="104">
        <v>0</v>
      </c>
      <c r="F100" s="104">
        <v>0</v>
      </c>
      <c r="G100" s="186"/>
      <c r="K100" s="212"/>
    </row>
    <row r="101" spans="1:11" x14ac:dyDescent="0.25">
      <c r="A101" s="186" t="s">
        <v>16</v>
      </c>
      <c r="B101" s="205">
        <v>0</v>
      </c>
      <c r="C101" s="205">
        <v>0</v>
      </c>
      <c r="D101" s="104">
        <v>0</v>
      </c>
      <c r="E101" s="104">
        <v>0</v>
      </c>
      <c r="F101" s="104">
        <v>0</v>
      </c>
      <c r="G101" s="186"/>
      <c r="K101" s="212"/>
    </row>
    <row r="102" spans="1:11" x14ac:dyDescent="0.25">
      <c r="A102" s="186" t="s">
        <v>17</v>
      </c>
      <c r="B102" s="205">
        <v>0</v>
      </c>
      <c r="C102" s="205">
        <v>0</v>
      </c>
      <c r="D102" s="104">
        <v>0</v>
      </c>
      <c r="E102" s="104">
        <v>0</v>
      </c>
      <c r="F102" s="104">
        <v>0</v>
      </c>
      <c r="G102" s="186"/>
      <c r="K102" s="212"/>
    </row>
    <row r="103" spans="1:11" x14ac:dyDescent="0.25">
      <c r="A103" s="186" t="s">
        <v>18</v>
      </c>
      <c r="B103" s="205">
        <v>0</v>
      </c>
      <c r="C103" s="205">
        <v>0</v>
      </c>
      <c r="D103" s="104">
        <v>0</v>
      </c>
      <c r="E103" s="104">
        <v>0</v>
      </c>
      <c r="F103" s="104">
        <v>0</v>
      </c>
      <c r="G103" s="186"/>
      <c r="K103" s="212"/>
    </row>
    <row r="104" spans="1:11" x14ac:dyDescent="0.25">
      <c r="A104" s="186" t="s">
        <v>29</v>
      </c>
      <c r="B104" s="205">
        <v>0</v>
      </c>
      <c r="C104" s="205">
        <v>0</v>
      </c>
      <c r="D104" s="104">
        <v>6.66666666667E-2</v>
      </c>
      <c r="E104" s="104">
        <v>0.14000000000000001</v>
      </c>
      <c r="F104" s="104">
        <v>0.33333333333350001</v>
      </c>
      <c r="G104" s="186"/>
      <c r="K104" s="212"/>
    </row>
    <row r="105" spans="1:11" x14ac:dyDescent="0.25">
      <c r="A105" s="186" t="s">
        <v>19</v>
      </c>
      <c r="B105" s="205">
        <v>0.83008982035928136</v>
      </c>
      <c r="C105" s="205">
        <v>0</v>
      </c>
      <c r="D105" s="104">
        <v>0.1333333333334</v>
      </c>
      <c r="E105" s="104">
        <v>0.23</v>
      </c>
      <c r="F105" s="104">
        <v>0.2666666666668</v>
      </c>
      <c r="G105" s="186"/>
      <c r="K105" s="212"/>
    </row>
    <row r="106" spans="1:11" x14ac:dyDescent="0.25">
      <c r="A106" s="186" t="s">
        <v>20</v>
      </c>
      <c r="B106" s="205">
        <v>2.020958083832335E-2</v>
      </c>
      <c r="C106" s="205">
        <v>0</v>
      </c>
      <c r="D106" s="104">
        <v>0.20000000000009999</v>
      </c>
      <c r="E106" s="104">
        <v>0.26</v>
      </c>
      <c r="F106" s="104">
        <v>0.20000000000009999</v>
      </c>
      <c r="G106" s="186"/>
      <c r="K106" s="212"/>
    </row>
    <row r="107" spans="1:11" x14ac:dyDescent="0.25">
      <c r="A107" s="186" t="s">
        <v>21</v>
      </c>
      <c r="B107" s="205">
        <v>0</v>
      </c>
      <c r="C107" s="205">
        <v>1</v>
      </c>
      <c r="D107" s="104">
        <v>0.2666666666668</v>
      </c>
      <c r="E107" s="104">
        <v>0.23</v>
      </c>
      <c r="F107" s="104">
        <v>0.1333333333334</v>
      </c>
      <c r="G107" s="186"/>
    </row>
    <row r="108" spans="1:11" x14ac:dyDescent="0.25">
      <c r="A108" s="186" t="s">
        <v>105</v>
      </c>
      <c r="B108" s="205">
        <v>0.1497005988023952</v>
      </c>
      <c r="C108" s="205">
        <v>0</v>
      </c>
      <c r="D108" s="104">
        <v>0.33333333333350001</v>
      </c>
      <c r="E108" s="104">
        <v>0.14000000000000001</v>
      </c>
      <c r="F108" s="104">
        <v>6.66666666667E-2</v>
      </c>
      <c r="G108" s="186"/>
    </row>
    <row r="109" spans="1:11" s="161" customFormat="1" ht="29.25" customHeight="1" x14ac:dyDescent="0.4">
      <c r="A109" s="202"/>
      <c r="B109" s="215" t="s">
        <v>106</v>
      </c>
      <c r="C109" s="203"/>
      <c r="D109" s="203"/>
      <c r="E109" s="104"/>
      <c r="F109" s="104"/>
      <c r="G109" s="104"/>
    </row>
    <row r="110" spans="1:11" s="161" customFormat="1" ht="18" customHeight="1" x14ac:dyDescent="0.25">
      <c r="B110" s="163">
        <v>0.1</v>
      </c>
      <c r="C110" s="163">
        <v>0.1</v>
      </c>
      <c r="D110" s="163">
        <v>0.1</v>
      </c>
      <c r="E110" s="163">
        <v>0.1</v>
      </c>
      <c r="F110" s="104">
        <v>0.1</v>
      </c>
      <c r="G110" s="104">
        <v>0.1</v>
      </c>
      <c r="H110" s="104">
        <v>0.1</v>
      </c>
      <c r="I110" s="104">
        <v>0.1</v>
      </c>
    </row>
    <row r="111" spans="1:11" s="208" customFormat="1" x14ac:dyDescent="0.25">
      <c r="A111" s="206" t="s">
        <v>22</v>
      </c>
      <c r="B111" s="207" t="s">
        <v>104</v>
      </c>
      <c r="C111" s="156" t="s">
        <v>35</v>
      </c>
      <c r="D111" s="207" t="s">
        <v>36</v>
      </c>
      <c r="E111" s="207" t="s">
        <v>149</v>
      </c>
      <c r="F111" s="156" t="s">
        <v>31</v>
      </c>
      <c r="G111" s="156" t="s">
        <v>32</v>
      </c>
      <c r="H111" s="156" t="s">
        <v>33</v>
      </c>
      <c r="I111" s="156" t="s">
        <v>34</v>
      </c>
    </row>
    <row r="112" spans="1:11" x14ac:dyDescent="0.25">
      <c r="A112" s="186" t="s">
        <v>15</v>
      </c>
      <c r="B112" s="205">
        <v>0</v>
      </c>
      <c r="C112" s="205">
        <v>0</v>
      </c>
      <c r="D112" s="205">
        <v>0</v>
      </c>
      <c r="E112" s="205">
        <v>0</v>
      </c>
      <c r="F112" s="104">
        <v>0</v>
      </c>
      <c r="G112" s="104">
        <v>0</v>
      </c>
      <c r="H112" s="104">
        <v>0</v>
      </c>
      <c r="I112" s="104">
        <v>0</v>
      </c>
    </row>
    <row r="113" spans="1:9" x14ac:dyDescent="0.25">
      <c r="A113" s="186" t="s">
        <v>16</v>
      </c>
      <c r="B113" s="205">
        <v>0</v>
      </c>
      <c r="C113" s="205">
        <v>0</v>
      </c>
      <c r="D113" s="205">
        <v>0</v>
      </c>
      <c r="E113" s="205">
        <v>0</v>
      </c>
      <c r="F113" s="104">
        <v>0</v>
      </c>
      <c r="G113" s="104">
        <v>0</v>
      </c>
      <c r="H113" s="104">
        <v>0</v>
      </c>
      <c r="I113" s="104">
        <v>0</v>
      </c>
    </row>
    <row r="114" spans="1:9" x14ac:dyDescent="0.25">
      <c r="A114" s="186" t="s">
        <v>17</v>
      </c>
      <c r="B114" s="205">
        <v>0</v>
      </c>
      <c r="C114" s="205">
        <v>0</v>
      </c>
      <c r="D114" s="205">
        <v>0</v>
      </c>
      <c r="E114" s="205">
        <v>0</v>
      </c>
      <c r="F114" s="104">
        <v>0</v>
      </c>
      <c r="G114" s="104">
        <v>0</v>
      </c>
      <c r="H114" s="104">
        <v>0</v>
      </c>
      <c r="I114" s="104">
        <v>0</v>
      </c>
    </row>
    <row r="115" spans="1:9" x14ac:dyDescent="0.25">
      <c r="A115" s="186" t="s">
        <v>18</v>
      </c>
      <c r="B115" s="205">
        <v>0</v>
      </c>
      <c r="C115" s="205">
        <v>0</v>
      </c>
      <c r="D115" s="205">
        <v>0</v>
      </c>
      <c r="E115" s="205">
        <v>0</v>
      </c>
      <c r="F115" s="104">
        <v>0</v>
      </c>
      <c r="G115" s="104">
        <v>0</v>
      </c>
      <c r="H115" s="104">
        <v>0</v>
      </c>
      <c r="I115" s="104">
        <v>0</v>
      </c>
    </row>
    <row r="116" spans="1:9" x14ac:dyDescent="0.25">
      <c r="A116" s="186" t="s">
        <v>29</v>
      </c>
      <c r="B116" s="205">
        <v>4.4840626688276604E-2</v>
      </c>
      <c r="C116" s="205">
        <v>4.6335486745377588E-2</v>
      </c>
      <c r="D116" s="205">
        <v>7.6745970836531077E-2</v>
      </c>
      <c r="E116" s="205">
        <v>0</v>
      </c>
      <c r="F116" s="104">
        <v>5.5974028090061766E-2</v>
      </c>
      <c r="G116" s="104">
        <v>6.66666666667E-2</v>
      </c>
      <c r="H116" s="104">
        <v>0.14000000000000001</v>
      </c>
      <c r="I116" s="104">
        <v>0.33333333333350001</v>
      </c>
    </row>
    <row r="117" spans="1:9" x14ac:dyDescent="0.25">
      <c r="A117" s="186" t="s">
        <v>19</v>
      </c>
      <c r="B117" s="205">
        <v>0.72663425175580754</v>
      </c>
      <c r="C117" s="205">
        <v>0.64780574738249053</v>
      </c>
      <c r="D117" s="205">
        <v>0.10744435917114351</v>
      </c>
      <c r="E117" s="205">
        <v>0.22683142100617829</v>
      </c>
      <c r="F117" s="104">
        <v>0.4939614527698139</v>
      </c>
      <c r="G117" s="104">
        <v>0.1333333333334</v>
      </c>
      <c r="H117" s="104">
        <v>0.23</v>
      </c>
      <c r="I117" s="104">
        <v>0.2666666666668</v>
      </c>
    </row>
    <row r="118" spans="1:9" x14ac:dyDescent="0.25">
      <c r="A118" s="186" t="s">
        <v>20</v>
      </c>
      <c r="B118" s="205">
        <v>0.19070772555375468</v>
      </c>
      <c r="C118" s="205">
        <v>0.21608376030296278</v>
      </c>
      <c r="D118" s="205">
        <v>0.42440521872601683</v>
      </c>
      <c r="E118" s="205">
        <v>0.72992056487202117</v>
      </c>
      <c r="F118" s="104">
        <v>0.27706556819424472</v>
      </c>
      <c r="G118" s="104">
        <v>0.20000000000009999</v>
      </c>
      <c r="H118" s="104">
        <v>0.26</v>
      </c>
      <c r="I118" s="104">
        <v>0.20000000000009999</v>
      </c>
    </row>
    <row r="119" spans="1:9" x14ac:dyDescent="0.25">
      <c r="A119" s="186" t="s">
        <v>21</v>
      </c>
      <c r="B119" s="205">
        <v>3.781739600216099E-2</v>
      </c>
      <c r="C119" s="205">
        <v>5.7251058142125187E-2</v>
      </c>
      <c r="D119" s="205">
        <v>0.36454336147352262</v>
      </c>
      <c r="E119" s="205">
        <v>4.3248014121800529E-2</v>
      </c>
      <c r="F119" s="104">
        <v>0.15320393853926959</v>
      </c>
      <c r="G119" s="104">
        <v>0.2666666666668</v>
      </c>
      <c r="H119" s="104">
        <v>0.23</v>
      </c>
      <c r="I119" s="104">
        <v>0.1333333333334</v>
      </c>
    </row>
    <row r="120" spans="1:9" x14ac:dyDescent="0.25">
      <c r="A120" s="186" t="s">
        <v>105</v>
      </c>
      <c r="B120" s="205">
        <v>0</v>
      </c>
      <c r="C120" s="205">
        <v>3.2523947427043884E-2</v>
      </c>
      <c r="D120" s="205">
        <v>2.6861089792785876E-2</v>
      </c>
      <c r="E120" s="205">
        <v>0</v>
      </c>
      <c r="F120" s="104">
        <v>1.979501240660992E-2</v>
      </c>
      <c r="G120" s="104">
        <v>0.33333333333350001</v>
      </c>
      <c r="H120" s="104">
        <v>0.14000000000000001</v>
      </c>
      <c r="I120" s="104">
        <v>6.66666666667E-2</v>
      </c>
    </row>
    <row r="122" spans="1:9" x14ac:dyDescent="0.25">
      <c r="B122" s="163">
        <v>0.1</v>
      </c>
      <c r="C122" s="163">
        <v>0.1</v>
      </c>
      <c r="D122" s="163">
        <v>0.1</v>
      </c>
      <c r="E122" s="163">
        <v>0.1</v>
      </c>
      <c r="F122" s="104">
        <v>0.1</v>
      </c>
      <c r="G122" s="104">
        <v>0.1</v>
      </c>
      <c r="H122" s="104">
        <v>0.1</v>
      </c>
      <c r="I122" s="104">
        <v>0.1</v>
      </c>
    </row>
    <row r="123" spans="1:9" s="208" customFormat="1" x14ac:dyDescent="0.25">
      <c r="A123" s="206" t="s">
        <v>23</v>
      </c>
      <c r="B123" s="207" t="s">
        <v>104</v>
      </c>
      <c r="C123" s="158" t="s">
        <v>35</v>
      </c>
      <c r="D123" s="211" t="s">
        <v>36</v>
      </c>
      <c r="E123" s="211" t="s">
        <v>149</v>
      </c>
      <c r="F123" s="156" t="s">
        <v>31</v>
      </c>
      <c r="G123" s="156" t="s">
        <v>32</v>
      </c>
      <c r="H123" s="156" t="s">
        <v>33</v>
      </c>
      <c r="I123" s="156" t="s">
        <v>34</v>
      </c>
    </row>
    <row r="124" spans="1:9" x14ac:dyDescent="0.25">
      <c r="A124" s="186" t="s">
        <v>15</v>
      </c>
      <c r="B124" s="205">
        <v>0</v>
      </c>
      <c r="C124" s="205">
        <v>0</v>
      </c>
      <c r="D124" s="205">
        <v>0</v>
      </c>
      <c r="E124" s="205">
        <v>0</v>
      </c>
      <c r="F124" s="104">
        <v>0</v>
      </c>
      <c r="G124" s="104">
        <v>0</v>
      </c>
      <c r="H124" s="104">
        <v>0</v>
      </c>
      <c r="I124" s="104">
        <v>0</v>
      </c>
    </row>
    <row r="125" spans="1:9" x14ac:dyDescent="0.25">
      <c r="A125" s="186" t="s">
        <v>16</v>
      </c>
      <c r="B125" s="205">
        <v>0</v>
      </c>
      <c r="C125" s="205">
        <v>0</v>
      </c>
      <c r="D125" s="205">
        <v>0</v>
      </c>
      <c r="E125" s="205">
        <v>0</v>
      </c>
      <c r="F125" s="104">
        <v>0</v>
      </c>
      <c r="G125" s="104">
        <v>0</v>
      </c>
      <c r="H125" s="104">
        <v>0</v>
      </c>
      <c r="I125" s="104">
        <v>0</v>
      </c>
    </row>
    <row r="126" spans="1:9" x14ac:dyDescent="0.25">
      <c r="A126" s="186" t="s">
        <v>17</v>
      </c>
      <c r="B126" s="205">
        <v>0</v>
      </c>
      <c r="C126" s="205">
        <v>0</v>
      </c>
      <c r="D126" s="205">
        <v>0</v>
      </c>
      <c r="E126" s="205">
        <v>0</v>
      </c>
      <c r="F126" s="104">
        <v>0</v>
      </c>
      <c r="G126" s="104">
        <v>0</v>
      </c>
      <c r="H126" s="104">
        <v>0</v>
      </c>
      <c r="I126" s="104">
        <v>0</v>
      </c>
    </row>
    <row r="127" spans="1:9" x14ac:dyDescent="0.25">
      <c r="A127" s="186" t="s">
        <v>18</v>
      </c>
      <c r="B127" s="205">
        <v>9.4779116465863469E-2</v>
      </c>
      <c r="C127" s="205">
        <v>6.8867155664221677E-2</v>
      </c>
      <c r="D127" s="205">
        <v>3.7006578947368423E-3</v>
      </c>
      <c r="E127" s="205">
        <v>0</v>
      </c>
      <c r="F127" s="104">
        <v>5.5782310008273994E-2</v>
      </c>
      <c r="G127" s="104">
        <v>0</v>
      </c>
      <c r="H127" s="104">
        <v>0</v>
      </c>
      <c r="I127" s="104">
        <v>0</v>
      </c>
    </row>
    <row r="128" spans="1:9" x14ac:dyDescent="0.25">
      <c r="A128" s="186" t="s">
        <v>29</v>
      </c>
      <c r="B128" s="205">
        <v>0.15461847389558234</v>
      </c>
      <c r="C128" s="205">
        <v>7.2127139364303178E-2</v>
      </c>
      <c r="D128" s="205">
        <v>0.29317434210526316</v>
      </c>
      <c r="E128" s="205">
        <v>0.3491841491841492</v>
      </c>
      <c r="F128" s="104">
        <v>0.17330665178838289</v>
      </c>
      <c r="G128" s="104">
        <v>6.66666666667E-2</v>
      </c>
      <c r="H128" s="104">
        <v>0.14000000000000001</v>
      </c>
      <c r="I128" s="104">
        <v>0.33333333333350001</v>
      </c>
    </row>
    <row r="129" spans="1:12" x14ac:dyDescent="0.25">
      <c r="A129" s="186" t="s">
        <v>19</v>
      </c>
      <c r="B129" s="205">
        <v>0.39959839357429722</v>
      </c>
      <c r="C129" s="205">
        <v>0.56723716381418099</v>
      </c>
      <c r="D129" s="205">
        <v>0.41406250000000006</v>
      </c>
      <c r="E129" s="205">
        <v>0.40885780885780887</v>
      </c>
      <c r="F129" s="104">
        <v>0.46029935246282605</v>
      </c>
      <c r="G129" s="104">
        <v>0.1333333333334</v>
      </c>
      <c r="H129" s="104">
        <v>0.23</v>
      </c>
      <c r="I129" s="104">
        <v>0.2666666666668</v>
      </c>
    </row>
    <row r="130" spans="1:12" x14ac:dyDescent="0.25">
      <c r="A130" s="186" t="s">
        <v>20</v>
      </c>
      <c r="B130" s="205">
        <v>0.26024096385542173</v>
      </c>
      <c r="C130" s="205">
        <v>0.28198859005704974</v>
      </c>
      <c r="D130" s="205">
        <v>0.22327302631578946</v>
      </c>
      <c r="E130" s="205">
        <v>0.24055944055944056</v>
      </c>
      <c r="F130" s="104">
        <v>0.25516752674275367</v>
      </c>
      <c r="G130" s="104">
        <v>0.20000000000009999</v>
      </c>
      <c r="H130" s="104">
        <v>0.26</v>
      </c>
      <c r="I130" s="104">
        <v>0.20000000000009999</v>
      </c>
    </row>
    <row r="131" spans="1:12" x14ac:dyDescent="0.25">
      <c r="A131" s="186" t="s">
        <v>21</v>
      </c>
      <c r="B131" s="205">
        <v>8.91566265060241E-2</v>
      </c>
      <c r="C131" s="205">
        <v>8.9649551752241253E-3</v>
      </c>
      <c r="D131" s="205">
        <v>3.2894736842105261E-2</v>
      </c>
      <c r="E131" s="205">
        <v>9.324009324009324E-4</v>
      </c>
      <c r="F131" s="104">
        <v>4.3672106174451164E-2</v>
      </c>
      <c r="G131" s="104">
        <v>0.2666666666668</v>
      </c>
      <c r="H131" s="104">
        <v>0.23</v>
      </c>
      <c r="I131" s="104">
        <v>0.1333333333334</v>
      </c>
    </row>
    <row r="132" spans="1:12" x14ac:dyDescent="0.25">
      <c r="A132" s="186" t="s">
        <v>105</v>
      </c>
      <c r="B132" s="205">
        <v>1.6064257028112453E-3</v>
      </c>
      <c r="C132" s="205">
        <v>8.1499592502037497E-4</v>
      </c>
      <c r="D132" s="205">
        <v>3.2894736842105261E-2</v>
      </c>
      <c r="E132" s="205">
        <v>4.662004662004662E-4</v>
      </c>
      <c r="F132" s="104">
        <v>1.1772052823312293E-2</v>
      </c>
      <c r="G132" s="104">
        <v>0.33333333333350001</v>
      </c>
      <c r="H132" s="104">
        <v>0.14000000000000001</v>
      </c>
      <c r="I132" s="104">
        <v>6.66666666667E-2</v>
      </c>
    </row>
    <row r="133" spans="1:12" x14ac:dyDescent="0.25">
      <c r="D133" s="104"/>
      <c r="E133" s="184"/>
      <c r="F133" s="184"/>
      <c r="G133" s="184"/>
      <c r="H133" s="184"/>
      <c r="I133" s="184"/>
      <c r="J133" s="184"/>
      <c r="K133" s="184"/>
      <c r="L133" s="184"/>
    </row>
    <row r="134" spans="1:12" x14ac:dyDescent="0.25">
      <c r="B134" s="163">
        <v>0.1</v>
      </c>
      <c r="C134" s="163">
        <v>0.1</v>
      </c>
      <c r="D134" s="163">
        <v>0.1</v>
      </c>
      <c r="E134" s="104">
        <v>0.1</v>
      </c>
      <c r="F134" s="104">
        <v>0.1</v>
      </c>
      <c r="H134" s="104"/>
      <c r="I134" s="184"/>
      <c r="J134" s="184"/>
      <c r="K134" s="184"/>
      <c r="L134" s="184"/>
    </row>
    <row r="135" spans="1:12" s="208" customFormat="1" x14ac:dyDescent="0.25">
      <c r="A135" s="206" t="s">
        <v>108</v>
      </c>
      <c r="B135" s="156" t="s">
        <v>35</v>
      </c>
      <c r="C135" s="156" t="s">
        <v>36</v>
      </c>
      <c r="D135" s="156" t="s">
        <v>32</v>
      </c>
      <c r="E135" s="156" t="s">
        <v>33</v>
      </c>
      <c r="F135" s="156" t="s">
        <v>34</v>
      </c>
      <c r="G135" s="209"/>
      <c r="H135" s="209"/>
      <c r="I135" s="209"/>
      <c r="J135" s="209"/>
      <c r="K135" s="209"/>
    </row>
    <row r="136" spans="1:12" x14ac:dyDescent="0.25">
      <c r="A136" s="186" t="s">
        <v>15</v>
      </c>
      <c r="B136" s="104">
        <v>0</v>
      </c>
      <c r="C136" s="104">
        <v>0</v>
      </c>
      <c r="D136" s="104">
        <v>0</v>
      </c>
      <c r="E136" s="104">
        <v>0</v>
      </c>
      <c r="F136" s="104">
        <v>0</v>
      </c>
      <c r="G136" s="184"/>
      <c r="H136" s="184"/>
      <c r="I136" s="184"/>
      <c r="J136" s="184"/>
      <c r="K136" s="184"/>
    </row>
    <row r="137" spans="1:12" x14ac:dyDescent="0.25">
      <c r="A137" s="186" t="s">
        <v>16</v>
      </c>
      <c r="B137" s="104">
        <v>0</v>
      </c>
      <c r="C137" s="104">
        <v>0</v>
      </c>
      <c r="D137" s="104">
        <v>0</v>
      </c>
      <c r="E137" s="104">
        <v>0</v>
      </c>
      <c r="F137" s="104">
        <v>0</v>
      </c>
      <c r="G137" s="184"/>
      <c r="H137" s="184"/>
      <c r="I137" s="184"/>
      <c r="J137" s="184"/>
      <c r="K137" s="184"/>
    </row>
    <row r="138" spans="1:12" x14ac:dyDescent="0.25">
      <c r="A138" s="186" t="s">
        <v>17</v>
      </c>
      <c r="B138" s="104">
        <v>0</v>
      </c>
      <c r="C138" s="104">
        <v>0</v>
      </c>
      <c r="D138" s="104">
        <v>0</v>
      </c>
      <c r="E138" s="104">
        <v>0</v>
      </c>
      <c r="F138" s="104">
        <v>0</v>
      </c>
      <c r="G138" s="184"/>
      <c r="H138" s="184"/>
      <c r="I138" s="184"/>
      <c r="J138" s="184"/>
      <c r="K138" s="184"/>
    </row>
    <row r="139" spans="1:12" x14ac:dyDescent="0.25">
      <c r="A139" s="186" t="s">
        <v>18</v>
      </c>
      <c r="B139" s="104">
        <v>0</v>
      </c>
      <c r="C139" s="104">
        <v>0</v>
      </c>
      <c r="D139" s="104">
        <v>0</v>
      </c>
      <c r="E139" s="104">
        <v>0</v>
      </c>
      <c r="F139" s="104">
        <v>0</v>
      </c>
      <c r="G139" s="184"/>
      <c r="H139" s="184"/>
      <c r="I139" s="184"/>
      <c r="J139" s="184"/>
      <c r="K139" s="184"/>
    </row>
    <row r="140" spans="1:12" x14ac:dyDescent="0.25">
      <c r="A140" s="186" t="s">
        <v>29</v>
      </c>
      <c r="B140" s="104">
        <v>0</v>
      </c>
      <c r="C140" s="104">
        <v>0</v>
      </c>
      <c r="D140" s="104">
        <v>6.66666666667E-2</v>
      </c>
      <c r="E140" s="104">
        <v>0.14000000000000001</v>
      </c>
      <c r="F140" s="104">
        <v>0.33333333333350001</v>
      </c>
      <c r="G140" s="184"/>
      <c r="H140" s="184"/>
      <c r="I140" s="184"/>
      <c r="J140" s="184"/>
      <c r="K140" s="184"/>
    </row>
    <row r="141" spans="1:12" x14ac:dyDescent="0.25">
      <c r="A141" s="186" t="s">
        <v>19</v>
      </c>
      <c r="B141" s="104">
        <v>0.89538461538461533</v>
      </c>
      <c r="C141" s="104">
        <v>0.9119373776908023</v>
      </c>
      <c r="D141" s="104">
        <v>0.1333333333334</v>
      </c>
      <c r="E141" s="104">
        <v>0.23</v>
      </c>
      <c r="F141" s="104">
        <v>0.2666666666668</v>
      </c>
      <c r="G141" s="184"/>
      <c r="H141" s="184"/>
      <c r="I141" s="184"/>
      <c r="J141" s="184"/>
      <c r="K141" s="184"/>
    </row>
    <row r="142" spans="1:12" x14ac:dyDescent="0.25">
      <c r="A142" s="186" t="s">
        <v>20</v>
      </c>
      <c r="B142" s="104">
        <v>9.5384615384615387E-2</v>
      </c>
      <c r="C142" s="104">
        <v>8.8062622309197647E-2</v>
      </c>
      <c r="D142" s="104">
        <v>0.20000000000009999</v>
      </c>
      <c r="E142" s="104">
        <v>0.26</v>
      </c>
      <c r="F142" s="104">
        <v>0.20000000000009999</v>
      </c>
      <c r="G142" s="184"/>
      <c r="H142" s="184"/>
      <c r="I142" s="184"/>
      <c r="J142" s="184"/>
      <c r="K142" s="184"/>
    </row>
    <row r="143" spans="1:12" x14ac:dyDescent="0.25">
      <c r="A143" s="186" t="s">
        <v>21</v>
      </c>
      <c r="B143" s="104">
        <v>0</v>
      </c>
      <c r="C143" s="104">
        <v>0</v>
      </c>
      <c r="D143" s="104">
        <v>0.2666666666668</v>
      </c>
      <c r="E143" s="104">
        <v>0.23</v>
      </c>
      <c r="F143" s="104">
        <v>0.1333333333334</v>
      </c>
      <c r="G143" s="184"/>
      <c r="H143" s="184"/>
      <c r="I143" s="184"/>
      <c r="J143" s="184"/>
      <c r="K143" s="184"/>
    </row>
    <row r="144" spans="1:12" x14ac:dyDescent="0.25">
      <c r="A144" s="186" t="s">
        <v>105</v>
      </c>
      <c r="B144" s="104">
        <v>9.2307692307692316E-3</v>
      </c>
      <c r="C144" s="104">
        <v>0</v>
      </c>
      <c r="D144" s="104">
        <v>0.33333333333350001</v>
      </c>
      <c r="E144" s="104">
        <v>0.14000000000000001</v>
      </c>
      <c r="F144" s="104">
        <v>6.66666666667E-2</v>
      </c>
      <c r="G144" s="184"/>
      <c r="H144" s="184"/>
      <c r="I144" s="184"/>
      <c r="J144" s="184"/>
      <c r="K144" s="184"/>
    </row>
    <row r="145" spans="1:14" x14ac:dyDescent="0.25">
      <c r="B145" s="104"/>
      <c r="C145" s="104"/>
      <c r="D145" s="104"/>
      <c r="F145" s="184"/>
      <c r="G145" s="184"/>
      <c r="H145" s="184"/>
      <c r="I145" s="184"/>
      <c r="J145" s="184"/>
      <c r="K145" s="184"/>
      <c r="L145" s="184"/>
      <c r="M145" s="184"/>
    </row>
    <row r="146" spans="1:14" x14ac:dyDescent="0.25">
      <c r="B146" s="163">
        <v>0.1</v>
      </c>
      <c r="C146" s="163">
        <v>0.1</v>
      </c>
      <c r="D146" s="205">
        <v>0.1</v>
      </c>
      <c r="E146" s="163">
        <v>0.1</v>
      </c>
      <c r="F146" s="104">
        <v>0.1</v>
      </c>
      <c r="G146" s="104">
        <v>0.1</v>
      </c>
      <c r="H146" s="104">
        <v>0.1</v>
      </c>
      <c r="I146" s="165"/>
      <c r="J146" s="184"/>
      <c r="K146" s="184"/>
      <c r="L146" s="184"/>
      <c r="M146" s="184"/>
      <c r="N146" s="184"/>
    </row>
    <row r="147" spans="1:14" s="208" customFormat="1" x14ac:dyDescent="0.25">
      <c r="A147" s="206" t="s">
        <v>24</v>
      </c>
      <c r="B147" s="156" t="s">
        <v>35</v>
      </c>
      <c r="C147" s="156" t="s">
        <v>36</v>
      </c>
      <c r="D147" s="208" t="s">
        <v>149</v>
      </c>
      <c r="E147" s="156" t="s">
        <v>31</v>
      </c>
      <c r="F147" s="156" t="s">
        <v>32</v>
      </c>
      <c r="G147" s="156" t="s">
        <v>33</v>
      </c>
      <c r="H147" s="156" t="s">
        <v>34</v>
      </c>
      <c r="I147" s="213"/>
      <c r="J147" s="209"/>
      <c r="K147" s="209"/>
      <c r="L147" s="209"/>
      <c r="M147" s="209"/>
    </row>
    <row r="148" spans="1:14" x14ac:dyDescent="0.25">
      <c r="A148" s="186" t="s">
        <v>15</v>
      </c>
      <c r="B148" s="104">
        <v>0</v>
      </c>
      <c r="C148" s="104">
        <v>0</v>
      </c>
      <c r="D148" s="205">
        <v>0</v>
      </c>
      <c r="E148" s="104">
        <v>0</v>
      </c>
      <c r="F148" s="104">
        <v>0</v>
      </c>
      <c r="G148" s="104">
        <v>0</v>
      </c>
      <c r="H148" s="104">
        <v>0</v>
      </c>
      <c r="I148" s="213"/>
      <c r="J148" s="184"/>
      <c r="K148" s="184"/>
      <c r="L148" s="184"/>
      <c r="M148" s="184"/>
    </row>
    <row r="149" spans="1:14" x14ac:dyDescent="0.25">
      <c r="A149" s="186" t="s">
        <v>16</v>
      </c>
      <c r="B149" s="104">
        <v>0</v>
      </c>
      <c r="C149" s="104">
        <v>0</v>
      </c>
      <c r="D149" s="205">
        <v>0</v>
      </c>
      <c r="E149" s="104">
        <v>2.7014636417382757E-4</v>
      </c>
      <c r="F149" s="104">
        <v>0</v>
      </c>
      <c r="G149" s="104">
        <v>0</v>
      </c>
      <c r="H149" s="104">
        <v>0</v>
      </c>
      <c r="I149" s="213"/>
      <c r="J149" s="184"/>
      <c r="K149" s="184"/>
      <c r="L149" s="184"/>
      <c r="M149" s="184"/>
    </row>
    <row r="150" spans="1:14" x14ac:dyDescent="0.25">
      <c r="A150" s="186" t="s">
        <v>17</v>
      </c>
      <c r="B150" s="104">
        <v>0</v>
      </c>
      <c r="C150" s="104">
        <v>0</v>
      </c>
      <c r="D150" s="205">
        <v>0</v>
      </c>
      <c r="E150" s="104">
        <v>2.8023452819156011E-2</v>
      </c>
      <c r="F150" s="104">
        <v>0</v>
      </c>
      <c r="G150" s="104">
        <v>0</v>
      </c>
      <c r="H150" s="104">
        <v>0</v>
      </c>
      <c r="I150" s="213"/>
      <c r="J150" s="184"/>
      <c r="K150" s="184"/>
      <c r="L150" s="184"/>
      <c r="M150" s="184"/>
    </row>
    <row r="151" spans="1:14" x14ac:dyDescent="0.25">
      <c r="A151" s="186" t="s">
        <v>18</v>
      </c>
      <c r="B151" s="104">
        <v>0</v>
      </c>
      <c r="C151" s="104">
        <v>0</v>
      </c>
      <c r="D151" s="205">
        <v>0</v>
      </c>
      <c r="E151" s="104">
        <v>4.5862064489881074E-2</v>
      </c>
      <c r="F151" s="104">
        <v>0</v>
      </c>
      <c r="G151" s="104">
        <v>0</v>
      </c>
      <c r="H151" s="104">
        <v>0</v>
      </c>
      <c r="I151" s="213"/>
      <c r="J151" s="184"/>
      <c r="K151" s="184"/>
      <c r="L151" s="184"/>
      <c r="M151" s="184"/>
    </row>
    <row r="152" spans="1:14" x14ac:dyDescent="0.25">
      <c r="A152" s="186" t="s">
        <v>29</v>
      </c>
      <c r="B152" s="104">
        <v>0</v>
      </c>
      <c r="C152" s="104">
        <v>0</v>
      </c>
      <c r="D152" s="205">
        <v>1.7318544463903483E-2</v>
      </c>
      <c r="E152" s="104">
        <v>0.19453658929388412</v>
      </c>
      <c r="F152" s="104">
        <v>6.66666666667E-2</v>
      </c>
      <c r="G152" s="104">
        <v>0.14000000000000001</v>
      </c>
      <c r="H152" s="104">
        <v>0.33333333333350001</v>
      </c>
      <c r="I152" s="213"/>
      <c r="J152" s="184"/>
      <c r="K152" s="184"/>
      <c r="L152" s="184"/>
      <c r="M152" s="184"/>
    </row>
    <row r="153" spans="1:14" x14ac:dyDescent="0.25">
      <c r="A153" s="186" t="s">
        <v>19</v>
      </c>
      <c r="B153" s="104">
        <v>0.29815919108115119</v>
      </c>
      <c r="C153" s="104">
        <v>5.9970566593083148E-2</v>
      </c>
      <c r="D153" s="205">
        <v>0.13533761432185251</v>
      </c>
      <c r="E153" s="104">
        <v>0.29013636564773032</v>
      </c>
      <c r="F153" s="104">
        <v>0.1333333333334</v>
      </c>
      <c r="G153" s="104">
        <v>0.23</v>
      </c>
      <c r="H153" s="104">
        <v>0.2666666666668</v>
      </c>
      <c r="I153" s="213"/>
      <c r="J153" s="184"/>
      <c r="K153" s="184"/>
      <c r="L153" s="184"/>
      <c r="M153" s="184"/>
    </row>
    <row r="154" spans="1:14" x14ac:dyDescent="0.25">
      <c r="A154" s="186" t="s">
        <v>20</v>
      </c>
      <c r="B154" s="104">
        <v>0.33264194970184086</v>
      </c>
      <c r="C154" s="104">
        <v>0.46173657100809418</v>
      </c>
      <c r="D154" s="205">
        <v>0.26114029966919633</v>
      </c>
      <c r="E154" s="104">
        <v>0.24351863117705233</v>
      </c>
      <c r="F154" s="104">
        <v>0.20000000000009999</v>
      </c>
      <c r="G154" s="104">
        <v>0.26</v>
      </c>
      <c r="H154" s="104">
        <v>0.20000000000009999</v>
      </c>
      <c r="I154" s="213"/>
      <c r="J154" s="184"/>
      <c r="K154" s="184"/>
      <c r="L154" s="184"/>
      <c r="M154" s="184"/>
    </row>
    <row r="155" spans="1:14" x14ac:dyDescent="0.25">
      <c r="A155" s="186" t="s">
        <v>21</v>
      </c>
      <c r="B155" s="104">
        <v>0.36582836401348195</v>
      </c>
      <c r="C155" s="104">
        <v>0.47829286239882263</v>
      </c>
      <c r="D155" s="205">
        <v>0.28993967697995721</v>
      </c>
      <c r="E155" s="104">
        <v>0.14610103039055983</v>
      </c>
      <c r="F155" s="104">
        <v>0.2666666666668</v>
      </c>
      <c r="G155" s="104">
        <v>0.23</v>
      </c>
      <c r="H155" s="104">
        <v>0.1333333333334</v>
      </c>
      <c r="I155" s="213"/>
      <c r="J155" s="184"/>
      <c r="K155" s="184"/>
      <c r="L155" s="184"/>
      <c r="M155" s="184"/>
    </row>
    <row r="156" spans="1:14" x14ac:dyDescent="0.25">
      <c r="A156" s="186" t="s">
        <v>105</v>
      </c>
      <c r="B156" s="104">
        <v>3.3704952035260569E-3</v>
      </c>
      <c r="C156" s="104">
        <v>0</v>
      </c>
      <c r="D156" s="205">
        <v>0.29626386456509046</v>
      </c>
      <c r="E156" s="104">
        <v>5.1551719817562486E-2</v>
      </c>
      <c r="F156" s="104">
        <v>0.33333333333350001</v>
      </c>
      <c r="G156" s="104">
        <v>0.14000000000000001</v>
      </c>
      <c r="H156" s="104">
        <v>6.66666666667E-2</v>
      </c>
      <c r="I156" s="213"/>
      <c r="J156" s="184"/>
      <c r="K156" s="184"/>
      <c r="L156" s="184"/>
      <c r="M156" s="184"/>
    </row>
    <row r="157" spans="1:14" ht="19.5" customHeight="1" x14ac:dyDescent="0.25">
      <c r="B157" s="104"/>
      <c r="C157" s="104"/>
      <c r="D157" s="104"/>
      <c r="F157" s="184"/>
      <c r="G157" s="184"/>
      <c r="H157" s="184"/>
      <c r="I157" s="184"/>
      <c r="J157" s="184"/>
      <c r="K157" s="184"/>
      <c r="L157" s="184"/>
      <c r="M157" s="184"/>
    </row>
    <row r="158" spans="1:14" ht="19.5" customHeight="1" x14ac:dyDescent="0.25">
      <c r="B158" s="163">
        <v>0.1</v>
      </c>
      <c r="C158" s="163">
        <v>0.1</v>
      </c>
      <c r="D158" s="163">
        <v>0.1</v>
      </c>
      <c r="E158" s="163">
        <v>0.1</v>
      </c>
      <c r="F158" s="104">
        <v>0.1</v>
      </c>
      <c r="H158" s="104"/>
      <c r="I158" s="104"/>
      <c r="J158" s="184"/>
      <c r="K158" s="184"/>
      <c r="L158" s="184"/>
      <c r="M158" s="184"/>
      <c r="N158" s="184"/>
    </row>
    <row r="159" spans="1:14" s="208" customFormat="1" x14ac:dyDescent="0.25">
      <c r="A159" s="206" t="s">
        <v>109</v>
      </c>
      <c r="B159" s="156" t="s">
        <v>36</v>
      </c>
      <c r="C159" s="156" t="s">
        <v>149</v>
      </c>
      <c r="D159" s="156" t="s">
        <v>32</v>
      </c>
      <c r="E159" s="156" t="s">
        <v>33</v>
      </c>
      <c r="F159" s="156" t="s">
        <v>34</v>
      </c>
      <c r="G159" s="209"/>
      <c r="H159" s="209"/>
      <c r="I159" s="209"/>
      <c r="J159" s="209"/>
      <c r="K159" s="209"/>
    </row>
    <row r="160" spans="1:14" x14ac:dyDescent="0.25">
      <c r="A160" s="186" t="s">
        <v>15</v>
      </c>
      <c r="B160" s="104">
        <v>0</v>
      </c>
      <c r="C160" s="104">
        <v>0</v>
      </c>
      <c r="D160" s="104">
        <v>0</v>
      </c>
      <c r="E160" s="104">
        <v>0</v>
      </c>
      <c r="F160" s="104">
        <v>0</v>
      </c>
      <c r="G160" s="184"/>
      <c r="H160" s="184"/>
      <c r="I160" s="184"/>
      <c r="J160" s="184"/>
      <c r="K160" s="184"/>
    </row>
    <row r="161" spans="1:13" x14ac:dyDescent="0.25">
      <c r="A161" s="186" t="s">
        <v>16</v>
      </c>
      <c r="B161" s="104">
        <v>0</v>
      </c>
      <c r="C161" s="104">
        <v>0</v>
      </c>
      <c r="D161" s="104">
        <v>0</v>
      </c>
      <c r="E161" s="104">
        <v>0</v>
      </c>
      <c r="F161" s="104">
        <v>0</v>
      </c>
      <c r="G161" s="184"/>
      <c r="H161" s="184"/>
      <c r="I161" s="184"/>
      <c r="J161" s="184"/>
      <c r="K161" s="184"/>
    </row>
    <row r="162" spans="1:13" x14ac:dyDescent="0.25">
      <c r="A162" s="186" t="s">
        <v>17</v>
      </c>
      <c r="B162" s="104">
        <v>0</v>
      </c>
      <c r="C162" s="104">
        <v>0</v>
      </c>
      <c r="D162" s="104">
        <v>0</v>
      </c>
      <c r="E162" s="104">
        <v>0</v>
      </c>
      <c r="F162" s="104">
        <v>0</v>
      </c>
      <c r="G162" s="184"/>
      <c r="H162" s="184"/>
      <c r="I162" s="184"/>
      <c r="J162" s="184"/>
      <c r="K162" s="184"/>
    </row>
    <row r="163" spans="1:13" x14ac:dyDescent="0.25">
      <c r="A163" s="186" t="s">
        <v>18</v>
      </c>
      <c r="B163" s="104">
        <v>0</v>
      </c>
      <c r="C163" s="104">
        <v>0</v>
      </c>
      <c r="D163" s="104">
        <v>0</v>
      </c>
      <c r="E163" s="104">
        <v>0</v>
      </c>
      <c r="F163" s="104">
        <v>0</v>
      </c>
      <c r="G163" s="184"/>
      <c r="H163" s="184"/>
      <c r="I163" s="184"/>
      <c r="J163" s="184"/>
      <c r="K163" s="184"/>
    </row>
    <row r="164" spans="1:13" x14ac:dyDescent="0.25">
      <c r="A164" s="186" t="s">
        <v>29</v>
      </c>
      <c r="B164" s="104">
        <v>0</v>
      </c>
      <c r="C164" s="104">
        <v>0</v>
      </c>
      <c r="D164" s="104">
        <v>6.66666666667E-2</v>
      </c>
      <c r="E164" s="104">
        <v>0.14000000000000001</v>
      </c>
      <c r="F164" s="104">
        <v>0.33333333333350001</v>
      </c>
      <c r="G164" s="184"/>
      <c r="H164" s="184"/>
      <c r="I164" s="184"/>
      <c r="J164" s="184"/>
      <c r="K164" s="184"/>
    </row>
    <row r="165" spans="1:13" x14ac:dyDescent="0.25">
      <c r="A165" s="186" t="s">
        <v>19</v>
      </c>
      <c r="B165" s="104">
        <v>3.7136294027565082E-2</v>
      </c>
      <c r="C165" s="104">
        <v>0.24569543251881637</v>
      </c>
      <c r="D165" s="104">
        <v>0.1333333333334</v>
      </c>
      <c r="E165" s="104">
        <v>0.23</v>
      </c>
      <c r="F165" s="104">
        <v>0.2666666666668</v>
      </c>
      <c r="G165" s="184"/>
      <c r="H165" s="184"/>
      <c r="I165" s="184"/>
      <c r="J165" s="184"/>
      <c r="K165" s="184"/>
    </row>
    <row r="166" spans="1:13" x14ac:dyDescent="0.25">
      <c r="A166" s="186" t="s">
        <v>20</v>
      </c>
      <c r="B166" s="104">
        <v>0.45941807044410415</v>
      </c>
      <c r="C166" s="104">
        <v>0.52180637179090628</v>
      </c>
      <c r="D166" s="104">
        <v>0.20000000000009999</v>
      </c>
      <c r="E166" s="104">
        <v>0.26</v>
      </c>
      <c r="F166" s="104">
        <v>0.20000000000009999</v>
      </c>
      <c r="G166" s="184"/>
      <c r="H166" s="184"/>
      <c r="I166" s="184"/>
      <c r="J166" s="184"/>
      <c r="K166" s="184"/>
    </row>
    <row r="167" spans="1:13" x14ac:dyDescent="0.25">
      <c r="A167" s="186" t="s">
        <v>21</v>
      </c>
      <c r="B167" s="104">
        <v>0.4460183767228178</v>
      </c>
      <c r="C167" s="104">
        <v>0.23249819569027735</v>
      </c>
      <c r="D167" s="104">
        <v>0.2666666666668</v>
      </c>
      <c r="E167" s="104">
        <v>0.23</v>
      </c>
      <c r="F167" s="104">
        <v>0.1333333333334</v>
      </c>
      <c r="G167" s="184"/>
      <c r="H167" s="184"/>
      <c r="I167" s="184"/>
      <c r="J167" s="184"/>
      <c r="K167" s="184"/>
    </row>
    <row r="168" spans="1:13" x14ac:dyDescent="0.25">
      <c r="A168" s="186" t="s">
        <v>105</v>
      </c>
      <c r="B168" s="104">
        <v>5.7427258805513019E-2</v>
      </c>
      <c r="C168" s="104">
        <v>0</v>
      </c>
      <c r="D168" s="104">
        <v>0.33333333333350001</v>
      </c>
      <c r="E168" s="104">
        <v>0.14000000000000001</v>
      </c>
      <c r="F168" s="104">
        <v>6.66666666667E-2</v>
      </c>
      <c r="G168" s="184"/>
      <c r="H168" s="184"/>
      <c r="I168" s="184"/>
      <c r="J168" s="184"/>
      <c r="K168" s="184"/>
    </row>
    <row r="169" spans="1:13" x14ac:dyDescent="0.25">
      <c r="B169" s="104"/>
      <c r="C169" s="104"/>
      <c r="D169" s="104"/>
      <c r="F169" s="184"/>
      <c r="G169" s="184"/>
      <c r="H169" s="184"/>
      <c r="I169" s="184"/>
      <c r="J169" s="184"/>
      <c r="K169" s="184"/>
      <c r="L169" s="184"/>
      <c r="M169" s="184"/>
    </row>
    <row r="170" spans="1:13" x14ac:dyDescent="0.25">
      <c r="B170" s="163">
        <v>0.1</v>
      </c>
      <c r="C170" s="163">
        <v>0.1</v>
      </c>
      <c r="D170" s="163">
        <v>0.1</v>
      </c>
      <c r="E170" s="163">
        <v>0.1</v>
      </c>
      <c r="F170" s="164"/>
      <c r="G170" s="164"/>
      <c r="H170" s="184"/>
      <c r="I170" s="184"/>
      <c r="J170" s="184"/>
      <c r="K170" s="184"/>
      <c r="L170" s="184"/>
      <c r="M170" s="184"/>
    </row>
    <row r="171" spans="1:13" s="208" customFormat="1" x14ac:dyDescent="0.25">
      <c r="A171" s="206" t="s">
        <v>110</v>
      </c>
      <c r="B171" s="156" t="s">
        <v>36</v>
      </c>
      <c r="C171" s="156" t="s">
        <v>32</v>
      </c>
      <c r="D171" s="156" t="s">
        <v>33</v>
      </c>
      <c r="E171" s="156" t="s">
        <v>34</v>
      </c>
      <c r="F171" s="213"/>
      <c r="G171" s="213"/>
      <c r="H171" s="209"/>
      <c r="I171" s="209"/>
      <c r="J171" s="209"/>
    </row>
    <row r="172" spans="1:13" x14ac:dyDescent="0.25">
      <c r="A172" s="186" t="s">
        <v>15</v>
      </c>
      <c r="B172" s="104">
        <v>0</v>
      </c>
      <c r="C172" s="104">
        <v>0</v>
      </c>
      <c r="D172" s="104">
        <v>0</v>
      </c>
      <c r="E172" s="104">
        <v>0</v>
      </c>
      <c r="F172" s="213"/>
      <c r="G172" s="213"/>
      <c r="H172" s="184"/>
      <c r="I172" s="184"/>
      <c r="J172" s="184"/>
    </row>
    <row r="173" spans="1:13" x14ac:dyDescent="0.25">
      <c r="A173" s="186" t="s">
        <v>16</v>
      </c>
      <c r="B173" s="104">
        <v>0</v>
      </c>
      <c r="C173" s="104">
        <v>0</v>
      </c>
      <c r="D173" s="104">
        <v>0</v>
      </c>
      <c r="E173" s="104">
        <v>0</v>
      </c>
      <c r="F173" s="213"/>
      <c r="G173" s="213"/>
      <c r="H173" s="184"/>
      <c r="I173" s="184"/>
      <c r="J173" s="184"/>
    </row>
    <row r="174" spans="1:13" x14ac:dyDescent="0.25">
      <c r="A174" s="186" t="s">
        <v>17</v>
      </c>
      <c r="B174" s="104">
        <v>0</v>
      </c>
      <c r="C174" s="104">
        <v>0</v>
      </c>
      <c r="D174" s="104">
        <v>0</v>
      </c>
      <c r="E174" s="104">
        <v>0</v>
      </c>
      <c r="F174" s="213"/>
      <c r="G174" s="213"/>
      <c r="H174" s="184"/>
      <c r="I174" s="184"/>
      <c r="J174" s="184"/>
    </row>
    <row r="175" spans="1:13" x14ac:dyDescent="0.25">
      <c r="A175" s="186" t="s">
        <v>18</v>
      </c>
      <c r="B175" s="104">
        <v>0</v>
      </c>
      <c r="C175" s="104">
        <v>0</v>
      </c>
      <c r="D175" s="104">
        <v>0</v>
      </c>
      <c r="E175" s="104">
        <v>0</v>
      </c>
      <c r="F175" s="212"/>
      <c r="G175" s="212"/>
    </row>
    <row r="176" spans="1:13" x14ac:dyDescent="0.25">
      <c r="A176" s="186" t="s">
        <v>29</v>
      </c>
      <c r="B176" s="104">
        <v>0</v>
      </c>
      <c r="C176" s="104">
        <v>6.66666666667E-2</v>
      </c>
      <c r="D176" s="104">
        <v>0.14000000000000001</v>
      </c>
      <c r="E176" s="104">
        <v>0.33333333333350001</v>
      </c>
      <c r="F176" s="212"/>
      <c r="G176" s="212"/>
    </row>
    <row r="177" spans="1:7" x14ac:dyDescent="0.25">
      <c r="A177" s="186" t="s">
        <v>19</v>
      </c>
      <c r="B177" s="104">
        <v>0.93975903614457834</v>
      </c>
      <c r="C177" s="104">
        <v>0.1333333333334</v>
      </c>
      <c r="D177" s="104">
        <v>0.23</v>
      </c>
      <c r="E177" s="104">
        <v>0.2666666666668</v>
      </c>
      <c r="F177" s="212"/>
      <c r="G177" s="212"/>
    </row>
    <row r="178" spans="1:7" x14ac:dyDescent="0.25">
      <c r="A178" s="186" t="s">
        <v>20</v>
      </c>
      <c r="B178" s="104">
        <v>0</v>
      </c>
      <c r="C178" s="104">
        <v>0.20000000000009999</v>
      </c>
      <c r="D178" s="104">
        <v>0.26</v>
      </c>
      <c r="E178" s="104">
        <v>0.20000000000009999</v>
      </c>
      <c r="F178" s="212"/>
      <c r="G178" s="212"/>
    </row>
    <row r="179" spans="1:7" x14ac:dyDescent="0.25">
      <c r="A179" s="186" t="s">
        <v>21</v>
      </c>
      <c r="B179" s="104">
        <v>6.0240963855421686E-2</v>
      </c>
      <c r="C179" s="104">
        <v>0.2666666666668</v>
      </c>
      <c r="D179" s="104">
        <v>0.23</v>
      </c>
      <c r="E179" s="104">
        <v>0.1333333333334</v>
      </c>
      <c r="F179" s="212"/>
      <c r="G179" s="212"/>
    </row>
    <row r="180" spans="1:7" x14ac:dyDescent="0.25">
      <c r="A180" s="186" t="s">
        <v>105</v>
      </c>
      <c r="B180" s="104">
        <v>0</v>
      </c>
      <c r="C180" s="104">
        <v>0.33333333333350001</v>
      </c>
      <c r="D180" s="104">
        <v>0.14000000000000001</v>
      </c>
      <c r="E180" s="104">
        <v>6.66666666667E-2</v>
      </c>
      <c r="F180" s="212"/>
      <c r="G180" s="212"/>
    </row>
    <row r="181" spans="1:7" s="202" customFormat="1" ht="26.25" x14ac:dyDescent="0.4">
      <c r="B181" s="216" t="s">
        <v>128</v>
      </c>
      <c r="C181" s="148"/>
      <c r="D181" s="148"/>
      <c r="E181" s="148"/>
      <c r="F181" s="148"/>
      <c r="G181" s="148"/>
    </row>
    <row r="182" spans="1:7" x14ac:dyDescent="0.25">
      <c r="B182" s="164"/>
      <c r="C182" s="164"/>
      <c r="D182" s="164"/>
      <c r="E182" s="165"/>
      <c r="F182" s="165"/>
    </row>
    <row r="183" spans="1:7" x14ac:dyDescent="0.25">
      <c r="B183" s="212"/>
      <c r="C183" s="214"/>
      <c r="D183" s="214"/>
      <c r="E183" s="165"/>
      <c r="F183" s="165"/>
    </row>
    <row r="184" spans="1:7" x14ac:dyDescent="0.25">
      <c r="B184" s="212"/>
      <c r="C184" s="214"/>
      <c r="D184" s="214"/>
      <c r="E184" s="165"/>
      <c r="F184" s="165"/>
    </row>
    <row r="185" spans="1:7" x14ac:dyDescent="0.25">
      <c r="B185" s="212"/>
      <c r="C185" s="214"/>
      <c r="D185" s="214"/>
      <c r="E185" s="165"/>
      <c r="F185" s="165"/>
    </row>
    <row r="186" spans="1:7" x14ac:dyDescent="0.25">
      <c r="B186" s="212"/>
      <c r="C186" s="214"/>
      <c r="D186" s="214"/>
      <c r="E186" s="165"/>
      <c r="F186" s="165"/>
    </row>
    <row r="187" spans="1:7" x14ac:dyDescent="0.25">
      <c r="B187" s="212"/>
      <c r="C187" s="214"/>
      <c r="D187" s="214"/>
      <c r="E187" s="165"/>
      <c r="F187" s="165"/>
    </row>
    <row r="188" spans="1:7" x14ac:dyDescent="0.25">
      <c r="B188" s="212"/>
      <c r="C188" s="214"/>
      <c r="D188" s="214"/>
      <c r="E188" s="165"/>
      <c r="F188" s="165"/>
    </row>
    <row r="189" spans="1:7" x14ac:dyDescent="0.25">
      <c r="B189" s="212"/>
      <c r="C189" s="214"/>
      <c r="D189" s="214"/>
      <c r="E189" s="165"/>
      <c r="F189" s="165"/>
    </row>
    <row r="190" spans="1:7" x14ac:dyDescent="0.25">
      <c r="B190" s="212"/>
      <c r="C190" s="214"/>
      <c r="D190" s="214"/>
      <c r="E190" s="165"/>
      <c r="F190" s="165"/>
    </row>
    <row r="191" spans="1:7" x14ac:dyDescent="0.25">
      <c r="B191" s="212"/>
      <c r="C191" s="214"/>
      <c r="D191" s="214"/>
      <c r="E191" s="165"/>
      <c r="F191" s="165"/>
    </row>
    <row r="192" spans="1:7" x14ac:dyDescent="0.25">
      <c r="B192" s="214"/>
      <c r="C192" s="214"/>
      <c r="D192" s="214"/>
      <c r="E192" s="165"/>
      <c r="F192" s="165"/>
    </row>
    <row r="194" spans="2:4" x14ac:dyDescent="0.25">
      <c r="B194" s="214"/>
      <c r="C194" s="214"/>
      <c r="D194" s="214"/>
    </row>
    <row r="195" spans="2:4" x14ac:dyDescent="0.25">
      <c r="B195" s="214"/>
      <c r="C195" s="214"/>
      <c r="D195" s="214"/>
    </row>
    <row r="196" spans="2:4" x14ac:dyDescent="0.25">
      <c r="B196" s="214"/>
      <c r="C196" s="214"/>
      <c r="D196" s="214"/>
    </row>
    <row r="197" spans="2:4" x14ac:dyDescent="0.25">
      <c r="B197" s="214"/>
      <c r="C197" s="214"/>
      <c r="D197" s="214"/>
    </row>
    <row r="198" spans="2:4" x14ac:dyDescent="0.25">
      <c r="B198" s="214"/>
      <c r="C198" s="214"/>
      <c r="D198" s="214"/>
    </row>
    <row r="199" spans="2:4" x14ac:dyDescent="0.25">
      <c r="B199" s="214"/>
      <c r="C199" s="214"/>
      <c r="D199" s="214"/>
    </row>
    <row r="200" spans="2:4" x14ac:dyDescent="0.25">
      <c r="B200" s="214"/>
      <c r="C200" s="214"/>
      <c r="D200" s="214"/>
    </row>
    <row r="201" spans="2:4" x14ac:dyDescent="0.25">
      <c r="B201" s="214"/>
      <c r="C201" s="214"/>
      <c r="D201" s="214"/>
    </row>
    <row r="202" spans="2:4" x14ac:dyDescent="0.25">
      <c r="B202" s="214"/>
      <c r="C202" s="214"/>
      <c r="D202" s="214"/>
    </row>
    <row r="203" spans="2:4" x14ac:dyDescent="0.25">
      <c r="B203" s="214"/>
      <c r="C203" s="214"/>
      <c r="D203" s="214"/>
    </row>
    <row r="204" spans="2:4" x14ac:dyDescent="0.25">
      <c r="B204" s="214"/>
      <c r="C204" s="214"/>
      <c r="D204" s="214"/>
    </row>
    <row r="206" spans="2:4" x14ac:dyDescent="0.25">
      <c r="B206" s="214"/>
      <c r="C206" s="214"/>
      <c r="D206" s="214"/>
    </row>
    <row r="207" spans="2:4" x14ac:dyDescent="0.25">
      <c r="B207" s="214"/>
      <c r="C207" s="214"/>
      <c r="D207" s="214"/>
    </row>
    <row r="208" spans="2:4" x14ac:dyDescent="0.25">
      <c r="B208" s="214"/>
      <c r="C208" s="214"/>
      <c r="D208" s="214"/>
    </row>
    <row r="209" spans="2:4" x14ac:dyDescent="0.25">
      <c r="B209" s="214"/>
      <c r="C209" s="214"/>
      <c r="D209" s="214"/>
    </row>
    <row r="210" spans="2:4" x14ac:dyDescent="0.25">
      <c r="B210" s="214"/>
      <c r="C210" s="214"/>
      <c r="D210" s="214"/>
    </row>
    <row r="211" spans="2:4" x14ac:dyDescent="0.25">
      <c r="B211" s="214"/>
      <c r="C211" s="214"/>
      <c r="D211" s="214"/>
    </row>
    <row r="212" spans="2:4" x14ac:dyDescent="0.25">
      <c r="B212" s="214"/>
      <c r="C212" s="214"/>
      <c r="D212" s="214"/>
    </row>
    <row r="213" spans="2:4" x14ac:dyDescent="0.25">
      <c r="B213" s="214"/>
      <c r="C213" s="214"/>
      <c r="D213" s="214"/>
    </row>
    <row r="214" spans="2:4" x14ac:dyDescent="0.25">
      <c r="B214" s="214"/>
      <c r="C214" s="214"/>
      <c r="D214" s="214"/>
    </row>
    <row r="215" spans="2:4" x14ac:dyDescent="0.25">
      <c r="B215" s="214"/>
      <c r="C215" s="214"/>
      <c r="D215" s="214"/>
    </row>
    <row r="216" spans="2:4" x14ac:dyDescent="0.25">
      <c r="B216" s="214"/>
      <c r="C216" s="214"/>
      <c r="D216" s="214"/>
    </row>
  </sheetData>
  <conditionalFormatting sqref="B4:B12">
    <cfRule type="expression" dxfId="3" priority="2">
      <formula>$B4=0</formula>
    </cfRule>
  </conditionalFormatting>
  <conditionalFormatting sqref="B16:B24">
    <cfRule type="expression" dxfId="2" priority="1">
      <formula>$B16=0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Q820"/>
  <sheetViews>
    <sheetView zoomScale="55" zoomScaleNormal="55" workbookViewId="0">
      <selection sqref="A1:D1"/>
    </sheetView>
  </sheetViews>
  <sheetFormatPr defaultRowHeight="15" x14ac:dyDescent="0.25"/>
  <cols>
    <col min="1" max="1" width="17.28515625" style="7" bestFit="1" customWidth="1"/>
    <col min="2" max="4" width="45.7109375" style="123" customWidth="1"/>
    <col min="5" max="5" width="19.28515625" style="9" bestFit="1" customWidth="1"/>
    <col min="6" max="7" width="14.7109375" style="7" bestFit="1" customWidth="1"/>
    <col min="8" max="8" width="10" style="7" bestFit="1" customWidth="1"/>
    <col min="9" max="9" width="14" style="7" bestFit="1" customWidth="1"/>
    <col min="10" max="10" width="18.28515625" style="7" bestFit="1" customWidth="1"/>
    <col min="11" max="13" width="9.140625" style="7"/>
    <col min="14" max="14" width="31.7109375" style="7" bestFit="1" customWidth="1"/>
    <col min="15" max="16384" width="9.140625" style="7"/>
  </cols>
  <sheetData>
    <row r="1" spans="1:14" ht="31.5" x14ac:dyDescent="0.5">
      <c r="A1" s="285" t="s">
        <v>117</v>
      </c>
      <c r="B1" s="286"/>
      <c r="C1" s="286"/>
      <c r="D1" s="285"/>
      <c r="E1" s="13"/>
      <c r="J1" s="7" t="s">
        <v>114</v>
      </c>
      <c r="N1" s="7" t="s">
        <v>119</v>
      </c>
    </row>
    <row r="2" spans="1:14" x14ac:dyDescent="0.25">
      <c r="A2" s="11" t="s">
        <v>88</v>
      </c>
      <c r="B2" s="154" t="s">
        <v>127</v>
      </c>
      <c r="C2" s="155" t="s">
        <v>116</v>
      </c>
      <c r="D2" s="129" t="s">
        <v>115</v>
      </c>
      <c r="E2" s="166"/>
      <c r="F2" s="13"/>
      <c r="I2" s="7">
        <v>57437.19999999999</v>
      </c>
      <c r="M2" s="84"/>
      <c r="N2" s="21">
        <f ca="1">J3</f>
        <v>7275.7999999999965</v>
      </c>
    </row>
    <row r="3" spans="1:14" x14ac:dyDescent="0.25">
      <c r="A3" s="7" t="s">
        <v>15</v>
      </c>
      <c r="B3" s="149">
        <v>7275.7999999999975</v>
      </c>
      <c r="C3" s="149">
        <v>7275.7999999999975</v>
      </c>
      <c r="D3" s="123">
        <v>0.1266740022145926</v>
      </c>
      <c r="F3" s="15">
        <f>1*D3</f>
        <v>0.1266740022145926</v>
      </c>
      <c r="G3" s="16">
        <f>1*D3</f>
        <v>0.1266740022145926</v>
      </c>
      <c r="J3" s="7">
        <f ca="1">$I$2*((RAND()*(G3-F3))+F3)</f>
        <v>7275.7999999999965</v>
      </c>
      <c r="N3" s="22">
        <f t="shared" ref="N3:N10" ca="1" si="0">J4</f>
        <v>5729.1</v>
      </c>
    </row>
    <row r="4" spans="1:14" x14ac:dyDescent="0.25">
      <c r="A4" s="7" t="s">
        <v>16</v>
      </c>
      <c r="B4" s="149">
        <v>5729.1</v>
      </c>
      <c r="C4" s="149">
        <v>5729.1</v>
      </c>
      <c r="D4" s="123">
        <v>9.9745461129720839E-2</v>
      </c>
      <c r="F4" s="15">
        <f>1*D4</f>
        <v>9.9745461129720839E-2</v>
      </c>
      <c r="G4" s="16">
        <f>1*D4</f>
        <v>9.9745461129720839E-2</v>
      </c>
      <c r="J4" s="7">
        <f t="shared" ref="J4:J11" ca="1" si="1">$I$2*((RAND()*(G4-F4))+F4)</f>
        <v>5729.1</v>
      </c>
      <c r="N4" s="22">
        <f t="shared" ca="1" si="0"/>
        <v>6968.3</v>
      </c>
    </row>
    <row r="5" spans="1:14" x14ac:dyDescent="0.25">
      <c r="A5" s="7" t="s">
        <v>17</v>
      </c>
      <c r="B5" s="149">
        <v>6968.3</v>
      </c>
      <c r="C5" s="149">
        <v>6968.3</v>
      </c>
      <c r="D5" s="123">
        <v>0.12132032898539624</v>
      </c>
      <c r="F5" s="15">
        <f>1*D5</f>
        <v>0.12132032898539624</v>
      </c>
      <c r="G5" s="16">
        <f>1*D5</f>
        <v>0.12132032898539624</v>
      </c>
      <c r="J5" s="7">
        <f t="shared" ca="1" si="1"/>
        <v>6968.3</v>
      </c>
      <c r="N5" s="22">
        <f t="shared" ca="1" si="0"/>
        <v>5649.9</v>
      </c>
    </row>
    <row r="6" spans="1:14" x14ac:dyDescent="0.25">
      <c r="A6" s="7" t="s">
        <v>18</v>
      </c>
      <c r="B6" s="149">
        <v>5649.9</v>
      </c>
      <c r="C6" s="149">
        <v>5649.9</v>
      </c>
      <c r="D6" s="123">
        <v>9.8366563829713163E-2</v>
      </c>
      <c r="F6" s="15">
        <f>1*D6</f>
        <v>9.8366563829713163E-2</v>
      </c>
      <c r="G6" s="16">
        <f>1*D6</f>
        <v>9.8366563829713163E-2</v>
      </c>
      <c r="J6" s="7">
        <f t="shared" ca="1" si="1"/>
        <v>5649.9</v>
      </c>
      <c r="N6" s="22">
        <f t="shared" ca="1" si="0"/>
        <v>5555.6</v>
      </c>
    </row>
    <row r="7" spans="1:14" x14ac:dyDescent="0.25">
      <c r="A7" s="7" t="s">
        <v>29</v>
      </c>
      <c r="B7" s="149">
        <v>5555.6</v>
      </c>
      <c r="C7" s="149">
        <v>5555.6</v>
      </c>
      <c r="D7" s="123">
        <v>9.6724770706092936E-2</v>
      </c>
      <c r="F7" s="15">
        <f>1*D7</f>
        <v>9.6724770706092936E-2</v>
      </c>
      <c r="G7" s="16">
        <f>1*D7</f>
        <v>9.6724770706092936E-2</v>
      </c>
      <c r="J7" s="7">
        <f t="shared" ca="1" si="1"/>
        <v>5555.6</v>
      </c>
      <c r="N7" s="22">
        <f t="shared" ca="1" si="0"/>
        <v>6566</v>
      </c>
    </row>
    <row r="8" spans="1:14" x14ac:dyDescent="0.25">
      <c r="A8" s="7" t="s">
        <v>19</v>
      </c>
      <c r="B8" s="149">
        <v>6566</v>
      </c>
      <c r="C8" s="149">
        <v>6566</v>
      </c>
      <c r="D8" s="123">
        <v>0.11431615747285734</v>
      </c>
      <c r="F8" s="15">
        <f>1*D8</f>
        <v>0.11431615747285734</v>
      </c>
      <c r="G8" s="16">
        <f>1*D8</f>
        <v>0.11431615747285734</v>
      </c>
      <c r="J8" s="7">
        <f t="shared" ca="1" si="1"/>
        <v>6566</v>
      </c>
      <c r="N8" s="22">
        <f t="shared" ca="1" si="0"/>
        <v>6654.6</v>
      </c>
    </row>
    <row r="9" spans="1:14" x14ac:dyDescent="0.25">
      <c r="A9" s="7" t="s">
        <v>20</v>
      </c>
      <c r="B9" s="149">
        <v>6654.6</v>
      </c>
      <c r="C9" s="149">
        <v>6654.6</v>
      </c>
      <c r="D9" s="123">
        <v>0.11585871177564369</v>
      </c>
      <c r="F9" s="15">
        <f>1*D9</f>
        <v>0.11585871177564369</v>
      </c>
      <c r="G9" s="16">
        <f>1*D9</f>
        <v>0.11585871177564369</v>
      </c>
      <c r="J9" s="7">
        <f t="shared" ca="1" si="1"/>
        <v>6654.6</v>
      </c>
      <c r="N9" s="22">
        <f t="shared" ca="1" si="0"/>
        <v>6985.2</v>
      </c>
    </row>
    <row r="10" spans="1:14" x14ac:dyDescent="0.25">
      <c r="A10" s="7" t="s">
        <v>21</v>
      </c>
      <c r="B10" s="149">
        <v>6985.2</v>
      </c>
      <c r="C10" s="149">
        <v>6985.2</v>
      </c>
      <c r="D10" s="123">
        <v>0.12161456338400899</v>
      </c>
      <c r="F10" s="15">
        <f>1*D10</f>
        <v>0.12161456338400899</v>
      </c>
      <c r="G10" s="16">
        <f>1*D10</f>
        <v>0.12161456338400899</v>
      </c>
      <c r="J10" s="7">
        <f t="shared" ca="1" si="1"/>
        <v>6985.2</v>
      </c>
      <c r="N10" s="17">
        <f t="shared" ca="1" si="0"/>
        <v>6052.7</v>
      </c>
    </row>
    <row r="11" spans="1:14" x14ac:dyDescent="0.25">
      <c r="A11" s="7" t="s">
        <v>105</v>
      </c>
      <c r="B11" s="149">
        <v>6052.7</v>
      </c>
      <c r="C11" s="149">
        <v>6052.7</v>
      </c>
      <c r="D11" s="123">
        <v>0.10537944050197434</v>
      </c>
      <c r="F11" s="15">
        <f>1*D11</f>
        <v>0.10537944050197434</v>
      </c>
      <c r="G11" s="16">
        <f>1*D11</f>
        <v>0.10537944050197434</v>
      </c>
      <c r="J11" s="7">
        <f t="shared" ca="1" si="1"/>
        <v>6052.7</v>
      </c>
      <c r="N11" s="110">
        <f ca="1">J14</f>
        <v>7340.9</v>
      </c>
    </row>
    <row r="12" spans="1:14" x14ac:dyDescent="0.25">
      <c r="F12" s="15"/>
      <c r="G12" s="16"/>
      <c r="N12" s="109">
        <f t="shared" ref="N12:N19" ca="1" si="2">J15</f>
        <v>7008</v>
      </c>
    </row>
    <row r="13" spans="1:14" x14ac:dyDescent="0.25">
      <c r="A13" s="11" t="s">
        <v>89</v>
      </c>
      <c r="B13" s="122" t="s">
        <v>127</v>
      </c>
      <c r="C13" s="129" t="s">
        <v>116</v>
      </c>
      <c r="D13" s="129" t="s">
        <v>115</v>
      </c>
      <c r="E13" s="166"/>
      <c r="F13" s="15"/>
      <c r="G13" s="16"/>
      <c r="I13" s="7">
        <v>64164.9</v>
      </c>
      <c r="N13" s="109">
        <f t="shared" ca="1" si="2"/>
        <v>6854.9</v>
      </c>
    </row>
    <row r="14" spans="1:14" x14ac:dyDescent="0.25">
      <c r="A14" s="7" t="s">
        <v>15</v>
      </c>
      <c r="B14" s="149">
        <v>7340.9</v>
      </c>
      <c r="C14" s="149">
        <v>7340.9</v>
      </c>
      <c r="D14" s="123">
        <v>0.11440678626476468</v>
      </c>
      <c r="F14" s="15">
        <f>1*D14</f>
        <v>0.11440678626476468</v>
      </c>
      <c r="G14" s="16">
        <f>1*D14</f>
        <v>0.11440678626476468</v>
      </c>
      <c r="J14" s="7">
        <f ca="1">$I$13*((RAND()*(G14-F14))+F14)</f>
        <v>7340.9</v>
      </c>
      <c r="N14" s="109">
        <f t="shared" ca="1" si="2"/>
        <v>6575.2</v>
      </c>
    </row>
    <row r="15" spans="1:14" x14ac:dyDescent="0.25">
      <c r="A15" s="7" t="s">
        <v>16</v>
      </c>
      <c r="B15" s="149">
        <v>7008</v>
      </c>
      <c r="C15" s="149">
        <v>7008</v>
      </c>
      <c r="D15" s="123">
        <v>0.10921859147290808</v>
      </c>
      <c r="F15" s="15">
        <f>1*D15</f>
        <v>0.10921859147290808</v>
      </c>
      <c r="G15" s="16">
        <f>1*D15</f>
        <v>0.10921859147290808</v>
      </c>
      <c r="J15" s="7">
        <f t="shared" ref="J15:J22" ca="1" si="3">$I$13*((RAND()*(G15-F15))+F15)</f>
        <v>7008</v>
      </c>
      <c r="N15" s="109">
        <f t="shared" ca="1" si="2"/>
        <v>6768</v>
      </c>
    </row>
    <row r="16" spans="1:14" x14ac:dyDescent="0.25">
      <c r="A16" s="7" t="s">
        <v>17</v>
      </c>
      <c r="B16" s="149">
        <v>6854.9</v>
      </c>
      <c r="C16" s="149">
        <v>6854.9</v>
      </c>
      <c r="D16" s="123">
        <v>0.10683255175337295</v>
      </c>
      <c r="F16" s="15">
        <f>1*D16</f>
        <v>0.10683255175337295</v>
      </c>
      <c r="G16" s="16">
        <f>1*D16</f>
        <v>0.10683255175337295</v>
      </c>
      <c r="J16" s="7">
        <f t="shared" ca="1" si="3"/>
        <v>6854.9</v>
      </c>
      <c r="N16" s="109">
        <f t="shared" ca="1" si="2"/>
        <v>7747</v>
      </c>
    </row>
    <row r="17" spans="1:14" x14ac:dyDescent="0.25">
      <c r="A17" s="7" t="s">
        <v>18</v>
      </c>
      <c r="B17" s="149">
        <v>6575.2</v>
      </c>
      <c r="C17" s="149">
        <v>6575.2</v>
      </c>
      <c r="D17" s="123">
        <v>0.10247347069815428</v>
      </c>
      <c r="F17" s="15">
        <f>1*D17</f>
        <v>0.10247347069815428</v>
      </c>
      <c r="G17" s="16">
        <f>1*D17</f>
        <v>0.10247347069815428</v>
      </c>
      <c r="J17" s="7">
        <f t="shared" ca="1" si="3"/>
        <v>6575.2</v>
      </c>
      <c r="N17" s="109">
        <f t="shared" ca="1" si="2"/>
        <v>7429.4</v>
      </c>
    </row>
    <row r="18" spans="1:14" x14ac:dyDescent="0.25">
      <c r="A18" s="7" t="s">
        <v>29</v>
      </c>
      <c r="B18" s="149">
        <v>6768</v>
      </c>
      <c r="C18" s="149">
        <v>6768</v>
      </c>
      <c r="D18" s="123">
        <v>0.10547822875123315</v>
      </c>
      <c r="F18" s="15">
        <f>1*D18</f>
        <v>0.10547822875123315</v>
      </c>
      <c r="G18" s="16">
        <f>1*D18</f>
        <v>0.10547822875123315</v>
      </c>
      <c r="J18" s="7">
        <f t="shared" ca="1" si="3"/>
        <v>6768</v>
      </c>
      <c r="N18" s="109">
        <f t="shared" ca="1" si="2"/>
        <v>7302.7</v>
      </c>
    </row>
    <row r="19" spans="1:14" x14ac:dyDescent="0.25">
      <c r="A19" s="7" t="s">
        <v>19</v>
      </c>
      <c r="B19" s="149">
        <v>7747</v>
      </c>
      <c r="C19" s="149">
        <v>7747</v>
      </c>
      <c r="D19" s="123">
        <v>0.12073579168673215</v>
      </c>
      <c r="F19" s="15">
        <f>1*D19</f>
        <v>0.12073579168673215</v>
      </c>
      <c r="G19" s="16">
        <f>1*D19</f>
        <v>0.12073579168673215</v>
      </c>
      <c r="J19" s="7">
        <f t="shared" ca="1" si="3"/>
        <v>7747</v>
      </c>
      <c r="N19" s="111">
        <f t="shared" ca="1" si="2"/>
        <v>7138.8</v>
      </c>
    </row>
    <row r="20" spans="1:14" x14ac:dyDescent="0.25">
      <c r="A20" s="7" t="s">
        <v>20</v>
      </c>
      <c r="B20" s="149">
        <v>7429.4</v>
      </c>
      <c r="C20" s="149">
        <v>7429.4</v>
      </c>
      <c r="D20" s="123">
        <v>0.11578604501838231</v>
      </c>
      <c r="F20" s="15">
        <f>1*D20</f>
        <v>0.11578604501838231</v>
      </c>
      <c r="G20" s="16">
        <f>1*D20</f>
        <v>0.11578604501838231</v>
      </c>
      <c r="J20" s="7">
        <f t="shared" ca="1" si="3"/>
        <v>7429.4</v>
      </c>
      <c r="N20" s="110">
        <f ca="1">J25</f>
        <v>0</v>
      </c>
    </row>
    <row r="21" spans="1:14" x14ac:dyDescent="0.25">
      <c r="A21" s="7" t="s">
        <v>21</v>
      </c>
      <c r="B21" s="149">
        <v>7302.7</v>
      </c>
      <c r="C21" s="149">
        <v>7302.7</v>
      </c>
      <c r="D21" s="123">
        <v>0.11381144519823143</v>
      </c>
      <c r="F21" s="15">
        <f>1*D21</f>
        <v>0.11381144519823143</v>
      </c>
      <c r="G21" s="16">
        <f>1*D21</f>
        <v>0.11381144519823143</v>
      </c>
      <c r="J21" s="7">
        <f t="shared" ca="1" si="3"/>
        <v>7302.7</v>
      </c>
      <c r="N21" s="109">
        <f t="shared" ref="N21:N28" ca="1" si="4">J26</f>
        <v>0</v>
      </c>
    </row>
    <row r="22" spans="1:14" x14ac:dyDescent="0.25">
      <c r="A22" s="7" t="s">
        <v>105</v>
      </c>
      <c r="B22" s="149">
        <v>7138.8</v>
      </c>
      <c r="C22" s="149">
        <v>7138.8</v>
      </c>
      <c r="D22" s="123">
        <v>0.11125708915622093</v>
      </c>
      <c r="F22" s="15">
        <f>1*D22</f>
        <v>0.11125708915622093</v>
      </c>
      <c r="G22" s="16">
        <f>1*D22</f>
        <v>0.11125708915622093</v>
      </c>
      <c r="J22" s="7">
        <f t="shared" ca="1" si="3"/>
        <v>7138.8</v>
      </c>
      <c r="N22" s="109">
        <f t="shared" ca="1" si="4"/>
        <v>0</v>
      </c>
    </row>
    <row r="23" spans="1:14" x14ac:dyDescent="0.25">
      <c r="F23" s="15">
        <f t="shared" ref="F23" si="5">0.9*D23</f>
        <v>0</v>
      </c>
      <c r="G23" s="16">
        <f t="shared" ref="G23" si="6">1.1*D23</f>
        <v>0</v>
      </c>
      <c r="N23" s="109">
        <f t="shared" ca="1" si="4"/>
        <v>0</v>
      </c>
    </row>
    <row r="24" spans="1:14" x14ac:dyDescent="0.25">
      <c r="A24" s="11" t="s">
        <v>9</v>
      </c>
      <c r="B24" s="122" t="s">
        <v>36</v>
      </c>
      <c r="C24" s="129" t="s">
        <v>116</v>
      </c>
      <c r="D24" s="129" t="s">
        <v>115</v>
      </c>
      <c r="E24" s="166">
        <v>0.1</v>
      </c>
      <c r="F24" s="15"/>
      <c r="G24" s="16"/>
      <c r="I24" s="7">
        <v>658.3155427338877</v>
      </c>
      <c r="N24" s="109">
        <f t="shared" ca="1" si="4"/>
        <v>62.264458136695019</v>
      </c>
    </row>
    <row r="25" spans="1:14" x14ac:dyDescent="0.25">
      <c r="A25" s="7" t="s">
        <v>15</v>
      </c>
      <c r="B25" s="167">
        <v>0</v>
      </c>
      <c r="C25" s="167">
        <v>0</v>
      </c>
      <c r="D25" s="123">
        <v>0</v>
      </c>
      <c r="F25" s="15">
        <f>(1-(E24))*D25</f>
        <v>0</v>
      </c>
      <c r="G25" s="16">
        <f>(1+(E24))*D25</f>
        <v>0</v>
      </c>
      <c r="J25" s="7">
        <f ca="1">$I$24*((RAND()*(G25-F25))+F25)</f>
        <v>0</v>
      </c>
      <c r="N25" s="109">
        <f t="shared" ca="1" si="4"/>
        <v>67.695297474666802</v>
      </c>
    </row>
    <row r="26" spans="1:14" x14ac:dyDescent="0.25">
      <c r="A26" s="7" t="s">
        <v>16</v>
      </c>
      <c r="B26" s="167">
        <v>0</v>
      </c>
      <c r="C26" s="167">
        <v>0</v>
      </c>
      <c r="D26" s="123">
        <v>0</v>
      </c>
      <c r="F26" s="15">
        <f>(1-(E24))*D26</f>
        <v>0</v>
      </c>
      <c r="G26" s="16">
        <f>(1+(E24))*D26</f>
        <v>0</v>
      </c>
      <c r="J26" s="7">
        <f t="shared" ref="J26:J33" ca="1" si="7">$I$24*((RAND()*(G26-F26))+F26)</f>
        <v>0</v>
      </c>
      <c r="N26" s="109">
        <f t="shared" ca="1" si="4"/>
        <v>407.54138451916066</v>
      </c>
    </row>
    <row r="27" spans="1:14" x14ac:dyDescent="0.25">
      <c r="A27" s="7" t="s">
        <v>17</v>
      </c>
      <c r="B27" s="167">
        <v>0</v>
      </c>
      <c r="C27" s="167">
        <v>0</v>
      </c>
      <c r="D27" s="123">
        <v>0</v>
      </c>
      <c r="F27" s="15">
        <f>(1-(E24))*D27</f>
        <v>0</v>
      </c>
      <c r="G27" s="16">
        <f>(1+(E24))*D27</f>
        <v>0</v>
      </c>
      <c r="J27" s="7">
        <f t="shared" ca="1" si="7"/>
        <v>0</v>
      </c>
      <c r="N27" s="109">
        <f t="shared" ca="1" si="4"/>
        <v>103.04555276095037</v>
      </c>
    </row>
    <row r="28" spans="1:14" x14ac:dyDescent="0.25">
      <c r="A28" s="7" t="s">
        <v>18</v>
      </c>
      <c r="B28" s="167">
        <v>0</v>
      </c>
      <c r="C28" s="167">
        <v>0</v>
      </c>
      <c r="D28" s="123">
        <v>0</v>
      </c>
      <c r="F28" s="15">
        <f>(1-(E24))*D28</f>
        <v>0</v>
      </c>
      <c r="G28" s="16">
        <f>(1+(E24))*D28</f>
        <v>0</v>
      </c>
      <c r="J28" s="7">
        <f t="shared" ca="1" si="7"/>
        <v>0</v>
      </c>
      <c r="N28" s="111">
        <f t="shared" ca="1" si="4"/>
        <v>22.699978917183593</v>
      </c>
    </row>
    <row r="29" spans="1:14" x14ac:dyDescent="0.25">
      <c r="A29" s="7" t="s">
        <v>29</v>
      </c>
      <c r="B29" s="167">
        <v>9.1304347826086957E-2</v>
      </c>
      <c r="C29" s="167">
        <v>9.1304347826086957E-2</v>
      </c>
      <c r="D29" s="123">
        <v>9.1304347826086957E-2</v>
      </c>
      <c r="F29" s="15">
        <f>(1-(E24))*D29</f>
        <v>8.2173913043478264E-2</v>
      </c>
      <c r="G29" s="16">
        <f>(1+(E24))*D29</f>
        <v>0.10043478260869566</v>
      </c>
      <c r="J29" s="7">
        <f t="shared" ca="1" si="7"/>
        <v>62.264458136695019</v>
      </c>
      <c r="N29" s="110">
        <f ca="1">J36</f>
        <v>0</v>
      </c>
    </row>
    <row r="30" spans="1:14" x14ac:dyDescent="0.25">
      <c r="A30" s="7" t="s">
        <v>19</v>
      </c>
      <c r="B30" s="167">
        <v>0.11067193675889328</v>
      </c>
      <c r="C30" s="167">
        <v>0.11067193675889328</v>
      </c>
      <c r="D30" s="123">
        <v>0.11067193675889328</v>
      </c>
      <c r="F30" s="15">
        <f>(1-(E24))*D30</f>
        <v>9.960474308300396E-2</v>
      </c>
      <c r="G30" s="16">
        <f>(1+(E24))*D30</f>
        <v>0.12173913043478261</v>
      </c>
      <c r="J30" s="7">
        <f t="shared" ca="1" si="7"/>
        <v>67.695297474666802</v>
      </c>
      <c r="N30" s="109">
        <f t="shared" ref="N30:N37" ca="1" si="8">J37</f>
        <v>0</v>
      </c>
    </row>
    <row r="31" spans="1:14" x14ac:dyDescent="0.25">
      <c r="A31" s="7" t="s">
        <v>20</v>
      </c>
      <c r="B31" s="167">
        <v>0.59644268774703557</v>
      </c>
      <c r="C31" s="167">
        <v>0.59644268774703557</v>
      </c>
      <c r="D31" s="123">
        <v>0.59644268774703557</v>
      </c>
      <c r="F31" s="15">
        <f>(1-(E24))*D31</f>
        <v>0.53679841897233205</v>
      </c>
      <c r="G31" s="16">
        <f>(1+(E24))*D31</f>
        <v>0.65608695652173921</v>
      </c>
      <c r="J31" s="7">
        <f t="shared" ca="1" si="7"/>
        <v>407.54138451916066</v>
      </c>
      <c r="N31" s="109">
        <f t="shared" ca="1" si="8"/>
        <v>0</v>
      </c>
    </row>
    <row r="32" spans="1:14" x14ac:dyDescent="0.25">
      <c r="A32" s="7" t="s">
        <v>21</v>
      </c>
      <c r="B32" s="167">
        <v>0.16996047430830039</v>
      </c>
      <c r="C32" s="167">
        <v>0.16996047430830039</v>
      </c>
      <c r="D32" s="123">
        <v>0.16996047430830039</v>
      </c>
      <c r="F32" s="15">
        <f>(1-(E24))*D32</f>
        <v>0.15296442687747036</v>
      </c>
      <c r="G32" s="16">
        <f>(1+(E24))*D32</f>
        <v>0.18695652173913044</v>
      </c>
      <c r="J32" s="7">
        <f t="shared" ca="1" si="7"/>
        <v>103.04555276095037</v>
      </c>
      <c r="N32" s="109">
        <f t="shared" ca="1" si="8"/>
        <v>27.701424172264581</v>
      </c>
    </row>
    <row r="33" spans="1:14" x14ac:dyDescent="0.25">
      <c r="A33" s="7" t="s">
        <v>105</v>
      </c>
      <c r="B33" s="167">
        <v>3.1620553359683792E-2</v>
      </c>
      <c r="C33" s="167">
        <v>3.1620553359683792E-2</v>
      </c>
      <c r="D33" s="123">
        <v>3.1620553359683792E-2</v>
      </c>
      <c r="F33" s="15">
        <f>(1-(E24))*D33</f>
        <v>2.8458498023715414E-2</v>
      </c>
      <c r="G33" s="16">
        <f>(1+(E24))*D33</f>
        <v>3.4782608695652174E-2</v>
      </c>
      <c r="J33" s="7">
        <f t="shared" ca="1" si="7"/>
        <v>22.699978917183593</v>
      </c>
      <c r="N33" s="109">
        <f t="shared" ca="1" si="8"/>
        <v>115.00291311765284</v>
      </c>
    </row>
    <row r="34" spans="1:14" x14ac:dyDescent="0.25">
      <c r="F34" s="15"/>
      <c r="G34" s="16"/>
      <c r="N34" s="109">
        <f t="shared" ca="1" si="8"/>
        <v>170.61553699633231</v>
      </c>
    </row>
    <row r="35" spans="1:14" x14ac:dyDescent="0.25">
      <c r="A35" s="11" t="s">
        <v>10</v>
      </c>
      <c r="B35" s="122" t="s">
        <v>36</v>
      </c>
      <c r="C35" s="129" t="s">
        <v>116</v>
      </c>
      <c r="D35" s="129" t="s">
        <v>115</v>
      </c>
      <c r="E35" s="166">
        <v>0.1</v>
      </c>
      <c r="F35" s="15"/>
      <c r="G35" s="16"/>
      <c r="I35" s="7">
        <v>426.40906924000001</v>
      </c>
      <c r="N35" s="109">
        <f t="shared" ca="1" si="8"/>
        <v>99.87392080794271</v>
      </c>
    </row>
    <row r="36" spans="1:14" x14ac:dyDescent="0.25">
      <c r="A36" s="7" t="s">
        <v>15</v>
      </c>
      <c r="B36" s="167">
        <v>0</v>
      </c>
      <c r="C36" s="167">
        <v>0</v>
      </c>
      <c r="D36" s="123">
        <v>0</v>
      </c>
      <c r="F36" s="15">
        <f>(1-(E35))*D36</f>
        <v>0</v>
      </c>
      <c r="G36" s="16">
        <f>(1+(E35))*D36</f>
        <v>0</v>
      </c>
      <c r="J36" s="7">
        <f ca="1">$I$35*((RAND()*(G36-F36))+F36)</f>
        <v>0</v>
      </c>
      <c r="N36" s="109">
        <f t="shared" ca="1" si="8"/>
        <v>16.78487016936203</v>
      </c>
    </row>
    <row r="37" spans="1:14" x14ac:dyDescent="0.25">
      <c r="A37" s="7" t="s">
        <v>16</v>
      </c>
      <c r="B37" s="167">
        <v>0</v>
      </c>
      <c r="C37" s="167">
        <v>0</v>
      </c>
      <c r="D37" s="123">
        <v>0</v>
      </c>
      <c r="F37" s="15">
        <f>(1-(E35))*D37</f>
        <v>0</v>
      </c>
      <c r="G37" s="16">
        <f>(1+(E35))*D37</f>
        <v>0</v>
      </c>
      <c r="J37" s="7">
        <f t="shared" ref="J37:J44" ca="1" si="9">$I$35*((RAND()*(G37-F37))+F37)</f>
        <v>0</v>
      </c>
      <c r="N37" s="111">
        <f t="shared" ca="1" si="8"/>
        <v>0</v>
      </c>
    </row>
    <row r="38" spans="1:14" x14ac:dyDescent="0.25">
      <c r="A38" s="7" t="s">
        <v>17</v>
      </c>
      <c r="B38" s="167">
        <v>0</v>
      </c>
      <c r="C38" s="167">
        <v>0</v>
      </c>
      <c r="D38" s="123">
        <v>0</v>
      </c>
      <c r="F38" s="15">
        <f>(1-(E35))*D38</f>
        <v>0</v>
      </c>
      <c r="G38" s="16">
        <f>(1+(E35))*D38</f>
        <v>0</v>
      </c>
      <c r="J38" s="7">
        <f t="shared" ca="1" si="9"/>
        <v>0</v>
      </c>
      <c r="N38" s="110">
        <f ca="1">J47</f>
        <v>0</v>
      </c>
    </row>
    <row r="39" spans="1:14" x14ac:dyDescent="0.25">
      <c r="A39" s="7" t="s">
        <v>18</v>
      </c>
      <c r="B39" s="167">
        <v>6.0135135135135138E-2</v>
      </c>
      <c r="C39" s="167">
        <v>6.0135135135135138E-2</v>
      </c>
      <c r="D39" s="123">
        <v>6.0135135135135138E-2</v>
      </c>
      <c r="F39" s="15">
        <f>(1-(E35))*D39</f>
        <v>5.4121621621621624E-2</v>
      </c>
      <c r="G39" s="16">
        <f>(1+(E35))*D39</f>
        <v>6.6148648648648653E-2</v>
      </c>
      <c r="J39" s="7">
        <f t="shared" ca="1" si="9"/>
        <v>27.701424172264581</v>
      </c>
      <c r="N39" s="109">
        <f t="shared" ref="N39:N46" ca="1" si="10">J48</f>
        <v>0</v>
      </c>
    </row>
    <row r="40" spans="1:14" x14ac:dyDescent="0.25">
      <c r="A40" s="7" t="s">
        <v>29</v>
      </c>
      <c r="B40" s="167">
        <v>0.25304054054054054</v>
      </c>
      <c r="C40" s="167">
        <v>0.25304054054054054</v>
      </c>
      <c r="D40" s="123">
        <v>0.25304054054054054</v>
      </c>
      <c r="F40" s="15">
        <f>(1-(E35))*D40</f>
        <v>0.22773648648648648</v>
      </c>
      <c r="G40" s="16">
        <f>(1+(E35))*D40</f>
        <v>0.2783445945945946</v>
      </c>
      <c r="J40" s="7">
        <f t="shared" ca="1" si="9"/>
        <v>115.00291311765284</v>
      </c>
      <c r="N40" s="109">
        <f t="shared" ca="1" si="10"/>
        <v>0</v>
      </c>
    </row>
    <row r="41" spans="1:14" x14ac:dyDescent="0.25">
      <c r="A41" s="7" t="s">
        <v>19</v>
      </c>
      <c r="B41" s="167">
        <v>0.41081081081081078</v>
      </c>
      <c r="C41" s="167">
        <v>0.41081081081081078</v>
      </c>
      <c r="D41" s="123">
        <v>0.41081081081081078</v>
      </c>
      <c r="F41" s="15">
        <f>(1-(E35))*D41</f>
        <v>0.36972972972972973</v>
      </c>
      <c r="G41" s="16">
        <f>(1+(E35))*D41</f>
        <v>0.45189189189189188</v>
      </c>
      <c r="J41" s="7">
        <f t="shared" ca="1" si="9"/>
        <v>170.61553699633231</v>
      </c>
      <c r="N41" s="109">
        <f t="shared" ca="1" si="10"/>
        <v>2.5446327839160086</v>
      </c>
    </row>
    <row r="42" spans="1:14" x14ac:dyDescent="0.25">
      <c r="A42" s="7" t="s">
        <v>20</v>
      </c>
      <c r="B42" s="167">
        <v>0.23885135135135135</v>
      </c>
      <c r="C42" s="167">
        <v>0.23885135135135135</v>
      </c>
      <c r="D42" s="123">
        <v>0.23885135135135135</v>
      </c>
      <c r="F42" s="15">
        <f>(1-(E35))*D42</f>
        <v>0.21496621621621623</v>
      </c>
      <c r="G42" s="16">
        <f>(1+(E35))*D42</f>
        <v>0.26273648648648651</v>
      </c>
      <c r="J42" s="7">
        <f t="shared" ca="1" si="9"/>
        <v>99.87392080794271</v>
      </c>
      <c r="N42" s="109">
        <f t="shared" ca="1" si="10"/>
        <v>15.369612950012572</v>
      </c>
    </row>
    <row r="43" spans="1:14" x14ac:dyDescent="0.25">
      <c r="A43" s="7" t="s">
        <v>21</v>
      </c>
      <c r="B43" s="167">
        <v>3.7162162162162164E-2</v>
      </c>
      <c r="C43" s="167">
        <v>3.7162162162162164E-2</v>
      </c>
      <c r="D43" s="123">
        <v>3.7162162162162164E-2</v>
      </c>
      <c r="F43" s="15">
        <f>(1-(E35))*D43</f>
        <v>3.3445945945945951E-2</v>
      </c>
      <c r="G43" s="16">
        <f>(1+(E35))*D43</f>
        <v>4.0878378378378384E-2</v>
      </c>
      <c r="J43" s="7">
        <f t="shared" ca="1" si="9"/>
        <v>16.78487016936203</v>
      </c>
      <c r="N43" s="109">
        <f t="shared" ca="1" si="10"/>
        <v>50.72369794134277</v>
      </c>
    </row>
    <row r="44" spans="1:14" x14ac:dyDescent="0.25">
      <c r="A44" s="7" t="s">
        <v>105</v>
      </c>
      <c r="B44" s="167">
        <v>0</v>
      </c>
      <c r="C44" s="167">
        <v>0</v>
      </c>
      <c r="D44" s="123">
        <v>0</v>
      </c>
      <c r="F44" s="15">
        <f>(1-(E35))*D44</f>
        <v>0</v>
      </c>
      <c r="G44" s="16">
        <f>(1+(E35))*D44</f>
        <v>0</v>
      </c>
      <c r="J44" s="7">
        <f t="shared" ca="1" si="9"/>
        <v>0</v>
      </c>
      <c r="N44" s="109">
        <f t="shared" ca="1" si="10"/>
        <v>128.47254547635274</v>
      </c>
    </row>
    <row r="45" spans="1:14" x14ac:dyDescent="0.25">
      <c r="F45" s="15"/>
      <c r="G45" s="16"/>
      <c r="N45" s="109">
        <f t="shared" ca="1" si="10"/>
        <v>27.415997743763157</v>
      </c>
    </row>
    <row r="46" spans="1:14" x14ac:dyDescent="0.25">
      <c r="A46" s="11" t="s">
        <v>11</v>
      </c>
      <c r="B46" s="122" t="s">
        <v>36</v>
      </c>
      <c r="C46" s="129" t="s">
        <v>116</v>
      </c>
      <c r="D46" s="129" t="s">
        <v>115</v>
      </c>
      <c r="E46" s="166">
        <v>0.1</v>
      </c>
      <c r="F46" s="15"/>
      <c r="G46" s="16"/>
      <c r="I46" s="7">
        <v>242.92557031683594</v>
      </c>
      <c r="N46" s="111">
        <f t="shared" ca="1" si="10"/>
        <v>20.402816368839193</v>
      </c>
    </row>
    <row r="47" spans="1:14" x14ac:dyDescent="0.25">
      <c r="A47" s="7" t="s">
        <v>15</v>
      </c>
      <c r="B47" s="167">
        <v>0</v>
      </c>
      <c r="C47" s="167">
        <v>0</v>
      </c>
      <c r="D47" s="123">
        <v>0</v>
      </c>
      <c r="F47" s="15">
        <f>(1-(E46))*D47</f>
        <v>0</v>
      </c>
      <c r="G47" s="16">
        <f>(1+(E46))*D47</f>
        <v>0</v>
      </c>
      <c r="J47" s="7">
        <f ca="1">$I$46*((RAND()*(G47-F47))+F47)</f>
        <v>0</v>
      </c>
      <c r="N47" s="110">
        <f ca="1">J58</f>
        <v>0</v>
      </c>
    </row>
    <row r="48" spans="1:14" x14ac:dyDescent="0.25">
      <c r="A48" s="7" t="s">
        <v>16</v>
      </c>
      <c r="B48" s="167">
        <v>0</v>
      </c>
      <c r="C48" s="167">
        <v>0</v>
      </c>
      <c r="D48" s="123">
        <v>0</v>
      </c>
      <c r="F48" s="15">
        <f>(1-(E46))*D48</f>
        <v>0</v>
      </c>
      <c r="G48" s="16">
        <f>(1+(E46))*D48</f>
        <v>0</v>
      </c>
      <c r="J48" s="7">
        <f t="shared" ref="J48:J55" ca="1" si="11">$I$46*((RAND()*(G48-F48))+F48)</f>
        <v>0</v>
      </c>
      <c r="N48" s="109">
        <f t="shared" ref="N48:N55" ca="1" si="12">J59</f>
        <v>0</v>
      </c>
    </row>
    <row r="49" spans="1:14" x14ac:dyDescent="0.25">
      <c r="A49" s="7" t="s">
        <v>17</v>
      </c>
      <c r="B49" s="167">
        <v>0</v>
      </c>
      <c r="C49" s="167">
        <v>0</v>
      </c>
      <c r="D49" s="123">
        <v>0</v>
      </c>
      <c r="F49" s="15">
        <f>(1-(E46))*D49</f>
        <v>0</v>
      </c>
      <c r="G49" s="16">
        <f>(1+(E46))*D49</f>
        <v>0</v>
      </c>
      <c r="J49" s="7">
        <f t="shared" ca="1" si="11"/>
        <v>0</v>
      </c>
      <c r="N49" s="109">
        <f t="shared" ca="1" si="12"/>
        <v>0</v>
      </c>
    </row>
    <row r="50" spans="1:14" x14ac:dyDescent="0.25">
      <c r="A50" s="7" t="s">
        <v>18</v>
      </c>
      <c r="B50" s="167">
        <v>1.0442046641141664E-2</v>
      </c>
      <c r="C50" s="167">
        <v>1.0442046641141664E-2</v>
      </c>
      <c r="D50" s="123">
        <v>1.0442046641141664E-2</v>
      </c>
      <c r="F50" s="15">
        <f>(1-(E46))*D50</f>
        <v>9.3978419770274976E-3</v>
      </c>
      <c r="G50" s="16">
        <f>(1+(E46))*D50</f>
        <v>1.1486251305255832E-2</v>
      </c>
      <c r="J50" s="7">
        <f t="shared" ca="1" si="11"/>
        <v>2.5446327839160086</v>
      </c>
      <c r="N50" s="109">
        <f t="shared" ca="1" si="12"/>
        <v>0</v>
      </c>
    </row>
    <row r="51" spans="1:14" x14ac:dyDescent="0.25">
      <c r="A51" s="7" t="s">
        <v>29</v>
      </c>
      <c r="B51" s="167">
        <v>6.543682561782109E-2</v>
      </c>
      <c r="C51" s="167">
        <v>6.543682561782109E-2</v>
      </c>
      <c r="D51" s="123">
        <v>6.543682561782109E-2</v>
      </c>
      <c r="F51" s="15">
        <f>(1-(E46))*D51</f>
        <v>5.8893143056038981E-2</v>
      </c>
      <c r="G51" s="16">
        <f>(1+(E46))*D51</f>
        <v>7.1980508179603206E-2</v>
      </c>
      <c r="J51" s="7">
        <f t="shared" ca="1" si="11"/>
        <v>15.369612950012572</v>
      </c>
      <c r="N51" s="109">
        <f t="shared" ca="1" si="12"/>
        <v>0</v>
      </c>
    </row>
    <row r="52" spans="1:14" x14ac:dyDescent="0.25">
      <c r="A52" s="7" t="s">
        <v>19</v>
      </c>
      <c r="B52" s="167">
        <v>0.22798468499825966</v>
      </c>
      <c r="C52" s="167">
        <v>0.22798468499825966</v>
      </c>
      <c r="D52" s="123">
        <v>0.22798468499825966</v>
      </c>
      <c r="F52" s="15">
        <f>(1-(E46))*D52</f>
        <v>0.20518621649843369</v>
      </c>
      <c r="G52" s="16">
        <f>(1+(E46))*D52</f>
        <v>0.25078315349808566</v>
      </c>
      <c r="J52" s="7">
        <f t="shared" ca="1" si="11"/>
        <v>50.72369794134277</v>
      </c>
      <c r="N52" s="109">
        <f t="shared" ca="1" si="12"/>
        <v>14.557636576765713</v>
      </c>
    </row>
    <row r="53" spans="1:14" x14ac:dyDescent="0.25">
      <c r="A53" s="7" t="s">
        <v>20</v>
      </c>
      <c r="B53" s="167">
        <v>0.49773755656108598</v>
      </c>
      <c r="C53" s="167">
        <v>0.49773755656108598</v>
      </c>
      <c r="D53" s="123">
        <v>0.49773755656108598</v>
      </c>
      <c r="F53" s="15">
        <f>(1-(E46))*D53</f>
        <v>0.44796380090497739</v>
      </c>
      <c r="G53" s="16">
        <f>(1+(E46))*D53</f>
        <v>0.54751131221719462</v>
      </c>
      <c r="J53" s="7">
        <f t="shared" ca="1" si="11"/>
        <v>128.47254547635274</v>
      </c>
      <c r="N53" s="109">
        <f t="shared" ca="1" si="12"/>
        <v>114.15827392502079</v>
      </c>
    </row>
    <row r="54" spans="1:14" x14ac:dyDescent="0.25">
      <c r="A54" s="7" t="s">
        <v>21</v>
      </c>
      <c r="B54" s="167">
        <v>0.10790114862513052</v>
      </c>
      <c r="C54" s="167">
        <v>0.10790114862513052</v>
      </c>
      <c r="D54" s="123">
        <v>0.10790114862513052</v>
      </c>
      <c r="F54" s="15">
        <f>(1-(E46))*D54</f>
        <v>9.7111033762617469E-2</v>
      </c>
      <c r="G54" s="16">
        <f>(1+(E46))*D54</f>
        <v>0.11869126348764358</v>
      </c>
      <c r="J54" s="7">
        <f t="shared" ca="1" si="11"/>
        <v>27.415997743763157</v>
      </c>
      <c r="N54" s="109">
        <f t="shared" ca="1" si="12"/>
        <v>125.26597794080013</v>
      </c>
    </row>
    <row r="55" spans="1:14" x14ac:dyDescent="0.25">
      <c r="A55" s="7" t="s">
        <v>105</v>
      </c>
      <c r="B55" s="167">
        <v>9.0497737556561084E-2</v>
      </c>
      <c r="C55" s="167">
        <v>9.0497737556561084E-2</v>
      </c>
      <c r="D55" s="123">
        <v>9.0497737556561084E-2</v>
      </c>
      <c r="F55" s="15">
        <f>(1-(E46))*D55</f>
        <v>8.1447963800904979E-2</v>
      </c>
      <c r="G55" s="16">
        <f>(1+(E46))*D55</f>
        <v>9.9547511312217202E-2</v>
      </c>
      <c r="J55" s="7">
        <f t="shared" ca="1" si="11"/>
        <v>20.402816368839193</v>
      </c>
      <c r="N55" s="111">
        <f t="shared" ca="1" si="12"/>
        <v>0</v>
      </c>
    </row>
    <row r="56" spans="1:14" ht="15.75" thickBot="1" x14ac:dyDescent="0.3">
      <c r="F56" s="15"/>
      <c r="G56" s="16"/>
      <c r="N56" s="110">
        <f ca="1">J69</f>
        <v>0</v>
      </c>
    </row>
    <row r="57" spans="1:14" ht="16.5" thickTop="1" thickBot="1" x14ac:dyDescent="0.3">
      <c r="A57" s="11" t="s">
        <v>12</v>
      </c>
      <c r="B57" s="126" t="s">
        <v>36</v>
      </c>
      <c r="C57" s="129" t="s">
        <v>116</v>
      </c>
      <c r="D57" s="129" t="s">
        <v>115</v>
      </c>
      <c r="E57" s="88">
        <v>0.1</v>
      </c>
      <c r="F57" s="15"/>
      <c r="G57" s="16"/>
      <c r="I57" s="7">
        <v>240.81962240162409</v>
      </c>
      <c r="N57" s="109">
        <f t="shared" ref="N57:N64" ca="1" si="13">J70</f>
        <v>0</v>
      </c>
    </row>
    <row r="58" spans="1:14" ht="15.75" thickTop="1" x14ac:dyDescent="0.25">
      <c r="A58" s="7" t="s">
        <v>15</v>
      </c>
      <c r="B58" s="168">
        <v>0</v>
      </c>
      <c r="C58" s="168">
        <v>0</v>
      </c>
      <c r="D58" s="124">
        <v>0</v>
      </c>
      <c r="E58" s="88"/>
      <c r="F58" s="15">
        <f>(1-(E57))*D58</f>
        <v>0</v>
      </c>
      <c r="G58" s="16">
        <f>(1+(E57))*D58</f>
        <v>0</v>
      </c>
      <c r="J58" s="7">
        <f ca="1">$I$57*((RAND()*(G58-F58))+F58)</f>
        <v>0</v>
      </c>
      <c r="N58" s="109">
        <f t="shared" ca="1" si="13"/>
        <v>0</v>
      </c>
    </row>
    <row r="59" spans="1:14" x14ac:dyDescent="0.25">
      <c r="A59" s="7" t="s">
        <v>16</v>
      </c>
      <c r="B59" s="168">
        <v>0</v>
      </c>
      <c r="C59" s="168">
        <v>0</v>
      </c>
      <c r="D59" s="124">
        <v>0</v>
      </c>
      <c r="E59" s="88"/>
      <c r="F59" s="15">
        <f>(1-(E57))*D59</f>
        <v>0</v>
      </c>
      <c r="G59" s="16">
        <f>(1+(E57))*D59</f>
        <v>0</v>
      </c>
      <c r="J59" s="7">
        <f t="shared" ref="J59:J66" ca="1" si="14">$I$57*((RAND()*(G59-F59))+F59)</f>
        <v>0</v>
      </c>
      <c r="N59" s="109">
        <f t="shared" ca="1" si="13"/>
        <v>0</v>
      </c>
    </row>
    <row r="60" spans="1:14" x14ac:dyDescent="0.25">
      <c r="A60" s="7" t="s">
        <v>17</v>
      </c>
      <c r="B60" s="168">
        <v>0</v>
      </c>
      <c r="C60" s="168">
        <v>0</v>
      </c>
      <c r="D60" s="124">
        <v>0</v>
      </c>
      <c r="E60" s="88"/>
      <c r="F60" s="15">
        <f>(1-(E57))*D60</f>
        <v>0</v>
      </c>
      <c r="G60" s="16">
        <f>(1+(E57))*D60</f>
        <v>0</v>
      </c>
      <c r="J60" s="7">
        <f t="shared" ca="1" si="14"/>
        <v>0</v>
      </c>
      <c r="N60" s="109">
        <f t="shared" ca="1" si="13"/>
        <v>0</v>
      </c>
    </row>
    <row r="61" spans="1:14" x14ac:dyDescent="0.25">
      <c r="A61" s="7" t="s">
        <v>18</v>
      </c>
      <c r="B61" s="169">
        <v>0</v>
      </c>
      <c r="C61" s="169">
        <v>0</v>
      </c>
      <c r="D61" s="125">
        <v>0</v>
      </c>
      <c r="E61" s="88"/>
      <c r="F61" s="15">
        <f>(1-(E57))*D61</f>
        <v>0</v>
      </c>
      <c r="G61" s="16">
        <f>(1+(E57))*D61</f>
        <v>0</v>
      </c>
      <c r="J61" s="7">
        <f t="shared" ca="1" si="14"/>
        <v>0</v>
      </c>
      <c r="N61" s="109">
        <f t="shared" ca="1" si="13"/>
        <v>96.759439872913603</v>
      </c>
    </row>
    <row r="62" spans="1:14" x14ac:dyDescent="0.25">
      <c r="A62" s="7" t="s">
        <v>29</v>
      </c>
      <c r="B62" s="169">
        <v>0</v>
      </c>
      <c r="C62" s="169">
        <v>0</v>
      </c>
      <c r="D62" s="125">
        <v>0</v>
      </c>
      <c r="E62" s="88"/>
      <c r="F62" s="15">
        <f>(1-(E57))*D62</f>
        <v>0</v>
      </c>
      <c r="G62" s="16">
        <f>(1+(E57))*D62</f>
        <v>0</v>
      </c>
      <c r="J62" s="7">
        <f t="shared" ca="1" si="14"/>
        <v>0</v>
      </c>
      <c r="N62" s="109">
        <f t="shared" ca="1" si="13"/>
        <v>6.2722719233386046</v>
      </c>
    </row>
    <row r="63" spans="1:14" x14ac:dyDescent="0.25">
      <c r="A63" s="7" t="s">
        <v>19</v>
      </c>
      <c r="B63" s="167">
        <v>5.9970566593083148E-2</v>
      </c>
      <c r="C63" s="167">
        <v>5.9970566593083148E-2</v>
      </c>
      <c r="D63" s="123">
        <v>5.9970566593083148E-2</v>
      </c>
      <c r="E63" s="88"/>
      <c r="F63" s="15">
        <f>(1-(E57))*D63</f>
        <v>5.3973509933774831E-2</v>
      </c>
      <c r="G63" s="16">
        <f>(1+(E57))*D63</f>
        <v>6.5967623252391472E-2</v>
      </c>
      <c r="J63" s="7">
        <f t="shared" ca="1" si="14"/>
        <v>14.557636576765713</v>
      </c>
      <c r="N63" s="109">
        <f t="shared" ca="1" si="13"/>
        <v>0</v>
      </c>
    </row>
    <row r="64" spans="1:14" x14ac:dyDescent="0.25">
      <c r="A64" s="7" t="s">
        <v>20</v>
      </c>
      <c r="B64" s="167">
        <v>0.46173657100809418</v>
      </c>
      <c r="C64" s="167">
        <v>0.46173657100809418</v>
      </c>
      <c r="D64" s="123">
        <v>0.46173657100809418</v>
      </c>
      <c r="E64" s="88"/>
      <c r="F64" s="15">
        <f>(1-(E57))*D64</f>
        <v>0.41556291390728478</v>
      </c>
      <c r="G64" s="16">
        <f>(1+(E57))*D64</f>
        <v>0.50791022810890363</v>
      </c>
      <c r="J64" s="7">
        <f t="shared" ca="1" si="14"/>
        <v>114.15827392502079</v>
      </c>
      <c r="N64" s="111">
        <f t="shared" ca="1" si="13"/>
        <v>0</v>
      </c>
    </row>
    <row r="65" spans="1:17" x14ac:dyDescent="0.25">
      <c r="A65" s="7" t="s">
        <v>21</v>
      </c>
      <c r="B65" s="167">
        <v>0.47829286239882263</v>
      </c>
      <c r="C65" s="167">
        <v>0.47829286239882263</v>
      </c>
      <c r="D65" s="123">
        <v>0.47829286239882263</v>
      </c>
      <c r="E65" s="88"/>
      <c r="F65" s="15">
        <f>(1-(E57))*D65</f>
        <v>0.43046357615894038</v>
      </c>
      <c r="G65" s="16">
        <f>(1+(E57))*D65</f>
        <v>0.52612214863870488</v>
      </c>
      <c r="J65" s="7">
        <f t="shared" ca="1" si="14"/>
        <v>125.26597794080013</v>
      </c>
      <c r="N65" s="110">
        <f ca="1">J80</f>
        <v>0</v>
      </c>
    </row>
    <row r="66" spans="1:17" x14ac:dyDescent="0.25">
      <c r="A66" s="7" t="s">
        <v>105</v>
      </c>
      <c r="B66" s="167">
        <v>0</v>
      </c>
      <c r="C66" s="167">
        <v>0</v>
      </c>
      <c r="D66" s="123">
        <v>0</v>
      </c>
      <c r="E66" s="87"/>
      <c r="F66" s="15">
        <f>(1-(E57))*D66</f>
        <v>0</v>
      </c>
      <c r="G66" s="16">
        <f>(1+(E57))*D66</f>
        <v>0</v>
      </c>
      <c r="J66" s="7">
        <f t="shared" ca="1" si="14"/>
        <v>0</v>
      </c>
      <c r="N66" s="109">
        <f t="shared" ref="N66:N73" ca="1" si="15">J81</f>
        <v>0</v>
      </c>
    </row>
    <row r="67" spans="1:17" x14ac:dyDescent="0.25">
      <c r="F67" s="15"/>
      <c r="G67" s="16"/>
      <c r="N67" s="109">
        <f t="shared" ca="1" si="15"/>
        <v>1.2284569730693412E-2</v>
      </c>
    </row>
    <row r="68" spans="1:17" x14ac:dyDescent="0.25">
      <c r="A68" s="11" t="s">
        <v>13</v>
      </c>
      <c r="B68" s="122" t="s">
        <v>36</v>
      </c>
      <c r="C68" s="129" t="s">
        <v>116</v>
      </c>
      <c r="D68" s="129" t="s">
        <v>115</v>
      </c>
      <c r="E68" s="166">
        <v>0.1</v>
      </c>
      <c r="F68" s="15"/>
      <c r="G68" s="16"/>
      <c r="I68" s="7">
        <v>108.14458796882006</v>
      </c>
      <c r="N68" s="109">
        <f t="shared" ca="1" si="15"/>
        <v>2.3413068061904649</v>
      </c>
    </row>
    <row r="69" spans="1:17" x14ac:dyDescent="0.25">
      <c r="A69" s="7" t="s">
        <v>15</v>
      </c>
      <c r="B69" s="167">
        <v>0</v>
      </c>
      <c r="C69" s="167">
        <v>0</v>
      </c>
      <c r="D69" s="123">
        <v>0</v>
      </c>
      <c r="F69" s="15">
        <f>(1-(E68))*D69</f>
        <v>0</v>
      </c>
      <c r="G69" s="16">
        <f>(1+(E68))*D69</f>
        <v>0</v>
      </c>
      <c r="H69" s="85"/>
      <c r="J69" s="7">
        <f ca="1">$I$68*((RAND()*(G69-F69))+F69)</f>
        <v>0</v>
      </c>
      <c r="N69" s="109">
        <f t="shared" ca="1" si="15"/>
        <v>54.943675300953288</v>
      </c>
    </row>
    <row r="70" spans="1:17" x14ac:dyDescent="0.25">
      <c r="A70" s="7" t="s">
        <v>16</v>
      </c>
      <c r="B70" s="167">
        <v>0</v>
      </c>
      <c r="C70" s="167">
        <v>0</v>
      </c>
      <c r="D70" s="123">
        <v>0</v>
      </c>
      <c r="F70" s="15">
        <f>(1-(E68))*D70</f>
        <v>0</v>
      </c>
      <c r="G70" s="16">
        <f>(1+(E68))*D70</f>
        <v>0</v>
      </c>
      <c r="H70" s="85"/>
      <c r="J70" s="7">
        <f t="shared" ref="J70:J77" ca="1" si="16">$I$68*((RAND()*(G70-F70))+F70)</f>
        <v>0</v>
      </c>
      <c r="N70" s="109">
        <f t="shared" ca="1" si="15"/>
        <v>167.85471321532813</v>
      </c>
    </row>
    <row r="71" spans="1:17" x14ac:dyDescent="0.25">
      <c r="A71" s="7" t="s">
        <v>17</v>
      </c>
      <c r="B71" s="167">
        <v>0</v>
      </c>
      <c r="C71" s="167">
        <v>0</v>
      </c>
      <c r="D71" s="123">
        <v>0</v>
      </c>
      <c r="F71" s="15">
        <f>(1-(E68))*D71</f>
        <v>0</v>
      </c>
      <c r="G71" s="16">
        <f>(1+(E68))*D71</f>
        <v>0</v>
      </c>
      <c r="H71" s="85"/>
      <c r="J71" s="7">
        <f t="shared" ca="1" si="16"/>
        <v>0</v>
      </c>
      <c r="N71" s="109">
        <f t="shared" ca="1" si="15"/>
        <v>215.53981006957346</v>
      </c>
    </row>
    <row r="72" spans="1:17" x14ac:dyDescent="0.25">
      <c r="A72" s="7" t="s">
        <v>18</v>
      </c>
      <c r="B72" s="167">
        <v>0</v>
      </c>
      <c r="C72" s="167">
        <v>0</v>
      </c>
      <c r="D72" s="123">
        <v>0</v>
      </c>
      <c r="F72" s="15">
        <f>(1-(E68))*D72</f>
        <v>0</v>
      </c>
      <c r="G72" s="16">
        <f>(1+(E68))*D72</f>
        <v>0</v>
      </c>
      <c r="H72" s="85"/>
      <c r="J72" s="7">
        <f t="shared" ca="1" si="16"/>
        <v>0</v>
      </c>
      <c r="N72" s="109">
        <f t="shared" ca="1" si="15"/>
        <v>151.50955912231896</v>
      </c>
    </row>
    <row r="73" spans="1:17" x14ac:dyDescent="0.25">
      <c r="A73" s="7" t="s">
        <v>29</v>
      </c>
      <c r="B73" s="167">
        <v>0</v>
      </c>
      <c r="C73" s="167">
        <v>0</v>
      </c>
      <c r="D73" s="123">
        <v>0</v>
      </c>
      <c r="F73" s="15">
        <f>(1-(E68))*D73</f>
        <v>0</v>
      </c>
      <c r="G73" s="16">
        <f>(1+(E68))*D73</f>
        <v>0</v>
      </c>
      <c r="H73" s="85"/>
      <c r="J73" s="7">
        <f t="shared" ca="1" si="16"/>
        <v>0</v>
      </c>
      <c r="N73" s="111">
        <f t="shared" ca="1" si="15"/>
        <v>51.146532935275054</v>
      </c>
    </row>
    <row r="74" spans="1:17" x14ac:dyDescent="0.25">
      <c r="A74" s="7" t="s">
        <v>19</v>
      </c>
      <c r="B74" s="167">
        <v>0.94306049822064053</v>
      </c>
      <c r="C74" s="167">
        <v>0.94306049822064053</v>
      </c>
      <c r="D74" s="123">
        <v>0.94306049822064053</v>
      </c>
      <c r="F74" s="15">
        <f>(1-(E68))*D74</f>
        <v>0.8487544483985765</v>
      </c>
      <c r="G74" s="16">
        <f>(1+(E68))*D74</f>
        <v>1.0373665480427046</v>
      </c>
      <c r="H74" s="85"/>
      <c r="J74" s="7">
        <f t="shared" ca="1" si="16"/>
        <v>96.759439872913603</v>
      </c>
      <c r="N74" s="110">
        <f ca="1">J91</f>
        <v>0</v>
      </c>
    </row>
    <row r="75" spans="1:17" x14ac:dyDescent="0.25">
      <c r="A75" s="7" t="s">
        <v>20</v>
      </c>
      <c r="B75" s="167">
        <v>5.6939501779359428E-2</v>
      </c>
      <c r="C75" s="167">
        <v>5.6939501779359428E-2</v>
      </c>
      <c r="D75" s="123">
        <v>5.6939501779359428E-2</v>
      </c>
      <c r="F75" s="15">
        <f>(1-(E68))*D75</f>
        <v>5.1245551601423488E-2</v>
      </c>
      <c r="G75" s="16">
        <f>(1+(E68))*D75</f>
        <v>6.2633451957295375E-2</v>
      </c>
      <c r="H75" s="85"/>
      <c r="J75" s="7">
        <f t="shared" ca="1" si="16"/>
        <v>6.2722719233386046</v>
      </c>
      <c r="N75" s="109">
        <f t="shared" ref="N75:N82" ca="1" si="17">J92</f>
        <v>0</v>
      </c>
    </row>
    <row r="76" spans="1:17" x14ac:dyDescent="0.25">
      <c r="A76" s="7" t="s">
        <v>21</v>
      </c>
      <c r="B76" s="167">
        <v>0</v>
      </c>
      <c r="C76" s="167">
        <v>0</v>
      </c>
      <c r="D76" s="123">
        <v>0</v>
      </c>
      <c r="F76" s="15">
        <f>(1-(E68))*D76</f>
        <v>0</v>
      </c>
      <c r="G76" s="16">
        <f>(1+(E68))*D76</f>
        <v>0</v>
      </c>
      <c r="J76" s="7">
        <f t="shared" ca="1" si="16"/>
        <v>0</v>
      </c>
      <c r="N76" s="109">
        <f t="shared" ca="1" si="17"/>
        <v>0</v>
      </c>
    </row>
    <row r="77" spans="1:17" x14ac:dyDescent="0.25">
      <c r="A77" s="7" t="s">
        <v>105</v>
      </c>
      <c r="B77" s="167">
        <v>0</v>
      </c>
      <c r="C77" s="167">
        <v>0</v>
      </c>
      <c r="D77" s="123">
        <v>0</v>
      </c>
      <c r="F77" s="15">
        <f>(1-(E68))*D77</f>
        <v>0</v>
      </c>
      <c r="G77" s="16">
        <f>(1+(E68))*D77</f>
        <v>0</v>
      </c>
      <c r="J77" s="7">
        <f t="shared" ca="1" si="16"/>
        <v>0</v>
      </c>
      <c r="N77" s="109">
        <f t="shared" ca="1" si="17"/>
        <v>0</v>
      </c>
    </row>
    <row r="78" spans="1:17" s="9" customFormat="1" x14ac:dyDescent="0.25">
      <c r="B78" s="82"/>
      <c r="C78" s="128"/>
      <c r="D78" s="128"/>
      <c r="F78" s="15"/>
      <c r="G78" s="16"/>
      <c r="J78" s="7"/>
      <c r="N78" s="109">
        <f t="shared" ca="1" si="17"/>
        <v>0</v>
      </c>
      <c r="Q78" s="7"/>
    </row>
    <row r="79" spans="1:17" x14ac:dyDescent="0.25">
      <c r="A79" s="11" t="s">
        <v>14</v>
      </c>
      <c r="B79" s="122" t="s">
        <v>36</v>
      </c>
      <c r="C79" s="129" t="s">
        <v>116</v>
      </c>
      <c r="D79" s="129" t="s">
        <v>115</v>
      </c>
      <c r="E79" s="166">
        <v>0.1</v>
      </c>
      <c r="F79" s="15"/>
      <c r="G79" s="16"/>
      <c r="I79" s="7">
        <v>660.70706222049796</v>
      </c>
      <c r="N79" s="109">
        <f t="shared" ca="1" si="17"/>
        <v>89.294688202480259</v>
      </c>
    </row>
    <row r="80" spans="1:17" x14ac:dyDescent="0.25">
      <c r="A80" s="7" t="s">
        <v>15</v>
      </c>
      <c r="B80" s="167">
        <v>0</v>
      </c>
      <c r="C80" s="167">
        <v>0</v>
      </c>
      <c r="D80" s="123">
        <v>0</v>
      </c>
      <c r="F80" s="15">
        <f>(1-(E79))*D80</f>
        <v>0</v>
      </c>
      <c r="G80" s="16">
        <f>(1+(E79))*D80</f>
        <v>0</v>
      </c>
      <c r="J80" s="7">
        <f ca="1">$I$79*((RAND()*(G80-F80))+F80)</f>
        <v>0</v>
      </c>
      <c r="N80" s="109">
        <f t="shared" ca="1" si="17"/>
        <v>2.0812474389788114</v>
      </c>
    </row>
    <row r="81" spans="1:14" x14ac:dyDescent="0.25">
      <c r="A81" s="7" t="s">
        <v>16</v>
      </c>
      <c r="B81" s="167">
        <v>0</v>
      </c>
      <c r="C81" s="167">
        <v>0</v>
      </c>
      <c r="D81" s="123">
        <v>0</v>
      </c>
      <c r="F81" s="15">
        <f>(1-(E79))*D81</f>
        <v>0</v>
      </c>
      <c r="G81" s="16">
        <f>(1+(E79))*D81</f>
        <v>0</v>
      </c>
      <c r="J81" s="7">
        <f t="shared" ref="J81:J88" ca="1" si="18">$I$79*((RAND()*(G81-F81))+F81)</f>
        <v>0</v>
      </c>
      <c r="N81" s="109">
        <f t="shared" ca="1" si="17"/>
        <v>0</v>
      </c>
    </row>
    <row r="82" spans="1:14" x14ac:dyDescent="0.25">
      <c r="A82" s="7" t="s">
        <v>17</v>
      </c>
      <c r="B82" s="167">
        <v>1.8927359498154583E-5</v>
      </c>
      <c r="C82" s="167">
        <v>1.8927359498154583E-5</v>
      </c>
      <c r="D82" s="123">
        <v>1.8927359498154583E-5</v>
      </c>
      <c r="F82" s="15">
        <f>(1-(E79))*D82</f>
        <v>1.7034623548339126E-5</v>
      </c>
      <c r="G82" s="16">
        <f>(1+(E79))*D82</f>
        <v>2.0820095447970044E-5</v>
      </c>
      <c r="J82" s="7">
        <f t="shared" ca="1" si="18"/>
        <v>1.2284569730693412E-2</v>
      </c>
      <c r="N82" s="111">
        <f t="shared" ca="1" si="17"/>
        <v>16.648394386114322</v>
      </c>
    </row>
    <row r="83" spans="1:14" x14ac:dyDescent="0.25">
      <c r="A83" s="7" t="s">
        <v>18</v>
      </c>
      <c r="B83" s="167">
        <v>3.2528019251828522E-3</v>
      </c>
      <c r="C83" s="167">
        <v>3.2528019251828522E-3</v>
      </c>
      <c r="D83" s="123">
        <v>3.2528019251828522E-3</v>
      </c>
      <c r="F83" s="15">
        <f>(1-(E79))*D83</f>
        <v>2.9275217326645672E-3</v>
      </c>
      <c r="G83" s="16">
        <f>(1+(E79))*D83</f>
        <v>3.5780821177011377E-3</v>
      </c>
      <c r="J83" s="7">
        <f t="shared" ca="1" si="18"/>
        <v>2.3413068061904649</v>
      </c>
      <c r="N83" s="110">
        <f ca="1">J102</f>
        <v>0</v>
      </c>
    </row>
    <row r="84" spans="1:14" x14ac:dyDescent="0.25">
      <c r="A84" s="7" t="s">
        <v>29</v>
      </c>
      <c r="B84" s="167">
        <v>8.0286893414107524E-2</v>
      </c>
      <c r="C84" s="167">
        <v>8.0286893414107524E-2</v>
      </c>
      <c r="D84" s="123">
        <v>8.0286893414107524E-2</v>
      </c>
      <c r="F84" s="15">
        <f>(1-(E79))*D84</f>
        <v>7.2258204072696772E-2</v>
      </c>
      <c r="G84" s="16">
        <f>(1+(E79))*D84</f>
        <v>8.831558275551829E-2</v>
      </c>
      <c r="J84" s="7">
        <f t="shared" ca="1" si="18"/>
        <v>54.943675300953288</v>
      </c>
      <c r="N84" s="109">
        <f t="shared" ref="N84:N91" ca="1" si="19">J103</f>
        <v>0</v>
      </c>
    </row>
    <row r="85" spans="1:14" x14ac:dyDescent="0.25">
      <c r="A85" s="7" t="s">
        <v>19</v>
      </c>
      <c r="B85" s="167">
        <v>0.25456251850759953</v>
      </c>
      <c r="C85" s="167">
        <v>0.25456251850759953</v>
      </c>
      <c r="D85" s="123">
        <v>0.25456251850759953</v>
      </c>
      <c r="F85" s="15">
        <f>(1-(E79))*D85</f>
        <v>0.22910626665683959</v>
      </c>
      <c r="G85" s="16">
        <f>(1+(E79))*D85</f>
        <v>0.28001877035835954</v>
      </c>
      <c r="J85" s="7">
        <f t="shared" ca="1" si="18"/>
        <v>167.85471321532813</v>
      </c>
      <c r="N85" s="109">
        <f t="shared" ca="1" si="19"/>
        <v>0</v>
      </c>
    </row>
    <row r="86" spans="1:14" x14ac:dyDescent="0.25">
      <c r="A86" s="7" t="s">
        <v>20</v>
      </c>
      <c r="B86" s="167">
        <v>0.35616144427091945</v>
      </c>
      <c r="C86" s="167">
        <v>0.35616144427091945</v>
      </c>
      <c r="D86" s="123">
        <v>0.35616144427091945</v>
      </c>
      <c r="F86" s="15">
        <f>(1-(E79))*D86</f>
        <v>0.32054529984382751</v>
      </c>
      <c r="G86" s="16">
        <f>(1+(E79))*D86</f>
        <v>0.39177758869801144</v>
      </c>
      <c r="J86" s="7">
        <f t="shared" ca="1" si="18"/>
        <v>215.53981006957346</v>
      </c>
      <c r="N86" s="109">
        <f t="shared" ca="1" si="19"/>
        <v>0</v>
      </c>
    </row>
    <row r="87" spans="1:14" x14ac:dyDescent="0.25">
      <c r="A87" s="7" t="s">
        <v>21</v>
      </c>
      <c r="B87" s="167">
        <v>0.23485102554452139</v>
      </c>
      <c r="C87" s="167">
        <v>0.23485102554452139</v>
      </c>
      <c r="D87" s="123">
        <v>0.23485102554452139</v>
      </c>
      <c r="F87" s="15">
        <f>(1-(E79))*D87</f>
        <v>0.21136592299006926</v>
      </c>
      <c r="G87" s="16">
        <f>(1+(E79))*D87</f>
        <v>0.25833612809897355</v>
      </c>
      <c r="J87" s="7">
        <f t="shared" ca="1" si="18"/>
        <v>151.50955912231896</v>
      </c>
      <c r="N87" s="109">
        <f t="shared" ca="1" si="19"/>
        <v>48.186564199797239</v>
      </c>
    </row>
    <row r="88" spans="1:14" x14ac:dyDescent="0.25">
      <c r="A88" s="7" t="s">
        <v>105</v>
      </c>
      <c r="B88" s="167">
        <v>7.0866388978171185E-2</v>
      </c>
      <c r="C88" s="167">
        <v>7.0866388978171185E-2</v>
      </c>
      <c r="D88" s="123">
        <v>7.0866388978171185E-2</v>
      </c>
      <c r="F88" s="15">
        <f>(1-(E79))*D88</f>
        <v>6.3779750080354067E-2</v>
      </c>
      <c r="G88" s="16">
        <f>(1+(E79))*D88</f>
        <v>7.7953027875988304E-2</v>
      </c>
      <c r="J88" s="7">
        <f t="shared" ca="1" si="18"/>
        <v>51.146532935275054</v>
      </c>
      <c r="N88" s="109">
        <f t="shared" ca="1" si="19"/>
        <v>62.053999690311862</v>
      </c>
    </row>
    <row r="89" spans="1:14" x14ac:dyDescent="0.25">
      <c r="F89" s="15"/>
      <c r="G89" s="16"/>
      <c r="N89" s="109">
        <f t="shared" ca="1" si="19"/>
        <v>267.97859822341837</v>
      </c>
    </row>
    <row r="90" spans="1:14" x14ac:dyDescent="0.25">
      <c r="A90" s="11" t="s">
        <v>111</v>
      </c>
      <c r="B90" s="122" t="s">
        <v>36</v>
      </c>
      <c r="C90" s="129" t="s">
        <v>116</v>
      </c>
      <c r="D90" s="129" t="s">
        <v>115</v>
      </c>
      <c r="E90" s="166">
        <v>0.1</v>
      </c>
      <c r="F90" s="15"/>
      <c r="G90" s="16"/>
      <c r="I90" s="7">
        <v>110.3</v>
      </c>
      <c r="N90" s="109">
        <f t="shared" ca="1" si="19"/>
        <v>219.40393509180308</v>
      </c>
    </row>
    <row r="91" spans="1:14" x14ac:dyDescent="0.25">
      <c r="A91" s="7" t="s">
        <v>15</v>
      </c>
      <c r="B91" s="167">
        <v>0</v>
      </c>
      <c r="C91" s="167">
        <v>0</v>
      </c>
      <c r="D91" s="123">
        <v>0</v>
      </c>
      <c r="F91" s="15">
        <f>(1-(E90))*D91</f>
        <v>0</v>
      </c>
      <c r="G91" s="16">
        <f>(1+(E90))*D91</f>
        <v>0</v>
      </c>
      <c r="J91" s="7">
        <f ca="1">$I$90*((RAND()*(G91-F91))+F91)</f>
        <v>0</v>
      </c>
      <c r="N91" s="111">
        <f t="shared" ca="1" si="19"/>
        <v>16.326407635676677</v>
      </c>
    </row>
    <row r="92" spans="1:14" x14ac:dyDescent="0.25">
      <c r="A92" s="7" t="s">
        <v>16</v>
      </c>
      <c r="B92" s="167">
        <v>0</v>
      </c>
      <c r="C92" s="167">
        <v>0</v>
      </c>
      <c r="D92" s="123">
        <v>0</v>
      </c>
      <c r="F92" s="15">
        <f>(1-(E90))*D92</f>
        <v>0</v>
      </c>
      <c r="G92" s="16">
        <f>(1+(E90))*D92</f>
        <v>0</v>
      </c>
      <c r="J92" s="7">
        <f t="shared" ref="J92:J99" ca="1" si="20">$I$90*((RAND()*(G92-F92))+F92)</f>
        <v>0</v>
      </c>
      <c r="N92" s="110">
        <f ca="1">J113</f>
        <v>0</v>
      </c>
    </row>
    <row r="93" spans="1:14" x14ac:dyDescent="0.25">
      <c r="A93" s="7" t="s">
        <v>17</v>
      </c>
      <c r="B93" s="167">
        <v>0</v>
      </c>
      <c r="C93" s="167">
        <v>0</v>
      </c>
      <c r="D93" s="123">
        <v>0</v>
      </c>
      <c r="F93" s="15">
        <f>(1-(E90))*D93</f>
        <v>0</v>
      </c>
      <c r="G93" s="16">
        <f>(1+(E90))*D93</f>
        <v>0</v>
      </c>
      <c r="J93" s="7">
        <f t="shared" ca="1" si="20"/>
        <v>0</v>
      </c>
      <c r="N93" s="109">
        <f t="shared" ref="N93:N100" ca="1" si="21">J114</f>
        <v>0</v>
      </c>
    </row>
    <row r="94" spans="1:14" x14ac:dyDescent="0.25">
      <c r="A94" s="7" t="s">
        <v>18</v>
      </c>
      <c r="B94" s="167">
        <v>0</v>
      </c>
      <c r="C94" s="167">
        <v>0</v>
      </c>
      <c r="D94" s="123">
        <v>0</v>
      </c>
      <c r="F94" s="15">
        <f>(1-(E90))*D94</f>
        <v>0</v>
      </c>
      <c r="G94" s="16">
        <f>(1+(E90))*D94</f>
        <v>0</v>
      </c>
      <c r="J94" s="7">
        <f t="shared" ca="1" si="20"/>
        <v>0</v>
      </c>
      <c r="N94" s="109">
        <f t="shared" ca="1" si="21"/>
        <v>0</v>
      </c>
    </row>
    <row r="95" spans="1:14" x14ac:dyDescent="0.25">
      <c r="A95" s="7" t="s">
        <v>29</v>
      </c>
      <c r="B95" s="167">
        <v>0</v>
      </c>
      <c r="C95" s="167">
        <v>0</v>
      </c>
      <c r="D95" s="123">
        <v>0</v>
      </c>
      <c r="F95" s="15">
        <f>(1-(E90))*D95</f>
        <v>0</v>
      </c>
      <c r="G95" s="16">
        <f>(1+(E90))*D95</f>
        <v>0</v>
      </c>
      <c r="J95" s="7">
        <f t="shared" ca="1" si="20"/>
        <v>0</v>
      </c>
      <c r="N95" s="109">
        <f t="shared" ca="1" si="21"/>
        <v>1.4328795138334558</v>
      </c>
    </row>
    <row r="96" spans="1:14" x14ac:dyDescent="0.25">
      <c r="A96" s="7" t="s">
        <v>19</v>
      </c>
      <c r="B96" s="167">
        <v>0.83008982035928136</v>
      </c>
      <c r="C96" s="167">
        <v>0.83008982035928136</v>
      </c>
      <c r="D96" s="123">
        <v>0.83008982035928147</v>
      </c>
      <c r="F96" s="15">
        <f>(1-(E90))*D96</f>
        <v>0.74708083832335337</v>
      </c>
      <c r="G96" s="16">
        <f>(1+(E90))*D96</f>
        <v>0.91309880239520969</v>
      </c>
      <c r="J96" s="7">
        <f t="shared" ca="1" si="20"/>
        <v>89.294688202480259</v>
      </c>
      <c r="N96" s="109">
        <f t="shared" ca="1" si="21"/>
        <v>112.03594336616939</v>
      </c>
    </row>
    <row r="97" spans="1:14" x14ac:dyDescent="0.25">
      <c r="A97" s="7" t="s">
        <v>20</v>
      </c>
      <c r="B97" s="167">
        <v>2.020958083832335E-2</v>
      </c>
      <c r="C97" s="167">
        <v>2.020958083832335E-2</v>
      </c>
      <c r="D97" s="123">
        <v>2.0209580838323353E-2</v>
      </c>
      <c r="F97" s="15">
        <f>(1-(E90))*D97</f>
        <v>1.818862275449102E-2</v>
      </c>
      <c r="G97" s="16">
        <f>(1+(E90))*D97</f>
        <v>2.223053892215569E-2</v>
      </c>
      <c r="J97" s="7">
        <f t="shared" ca="1" si="20"/>
        <v>2.0812474389788114</v>
      </c>
      <c r="N97" s="109">
        <f t="shared" ca="1" si="21"/>
        <v>143.9583957971096</v>
      </c>
    </row>
    <row r="98" spans="1:14" x14ac:dyDescent="0.25">
      <c r="A98" s="7" t="s">
        <v>21</v>
      </c>
      <c r="B98" s="167">
        <v>0</v>
      </c>
      <c r="C98" s="167">
        <v>0</v>
      </c>
      <c r="D98" s="123">
        <v>0</v>
      </c>
      <c r="F98" s="15">
        <f>(1-(E90))*D98</f>
        <v>0</v>
      </c>
      <c r="G98" s="16">
        <f>(1+(E90))*D98</f>
        <v>0</v>
      </c>
      <c r="J98" s="7">
        <f t="shared" ca="1" si="20"/>
        <v>0</v>
      </c>
      <c r="N98" s="109">
        <f t="shared" ca="1" si="21"/>
        <v>79.659298737903896</v>
      </c>
    </row>
    <row r="99" spans="1:14" x14ac:dyDescent="0.25">
      <c r="A99" s="7" t="s">
        <v>105</v>
      </c>
      <c r="B99" s="167">
        <v>0.1497005988023952</v>
      </c>
      <c r="C99" s="167">
        <v>0.1497005988023952</v>
      </c>
      <c r="D99" s="123">
        <v>0.14970059880239522</v>
      </c>
      <c r="F99" s="15">
        <f>(1-(E90))*D99</f>
        <v>0.1347305389221557</v>
      </c>
      <c r="G99" s="16">
        <f>(1+(E90))*D99</f>
        <v>0.16467065868263475</v>
      </c>
      <c r="J99" s="7">
        <f t="shared" ca="1" si="20"/>
        <v>16.648394386114322</v>
      </c>
      <c r="N99" s="109">
        <f t="shared" ca="1" si="21"/>
        <v>12.38833767106903</v>
      </c>
    </row>
    <row r="100" spans="1:14" x14ac:dyDescent="0.25">
      <c r="F100" s="15"/>
      <c r="G100" s="16"/>
      <c r="N100" s="111">
        <f t="shared" ca="1" si="21"/>
        <v>11.216154336183703</v>
      </c>
    </row>
    <row r="101" spans="1:14" x14ac:dyDescent="0.25">
      <c r="A101" s="11" t="s">
        <v>22</v>
      </c>
      <c r="B101" s="122" t="s">
        <v>36</v>
      </c>
      <c r="C101" s="129" t="s">
        <v>116</v>
      </c>
      <c r="D101" s="129" t="s">
        <v>115</v>
      </c>
      <c r="E101" s="166">
        <v>0.1</v>
      </c>
      <c r="F101" s="15"/>
      <c r="G101" s="16"/>
      <c r="I101" s="7">
        <v>584.4</v>
      </c>
      <c r="N101" s="110">
        <f ca="1">J124</f>
        <v>0</v>
      </c>
    </row>
    <row r="102" spans="1:14" x14ac:dyDescent="0.25">
      <c r="A102" s="7" t="s">
        <v>15</v>
      </c>
      <c r="B102" s="167">
        <v>0</v>
      </c>
      <c r="C102" s="167">
        <v>0</v>
      </c>
      <c r="D102" s="123">
        <v>0</v>
      </c>
      <c r="F102" s="15">
        <f>(1-(E101))*D102</f>
        <v>0</v>
      </c>
      <c r="G102" s="16">
        <f>(1+(E101))*D102</f>
        <v>0</v>
      </c>
      <c r="J102" s="7">
        <f ca="1">$I$101*((RAND()*(G102-F102))+F102)</f>
        <v>0</v>
      </c>
      <c r="N102" s="109">
        <f t="shared" ref="N102:N109" ca="1" si="22">J125</f>
        <v>0</v>
      </c>
    </row>
    <row r="103" spans="1:14" x14ac:dyDescent="0.25">
      <c r="A103" s="7" t="s">
        <v>16</v>
      </c>
      <c r="B103" s="167">
        <v>0</v>
      </c>
      <c r="C103" s="167">
        <v>0</v>
      </c>
      <c r="D103" s="123">
        <v>0</v>
      </c>
      <c r="F103" s="15">
        <f>(1-(E101))*D103</f>
        <v>0</v>
      </c>
      <c r="G103" s="16">
        <f>(1+(E101))*D103</f>
        <v>0</v>
      </c>
      <c r="J103" s="7">
        <f t="shared" ref="J103:J110" ca="1" si="23">$I$101*((RAND()*(G103-F103))+F103)</f>
        <v>0</v>
      </c>
      <c r="N103" s="109">
        <f t="shared" ca="1" si="22"/>
        <v>0</v>
      </c>
    </row>
    <row r="104" spans="1:14" x14ac:dyDescent="0.25">
      <c r="A104" s="7" t="s">
        <v>17</v>
      </c>
      <c r="B104" s="167">
        <v>0</v>
      </c>
      <c r="C104" s="167">
        <v>0</v>
      </c>
      <c r="D104" s="123">
        <v>0</v>
      </c>
      <c r="F104" s="15">
        <f>(1-(E101))*D104</f>
        <v>0</v>
      </c>
      <c r="G104" s="16">
        <f>(1+(E101))*D104</f>
        <v>0</v>
      </c>
      <c r="J104" s="7">
        <f t="shared" ca="1" si="23"/>
        <v>0</v>
      </c>
      <c r="N104" s="109">
        <f t="shared" ca="1" si="22"/>
        <v>0</v>
      </c>
    </row>
    <row r="105" spans="1:14" x14ac:dyDescent="0.25">
      <c r="A105" s="7" t="s">
        <v>18</v>
      </c>
      <c r="B105" s="167">
        <v>0</v>
      </c>
      <c r="C105" s="167">
        <v>0</v>
      </c>
      <c r="D105" s="123">
        <v>0</v>
      </c>
      <c r="F105" s="15">
        <f>(1-(E101))*D105</f>
        <v>0</v>
      </c>
      <c r="G105" s="16">
        <f>(1+(E101))*D105</f>
        <v>0</v>
      </c>
      <c r="J105" s="7">
        <f t="shared" ca="1" si="23"/>
        <v>0</v>
      </c>
      <c r="N105" s="109">
        <f t="shared" ca="1" si="22"/>
        <v>0</v>
      </c>
    </row>
    <row r="106" spans="1:14" x14ac:dyDescent="0.25">
      <c r="A106" s="7" t="s">
        <v>29</v>
      </c>
      <c r="B106" s="167">
        <v>7.6745970836531077E-2</v>
      </c>
      <c r="C106" s="167">
        <v>7.6745970836531077E-2</v>
      </c>
      <c r="D106" s="123">
        <v>7.6745970836531091E-2</v>
      </c>
      <c r="F106" s="15">
        <f>(1-(E101))*D106</f>
        <v>6.9071373752877988E-2</v>
      </c>
      <c r="G106" s="16">
        <f>(1+(E101))*D106</f>
        <v>8.4420567920184209E-2</v>
      </c>
      <c r="J106" s="7">
        <f t="shared" ca="1" si="23"/>
        <v>48.186564199797239</v>
      </c>
      <c r="N106" s="109">
        <f t="shared" ca="1" si="22"/>
        <v>85.237820840303613</v>
      </c>
    </row>
    <row r="107" spans="1:14" x14ac:dyDescent="0.25">
      <c r="A107" s="7" t="s">
        <v>19</v>
      </c>
      <c r="B107" s="167">
        <v>0.10744435917114351</v>
      </c>
      <c r="C107" s="167">
        <v>0.10744435917114351</v>
      </c>
      <c r="D107" s="123">
        <v>0.10744435917114352</v>
      </c>
      <c r="F107" s="15">
        <f>(1-(E101))*D107</f>
        <v>9.6699923254029166E-2</v>
      </c>
      <c r="G107" s="16">
        <f>(1+(E101))*D107</f>
        <v>0.11818879508825789</v>
      </c>
      <c r="J107" s="7">
        <f t="shared" ca="1" si="23"/>
        <v>62.053999690311862</v>
      </c>
      <c r="N107" s="109">
        <f t="shared" ca="1" si="22"/>
        <v>8.2738359741056389</v>
      </c>
    </row>
    <row r="108" spans="1:14" x14ac:dyDescent="0.25">
      <c r="A108" s="7" t="s">
        <v>20</v>
      </c>
      <c r="B108" s="167">
        <v>0.42440521872601683</v>
      </c>
      <c r="C108" s="167">
        <v>0.42440521872601683</v>
      </c>
      <c r="D108" s="123">
        <v>0.42440521872601689</v>
      </c>
      <c r="F108" s="15">
        <f>(1-(E101))*D108</f>
        <v>0.38196469685341522</v>
      </c>
      <c r="G108" s="16">
        <f>(1+(E101))*D108</f>
        <v>0.46684574059861861</v>
      </c>
      <c r="J108" s="7">
        <f t="shared" ca="1" si="23"/>
        <v>267.97859822341837</v>
      </c>
      <c r="N108" s="109">
        <f t="shared" ca="1" si="22"/>
        <v>0</v>
      </c>
    </row>
    <row r="109" spans="1:14" x14ac:dyDescent="0.25">
      <c r="A109" s="7" t="s">
        <v>21</v>
      </c>
      <c r="B109" s="167">
        <v>0.36454336147352262</v>
      </c>
      <c r="C109" s="167">
        <v>0.36454336147352262</v>
      </c>
      <c r="D109" s="123">
        <v>0.36454336147352268</v>
      </c>
      <c r="F109" s="15">
        <f>(1-(E101))*D109</f>
        <v>0.3280890253261704</v>
      </c>
      <c r="G109" s="16">
        <f>(1+(E101))*D109</f>
        <v>0.40099769762087495</v>
      </c>
      <c r="J109" s="7">
        <f t="shared" ca="1" si="23"/>
        <v>219.40393509180308</v>
      </c>
      <c r="N109" s="111">
        <f t="shared" ca="1" si="22"/>
        <v>0</v>
      </c>
    </row>
    <row r="110" spans="1:14" x14ac:dyDescent="0.25">
      <c r="A110" s="7" t="s">
        <v>105</v>
      </c>
      <c r="B110" s="167">
        <v>2.6861089792785876E-2</v>
      </c>
      <c r="C110" s="167">
        <v>2.6861089792785876E-2</v>
      </c>
      <c r="D110" s="123">
        <v>2.686108979278588E-2</v>
      </c>
      <c r="F110" s="15">
        <f>(1-(E101))*D110</f>
        <v>2.4174980813507291E-2</v>
      </c>
      <c r="G110" s="16">
        <f>(1+(E101))*D110</f>
        <v>2.9547198772064472E-2</v>
      </c>
      <c r="J110" s="7">
        <f t="shared" ca="1" si="23"/>
        <v>16.326407635676677</v>
      </c>
      <c r="N110" s="110">
        <f ca="1">J135</f>
        <v>0</v>
      </c>
    </row>
    <row r="111" spans="1:14" x14ac:dyDescent="0.25">
      <c r="F111" s="15"/>
      <c r="G111" s="16"/>
      <c r="N111" s="109">
        <f t="shared" ref="N111:N117" ca="1" si="24">J136</f>
        <v>0</v>
      </c>
    </row>
    <row r="112" spans="1:14" x14ac:dyDescent="0.25">
      <c r="A112" s="11" t="s">
        <v>23</v>
      </c>
      <c r="B112" s="122" t="s">
        <v>36</v>
      </c>
      <c r="C112" s="129" t="s">
        <v>116</v>
      </c>
      <c r="D112" s="129" t="s">
        <v>115</v>
      </c>
      <c r="E112" s="89">
        <v>0.1</v>
      </c>
      <c r="F112" s="15"/>
      <c r="G112" s="16"/>
      <c r="I112" s="7">
        <v>363</v>
      </c>
      <c r="N112" s="109">
        <f t="shared" ca="1" si="24"/>
        <v>0</v>
      </c>
    </row>
    <row r="113" spans="1:14" x14ac:dyDescent="0.25">
      <c r="A113" s="7" t="s">
        <v>15</v>
      </c>
      <c r="B113" s="167">
        <v>0</v>
      </c>
      <c r="C113" s="167">
        <v>0</v>
      </c>
      <c r="D113" s="123">
        <v>0</v>
      </c>
      <c r="E113" s="89"/>
      <c r="F113" s="15">
        <f>(1-(E112))*D113</f>
        <v>0</v>
      </c>
      <c r="G113" s="16">
        <f>(1+(E112))*D113</f>
        <v>0</v>
      </c>
      <c r="J113" s="7">
        <f ca="1">$I$112*((RAND()*(G113-F113))+F113)</f>
        <v>0</v>
      </c>
      <c r="N113" s="109">
        <f t="shared" ca="1" si="24"/>
        <v>0</v>
      </c>
    </row>
    <row r="114" spans="1:14" x14ac:dyDescent="0.25">
      <c r="A114" s="7" t="s">
        <v>16</v>
      </c>
      <c r="B114" s="167">
        <v>0</v>
      </c>
      <c r="C114" s="167">
        <v>0</v>
      </c>
      <c r="D114" s="123">
        <v>0</v>
      </c>
      <c r="E114" s="89"/>
      <c r="F114" s="15">
        <f>(1-(E112))*D114</f>
        <v>0</v>
      </c>
      <c r="G114" s="16">
        <f>(1+(E112))*D114</f>
        <v>0</v>
      </c>
      <c r="J114" s="7">
        <f t="shared" ref="J114:J121" ca="1" si="25">$I$112*((RAND()*(G114-F114))+F114)</f>
        <v>0</v>
      </c>
      <c r="N114" s="109">
        <f t="shared" ca="1" si="24"/>
        <v>0</v>
      </c>
    </row>
    <row r="115" spans="1:14" x14ac:dyDescent="0.25">
      <c r="A115" s="7" t="s">
        <v>17</v>
      </c>
      <c r="B115" s="167">
        <v>0</v>
      </c>
      <c r="C115" s="167">
        <v>0</v>
      </c>
      <c r="D115" s="123">
        <v>0</v>
      </c>
      <c r="E115" s="89"/>
      <c r="F115" s="15">
        <f>(1-(E112))*D115</f>
        <v>0</v>
      </c>
      <c r="G115" s="16">
        <f>(1+(E112))*D115</f>
        <v>0</v>
      </c>
      <c r="J115" s="7">
        <f t="shared" ca="1" si="25"/>
        <v>0</v>
      </c>
      <c r="N115" s="109">
        <f t="shared" ca="1" si="24"/>
        <v>9.9855912194810355</v>
      </c>
    </row>
    <row r="116" spans="1:14" x14ac:dyDescent="0.25">
      <c r="A116" s="7" t="s">
        <v>18</v>
      </c>
      <c r="B116" s="167">
        <v>3.7006578947368423E-3</v>
      </c>
      <c r="C116" s="167">
        <v>3.7006578947368423E-3</v>
      </c>
      <c r="D116" s="123">
        <v>3.7006578947368423E-3</v>
      </c>
      <c r="E116" s="89"/>
      <c r="F116" s="15">
        <f>(1-(E112))*D116</f>
        <v>3.3305921052631583E-3</v>
      </c>
      <c r="G116" s="16">
        <f>(1+(E112))*D116</f>
        <v>4.0707236842105268E-3</v>
      </c>
      <c r="J116" s="7">
        <f t="shared" ca="1" si="25"/>
        <v>1.4328795138334558</v>
      </c>
      <c r="N116" s="109">
        <f t="shared" ca="1" si="24"/>
        <v>78.26462017096874</v>
      </c>
    </row>
    <row r="117" spans="1:14" x14ac:dyDescent="0.25">
      <c r="A117" s="7" t="s">
        <v>29</v>
      </c>
      <c r="B117" s="167">
        <v>0.29317434210526316</v>
      </c>
      <c r="C117" s="167">
        <v>0.29317434210526316</v>
      </c>
      <c r="D117" s="123">
        <v>0.29317434210526316</v>
      </c>
      <c r="E117" s="89"/>
      <c r="F117" s="15">
        <f>(1-(E112))*D117</f>
        <v>0.26385690789473687</v>
      </c>
      <c r="G117" s="16">
        <f>(1+(E112))*D117</f>
        <v>0.32249177631578951</v>
      </c>
      <c r="J117" s="7">
        <f t="shared" ca="1" si="25"/>
        <v>112.03594336616939</v>
      </c>
      <c r="N117" s="109">
        <f t="shared" ca="1" si="24"/>
        <v>82.165082206312633</v>
      </c>
    </row>
    <row r="118" spans="1:14" x14ac:dyDescent="0.25">
      <c r="A118" s="7" t="s">
        <v>19</v>
      </c>
      <c r="B118" s="167">
        <v>0.41406250000000006</v>
      </c>
      <c r="C118" s="167">
        <v>0.41406250000000006</v>
      </c>
      <c r="D118" s="123">
        <v>0.41406250000000006</v>
      </c>
      <c r="E118" s="89"/>
      <c r="F118" s="15">
        <f>(1-(E112))*D118</f>
        <v>0.37265625000000008</v>
      </c>
      <c r="G118" s="16">
        <f>(1+(E112))*D118</f>
        <v>0.45546875000000009</v>
      </c>
      <c r="J118" s="7">
        <f t="shared" ca="1" si="25"/>
        <v>143.9583957971096</v>
      </c>
      <c r="N118" s="111">
        <f ca="1">J143</f>
        <v>0</v>
      </c>
    </row>
    <row r="119" spans="1:14" x14ac:dyDescent="0.25">
      <c r="A119" s="7" t="s">
        <v>20</v>
      </c>
      <c r="B119" s="167">
        <v>0.22327302631578946</v>
      </c>
      <c r="C119" s="167">
        <v>0.22327302631578946</v>
      </c>
      <c r="D119" s="123">
        <v>0.22327302631578946</v>
      </c>
      <c r="E119" s="89"/>
      <c r="F119" s="15">
        <f>(1-(E112))*D119</f>
        <v>0.20094572368421051</v>
      </c>
      <c r="G119" s="16">
        <f>(1+(E112))*D119</f>
        <v>0.24560032894736844</v>
      </c>
      <c r="J119" s="7">
        <f t="shared" ca="1" si="25"/>
        <v>79.659298737903896</v>
      </c>
      <c r="N119" s="110">
        <f ca="1">J146</f>
        <v>0</v>
      </c>
    </row>
    <row r="120" spans="1:14" x14ac:dyDescent="0.25">
      <c r="A120" s="7" t="s">
        <v>21</v>
      </c>
      <c r="B120" s="167">
        <v>3.2894736842105261E-2</v>
      </c>
      <c r="C120" s="167">
        <v>3.2894736842105261E-2</v>
      </c>
      <c r="D120" s="123">
        <v>3.2894736842105261E-2</v>
      </c>
      <c r="E120" s="89"/>
      <c r="F120" s="15">
        <f>(1-(E112))*D120</f>
        <v>2.9605263157894735E-2</v>
      </c>
      <c r="G120" s="16">
        <f>(1+(E112))*D120</f>
        <v>3.6184210526315791E-2</v>
      </c>
      <c r="J120" s="7">
        <f t="shared" ca="1" si="25"/>
        <v>12.38833767106903</v>
      </c>
      <c r="N120" s="109">
        <f t="shared" ref="N120:N127" ca="1" si="26">J147</f>
        <v>0</v>
      </c>
    </row>
    <row r="121" spans="1:14" x14ac:dyDescent="0.25">
      <c r="A121" s="7" t="s">
        <v>105</v>
      </c>
      <c r="B121" s="167">
        <v>3.2894736842105261E-2</v>
      </c>
      <c r="C121" s="167">
        <v>3.2894736842105261E-2</v>
      </c>
      <c r="D121" s="123">
        <v>3.2894736842105261E-2</v>
      </c>
      <c r="F121" s="15">
        <f>(1-(E112))*D121</f>
        <v>2.9605263157894735E-2</v>
      </c>
      <c r="G121" s="16">
        <f>(1+(E112))*D121</f>
        <v>3.6184210526315791E-2</v>
      </c>
      <c r="J121" s="7">
        <f t="shared" ca="1" si="25"/>
        <v>11.216154336183703</v>
      </c>
      <c r="N121" s="109">
        <f t="shared" ca="1" si="26"/>
        <v>0</v>
      </c>
    </row>
    <row r="122" spans="1:14" x14ac:dyDescent="0.25">
      <c r="F122" s="15"/>
      <c r="G122" s="16"/>
      <c r="N122" s="109">
        <f t="shared" ca="1" si="26"/>
        <v>0</v>
      </c>
    </row>
    <row r="123" spans="1:14" x14ac:dyDescent="0.25">
      <c r="A123" s="11" t="s">
        <v>108</v>
      </c>
      <c r="B123" s="122" t="s">
        <v>36</v>
      </c>
      <c r="C123" s="129" t="s">
        <v>116</v>
      </c>
      <c r="D123" s="129" t="s">
        <v>115</v>
      </c>
      <c r="E123" s="166">
        <v>0.1</v>
      </c>
      <c r="F123" s="15"/>
      <c r="G123" s="16"/>
      <c r="I123" s="7">
        <v>98.9</v>
      </c>
      <c r="N123" s="109">
        <f t="shared" ca="1" si="26"/>
        <v>0</v>
      </c>
    </row>
    <row r="124" spans="1:14" x14ac:dyDescent="0.25">
      <c r="A124" s="7" t="s">
        <v>15</v>
      </c>
      <c r="B124" s="167">
        <v>0</v>
      </c>
      <c r="C124" s="167">
        <v>0</v>
      </c>
      <c r="D124" s="123">
        <v>0</v>
      </c>
      <c r="F124" s="15">
        <f>(1-(E123))*D124</f>
        <v>0</v>
      </c>
      <c r="G124" s="16">
        <f>(1+(E123))*D124</f>
        <v>0</v>
      </c>
      <c r="J124" s="7">
        <f ca="1">$I$123*((RAND()*(G124-F124))+F124)</f>
        <v>0</v>
      </c>
      <c r="N124" s="109">
        <f t="shared" ca="1" si="26"/>
        <v>18.823595543005741</v>
      </c>
    </row>
    <row r="125" spans="1:14" x14ac:dyDescent="0.25">
      <c r="A125" s="7" t="s">
        <v>16</v>
      </c>
      <c r="B125" s="167">
        <v>0</v>
      </c>
      <c r="C125" s="167">
        <v>0</v>
      </c>
      <c r="D125" s="123">
        <v>0</v>
      </c>
      <c r="F125" s="15">
        <f>(1-(E123))*D125</f>
        <v>0</v>
      </c>
      <c r="G125" s="16">
        <f>(1+(E123))*D125</f>
        <v>0</v>
      </c>
      <c r="J125" s="7">
        <f t="shared" ref="J125:J132" ca="1" si="27">$I$123*((RAND()*(G125-F125))+F125)</f>
        <v>0</v>
      </c>
      <c r="N125" s="109">
        <f t="shared" ca="1" si="26"/>
        <v>215.22403624455606</v>
      </c>
    </row>
    <row r="126" spans="1:14" x14ac:dyDescent="0.25">
      <c r="A126" s="7" t="s">
        <v>17</v>
      </c>
      <c r="B126" s="167">
        <v>0</v>
      </c>
      <c r="C126" s="167">
        <v>0</v>
      </c>
      <c r="D126" s="123">
        <v>0</v>
      </c>
      <c r="F126" s="15">
        <f>(1-(E123))*D126</f>
        <v>0</v>
      </c>
      <c r="G126" s="16">
        <f>(1+(E123))*D126</f>
        <v>0</v>
      </c>
      <c r="J126" s="7">
        <f t="shared" ca="1" si="27"/>
        <v>0</v>
      </c>
      <c r="N126" s="109">
        <f t="shared" ca="1" si="26"/>
        <v>216.08379902471904</v>
      </c>
    </row>
    <row r="127" spans="1:14" x14ac:dyDescent="0.25">
      <c r="A127" s="7" t="s">
        <v>18</v>
      </c>
      <c r="B127" s="167">
        <v>0</v>
      </c>
      <c r="C127" s="167">
        <v>0</v>
      </c>
      <c r="D127" s="123">
        <v>0</v>
      </c>
      <c r="F127" s="15">
        <f>(1-(E123))*D127</f>
        <v>0</v>
      </c>
      <c r="G127" s="16">
        <f>(1+(E123))*D127</f>
        <v>0</v>
      </c>
      <c r="J127" s="7">
        <f t="shared" ca="1" si="27"/>
        <v>0</v>
      </c>
      <c r="N127" s="111">
        <f t="shared" ca="1" si="26"/>
        <v>30.134149317535417</v>
      </c>
    </row>
    <row r="128" spans="1:14" x14ac:dyDescent="0.25">
      <c r="A128" s="7" t="s">
        <v>29</v>
      </c>
      <c r="B128" s="167">
        <v>0</v>
      </c>
      <c r="C128" s="167">
        <v>0</v>
      </c>
      <c r="D128" s="123">
        <v>0</v>
      </c>
      <c r="F128" s="15">
        <f>(1-(E123))*D128</f>
        <v>0</v>
      </c>
      <c r="G128" s="16">
        <f>(1+(E123))*D128</f>
        <v>0</v>
      </c>
      <c r="J128" s="7">
        <f t="shared" ca="1" si="27"/>
        <v>0</v>
      </c>
      <c r="N128" s="110">
        <f ca="1">J157</f>
        <v>0</v>
      </c>
    </row>
    <row r="129" spans="1:14" x14ac:dyDescent="0.25">
      <c r="A129" s="7" t="s">
        <v>19</v>
      </c>
      <c r="B129" s="167">
        <v>0.9119373776908023</v>
      </c>
      <c r="C129" s="167">
        <v>0.9119373776908023</v>
      </c>
      <c r="D129" s="123">
        <v>0.9119373776908023</v>
      </c>
      <c r="F129" s="15">
        <f>(1-(E123))*D129</f>
        <v>0.82074363992172206</v>
      </c>
      <c r="G129" s="16">
        <f>(1+(E123))*D129</f>
        <v>1.0031311154598825</v>
      </c>
      <c r="J129" s="7">
        <f t="shared" ca="1" si="27"/>
        <v>85.237820840303613</v>
      </c>
      <c r="N129" s="109">
        <f t="shared" ref="N129:N136" ca="1" si="28">J158</f>
        <v>0</v>
      </c>
    </row>
    <row r="130" spans="1:14" x14ac:dyDescent="0.25">
      <c r="A130" s="7" t="s">
        <v>20</v>
      </c>
      <c r="B130" s="167">
        <v>8.8062622309197647E-2</v>
      </c>
      <c r="C130" s="167">
        <v>8.8062622309197647E-2</v>
      </c>
      <c r="D130" s="123">
        <v>8.8062622309197647E-2</v>
      </c>
      <c r="F130" s="15">
        <f>(1-(E123))*D130</f>
        <v>7.9256360078277882E-2</v>
      </c>
      <c r="G130" s="16">
        <f>(1+(E123))*D130</f>
        <v>9.6868884540117425E-2</v>
      </c>
      <c r="J130" s="7">
        <f t="shared" ca="1" si="27"/>
        <v>8.2738359741056389</v>
      </c>
      <c r="N130" s="109">
        <f t="shared" ca="1" si="28"/>
        <v>0</v>
      </c>
    </row>
    <row r="131" spans="1:14" x14ac:dyDescent="0.25">
      <c r="A131" s="7" t="s">
        <v>21</v>
      </c>
      <c r="B131" s="167">
        <v>0</v>
      </c>
      <c r="C131" s="167">
        <v>0</v>
      </c>
      <c r="D131" s="123">
        <v>0</v>
      </c>
      <c r="F131" s="15">
        <f>(1-(E123))*D131</f>
        <v>0</v>
      </c>
      <c r="G131" s="16">
        <f>(1+(E123))*D131</f>
        <v>0</v>
      </c>
      <c r="J131" s="7">
        <f t="shared" ca="1" si="27"/>
        <v>0</v>
      </c>
      <c r="N131" s="109">
        <f t="shared" ca="1" si="28"/>
        <v>0</v>
      </c>
    </row>
    <row r="132" spans="1:14" x14ac:dyDescent="0.25">
      <c r="A132" s="7" t="s">
        <v>105</v>
      </c>
      <c r="B132" s="167">
        <v>0</v>
      </c>
      <c r="C132" s="167">
        <v>0</v>
      </c>
      <c r="D132" s="123">
        <v>0</v>
      </c>
      <c r="F132" s="15">
        <f>(1-(E123))*D132</f>
        <v>0</v>
      </c>
      <c r="G132" s="16">
        <f>(1+(E123))*D132</f>
        <v>0</v>
      </c>
      <c r="J132" s="7">
        <f t="shared" ca="1" si="27"/>
        <v>0</v>
      </c>
      <c r="N132" s="109">
        <f t="shared" ca="1" si="28"/>
        <v>0</v>
      </c>
    </row>
    <row r="133" spans="1:14" x14ac:dyDescent="0.25">
      <c r="F133" s="15"/>
      <c r="G133" s="16"/>
      <c r="N133" s="109">
        <f t="shared" ca="1" si="28"/>
        <v>122.3710234507638</v>
      </c>
    </row>
    <row r="134" spans="1:14" x14ac:dyDescent="0.25">
      <c r="A134" s="11" t="s">
        <v>24</v>
      </c>
      <c r="B134" s="122" t="s">
        <v>36</v>
      </c>
      <c r="C134" s="129" t="s">
        <v>116</v>
      </c>
      <c r="D134" s="129" t="s">
        <v>115</v>
      </c>
      <c r="E134" s="166">
        <v>0.1</v>
      </c>
      <c r="F134" s="15"/>
      <c r="G134" s="16"/>
      <c r="I134" s="7">
        <v>167.89999999999998</v>
      </c>
      <c r="N134" s="109">
        <f t="shared" ca="1" si="28"/>
        <v>0</v>
      </c>
    </row>
    <row r="135" spans="1:14" x14ac:dyDescent="0.25">
      <c r="A135" s="7" t="s">
        <v>15</v>
      </c>
      <c r="B135" s="167">
        <v>0</v>
      </c>
      <c r="C135" s="167">
        <v>0</v>
      </c>
      <c r="D135" s="123">
        <v>0</v>
      </c>
      <c r="F135" s="15">
        <f>(1-(E134))*D135</f>
        <v>0</v>
      </c>
      <c r="G135" s="16">
        <f>(1+(E134))*D135</f>
        <v>0</v>
      </c>
      <c r="J135" s="7">
        <f ca="1">$I$134*((RAND()*(G135-F135))+F135)</f>
        <v>0</v>
      </c>
      <c r="N135" s="109">
        <f t="shared" ca="1" si="28"/>
        <v>7.9407528357652843</v>
      </c>
    </row>
    <row r="136" spans="1:14" x14ac:dyDescent="0.25">
      <c r="A136" s="7" t="s">
        <v>16</v>
      </c>
      <c r="B136" s="167">
        <v>0</v>
      </c>
      <c r="C136" s="167">
        <v>0</v>
      </c>
      <c r="D136" s="123">
        <v>0</v>
      </c>
      <c r="F136" s="15">
        <f>(1-(E134))*D136</f>
        <v>0</v>
      </c>
      <c r="G136" s="16">
        <f>(1+(E134))*D136</f>
        <v>0</v>
      </c>
      <c r="J136" s="7">
        <f t="shared" ref="J136:J143" ca="1" si="29">$I$134*((RAND()*(G136-F136))+F136)</f>
        <v>0</v>
      </c>
      <c r="N136" s="111">
        <f t="shared" ca="1" si="28"/>
        <v>0</v>
      </c>
    </row>
    <row r="137" spans="1:14" x14ac:dyDescent="0.25">
      <c r="A137" s="7" t="s">
        <v>17</v>
      </c>
      <c r="B137" s="167">
        <v>0</v>
      </c>
      <c r="C137" s="167">
        <v>0</v>
      </c>
      <c r="D137" s="123">
        <v>0</v>
      </c>
      <c r="F137" s="15">
        <f>(1-(E134))*D137</f>
        <v>0</v>
      </c>
      <c r="G137" s="16">
        <f>(1+(E134))*D137</f>
        <v>0</v>
      </c>
      <c r="J137" s="7">
        <f t="shared" ca="1" si="29"/>
        <v>0</v>
      </c>
      <c r="N137" s="110">
        <f ca="1">J168</f>
        <v>0</v>
      </c>
    </row>
    <row r="138" spans="1:14" x14ac:dyDescent="0.25">
      <c r="A138" s="7" t="s">
        <v>18</v>
      </c>
      <c r="B138" s="167">
        <v>0</v>
      </c>
      <c r="C138" s="167">
        <v>0</v>
      </c>
      <c r="D138" s="123">
        <v>0</v>
      </c>
      <c r="F138" s="15">
        <f>(1-(E134))*D138</f>
        <v>0</v>
      </c>
      <c r="G138" s="16">
        <f>(1+(E134))*D138</f>
        <v>0</v>
      </c>
      <c r="J138" s="7">
        <f t="shared" ca="1" si="29"/>
        <v>0</v>
      </c>
      <c r="N138" s="109">
        <f ca="1">J169</f>
        <v>0</v>
      </c>
    </row>
    <row r="139" spans="1:14" x14ac:dyDescent="0.25">
      <c r="A139" s="7" t="s">
        <v>29</v>
      </c>
      <c r="B139" s="167">
        <v>0</v>
      </c>
      <c r="C139" s="167">
        <v>0</v>
      </c>
      <c r="D139" s="123">
        <v>0</v>
      </c>
      <c r="F139" s="15">
        <f>(1-(E134))*D139</f>
        <v>0</v>
      </c>
      <c r="G139" s="16">
        <f>(1+(E134))*D139</f>
        <v>0</v>
      </c>
      <c r="J139" s="7">
        <f t="shared" ca="1" si="29"/>
        <v>0</v>
      </c>
      <c r="N139" s="109">
        <f t="shared" ref="N139:N145" ca="1" si="30">J170</f>
        <v>0</v>
      </c>
    </row>
    <row r="140" spans="1:14" x14ac:dyDescent="0.25">
      <c r="A140" s="7" t="s">
        <v>19</v>
      </c>
      <c r="B140" s="167">
        <v>5.9970566593083148E-2</v>
      </c>
      <c r="C140" s="167">
        <v>5.9970566593083148E-2</v>
      </c>
      <c r="D140" s="123">
        <v>5.9970566593083148E-2</v>
      </c>
      <c r="F140" s="15">
        <f>(1-(E134))*D140</f>
        <v>5.3973509933774831E-2</v>
      </c>
      <c r="G140" s="16">
        <f>(1+(E134))*D140</f>
        <v>6.5967623252391472E-2</v>
      </c>
      <c r="J140" s="7">
        <f t="shared" ca="1" si="29"/>
        <v>9.9855912194810355</v>
      </c>
      <c r="N140" s="109">
        <f t="shared" ca="1" si="30"/>
        <v>0</v>
      </c>
    </row>
    <row r="141" spans="1:14" x14ac:dyDescent="0.25">
      <c r="A141" s="7" t="s">
        <v>20</v>
      </c>
      <c r="B141" s="167">
        <v>0.46173657100809418</v>
      </c>
      <c r="C141" s="167">
        <v>0.46173657100809418</v>
      </c>
      <c r="D141" s="123">
        <v>0.46173657100809418</v>
      </c>
      <c r="F141" s="15">
        <f>(1-(E134))*D141</f>
        <v>0.41556291390728478</v>
      </c>
      <c r="G141" s="16">
        <f>(1+(E134))*D141</f>
        <v>0.50791022810890363</v>
      </c>
      <c r="J141" s="7">
        <f t="shared" ca="1" si="29"/>
        <v>78.26462017096874</v>
      </c>
      <c r="N141" s="109">
        <f t="shared" ca="1" si="30"/>
        <v>0</v>
      </c>
    </row>
    <row r="142" spans="1:14" x14ac:dyDescent="0.25">
      <c r="A142" s="7" t="s">
        <v>21</v>
      </c>
      <c r="B142" s="167">
        <v>0.47829286239882263</v>
      </c>
      <c r="C142" s="167">
        <v>0.47829286239882263</v>
      </c>
      <c r="D142" s="123">
        <v>0.47829286239882263</v>
      </c>
      <c r="F142" s="15">
        <f>(1-(E134))*D142</f>
        <v>0.43046357615894038</v>
      </c>
      <c r="G142" s="16">
        <f>(1+(E134))*D142</f>
        <v>0.52612214863870488</v>
      </c>
      <c r="J142" s="7">
        <f t="shared" ca="1" si="29"/>
        <v>82.165082206312633</v>
      </c>
      <c r="N142" s="109">
        <f t="shared" ca="1" si="30"/>
        <v>0</v>
      </c>
    </row>
    <row r="143" spans="1:14" x14ac:dyDescent="0.25">
      <c r="A143" s="7" t="s">
        <v>105</v>
      </c>
      <c r="B143" s="167">
        <v>0</v>
      </c>
      <c r="C143" s="167">
        <v>0</v>
      </c>
      <c r="D143" s="123">
        <v>0</v>
      </c>
      <c r="F143" s="15">
        <f>(1-(E134))*D143</f>
        <v>0</v>
      </c>
      <c r="G143" s="16">
        <f>(1+(E134))*D143</f>
        <v>0</v>
      </c>
      <c r="J143" s="7">
        <f t="shared" ca="1" si="29"/>
        <v>0</v>
      </c>
      <c r="N143" s="109">
        <f t="shared" ca="1" si="30"/>
        <v>0</v>
      </c>
    </row>
    <row r="144" spans="1:14" x14ac:dyDescent="0.25">
      <c r="F144" s="15"/>
      <c r="G144" s="16"/>
      <c r="N144" s="109">
        <f t="shared" ca="1" si="30"/>
        <v>0</v>
      </c>
    </row>
    <row r="145" spans="1:14" x14ac:dyDescent="0.25">
      <c r="A145" s="11" t="s">
        <v>109</v>
      </c>
      <c r="B145" s="122" t="s">
        <v>36</v>
      </c>
      <c r="C145" s="122" t="s">
        <v>116</v>
      </c>
      <c r="D145" s="122" t="s">
        <v>115</v>
      </c>
      <c r="E145" s="166">
        <v>0.1</v>
      </c>
      <c r="F145" s="15"/>
      <c r="G145" s="16"/>
      <c r="I145" s="7">
        <v>493.5</v>
      </c>
      <c r="N145" s="109">
        <f t="shared" ca="1" si="30"/>
        <v>0</v>
      </c>
    </row>
    <row r="146" spans="1:14" x14ac:dyDescent="0.25">
      <c r="A146" s="7" t="s">
        <v>15</v>
      </c>
      <c r="B146" s="167">
        <v>0</v>
      </c>
      <c r="C146" s="167">
        <v>0</v>
      </c>
      <c r="D146" s="123">
        <v>0</v>
      </c>
      <c r="F146" s="16">
        <f>(1-(E145))*D146</f>
        <v>0</v>
      </c>
      <c r="G146" s="16">
        <f>(1+(E145))*D146</f>
        <v>0</v>
      </c>
      <c r="J146" s="7">
        <f ca="1">$I$145*((RAND()*(G146-F146))+F146)</f>
        <v>0</v>
      </c>
      <c r="N146" s="110">
        <f ca="1">J179</f>
        <v>0</v>
      </c>
    </row>
    <row r="147" spans="1:14" x14ac:dyDescent="0.25">
      <c r="A147" s="7" t="s">
        <v>16</v>
      </c>
      <c r="B147" s="167">
        <v>0</v>
      </c>
      <c r="C147" s="167">
        <v>0</v>
      </c>
      <c r="D147" s="123">
        <v>0</v>
      </c>
      <c r="F147" s="16">
        <f>(1-(E145))*D147</f>
        <v>0</v>
      </c>
      <c r="G147" s="16">
        <f>(1+(E145))*D147</f>
        <v>0</v>
      </c>
      <c r="J147" s="7">
        <f t="shared" ref="J147:J154" ca="1" si="31">$I$145*((RAND()*(G147-F147))+F147)</f>
        <v>0</v>
      </c>
      <c r="N147" s="109">
        <f t="shared" ref="N147:N154" ca="1" si="32">J180</f>
        <v>0</v>
      </c>
    </row>
    <row r="148" spans="1:14" x14ac:dyDescent="0.25">
      <c r="A148" s="7" t="s">
        <v>17</v>
      </c>
      <c r="B148" s="167">
        <v>0</v>
      </c>
      <c r="C148" s="167">
        <v>0</v>
      </c>
      <c r="D148" s="123">
        <v>0</v>
      </c>
      <c r="F148" s="16">
        <f>(1-(E145))*D148</f>
        <v>0</v>
      </c>
      <c r="G148" s="16">
        <f>(1+(E145))*D148</f>
        <v>0</v>
      </c>
      <c r="J148" s="7">
        <f t="shared" ca="1" si="31"/>
        <v>0</v>
      </c>
      <c r="N148" s="109">
        <f t="shared" ca="1" si="32"/>
        <v>0</v>
      </c>
    </row>
    <row r="149" spans="1:14" x14ac:dyDescent="0.25">
      <c r="A149" s="7" t="s">
        <v>18</v>
      </c>
      <c r="B149" s="167">
        <v>0</v>
      </c>
      <c r="C149" s="167">
        <v>0</v>
      </c>
      <c r="D149" s="123">
        <v>0</v>
      </c>
      <c r="F149" s="16">
        <f>(1-(E145))*D149</f>
        <v>0</v>
      </c>
      <c r="G149" s="16">
        <f>(1+(E145))*D149</f>
        <v>0</v>
      </c>
      <c r="J149" s="7">
        <f t="shared" ca="1" si="31"/>
        <v>0</v>
      </c>
      <c r="N149" s="109">
        <f t="shared" ca="1" si="32"/>
        <v>0</v>
      </c>
    </row>
    <row r="150" spans="1:14" x14ac:dyDescent="0.25">
      <c r="A150" s="7" t="s">
        <v>29</v>
      </c>
      <c r="B150" s="167">
        <v>0</v>
      </c>
      <c r="C150" s="167">
        <v>0</v>
      </c>
      <c r="D150" s="123">
        <v>0</v>
      </c>
      <c r="F150" s="16">
        <f>(1-(E145))*D150</f>
        <v>0</v>
      </c>
      <c r="G150" s="16">
        <f>(1+(E145))*D150</f>
        <v>0</v>
      </c>
      <c r="J150" s="7">
        <f t="shared" ca="1" si="31"/>
        <v>0</v>
      </c>
      <c r="N150" s="109">
        <f t="shared" ca="1" si="32"/>
        <v>0</v>
      </c>
    </row>
    <row r="151" spans="1:14" x14ac:dyDescent="0.25">
      <c r="A151" s="7" t="s">
        <v>19</v>
      </c>
      <c r="B151" s="167">
        <v>3.7136294027565082E-2</v>
      </c>
      <c r="C151" s="167">
        <v>3.7136294027565082E-2</v>
      </c>
      <c r="D151" s="123">
        <v>3.7136294027565082E-2</v>
      </c>
      <c r="F151" s="16">
        <f>(1-(E145))*D151</f>
        <v>3.3422664624808578E-2</v>
      </c>
      <c r="G151" s="16">
        <f>(1+(E145))*D151</f>
        <v>4.0849923430321594E-2</v>
      </c>
      <c r="J151" s="7">
        <f t="shared" ca="1" si="31"/>
        <v>18.823595543005741</v>
      </c>
      <c r="N151" s="109">
        <f t="shared" ca="1" si="32"/>
        <v>0</v>
      </c>
    </row>
    <row r="152" spans="1:14" x14ac:dyDescent="0.25">
      <c r="A152" s="7" t="s">
        <v>20</v>
      </c>
      <c r="B152" s="167">
        <v>0.45941807044410415</v>
      </c>
      <c r="C152" s="167">
        <v>0.45941807044410415</v>
      </c>
      <c r="D152" s="123">
        <v>0.45941807044410415</v>
      </c>
      <c r="F152" s="16">
        <f>(1-(E145))*D152</f>
        <v>0.41347626339969373</v>
      </c>
      <c r="G152" s="16">
        <f>(1+(E145))*D152</f>
        <v>0.50535987748851463</v>
      </c>
      <c r="J152" s="7">
        <f t="shared" ca="1" si="31"/>
        <v>215.22403624455606</v>
      </c>
      <c r="N152" s="109">
        <f t="shared" ca="1" si="32"/>
        <v>0</v>
      </c>
    </row>
    <row r="153" spans="1:14" x14ac:dyDescent="0.25">
      <c r="A153" s="7" t="s">
        <v>21</v>
      </c>
      <c r="B153" s="167">
        <v>0.4460183767228178</v>
      </c>
      <c r="C153" s="167">
        <v>0.4460183767228178</v>
      </c>
      <c r="D153" s="123">
        <v>0.4460183767228178</v>
      </c>
      <c r="F153" s="16">
        <f>(1-(E145))*D153</f>
        <v>0.40141653905053604</v>
      </c>
      <c r="G153" s="16">
        <f>(1+(E145))*D153</f>
        <v>0.49062021439509962</v>
      </c>
      <c r="J153" s="7">
        <f t="shared" ca="1" si="31"/>
        <v>216.08379902471904</v>
      </c>
      <c r="N153" s="109">
        <f t="shared" ca="1" si="32"/>
        <v>0</v>
      </c>
    </row>
    <row r="154" spans="1:14" x14ac:dyDescent="0.25">
      <c r="A154" s="7" t="s">
        <v>105</v>
      </c>
      <c r="B154" s="167">
        <v>5.7427258805513019E-2</v>
      </c>
      <c r="C154" s="167">
        <v>5.7427258805513019E-2</v>
      </c>
      <c r="D154" s="123">
        <v>5.7427258805513019E-2</v>
      </c>
      <c r="F154" s="16">
        <f>(1-(E145))*D154</f>
        <v>5.1684532924961717E-2</v>
      </c>
      <c r="G154" s="16">
        <f>(1+(E145))*D154</f>
        <v>6.3169984686064329E-2</v>
      </c>
      <c r="J154" s="7">
        <f t="shared" ca="1" si="31"/>
        <v>30.134149317535417</v>
      </c>
      <c r="N154" s="111">
        <f t="shared" ca="1" si="32"/>
        <v>0</v>
      </c>
    </row>
    <row r="155" spans="1:14" x14ac:dyDescent="0.25">
      <c r="F155" s="15"/>
      <c r="G155" s="16"/>
      <c r="N155" s="21">
        <f ca="1">J190</f>
        <v>0</v>
      </c>
    </row>
    <row r="156" spans="1:14" x14ac:dyDescent="0.25">
      <c r="A156" s="11" t="s">
        <v>110</v>
      </c>
      <c r="B156" s="122" t="s">
        <v>36</v>
      </c>
      <c r="C156" s="122" t="s">
        <v>116</v>
      </c>
      <c r="D156" s="122" t="s">
        <v>115</v>
      </c>
      <c r="E156" s="166">
        <v>0.1</v>
      </c>
      <c r="F156" s="15"/>
      <c r="G156" s="16"/>
      <c r="I156" s="7">
        <v>137.6</v>
      </c>
      <c r="N156" s="22">
        <f t="shared" ref="N156:N163" ca="1" si="33">J191</f>
        <v>0</v>
      </c>
    </row>
    <row r="157" spans="1:14" x14ac:dyDescent="0.25">
      <c r="A157" s="7" t="s">
        <v>15</v>
      </c>
      <c r="B157" s="167">
        <v>0</v>
      </c>
      <c r="C157" s="167">
        <v>0</v>
      </c>
      <c r="D157" s="123">
        <v>0</v>
      </c>
      <c r="F157" s="16">
        <f>(1-(E156))*D157</f>
        <v>0</v>
      </c>
      <c r="G157" s="16">
        <f>(1+(E156))*D157</f>
        <v>0</v>
      </c>
      <c r="J157" s="7">
        <f ca="1">$I$156*((RAND()*(G157-F157))+F157)</f>
        <v>0</v>
      </c>
      <c r="N157" s="22">
        <f t="shared" ca="1" si="33"/>
        <v>0</v>
      </c>
    </row>
    <row r="158" spans="1:14" x14ac:dyDescent="0.25">
      <c r="A158" s="7" t="s">
        <v>16</v>
      </c>
      <c r="B158" s="167">
        <v>0</v>
      </c>
      <c r="C158" s="167">
        <v>0</v>
      </c>
      <c r="D158" s="123">
        <v>0</v>
      </c>
      <c r="F158" s="16">
        <f>(1-(E156))*D158</f>
        <v>0</v>
      </c>
      <c r="G158" s="16">
        <f>(1+(E156))*D158</f>
        <v>0</v>
      </c>
      <c r="J158" s="7">
        <f t="shared" ref="J158:J165" ca="1" si="34">$I$156*((RAND()*(G158-F158))+F158)</f>
        <v>0</v>
      </c>
      <c r="N158" s="22">
        <f t="shared" ca="1" si="33"/>
        <v>0</v>
      </c>
    </row>
    <row r="159" spans="1:14" x14ac:dyDescent="0.25">
      <c r="A159" s="7" t="s">
        <v>17</v>
      </c>
      <c r="B159" s="167">
        <v>0</v>
      </c>
      <c r="C159" s="167">
        <v>0</v>
      </c>
      <c r="D159" s="123">
        <v>0</v>
      </c>
      <c r="F159" s="16">
        <f>(1-(E156))*D159</f>
        <v>0</v>
      </c>
      <c r="G159" s="16">
        <f>(1+(E156))*D159</f>
        <v>0</v>
      </c>
      <c r="J159" s="7">
        <f t="shared" ca="1" si="34"/>
        <v>0</v>
      </c>
      <c r="N159" s="22">
        <f t="shared" ca="1" si="33"/>
        <v>0</v>
      </c>
    </row>
    <row r="160" spans="1:14" x14ac:dyDescent="0.25">
      <c r="A160" s="7" t="s">
        <v>18</v>
      </c>
      <c r="B160" s="167">
        <v>0</v>
      </c>
      <c r="C160" s="167">
        <v>0</v>
      </c>
      <c r="D160" s="123">
        <v>0</v>
      </c>
      <c r="F160" s="16">
        <f>(1-(E156))*D160</f>
        <v>0</v>
      </c>
      <c r="G160" s="16">
        <f>(1+(E156))*D160</f>
        <v>0</v>
      </c>
      <c r="J160" s="7">
        <f t="shared" ca="1" si="34"/>
        <v>0</v>
      </c>
      <c r="N160" s="22">
        <f t="shared" ca="1" si="33"/>
        <v>0</v>
      </c>
    </row>
    <row r="161" spans="1:14" x14ac:dyDescent="0.25">
      <c r="A161" s="7" t="s">
        <v>29</v>
      </c>
      <c r="B161" s="167">
        <v>0</v>
      </c>
      <c r="C161" s="167">
        <v>0</v>
      </c>
      <c r="D161" s="123">
        <v>0</v>
      </c>
      <c r="F161" s="16">
        <f>(1-(E156))*D161</f>
        <v>0</v>
      </c>
      <c r="G161" s="16">
        <f>(1+(E156))*D161</f>
        <v>0</v>
      </c>
      <c r="J161" s="7">
        <f t="shared" ca="1" si="34"/>
        <v>0</v>
      </c>
      <c r="N161" s="22">
        <f t="shared" ca="1" si="33"/>
        <v>0</v>
      </c>
    </row>
    <row r="162" spans="1:14" x14ac:dyDescent="0.25">
      <c r="A162" s="7" t="s">
        <v>19</v>
      </c>
      <c r="B162" s="167">
        <v>0.93975903614457834</v>
      </c>
      <c r="C162" s="167">
        <v>0.93975903614457834</v>
      </c>
      <c r="D162" s="123">
        <v>0.93975903614457834</v>
      </c>
      <c r="F162" s="16">
        <f>(1-(E156))*D162</f>
        <v>0.8457831325301205</v>
      </c>
      <c r="G162" s="16">
        <f>(1+(E156))*D162</f>
        <v>1.0337349397590363</v>
      </c>
      <c r="J162" s="7">
        <f t="shared" ca="1" si="34"/>
        <v>122.3710234507638</v>
      </c>
      <c r="N162" s="22">
        <f t="shared" ca="1" si="33"/>
        <v>0</v>
      </c>
    </row>
    <row r="163" spans="1:14" x14ac:dyDescent="0.25">
      <c r="A163" s="7" t="s">
        <v>20</v>
      </c>
      <c r="B163" s="167">
        <v>0</v>
      </c>
      <c r="C163" s="167">
        <v>0</v>
      </c>
      <c r="D163" s="123">
        <v>0</v>
      </c>
      <c r="F163" s="16">
        <f>(1-(E156))*D163</f>
        <v>0</v>
      </c>
      <c r="G163" s="16">
        <f>(1+(E156))*D163</f>
        <v>0</v>
      </c>
      <c r="J163" s="7">
        <f t="shared" ca="1" si="34"/>
        <v>0</v>
      </c>
      <c r="N163" s="17">
        <f t="shared" ca="1" si="33"/>
        <v>0</v>
      </c>
    </row>
    <row r="164" spans="1:14" x14ac:dyDescent="0.25">
      <c r="A164" s="7" t="s">
        <v>21</v>
      </c>
      <c r="B164" s="167">
        <v>6.0240963855421686E-2</v>
      </c>
      <c r="C164" s="167">
        <v>6.0240963855421686E-2</v>
      </c>
      <c r="D164" s="123">
        <v>6.0240963855421686E-2</v>
      </c>
      <c r="F164" s="16">
        <f>(1-(E156))*D164</f>
        <v>5.4216867469879519E-2</v>
      </c>
      <c r="G164" s="16">
        <f>(1+(E156))*D164</f>
        <v>6.6265060240963861E-2</v>
      </c>
      <c r="J164" s="7">
        <f t="shared" ca="1" si="34"/>
        <v>7.9407528357652843</v>
      </c>
      <c r="N164" s="110">
        <f ca="1">J201</f>
        <v>0</v>
      </c>
    </row>
    <row r="165" spans="1:14" x14ac:dyDescent="0.25">
      <c r="A165" s="7" t="s">
        <v>105</v>
      </c>
      <c r="B165" s="167">
        <v>0</v>
      </c>
      <c r="C165" s="167">
        <v>0</v>
      </c>
      <c r="D165" s="123">
        <v>0</v>
      </c>
      <c r="F165" s="16">
        <f>(1-(E156))*D165</f>
        <v>0</v>
      </c>
      <c r="G165" s="16">
        <f>(1+(E156))*D165</f>
        <v>0</v>
      </c>
      <c r="J165" s="7">
        <f t="shared" ca="1" si="34"/>
        <v>0</v>
      </c>
      <c r="N165" s="109">
        <f t="shared" ref="N165:N172" ca="1" si="35">J202</f>
        <v>0</v>
      </c>
    </row>
    <row r="166" spans="1:14" x14ac:dyDescent="0.25">
      <c r="F166" s="15"/>
      <c r="G166" s="16"/>
      <c r="N166" s="109">
        <f t="shared" ca="1" si="35"/>
        <v>0</v>
      </c>
    </row>
    <row r="167" spans="1:14" x14ac:dyDescent="0.25">
      <c r="F167" s="15"/>
      <c r="G167" s="16"/>
      <c r="N167" s="109">
        <f t="shared" ca="1" si="35"/>
        <v>0</v>
      </c>
    </row>
    <row r="168" spans="1:14" x14ac:dyDescent="0.25">
      <c r="B168" s="150"/>
      <c r="C168" s="150"/>
      <c r="F168" s="130">
        <f t="shared" ref="F168:F176" si="36">0.9*D168</f>
        <v>0</v>
      </c>
      <c r="G168" s="131">
        <f t="shared" ref="G168:G176" si="37">1.1*D168</f>
        <v>0</v>
      </c>
      <c r="J168" s="7">
        <f ca="1">$I$167*((RAND()*(G168-F168))+F168)</f>
        <v>0</v>
      </c>
      <c r="N168" s="109">
        <f t="shared" ca="1" si="35"/>
        <v>0</v>
      </c>
    </row>
    <row r="169" spans="1:14" x14ac:dyDescent="0.25">
      <c r="B169" s="150"/>
      <c r="C169" s="150"/>
      <c r="F169" s="132">
        <f t="shared" si="36"/>
        <v>0</v>
      </c>
      <c r="G169" s="133">
        <f t="shared" si="37"/>
        <v>0</v>
      </c>
      <c r="J169" s="7">
        <f t="shared" ref="J169:J176" ca="1" si="38">$I$167*((RAND()*(G169-F169))+F169)</f>
        <v>0</v>
      </c>
      <c r="N169" s="109">
        <f t="shared" ca="1" si="35"/>
        <v>0</v>
      </c>
    </row>
    <row r="170" spans="1:14" x14ac:dyDescent="0.25">
      <c r="B170" s="150"/>
      <c r="C170" s="150"/>
      <c r="F170" s="132">
        <f t="shared" si="36"/>
        <v>0</v>
      </c>
      <c r="G170" s="133">
        <f t="shared" si="37"/>
        <v>0</v>
      </c>
      <c r="J170" s="7">
        <f t="shared" ca="1" si="38"/>
        <v>0</v>
      </c>
      <c r="N170" s="109">
        <f t="shared" ca="1" si="35"/>
        <v>0</v>
      </c>
    </row>
    <row r="171" spans="1:14" x14ac:dyDescent="0.25">
      <c r="B171" s="150"/>
      <c r="C171" s="150"/>
      <c r="F171" s="132">
        <f t="shared" si="36"/>
        <v>0</v>
      </c>
      <c r="G171" s="133">
        <f t="shared" si="37"/>
        <v>0</v>
      </c>
      <c r="J171" s="7">
        <f t="shared" ca="1" si="38"/>
        <v>0</v>
      </c>
      <c r="N171" s="109">
        <f t="shared" ca="1" si="35"/>
        <v>0</v>
      </c>
    </row>
    <row r="172" spans="1:14" x14ac:dyDescent="0.25">
      <c r="B172" s="150"/>
      <c r="C172" s="150"/>
      <c r="F172" s="132">
        <f t="shared" si="36"/>
        <v>0</v>
      </c>
      <c r="G172" s="133">
        <f t="shared" si="37"/>
        <v>0</v>
      </c>
      <c r="J172" s="7">
        <f t="shared" ca="1" si="38"/>
        <v>0</v>
      </c>
      <c r="N172" s="111">
        <f t="shared" ca="1" si="35"/>
        <v>0</v>
      </c>
    </row>
    <row r="173" spans="1:14" x14ac:dyDescent="0.25">
      <c r="B173" s="150"/>
      <c r="C173" s="150"/>
      <c r="F173" s="132">
        <f t="shared" si="36"/>
        <v>0</v>
      </c>
      <c r="G173" s="133">
        <f t="shared" si="37"/>
        <v>0</v>
      </c>
      <c r="J173" s="7">
        <f t="shared" ca="1" si="38"/>
        <v>0</v>
      </c>
      <c r="N173" s="110">
        <f ca="1">J212</f>
        <v>0</v>
      </c>
    </row>
    <row r="174" spans="1:14" x14ac:dyDescent="0.25">
      <c r="B174" s="150"/>
      <c r="C174" s="150"/>
      <c r="F174" s="132">
        <f t="shared" si="36"/>
        <v>0</v>
      </c>
      <c r="G174" s="133">
        <f t="shared" si="37"/>
        <v>0</v>
      </c>
      <c r="J174" s="7">
        <f t="shared" ca="1" si="38"/>
        <v>0</v>
      </c>
      <c r="N174" s="109">
        <f t="shared" ref="N174:N181" ca="1" si="39">J213</f>
        <v>0</v>
      </c>
    </row>
    <row r="175" spans="1:14" x14ac:dyDescent="0.25">
      <c r="B175" s="150"/>
      <c r="C175" s="150"/>
      <c r="F175" s="132">
        <f t="shared" si="36"/>
        <v>0</v>
      </c>
      <c r="G175" s="133">
        <f t="shared" si="37"/>
        <v>0</v>
      </c>
      <c r="J175" s="7">
        <f t="shared" ca="1" si="38"/>
        <v>0</v>
      </c>
      <c r="N175" s="109">
        <f t="shared" ca="1" si="39"/>
        <v>0</v>
      </c>
    </row>
    <row r="176" spans="1:14" x14ac:dyDescent="0.25">
      <c r="B176" s="150"/>
      <c r="C176" s="150"/>
      <c r="F176" s="134">
        <f t="shared" si="36"/>
        <v>0</v>
      </c>
      <c r="G176" s="135">
        <f t="shared" si="37"/>
        <v>0</v>
      </c>
      <c r="J176" s="7">
        <f t="shared" ca="1" si="38"/>
        <v>0</v>
      </c>
      <c r="N176" s="109">
        <f t="shared" ca="1" si="39"/>
        <v>0</v>
      </c>
    </row>
    <row r="177" spans="2:14" x14ac:dyDescent="0.25">
      <c r="F177" s="15"/>
      <c r="G177" s="16"/>
      <c r="N177" s="109">
        <f t="shared" ca="1" si="39"/>
        <v>0</v>
      </c>
    </row>
    <row r="178" spans="2:14" x14ac:dyDescent="0.25">
      <c r="F178" s="15"/>
      <c r="G178" s="16"/>
      <c r="N178" s="109">
        <f t="shared" ca="1" si="39"/>
        <v>0</v>
      </c>
    </row>
    <row r="179" spans="2:14" x14ac:dyDescent="0.25">
      <c r="B179" s="150"/>
      <c r="C179" s="150"/>
      <c r="F179" s="130">
        <f t="shared" ref="F179:F187" si="40">0.9*D179</f>
        <v>0</v>
      </c>
      <c r="G179" s="151">
        <f t="shared" ref="G179:G187" si="41">1.1*D179</f>
        <v>0</v>
      </c>
      <c r="J179" s="7">
        <f ca="1">$I$178*((RAND()*(G179-F179))+F179)</f>
        <v>0</v>
      </c>
      <c r="N179" s="109">
        <f t="shared" ca="1" si="39"/>
        <v>0</v>
      </c>
    </row>
    <row r="180" spans="2:14" x14ac:dyDescent="0.25">
      <c r="B180" s="150"/>
      <c r="C180" s="150"/>
      <c r="F180" s="132">
        <f t="shared" si="40"/>
        <v>0</v>
      </c>
      <c r="G180" s="152">
        <f t="shared" si="41"/>
        <v>0</v>
      </c>
      <c r="J180" s="7">
        <f t="shared" ref="J180:J187" ca="1" si="42">$I$178*((RAND()*(G180-F180))+F180)</f>
        <v>0</v>
      </c>
      <c r="N180" s="109">
        <f t="shared" ca="1" si="39"/>
        <v>0</v>
      </c>
    </row>
    <row r="181" spans="2:14" x14ac:dyDescent="0.25">
      <c r="B181" s="150"/>
      <c r="C181" s="150"/>
      <c r="F181" s="132">
        <f t="shared" si="40"/>
        <v>0</v>
      </c>
      <c r="G181" s="152">
        <f t="shared" si="41"/>
        <v>0</v>
      </c>
      <c r="J181" s="7">
        <f t="shared" ca="1" si="42"/>
        <v>0</v>
      </c>
      <c r="N181" s="111">
        <f t="shared" ca="1" si="39"/>
        <v>0</v>
      </c>
    </row>
    <row r="182" spans="2:14" x14ac:dyDescent="0.25">
      <c r="B182" s="150"/>
      <c r="C182" s="150"/>
      <c r="F182" s="132">
        <f t="shared" si="40"/>
        <v>0</v>
      </c>
      <c r="G182" s="152">
        <f t="shared" si="41"/>
        <v>0</v>
      </c>
      <c r="J182" s="7">
        <f t="shared" ca="1" si="42"/>
        <v>0</v>
      </c>
      <c r="N182" s="110">
        <f ca="1">J223</f>
        <v>0</v>
      </c>
    </row>
    <row r="183" spans="2:14" x14ac:dyDescent="0.25">
      <c r="B183" s="150"/>
      <c r="C183" s="150"/>
      <c r="F183" s="132">
        <f t="shared" si="40"/>
        <v>0</v>
      </c>
      <c r="G183" s="152">
        <f t="shared" si="41"/>
        <v>0</v>
      </c>
      <c r="J183" s="7">
        <f t="shared" ca="1" si="42"/>
        <v>0</v>
      </c>
      <c r="N183" s="109">
        <f t="shared" ref="N183:N190" ca="1" si="43">J224</f>
        <v>0</v>
      </c>
    </row>
    <row r="184" spans="2:14" x14ac:dyDescent="0.25">
      <c r="B184" s="150"/>
      <c r="C184" s="150"/>
      <c r="F184" s="132">
        <f t="shared" si="40"/>
        <v>0</v>
      </c>
      <c r="G184" s="152">
        <f t="shared" si="41"/>
        <v>0</v>
      </c>
      <c r="J184" s="7">
        <f t="shared" ca="1" si="42"/>
        <v>0</v>
      </c>
      <c r="N184" s="109">
        <f t="shared" ca="1" si="43"/>
        <v>0</v>
      </c>
    </row>
    <row r="185" spans="2:14" x14ac:dyDescent="0.25">
      <c r="B185" s="150"/>
      <c r="C185" s="150"/>
      <c r="F185" s="132">
        <f t="shared" si="40"/>
        <v>0</v>
      </c>
      <c r="G185" s="152">
        <f t="shared" si="41"/>
        <v>0</v>
      </c>
      <c r="J185" s="7">
        <f t="shared" ca="1" si="42"/>
        <v>0</v>
      </c>
      <c r="N185" s="109">
        <f t="shared" ca="1" si="43"/>
        <v>0</v>
      </c>
    </row>
    <row r="186" spans="2:14" x14ac:dyDescent="0.25">
      <c r="B186" s="150"/>
      <c r="C186" s="150"/>
      <c r="F186" s="132">
        <f t="shared" si="40"/>
        <v>0</v>
      </c>
      <c r="G186" s="152">
        <f t="shared" si="41"/>
        <v>0</v>
      </c>
      <c r="J186" s="7">
        <f t="shared" ca="1" si="42"/>
        <v>0</v>
      </c>
      <c r="N186" s="109">
        <f t="shared" ca="1" si="43"/>
        <v>0</v>
      </c>
    </row>
    <row r="187" spans="2:14" x14ac:dyDescent="0.25">
      <c r="B187" s="150"/>
      <c r="C187" s="150"/>
      <c r="F187" s="134">
        <f t="shared" si="40"/>
        <v>0</v>
      </c>
      <c r="G187" s="153">
        <f t="shared" si="41"/>
        <v>0</v>
      </c>
      <c r="J187" s="7">
        <f t="shared" ca="1" si="42"/>
        <v>0</v>
      </c>
      <c r="N187" s="109">
        <f t="shared" ca="1" si="43"/>
        <v>0</v>
      </c>
    </row>
    <row r="188" spans="2:14" x14ac:dyDescent="0.25">
      <c r="F188" s="15"/>
      <c r="G188" s="16"/>
      <c r="N188" s="109">
        <f t="shared" ca="1" si="43"/>
        <v>0</v>
      </c>
    </row>
    <row r="189" spans="2:14" x14ac:dyDescent="0.25">
      <c r="F189" s="15"/>
      <c r="G189" s="16"/>
      <c r="N189" s="109">
        <f t="shared" ca="1" si="43"/>
        <v>0</v>
      </c>
    </row>
    <row r="190" spans="2:14" x14ac:dyDescent="0.25">
      <c r="F190" s="130">
        <f t="shared" ref="F190:F203" si="44">D190*0.9</f>
        <v>0</v>
      </c>
      <c r="G190" s="131">
        <f t="shared" ref="G190:G203" si="45">1.1*D190</f>
        <v>0</v>
      </c>
      <c r="J190" s="7">
        <f ca="1">$I$189*((RAND()*(G190-F190))+F190)</f>
        <v>0</v>
      </c>
      <c r="N190" s="111">
        <f t="shared" ca="1" si="43"/>
        <v>0</v>
      </c>
    </row>
    <row r="191" spans="2:14" x14ac:dyDescent="0.25">
      <c r="F191" s="132">
        <f t="shared" si="44"/>
        <v>0</v>
      </c>
      <c r="G191" s="133">
        <f t="shared" si="45"/>
        <v>0</v>
      </c>
      <c r="J191" s="7">
        <f t="shared" ref="J191:J198" ca="1" si="46">$I$189*((RAND()*(G191-F191))+F191)</f>
        <v>0</v>
      </c>
      <c r="N191" s="110">
        <f ca="1">J234</f>
        <v>0</v>
      </c>
    </row>
    <row r="192" spans="2:14" x14ac:dyDescent="0.25">
      <c r="F192" s="132">
        <f t="shared" si="44"/>
        <v>0</v>
      </c>
      <c r="G192" s="133">
        <f t="shared" si="45"/>
        <v>0</v>
      </c>
      <c r="J192" s="7">
        <f t="shared" ca="1" si="46"/>
        <v>0</v>
      </c>
      <c r="N192" s="109">
        <f t="shared" ref="N192:N199" ca="1" si="47">J235</f>
        <v>0</v>
      </c>
    </row>
    <row r="193" spans="6:14" x14ac:dyDescent="0.25">
      <c r="F193" s="132">
        <f t="shared" si="44"/>
        <v>0</v>
      </c>
      <c r="G193" s="133">
        <f t="shared" si="45"/>
        <v>0</v>
      </c>
      <c r="J193" s="7">
        <f t="shared" ca="1" si="46"/>
        <v>0</v>
      </c>
      <c r="N193" s="109">
        <f t="shared" ca="1" si="47"/>
        <v>0</v>
      </c>
    </row>
    <row r="194" spans="6:14" x14ac:dyDescent="0.25">
      <c r="F194" s="132">
        <f t="shared" si="44"/>
        <v>0</v>
      </c>
      <c r="G194" s="133">
        <f t="shared" si="45"/>
        <v>0</v>
      </c>
      <c r="J194" s="7">
        <f t="shared" ca="1" si="46"/>
        <v>0</v>
      </c>
      <c r="N194" s="109">
        <f t="shared" ca="1" si="47"/>
        <v>0</v>
      </c>
    </row>
    <row r="195" spans="6:14" x14ac:dyDescent="0.25">
      <c r="F195" s="132">
        <f t="shared" si="44"/>
        <v>0</v>
      </c>
      <c r="G195" s="133">
        <f t="shared" si="45"/>
        <v>0</v>
      </c>
      <c r="J195" s="7">
        <f t="shared" ca="1" si="46"/>
        <v>0</v>
      </c>
      <c r="N195" s="109">
        <f t="shared" ca="1" si="47"/>
        <v>0</v>
      </c>
    </row>
    <row r="196" spans="6:14" x14ac:dyDescent="0.25">
      <c r="F196" s="132">
        <f t="shared" si="44"/>
        <v>0</v>
      </c>
      <c r="G196" s="133">
        <f t="shared" si="45"/>
        <v>0</v>
      </c>
      <c r="J196" s="7">
        <f t="shared" ca="1" si="46"/>
        <v>0</v>
      </c>
      <c r="N196" s="109">
        <f t="shared" ca="1" si="47"/>
        <v>0</v>
      </c>
    </row>
    <row r="197" spans="6:14" x14ac:dyDescent="0.25">
      <c r="F197" s="132">
        <f t="shared" si="44"/>
        <v>0</v>
      </c>
      <c r="G197" s="133">
        <f t="shared" si="45"/>
        <v>0</v>
      </c>
      <c r="J197" s="7">
        <f t="shared" ca="1" si="46"/>
        <v>0</v>
      </c>
      <c r="N197" s="109">
        <f t="shared" ca="1" si="47"/>
        <v>0</v>
      </c>
    </row>
    <row r="198" spans="6:14" x14ac:dyDescent="0.25">
      <c r="F198" s="134">
        <f t="shared" si="44"/>
        <v>0</v>
      </c>
      <c r="G198" s="135">
        <f t="shared" si="45"/>
        <v>0</v>
      </c>
      <c r="J198" s="7">
        <f t="shared" ca="1" si="46"/>
        <v>0</v>
      </c>
      <c r="N198" s="109">
        <f t="shared" ca="1" si="47"/>
        <v>0</v>
      </c>
    </row>
    <row r="199" spans="6:14" x14ac:dyDescent="0.25">
      <c r="F199" s="15"/>
      <c r="G199" s="16"/>
      <c r="N199" s="111">
        <f t="shared" ca="1" si="47"/>
        <v>0</v>
      </c>
    </row>
    <row r="200" spans="6:14" x14ac:dyDescent="0.25">
      <c r="F200" s="15"/>
      <c r="G200" s="16"/>
      <c r="N200" s="110">
        <f ca="1">J245</f>
        <v>0</v>
      </c>
    </row>
    <row r="201" spans="6:14" x14ac:dyDescent="0.25">
      <c r="F201" s="130">
        <f t="shared" si="44"/>
        <v>0</v>
      </c>
      <c r="G201" s="131">
        <f t="shared" si="45"/>
        <v>0</v>
      </c>
      <c r="J201" s="7">
        <f ca="1">$I$200*((RAND()*(G201-F201))+F201)</f>
        <v>0</v>
      </c>
      <c r="N201" s="109">
        <f t="shared" ref="N201:N208" ca="1" si="48">J246</f>
        <v>0</v>
      </c>
    </row>
    <row r="202" spans="6:14" x14ac:dyDescent="0.25">
      <c r="F202" s="132">
        <f t="shared" si="44"/>
        <v>0</v>
      </c>
      <c r="G202" s="133">
        <f t="shared" si="45"/>
        <v>0</v>
      </c>
      <c r="J202" s="7">
        <f t="shared" ref="J202:J209" ca="1" si="49">$I$200*((RAND()*(G202-F202))+F202)</f>
        <v>0</v>
      </c>
      <c r="N202" s="109">
        <f t="shared" ca="1" si="48"/>
        <v>0</v>
      </c>
    </row>
    <row r="203" spans="6:14" x14ac:dyDescent="0.25">
      <c r="F203" s="132">
        <f t="shared" si="44"/>
        <v>0</v>
      </c>
      <c r="G203" s="133">
        <f t="shared" si="45"/>
        <v>0</v>
      </c>
      <c r="J203" s="7">
        <f t="shared" ca="1" si="49"/>
        <v>0</v>
      </c>
      <c r="N203" s="109">
        <f t="shared" ca="1" si="48"/>
        <v>0</v>
      </c>
    </row>
    <row r="204" spans="6:14" x14ac:dyDescent="0.25">
      <c r="F204" s="132">
        <f t="shared" ref="F204:F267" si="50">D204*0.9</f>
        <v>0</v>
      </c>
      <c r="G204" s="133">
        <f t="shared" ref="G204:G267" si="51">1.1*D204</f>
        <v>0</v>
      </c>
      <c r="J204" s="7">
        <f t="shared" ca="1" si="49"/>
        <v>0</v>
      </c>
      <c r="N204" s="109">
        <f t="shared" ca="1" si="48"/>
        <v>0</v>
      </c>
    </row>
    <row r="205" spans="6:14" x14ac:dyDescent="0.25">
      <c r="F205" s="132">
        <f t="shared" si="50"/>
        <v>0</v>
      </c>
      <c r="G205" s="133">
        <f t="shared" si="51"/>
        <v>0</v>
      </c>
      <c r="J205" s="7">
        <f t="shared" ca="1" si="49"/>
        <v>0</v>
      </c>
      <c r="N205" s="109">
        <f t="shared" ca="1" si="48"/>
        <v>0</v>
      </c>
    </row>
    <row r="206" spans="6:14" x14ac:dyDescent="0.25">
      <c r="F206" s="132">
        <f t="shared" si="50"/>
        <v>0</v>
      </c>
      <c r="G206" s="133">
        <f t="shared" si="51"/>
        <v>0</v>
      </c>
      <c r="J206" s="7">
        <f t="shared" ca="1" si="49"/>
        <v>0</v>
      </c>
      <c r="N206" s="109">
        <f t="shared" ca="1" si="48"/>
        <v>0</v>
      </c>
    </row>
    <row r="207" spans="6:14" x14ac:dyDescent="0.25">
      <c r="F207" s="132">
        <f>D207*0.9</f>
        <v>0</v>
      </c>
      <c r="G207" s="133">
        <f t="shared" si="51"/>
        <v>0</v>
      </c>
      <c r="J207" s="7">
        <f t="shared" ca="1" si="49"/>
        <v>0</v>
      </c>
      <c r="N207" s="109">
        <f t="shared" ca="1" si="48"/>
        <v>0</v>
      </c>
    </row>
    <row r="208" spans="6:14" x14ac:dyDescent="0.25">
      <c r="F208" s="132">
        <f t="shared" si="50"/>
        <v>0</v>
      </c>
      <c r="G208" s="133">
        <f t="shared" si="51"/>
        <v>0</v>
      </c>
      <c r="J208" s="7">
        <f t="shared" ca="1" si="49"/>
        <v>0</v>
      </c>
      <c r="N208" s="111">
        <f t="shared" ca="1" si="48"/>
        <v>0</v>
      </c>
    </row>
    <row r="209" spans="6:14" x14ac:dyDescent="0.25">
      <c r="F209" s="134">
        <f t="shared" si="50"/>
        <v>0</v>
      </c>
      <c r="G209" s="135">
        <f t="shared" si="51"/>
        <v>0</v>
      </c>
      <c r="J209" s="7">
        <f t="shared" ca="1" si="49"/>
        <v>0</v>
      </c>
      <c r="N209" s="110">
        <f ca="1">J256</f>
        <v>0</v>
      </c>
    </row>
    <row r="210" spans="6:14" x14ac:dyDescent="0.25">
      <c r="F210" s="15"/>
      <c r="G210" s="16"/>
      <c r="N210" s="109">
        <f t="shared" ref="N210:N217" ca="1" si="52">J257</f>
        <v>0</v>
      </c>
    </row>
    <row r="211" spans="6:14" x14ac:dyDescent="0.25">
      <c r="F211" s="15"/>
      <c r="G211" s="16"/>
      <c r="N211" s="109">
        <f t="shared" ca="1" si="52"/>
        <v>0</v>
      </c>
    </row>
    <row r="212" spans="6:14" x14ac:dyDescent="0.25">
      <c r="F212" s="130">
        <f t="shared" si="50"/>
        <v>0</v>
      </c>
      <c r="G212" s="131">
        <f t="shared" si="51"/>
        <v>0</v>
      </c>
      <c r="J212" s="7">
        <f ca="1">$I$211*((RAND()*(G212-F212))+F212)</f>
        <v>0</v>
      </c>
      <c r="N212" s="109">
        <f t="shared" ca="1" si="52"/>
        <v>0</v>
      </c>
    </row>
    <row r="213" spans="6:14" x14ac:dyDescent="0.25">
      <c r="F213" s="132">
        <f t="shared" si="50"/>
        <v>0</v>
      </c>
      <c r="G213" s="133">
        <f t="shared" si="51"/>
        <v>0</v>
      </c>
      <c r="J213" s="7">
        <f t="shared" ref="J213:J220" ca="1" si="53">$I$211*((RAND()*(G213-F213))+F213)</f>
        <v>0</v>
      </c>
      <c r="N213" s="109">
        <f t="shared" ca="1" si="52"/>
        <v>0</v>
      </c>
    </row>
    <row r="214" spans="6:14" x14ac:dyDescent="0.25">
      <c r="F214" s="132">
        <f t="shared" si="50"/>
        <v>0</v>
      </c>
      <c r="G214" s="133">
        <f t="shared" si="51"/>
        <v>0</v>
      </c>
      <c r="J214" s="7">
        <f t="shared" ca="1" si="53"/>
        <v>0</v>
      </c>
      <c r="N214" s="109">
        <f t="shared" ca="1" si="52"/>
        <v>0</v>
      </c>
    </row>
    <row r="215" spans="6:14" x14ac:dyDescent="0.25">
      <c r="F215" s="132">
        <f t="shared" si="50"/>
        <v>0</v>
      </c>
      <c r="G215" s="133">
        <f t="shared" si="51"/>
        <v>0</v>
      </c>
      <c r="J215" s="7">
        <f t="shared" ca="1" si="53"/>
        <v>0</v>
      </c>
      <c r="N215" s="109">
        <f t="shared" ca="1" si="52"/>
        <v>0</v>
      </c>
    </row>
    <row r="216" spans="6:14" x14ac:dyDescent="0.25">
      <c r="F216" s="132">
        <f t="shared" si="50"/>
        <v>0</v>
      </c>
      <c r="G216" s="133">
        <f t="shared" si="51"/>
        <v>0</v>
      </c>
      <c r="J216" s="7">
        <f t="shared" ca="1" si="53"/>
        <v>0</v>
      </c>
      <c r="N216" s="109">
        <f t="shared" ca="1" si="52"/>
        <v>0</v>
      </c>
    </row>
    <row r="217" spans="6:14" x14ac:dyDescent="0.25">
      <c r="F217" s="132">
        <f t="shared" si="50"/>
        <v>0</v>
      </c>
      <c r="G217" s="133">
        <f t="shared" si="51"/>
        <v>0</v>
      </c>
      <c r="J217" s="7">
        <f t="shared" ca="1" si="53"/>
        <v>0</v>
      </c>
      <c r="N217" s="111">
        <f t="shared" ca="1" si="52"/>
        <v>0</v>
      </c>
    </row>
    <row r="218" spans="6:14" x14ac:dyDescent="0.25">
      <c r="F218" s="132">
        <f t="shared" si="50"/>
        <v>0</v>
      </c>
      <c r="G218" s="133">
        <f t="shared" si="51"/>
        <v>0</v>
      </c>
      <c r="J218" s="7">
        <f t="shared" ca="1" si="53"/>
        <v>0</v>
      </c>
      <c r="N218" s="110">
        <f ca="1">J267</f>
        <v>0</v>
      </c>
    </row>
    <row r="219" spans="6:14" x14ac:dyDescent="0.25">
      <c r="F219" s="132">
        <f t="shared" si="50"/>
        <v>0</v>
      </c>
      <c r="G219" s="133">
        <f t="shared" si="51"/>
        <v>0</v>
      </c>
      <c r="J219" s="7">
        <f t="shared" ca="1" si="53"/>
        <v>0</v>
      </c>
      <c r="N219" s="109">
        <f t="shared" ref="N219:N226" ca="1" si="54">J268</f>
        <v>0</v>
      </c>
    </row>
    <row r="220" spans="6:14" x14ac:dyDescent="0.25">
      <c r="F220" s="134">
        <f t="shared" si="50"/>
        <v>0</v>
      </c>
      <c r="G220" s="135">
        <f t="shared" si="51"/>
        <v>0</v>
      </c>
      <c r="J220" s="7">
        <f t="shared" ca="1" si="53"/>
        <v>0</v>
      </c>
      <c r="N220" s="109">
        <f t="shared" ca="1" si="54"/>
        <v>0</v>
      </c>
    </row>
    <row r="221" spans="6:14" x14ac:dyDescent="0.25">
      <c r="F221" s="15"/>
      <c r="G221" s="16"/>
      <c r="N221" s="109">
        <f t="shared" ca="1" si="54"/>
        <v>0</v>
      </c>
    </row>
    <row r="222" spans="6:14" x14ac:dyDescent="0.25">
      <c r="F222" s="15"/>
      <c r="G222" s="16"/>
      <c r="N222" s="109">
        <f t="shared" ca="1" si="54"/>
        <v>0</v>
      </c>
    </row>
    <row r="223" spans="6:14" x14ac:dyDescent="0.25">
      <c r="F223" s="130">
        <f t="shared" si="50"/>
        <v>0</v>
      </c>
      <c r="G223" s="131">
        <f t="shared" si="51"/>
        <v>0</v>
      </c>
      <c r="J223" s="7">
        <f ca="1">$I$222*((RAND()*(G223-F223))+F223)</f>
        <v>0</v>
      </c>
      <c r="N223" s="109">
        <f t="shared" ca="1" si="54"/>
        <v>0</v>
      </c>
    </row>
    <row r="224" spans="6:14" x14ac:dyDescent="0.25">
      <c r="F224" s="132">
        <f t="shared" si="50"/>
        <v>0</v>
      </c>
      <c r="G224" s="133">
        <f t="shared" si="51"/>
        <v>0</v>
      </c>
      <c r="J224" s="7">
        <f t="shared" ref="J224:J231" ca="1" si="55">$I$222*((RAND()*(G224-F224))+F224)</f>
        <v>0</v>
      </c>
      <c r="N224" s="109">
        <f t="shared" ca="1" si="54"/>
        <v>0</v>
      </c>
    </row>
    <row r="225" spans="6:14" x14ac:dyDescent="0.25">
      <c r="F225" s="132">
        <f t="shared" si="50"/>
        <v>0</v>
      </c>
      <c r="G225" s="133">
        <f t="shared" si="51"/>
        <v>0</v>
      </c>
      <c r="J225" s="7">
        <f t="shared" ca="1" si="55"/>
        <v>0</v>
      </c>
      <c r="N225" s="109">
        <f t="shared" ca="1" si="54"/>
        <v>0</v>
      </c>
    </row>
    <row r="226" spans="6:14" x14ac:dyDescent="0.25">
      <c r="F226" s="132">
        <f t="shared" si="50"/>
        <v>0</v>
      </c>
      <c r="G226" s="133">
        <f t="shared" si="51"/>
        <v>0</v>
      </c>
      <c r="J226" s="7">
        <f t="shared" ca="1" si="55"/>
        <v>0</v>
      </c>
      <c r="N226" s="111">
        <f t="shared" ca="1" si="54"/>
        <v>0</v>
      </c>
    </row>
    <row r="227" spans="6:14" x14ac:dyDescent="0.25">
      <c r="F227" s="132">
        <f t="shared" si="50"/>
        <v>0</v>
      </c>
      <c r="G227" s="133">
        <f t="shared" si="51"/>
        <v>0</v>
      </c>
      <c r="J227" s="7">
        <f t="shared" ca="1" si="55"/>
        <v>0</v>
      </c>
      <c r="N227" s="110">
        <f ca="1">J278</f>
        <v>0</v>
      </c>
    </row>
    <row r="228" spans="6:14" x14ac:dyDescent="0.25">
      <c r="F228" s="132">
        <f t="shared" si="50"/>
        <v>0</v>
      </c>
      <c r="G228" s="133">
        <f t="shared" si="51"/>
        <v>0</v>
      </c>
      <c r="J228" s="7">
        <f t="shared" ca="1" si="55"/>
        <v>0</v>
      </c>
      <c r="N228" s="109">
        <f t="shared" ref="N228:N235" ca="1" si="56">J279</f>
        <v>0</v>
      </c>
    </row>
    <row r="229" spans="6:14" x14ac:dyDescent="0.25">
      <c r="F229" s="132">
        <f t="shared" si="50"/>
        <v>0</v>
      </c>
      <c r="G229" s="133">
        <f t="shared" si="51"/>
        <v>0</v>
      </c>
      <c r="J229" s="7">
        <f t="shared" ca="1" si="55"/>
        <v>0</v>
      </c>
      <c r="N229" s="109">
        <f t="shared" ca="1" si="56"/>
        <v>0</v>
      </c>
    </row>
    <row r="230" spans="6:14" x14ac:dyDescent="0.25">
      <c r="F230" s="132">
        <f t="shared" si="50"/>
        <v>0</v>
      </c>
      <c r="G230" s="133">
        <f t="shared" si="51"/>
        <v>0</v>
      </c>
      <c r="J230" s="7">
        <f t="shared" ca="1" si="55"/>
        <v>0</v>
      </c>
      <c r="N230" s="109">
        <f t="shared" ca="1" si="56"/>
        <v>0</v>
      </c>
    </row>
    <row r="231" spans="6:14" x14ac:dyDescent="0.25">
      <c r="F231" s="134">
        <f t="shared" si="50"/>
        <v>0</v>
      </c>
      <c r="G231" s="135">
        <f t="shared" si="51"/>
        <v>0</v>
      </c>
      <c r="J231" s="7">
        <f t="shared" ca="1" si="55"/>
        <v>0</v>
      </c>
      <c r="N231" s="109">
        <f t="shared" ca="1" si="56"/>
        <v>0</v>
      </c>
    </row>
    <row r="232" spans="6:14" x14ac:dyDescent="0.25">
      <c r="F232" s="15"/>
      <c r="G232" s="16"/>
      <c r="I232" s="9"/>
      <c r="N232" s="109">
        <f t="shared" ca="1" si="56"/>
        <v>0</v>
      </c>
    </row>
    <row r="233" spans="6:14" x14ac:dyDescent="0.25">
      <c r="F233" s="15"/>
      <c r="G233" s="16"/>
      <c r="N233" s="109">
        <f t="shared" ca="1" si="56"/>
        <v>0</v>
      </c>
    </row>
    <row r="234" spans="6:14" x14ac:dyDescent="0.25">
      <c r="F234" s="130">
        <f t="shared" si="50"/>
        <v>0</v>
      </c>
      <c r="G234" s="131">
        <f t="shared" si="51"/>
        <v>0</v>
      </c>
      <c r="J234" s="7">
        <f ca="1">$I$233*((RAND()*(G234-F234))+F234)</f>
        <v>0</v>
      </c>
      <c r="N234" s="109">
        <f t="shared" ca="1" si="56"/>
        <v>0</v>
      </c>
    </row>
    <row r="235" spans="6:14" x14ac:dyDescent="0.25">
      <c r="F235" s="132">
        <f t="shared" si="50"/>
        <v>0</v>
      </c>
      <c r="G235" s="133">
        <f t="shared" si="51"/>
        <v>0</v>
      </c>
      <c r="J235" s="7">
        <f t="shared" ref="J235:J242" ca="1" si="57">$I$233*((RAND()*(G235-F235))+F235)</f>
        <v>0</v>
      </c>
      <c r="N235" s="111">
        <f t="shared" ca="1" si="56"/>
        <v>0</v>
      </c>
    </row>
    <row r="236" spans="6:14" x14ac:dyDescent="0.25">
      <c r="F236" s="132">
        <f t="shared" si="50"/>
        <v>0</v>
      </c>
      <c r="G236" s="133">
        <f t="shared" si="51"/>
        <v>0</v>
      </c>
      <c r="J236" s="7">
        <f t="shared" ca="1" si="57"/>
        <v>0</v>
      </c>
      <c r="N236" s="110">
        <f ca="1">J289</f>
        <v>0</v>
      </c>
    </row>
    <row r="237" spans="6:14" x14ac:dyDescent="0.25">
      <c r="F237" s="132">
        <f t="shared" si="50"/>
        <v>0</v>
      </c>
      <c r="G237" s="133">
        <f t="shared" si="51"/>
        <v>0</v>
      </c>
      <c r="J237" s="7">
        <f t="shared" ca="1" si="57"/>
        <v>0</v>
      </c>
      <c r="N237" s="109">
        <f t="shared" ref="N237:N244" ca="1" si="58">J290</f>
        <v>0</v>
      </c>
    </row>
    <row r="238" spans="6:14" x14ac:dyDescent="0.25">
      <c r="F238" s="132">
        <f t="shared" si="50"/>
        <v>0</v>
      </c>
      <c r="G238" s="133">
        <f t="shared" si="51"/>
        <v>0</v>
      </c>
      <c r="J238" s="7">
        <f t="shared" ca="1" si="57"/>
        <v>0</v>
      </c>
      <c r="N238" s="109">
        <f t="shared" ca="1" si="58"/>
        <v>0</v>
      </c>
    </row>
    <row r="239" spans="6:14" x14ac:dyDescent="0.25">
      <c r="F239" s="132">
        <f t="shared" si="50"/>
        <v>0</v>
      </c>
      <c r="G239" s="133">
        <f t="shared" si="51"/>
        <v>0</v>
      </c>
      <c r="J239" s="7">
        <f t="shared" ca="1" si="57"/>
        <v>0</v>
      </c>
      <c r="N239" s="109">
        <f t="shared" ca="1" si="58"/>
        <v>0</v>
      </c>
    </row>
    <row r="240" spans="6:14" x14ac:dyDescent="0.25">
      <c r="F240" s="132">
        <f t="shared" si="50"/>
        <v>0</v>
      </c>
      <c r="G240" s="133">
        <f t="shared" si="51"/>
        <v>0</v>
      </c>
      <c r="J240" s="7">
        <f t="shared" ca="1" si="57"/>
        <v>0</v>
      </c>
      <c r="N240" s="109">
        <f t="shared" ca="1" si="58"/>
        <v>0</v>
      </c>
    </row>
    <row r="241" spans="6:14" x14ac:dyDescent="0.25">
      <c r="F241" s="132">
        <f t="shared" si="50"/>
        <v>0</v>
      </c>
      <c r="G241" s="133">
        <f t="shared" si="51"/>
        <v>0</v>
      </c>
      <c r="J241" s="7">
        <f t="shared" ca="1" si="57"/>
        <v>0</v>
      </c>
      <c r="N241" s="109">
        <f t="shared" ca="1" si="58"/>
        <v>0</v>
      </c>
    </row>
    <row r="242" spans="6:14" x14ac:dyDescent="0.25">
      <c r="F242" s="134">
        <f t="shared" si="50"/>
        <v>0</v>
      </c>
      <c r="G242" s="135">
        <f t="shared" si="51"/>
        <v>0</v>
      </c>
      <c r="J242" s="7">
        <f t="shared" ca="1" si="57"/>
        <v>0</v>
      </c>
      <c r="N242" s="109">
        <f t="shared" ca="1" si="58"/>
        <v>0</v>
      </c>
    </row>
    <row r="243" spans="6:14" x14ac:dyDescent="0.25">
      <c r="F243" s="15"/>
      <c r="G243" s="16"/>
      <c r="N243" s="109">
        <f t="shared" ca="1" si="58"/>
        <v>0</v>
      </c>
    </row>
    <row r="244" spans="6:14" x14ac:dyDescent="0.25">
      <c r="F244" s="15"/>
      <c r="G244" s="16"/>
      <c r="N244" s="111">
        <f t="shared" ca="1" si="58"/>
        <v>0</v>
      </c>
    </row>
    <row r="245" spans="6:14" x14ac:dyDescent="0.25">
      <c r="F245" s="130">
        <f t="shared" si="50"/>
        <v>0</v>
      </c>
      <c r="G245" s="131">
        <f t="shared" si="51"/>
        <v>0</v>
      </c>
      <c r="J245" s="7">
        <f ca="1">$I$244*((RAND()*(G245-F245))+F245)</f>
        <v>0</v>
      </c>
      <c r="N245" s="110">
        <f ca="1">J300</f>
        <v>0</v>
      </c>
    </row>
    <row r="246" spans="6:14" x14ac:dyDescent="0.25">
      <c r="F246" s="132">
        <f t="shared" si="50"/>
        <v>0</v>
      </c>
      <c r="G246" s="133">
        <f t="shared" si="51"/>
        <v>0</v>
      </c>
      <c r="J246" s="7">
        <f t="shared" ref="J246:J253" ca="1" si="59">$I$244*((RAND()*(G246-F246))+F246)</f>
        <v>0</v>
      </c>
      <c r="N246" s="109">
        <f t="shared" ref="N246:N253" ca="1" si="60">J301</f>
        <v>0</v>
      </c>
    </row>
    <row r="247" spans="6:14" x14ac:dyDescent="0.25">
      <c r="F247" s="132">
        <f t="shared" si="50"/>
        <v>0</v>
      </c>
      <c r="G247" s="133">
        <f t="shared" si="51"/>
        <v>0</v>
      </c>
      <c r="J247" s="7">
        <f t="shared" ca="1" si="59"/>
        <v>0</v>
      </c>
      <c r="N247" s="109">
        <f t="shared" ca="1" si="60"/>
        <v>0</v>
      </c>
    </row>
    <row r="248" spans="6:14" x14ac:dyDescent="0.25">
      <c r="F248" s="132">
        <f t="shared" si="50"/>
        <v>0</v>
      </c>
      <c r="G248" s="133">
        <f t="shared" si="51"/>
        <v>0</v>
      </c>
      <c r="J248" s="7">
        <f t="shared" ca="1" si="59"/>
        <v>0</v>
      </c>
      <c r="N248" s="109">
        <f t="shared" ca="1" si="60"/>
        <v>0</v>
      </c>
    </row>
    <row r="249" spans="6:14" x14ac:dyDescent="0.25">
      <c r="F249" s="132">
        <f t="shared" si="50"/>
        <v>0</v>
      </c>
      <c r="G249" s="133">
        <f t="shared" si="51"/>
        <v>0</v>
      </c>
      <c r="J249" s="7">
        <f t="shared" ca="1" si="59"/>
        <v>0</v>
      </c>
      <c r="N249" s="109">
        <f t="shared" ca="1" si="60"/>
        <v>0</v>
      </c>
    </row>
    <row r="250" spans="6:14" x14ac:dyDescent="0.25">
      <c r="F250" s="132">
        <f t="shared" si="50"/>
        <v>0</v>
      </c>
      <c r="G250" s="133">
        <f t="shared" si="51"/>
        <v>0</v>
      </c>
      <c r="J250" s="7">
        <f t="shared" ca="1" si="59"/>
        <v>0</v>
      </c>
      <c r="N250" s="109">
        <f t="shared" ca="1" si="60"/>
        <v>0</v>
      </c>
    </row>
    <row r="251" spans="6:14" x14ac:dyDescent="0.25">
      <c r="F251" s="132">
        <f t="shared" si="50"/>
        <v>0</v>
      </c>
      <c r="G251" s="133">
        <f t="shared" si="51"/>
        <v>0</v>
      </c>
      <c r="J251" s="7">
        <f t="shared" ca="1" si="59"/>
        <v>0</v>
      </c>
      <c r="N251" s="109">
        <f t="shared" ca="1" si="60"/>
        <v>0</v>
      </c>
    </row>
    <row r="252" spans="6:14" x14ac:dyDescent="0.25">
      <c r="F252" s="132">
        <f t="shared" si="50"/>
        <v>0</v>
      </c>
      <c r="G252" s="133">
        <f t="shared" si="51"/>
        <v>0</v>
      </c>
      <c r="J252" s="7">
        <f t="shared" ca="1" si="59"/>
        <v>0</v>
      </c>
      <c r="N252" s="109">
        <f t="shared" ca="1" si="60"/>
        <v>0</v>
      </c>
    </row>
    <row r="253" spans="6:14" x14ac:dyDescent="0.25">
      <c r="F253" s="134">
        <f t="shared" si="50"/>
        <v>0</v>
      </c>
      <c r="G253" s="135">
        <f t="shared" si="51"/>
        <v>0</v>
      </c>
      <c r="J253" s="7">
        <f t="shared" ca="1" si="59"/>
        <v>0</v>
      </c>
      <c r="N253" s="111">
        <f t="shared" ca="1" si="60"/>
        <v>0</v>
      </c>
    </row>
    <row r="254" spans="6:14" x14ac:dyDescent="0.25">
      <c r="F254" s="15"/>
      <c r="G254" s="16"/>
      <c r="N254" s="110">
        <f ca="1">J311</f>
        <v>0</v>
      </c>
    </row>
    <row r="255" spans="6:14" x14ac:dyDescent="0.25">
      <c r="F255" s="15"/>
      <c r="G255" s="16"/>
      <c r="N255" s="109">
        <f t="shared" ref="N255:N262" ca="1" si="61">J312</f>
        <v>0</v>
      </c>
    </row>
    <row r="256" spans="6:14" x14ac:dyDescent="0.25">
      <c r="F256" s="130">
        <f t="shared" si="50"/>
        <v>0</v>
      </c>
      <c r="G256" s="131">
        <f t="shared" si="51"/>
        <v>0</v>
      </c>
      <c r="J256" s="7">
        <f ca="1">$I$255*((RAND()*(G256-F256))+F256)</f>
        <v>0</v>
      </c>
      <c r="N256" s="109">
        <f t="shared" ca="1" si="61"/>
        <v>0</v>
      </c>
    </row>
    <row r="257" spans="6:14" x14ac:dyDescent="0.25">
      <c r="F257" s="132">
        <f t="shared" si="50"/>
        <v>0</v>
      </c>
      <c r="G257" s="133">
        <f t="shared" si="51"/>
        <v>0</v>
      </c>
      <c r="J257" s="7">
        <f t="shared" ref="J257:J264" ca="1" si="62">$I$255*((RAND()*(G257-F257))+F257)</f>
        <v>0</v>
      </c>
      <c r="N257" s="109">
        <f t="shared" ca="1" si="61"/>
        <v>0</v>
      </c>
    </row>
    <row r="258" spans="6:14" x14ac:dyDescent="0.25">
      <c r="F258" s="132">
        <f t="shared" si="50"/>
        <v>0</v>
      </c>
      <c r="G258" s="133">
        <f>1.1*D258</f>
        <v>0</v>
      </c>
      <c r="J258" s="7">
        <f t="shared" ca="1" si="62"/>
        <v>0</v>
      </c>
      <c r="N258" s="109">
        <f t="shared" ca="1" si="61"/>
        <v>0</v>
      </c>
    </row>
    <row r="259" spans="6:14" x14ac:dyDescent="0.25">
      <c r="F259" s="132">
        <f t="shared" si="50"/>
        <v>0</v>
      </c>
      <c r="G259" s="133">
        <f t="shared" si="51"/>
        <v>0</v>
      </c>
      <c r="J259" s="7">
        <f t="shared" ca="1" si="62"/>
        <v>0</v>
      </c>
      <c r="N259" s="109">
        <f t="shared" ca="1" si="61"/>
        <v>0</v>
      </c>
    </row>
    <row r="260" spans="6:14" x14ac:dyDescent="0.25">
      <c r="F260" s="132">
        <f t="shared" si="50"/>
        <v>0</v>
      </c>
      <c r="G260" s="133">
        <f t="shared" si="51"/>
        <v>0</v>
      </c>
      <c r="J260" s="7">
        <f t="shared" ca="1" si="62"/>
        <v>0</v>
      </c>
      <c r="N260" s="109">
        <f t="shared" ca="1" si="61"/>
        <v>0</v>
      </c>
    </row>
    <row r="261" spans="6:14" x14ac:dyDescent="0.25">
      <c r="F261" s="132">
        <f t="shared" si="50"/>
        <v>0</v>
      </c>
      <c r="G261" s="133">
        <f t="shared" si="51"/>
        <v>0</v>
      </c>
      <c r="J261" s="7">
        <f t="shared" ca="1" si="62"/>
        <v>0</v>
      </c>
      <c r="N261" s="109">
        <f t="shared" ca="1" si="61"/>
        <v>0</v>
      </c>
    </row>
    <row r="262" spans="6:14" x14ac:dyDescent="0.25">
      <c r="F262" s="132">
        <f t="shared" si="50"/>
        <v>0</v>
      </c>
      <c r="G262" s="133">
        <f t="shared" si="51"/>
        <v>0</v>
      </c>
      <c r="J262" s="7">
        <f t="shared" ca="1" si="62"/>
        <v>0</v>
      </c>
      <c r="N262" s="111">
        <f t="shared" ca="1" si="61"/>
        <v>0</v>
      </c>
    </row>
    <row r="263" spans="6:14" x14ac:dyDescent="0.25">
      <c r="F263" s="132">
        <f t="shared" si="50"/>
        <v>0</v>
      </c>
      <c r="G263" s="133">
        <f t="shared" si="51"/>
        <v>0</v>
      </c>
      <c r="J263" s="7">
        <f t="shared" ca="1" si="62"/>
        <v>0</v>
      </c>
      <c r="N263" s="110">
        <f ca="1">J322</f>
        <v>0</v>
      </c>
    </row>
    <row r="264" spans="6:14" x14ac:dyDescent="0.25">
      <c r="F264" s="134">
        <f t="shared" si="50"/>
        <v>0</v>
      </c>
      <c r="G264" s="135">
        <f t="shared" si="51"/>
        <v>0</v>
      </c>
      <c r="J264" s="7">
        <f t="shared" ca="1" si="62"/>
        <v>0</v>
      </c>
      <c r="N264" s="109">
        <f t="shared" ref="N264:N271" ca="1" si="63">J323</f>
        <v>0</v>
      </c>
    </row>
    <row r="265" spans="6:14" x14ac:dyDescent="0.25">
      <c r="F265" s="15"/>
      <c r="G265" s="16"/>
      <c r="N265" s="109">
        <f t="shared" ca="1" si="63"/>
        <v>0</v>
      </c>
    </row>
    <row r="266" spans="6:14" x14ac:dyDescent="0.25">
      <c r="F266" s="15"/>
      <c r="G266" s="16"/>
      <c r="N266" s="109">
        <f t="shared" ca="1" si="63"/>
        <v>0</v>
      </c>
    </row>
    <row r="267" spans="6:14" x14ac:dyDescent="0.25">
      <c r="F267" s="130">
        <f t="shared" si="50"/>
        <v>0</v>
      </c>
      <c r="G267" s="131">
        <f t="shared" si="51"/>
        <v>0</v>
      </c>
      <c r="J267" s="7">
        <f ca="1">$I$266*((RAND()*(G267-F267))+F267)</f>
        <v>0</v>
      </c>
      <c r="N267" s="109">
        <f t="shared" ca="1" si="63"/>
        <v>0</v>
      </c>
    </row>
    <row r="268" spans="6:14" x14ac:dyDescent="0.25">
      <c r="F268" s="132">
        <f t="shared" ref="F268:F330" si="64">D268*0.9</f>
        <v>0</v>
      </c>
      <c r="G268" s="133">
        <f t="shared" ref="G268:G330" si="65">1.1*D268</f>
        <v>0</v>
      </c>
      <c r="J268" s="7">
        <f t="shared" ref="J268:J275" ca="1" si="66">$I$266*((RAND()*(G268-F268))+F268)</f>
        <v>0</v>
      </c>
      <c r="N268" s="109">
        <f t="shared" ca="1" si="63"/>
        <v>0</v>
      </c>
    </row>
    <row r="269" spans="6:14" x14ac:dyDescent="0.25">
      <c r="F269" s="132">
        <f t="shared" si="64"/>
        <v>0</v>
      </c>
      <c r="G269" s="133">
        <f t="shared" si="65"/>
        <v>0</v>
      </c>
      <c r="J269" s="7">
        <f t="shared" ca="1" si="66"/>
        <v>0</v>
      </c>
      <c r="N269" s="109">
        <f t="shared" ca="1" si="63"/>
        <v>0</v>
      </c>
    </row>
    <row r="270" spans="6:14" x14ac:dyDescent="0.25">
      <c r="F270" s="132">
        <f t="shared" si="64"/>
        <v>0</v>
      </c>
      <c r="G270" s="133">
        <f t="shared" si="65"/>
        <v>0</v>
      </c>
      <c r="J270" s="7">
        <f t="shared" ca="1" si="66"/>
        <v>0</v>
      </c>
      <c r="N270" s="109">
        <f t="shared" ca="1" si="63"/>
        <v>0</v>
      </c>
    </row>
    <row r="271" spans="6:14" x14ac:dyDescent="0.25">
      <c r="F271" s="132">
        <f t="shared" si="64"/>
        <v>0</v>
      </c>
      <c r="G271" s="133">
        <f t="shared" si="65"/>
        <v>0</v>
      </c>
      <c r="J271" s="7">
        <f t="shared" ca="1" si="66"/>
        <v>0</v>
      </c>
      <c r="N271" s="111">
        <f t="shared" ca="1" si="63"/>
        <v>0</v>
      </c>
    </row>
    <row r="272" spans="6:14" x14ac:dyDescent="0.25">
      <c r="F272" s="132">
        <f t="shared" si="64"/>
        <v>0</v>
      </c>
      <c r="G272" s="133">
        <f t="shared" si="65"/>
        <v>0</v>
      </c>
      <c r="J272" s="7">
        <f t="shared" ca="1" si="66"/>
        <v>0</v>
      </c>
      <c r="N272" s="110">
        <f>J331</f>
        <v>0</v>
      </c>
    </row>
    <row r="273" spans="6:14" x14ac:dyDescent="0.25">
      <c r="F273" s="132">
        <f t="shared" si="64"/>
        <v>0</v>
      </c>
      <c r="G273" s="133">
        <f t="shared" si="65"/>
        <v>0</v>
      </c>
      <c r="J273" s="7">
        <f t="shared" ca="1" si="66"/>
        <v>0</v>
      </c>
      <c r="N273" s="109">
        <f t="shared" ref="N273:N280" si="67">J332</f>
        <v>0</v>
      </c>
    </row>
    <row r="274" spans="6:14" x14ac:dyDescent="0.25">
      <c r="F274" s="132">
        <f t="shared" si="64"/>
        <v>0</v>
      </c>
      <c r="G274" s="133">
        <f t="shared" si="65"/>
        <v>0</v>
      </c>
      <c r="J274" s="7">
        <f t="shared" ca="1" si="66"/>
        <v>0</v>
      </c>
      <c r="N274" s="109">
        <f t="shared" ca="1" si="67"/>
        <v>0</v>
      </c>
    </row>
    <row r="275" spans="6:14" x14ac:dyDescent="0.25">
      <c r="F275" s="134">
        <f t="shared" si="64"/>
        <v>0</v>
      </c>
      <c r="G275" s="135">
        <f t="shared" si="65"/>
        <v>0</v>
      </c>
      <c r="J275" s="7">
        <f t="shared" ca="1" si="66"/>
        <v>0</v>
      </c>
      <c r="N275" s="109">
        <f t="shared" ca="1" si="67"/>
        <v>0</v>
      </c>
    </row>
    <row r="276" spans="6:14" x14ac:dyDescent="0.25">
      <c r="F276" s="15"/>
      <c r="G276" s="16"/>
      <c r="N276" s="109">
        <f t="shared" ca="1" si="67"/>
        <v>0</v>
      </c>
    </row>
    <row r="277" spans="6:14" x14ac:dyDescent="0.25">
      <c r="F277" s="15"/>
      <c r="G277" s="16"/>
      <c r="N277" s="109">
        <f t="shared" ca="1" si="67"/>
        <v>0</v>
      </c>
    </row>
    <row r="278" spans="6:14" x14ac:dyDescent="0.25">
      <c r="F278" s="130">
        <f t="shared" si="64"/>
        <v>0</v>
      </c>
      <c r="G278" s="131">
        <f t="shared" si="65"/>
        <v>0</v>
      </c>
      <c r="J278" s="7">
        <f ca="1">$I$277*((RAND()*(G278-F278))+F278)</f>
        <v>0</v>
      </c>
      <c r="N278" s="109">
        <f t="shared" ca="1" si="67"/>
        <v>0</v>
      </c>
    </row>
    <row r="279" spans="6:14" x14ac:dyDescent="0.25">
      <c r="F279" s="132">
        <f t="shared" si="64"/>
        <v>0</v>
      </c>
      <c r="G279" s="133">
        <f t="shared" si="65"/>
        <v>0</v>
      </c>
      <c r="J279" s="7">
        <f t="shared" ref="J279:J286" ca="1" si="68">$I$277*((RAND()*(G279-F279))+F279)</f>
        <v>0</v>
      </c>
      <c r="N279" s="109">
        <f t="shared" ca="1" si="67"/>
        <v>0</v>
      </c>
    </row>
    <row r="280" spans="6:14" x14ac:dyDescent="0.25">
      <c r="F280" s="132">
        <f t="shared" si="64"/>
        <v>0</v>
      </c>
      <c r="G280" s="133">
        <f t="shared" si="65"/>
        <v>0</v>
      </c>
      <c r="J280" s="7">
        <f t="shared" ca="1" si="68"/>
        <v>0</v>
      </c>
      <c r="N280" s="111">
        <f t="shared" ca="1" si="67"/>
        <v>0</v>
      </c>
    </row>
    <row r="281" spans="6:14" x14ac:dyDescent="0.25">
      <c r="F281" s="132">
        <f t="shared" si="64"/>
        <v>0</v>
      </c>
      <c r="G281" s="133">
        <f t="shared" si="65"/>
        <v>0</v>
      </c>
      <c r="J281" s="7">
        <f t="shared" ca="1" si="68"/>
        <v>0</v>
      </c>
      <c r="N281" s="110">
        <f ca="1">J432</f>
        <v>0</v>
      </c>
    </row>
    <row r="282" spans="6:14" x14ac:dyDescent="0.25">
      <c r="F282" s="132">
        <f t="shared" si="64"/>
        <v>0</v>
      </c>
      <c r="G282" s="133">
        <f t="shared" si="65"/>
        <v>0</v>
      </c>
      <c r="J282" s="7">
        <f t="shared" ca="1" si="68"/>
        <v>0</v>
      </c>
      <c r="N282" s="109">
        <f t="shared" ref="N282:N289" ca="1" si="69">J433</f>
        <v>0</v>
      </c>
    </row>
    <row r="283" spans="6:14" x14ac:dyDescent="0.25">
      <c r="F283" s="132">
        <f t="shared" si="64"/>
        <v>0</v>
      </c>
      <c r="G283" s="133">
        <f t="shared" si="65"/>
        <v>0</v>
      </c>
      <c r="J283" s="7">
        <f t="shared" ca="1" si="68"/>
        <v>0</v>
      </c>
      <c r="N283" s="109">
        <f t="shared" ca="1" si="69"/>
        <v>0</v>
      </c>
    </row>
    <row r="284" spans="6:14" x14ac:dyDescent="0.25">
      <c r="F284" s="132">
        <f t="shared" si="64"/>
        <v>0</v>
      </c>
      <c r="G284" s="133">
        <f t="shared" si="65"/>
        <v>0</v>
      </c>
      <c r="J284" s="7">
        <f t="shared" ca="1" si="68"/>
        <v>0</v>
      </c>
      <c r="N284" s="109">
        <f t="shared" ca="1" si="69"/>
        <v>0</v>
      </c>
    </row>
    <row r="285" spans="6:14" x14ac:dyDescent="0.25">
      <c r="F285" s="132">
        <f t="shared" si="64"/>
        <v>0</v>
      </c>
      <c r="G285" s="133">
        <f t="shared" si="65"/>
        <v>0</v>
      </c>
      <c r="J285" s="7">
        <f t="shared" ca="1" si="68"/>
        <v>0</v>
      </c>
      <c r="N285" s="109">
        <f t="shared" ca="1" si="69"/>
        <v>0</v>
      </c>
    </row>
    <row r="286" spans="6:14" x14ac:dyDescent="0.25">
      <c r="F286" s="134">
        <f t="shared" si="64"/>
        <v>0</v>
      </c>
      <c r="G286" s="135">
        <f t="shared" si="65"/>
        <v>0</v>
      </c>
      <c r="J286" s="7">
        <f t="shared" ca="1" si="68"/>
        <v>0</v>
      </c>
      <c r="N286" s="109">
        <f t="shared" ca="1" si="69"/>
        <v>0</v>
      </c>
    </row>
    <row r="287" spans="6:14" x14ac:dyDescent="0.25">
      <c r="F287" s="15"/>
      <c r="G287" s="16"/>
      <c r="N287" s="109">
        <f t="shared" ca="1" si="69"/>
        <v>0</v>
      </c>
    </row>
    <row r="288" spans="6:14" x14ac:dyDescent="0.25">
      <c r="F288" s="15"/>
      <c r="G288" s="16"/>
      <c r="N288" s="109">
        <f t="shared" ca="1" si="69"/>
        <v>0</v>
      </c>
    </row>
    <row r="289" spans="6:14" x14ac:dyDescent="0.25">
      <c r="F289" s="130">
        <f t="shared" si="64"/>
        <v>0</v>
      </c>
      <c r="G289" s="131">
        <f t="shared" si="65"/>
        <v>0</v>
      </c>
      <c r="J289" s="7">
        <f ca="1">$I$288*((RAND()*(G289-F289))+F289)</f>
        <v>0</v>
      </c>
      <c r="N289" s="111">
        <f t="shared" ca="1" si="69"/>
        <v>0</v>
      </c>
    </row>
    <row r="290" spans="6:14" x14ac:dyDescent="0.25">
      <c r="F290" s="132">
        <f t="shared" si="64"/>
        <v>0</v>
      </c>
      <c r="G290" s="133">
        <f t="shared" si="65"/>
        <v>0</v>
      </c>
      <c r="J290" s="7">
        <f t="shared" ref="J290:J297" ca="1" si="70">$I$288*((RAND()*(G290-F290))+F290)</f>
        <v>0</v>
      </c>
      <c r="N290" s="110">
        <f ca="1">J443</f>
        <v>0</v>
      </c>
    </row>
    <row r="291" spans="6:14" x14ac:dyDescent="0.25">
      <c r="F291" s="132">
        <f t="shared" si="64"/>
        <v>0</v>
      </c>
      <c r="G291" s="133">
        <f t="shared" si="65"/>
        <v>0</v>
      </c>
      <c r="J291" s="7">
        <f t="shared" ca="1" si="70"/>
        <v>0</v>
      </c>
      <c r="N291" s="109">
        <f t="shared" ref="N291:N298" ca="1" si="71">J444</f>
        <v>0</v>
      </c>
    </row>
    <row r="292" spans="6:14" x14ac:dyDescent="0.25">
      <c r="F292" s="132">
        <f t="shared" si="64"/>
        <v>0</v>
      </c>
      <c r="G292" s="133">
        <f t="shared" si="65"/>
        <v>0</v>
      </c>
      <c r="J292" s="7">
        <f t="shared" ca="1" si="70"/>
        <v>0</v>
      </c>
      <c r="N292" s="109">
        <f t="shared" ca="1" si="71"/>
        <v>0</v>
      </c>
    </row>
    <row r="293" spans="6:14" x14ac:dyDescent="0.25">
      <c r="F293" s="132">
        <f t="shared" si="64"/>
        <v>0</v>
      </c>
      <c r="G293" s="133">
        <f t="shared" si="65"/>
        <v>0</v>
      </c>
      <c r="J293" s="7">
        <f t="shared" ca="1" si="70"/>
        <v>0</v>
      </c>
      <c r="N293" s="109">
        <f t="shared" ca="1" si="71"/>
        <v>0</v>
      </c>
    </row>
    <row r="294" spans="6:14" x14ac:dyDescent="0.25">
      <c r="F294" s="132">
        <f t="shared" si="64"/>
        <v>0</v>
      </c>
      <c r="G294" s="133">
        <f t="shared" si="65"/>
        <v>0</v>
      </c>
      <c r="J294" s="7">
        <f t="shared" ca="1" si="70"/>
        <v>0</v>
      </c>
      <c r="N294" s="109">
        <f t="shared" ca="1" si="71"/>
        <v>0</v>
      </c>
    </row>
    <row r="295" spans="6:14" x14ac:dyDescent="0.25">
      <c r="F295" s="132">
        <f t="shared" si="64"/>
        <v>0</v>
      </c>
      <c r="G295" s="133">
        <f t="shared" si="65"/>
        <v>0</v>
      </c>
      <c r="J295" s="7">
        <f t="shared" ca="1" si="70"/>
        <v>0</v>
      </c>
      <c r="N295" s="109">
        <f t="shared" ca="1" si="71"/>
        <v>0</v>
      </c>
    </row>
    <row r="296" spans="6:14" x14ac:dyDescent="0.25">
      <c r="F296" s="132">
        <f t="shared" si="64"/>
        <v>0</v>
      </c>
      <c r="G296" s="133">
        <f t="shared" si="65"/>
        <v>0</v>
      </c>
      <c r="J296" s="7">
        <f t="shared" ca="1" si="70"/>
        <v>0</v>
      </c>
      <c r="N296" s="109">
        <f t="shared" ca="1" si="71"/>
        <v>0</v>
      </c>
    </row>
    <row r="297" spans="6:14" x14ac:dyDescent="0.25">
      <c r="F297" s="134">
        <f t="shared" si="64"/>
        <v>0</v>
      </c>
      <c r="G297" s="135">
        <f t="shared" si="65"/>
        <v>0</v>
      </c>
      <c r="J297" s="7">
        <f t="shared" ca="1" si="70"/>
        <v>0</v>
      </c>
      <c r="N297" s="109">
        <f t="shared" ca="1" si="71"/>
        <v>0</v>
      </c>
    </row>
    <row r="298" spans="6:14" x14ac:dyDescent="0.25">
      <c r="F298" s="15"/>
      <c r="G298" s="16"/>
      <c r="N298" s="109">
        <f t="shared" ca="1" si="71"/>
        <v>0</v>
      </c>
    </row>
    <row r="299" spans="6:14" x14ac:dyDescent="0.25">
      <c r="F299" s="15"/>
      <c r="G299" s="16"/>
      <c r="N299" s="110">
        <f ca="1">J454</f>
        <v>0</v>
      </c>
    </row>
    <row r="300" spans="6:14" x14ac:dyDescent="0.25">
      <c r="F300" s="130">
        <f t="shared" si="64"/>
        <v>0</v>
      </c>
      <c r="G300" s="131">
        <f t="shared" si="65"/>
        <v>0</v>
      </c>
      <c r="J300" s="7">
        <f ca="1">$I$299*((RAND()*(G300-F300))+F300)</f>
        <v>0</v>
      </c>
      <c r="N300" s="109">
        <f t="shared" ref="N300:N307" ca="1" si="72">J455</f>
        <v>0</v>
      </c>
    </row>
    <row r="301" spans="6:14" x14ac:dyDescent="0.25">
      <c r="F301" s="132">
        <f t="shared" si="64"/>
        <v>0</v>
      </c>
      <c r="G301" s="133">
        <f t="shared" si="65"/>
        <v>0</v>
      </c>
      <c r="J301" s="7">
        <f t="shared" ref="J301:J308" ca="1" si="73">$I$299*((RAND()*(G301-F301))+F301)</f>
        <v>0</v>
      </c>
      <c r="N301" s="109">
        <f t="shared" ca="1" si="72"/>
        <v>0</v>
      </c>
    </row>
    <row r="302" spans="6:14" x14ac:dyDescent="0.25">
      <c r="F302" s="132">
        <f t="shared" si="64"/>
        <v>0</v>
      </c>
      <c r="G302" s="133">
        <f t="shared" si="65"/>
        <v>0</v>
      </c>
      <c r="J302" s="7">
        <f t="shared" ca="1" si="73"/>
        <v>0</v>
      </c>
      <c r="N302" s="109">
        <f t="shared" ca="1" si="72"/>
        <v>0</v>
      </c>
    </row>
    <row r="303" spans="6:14" x14ac:dyDescent="0.25">
      <c r="F303" s="132">
        <f t="shared" si="64"/>
        <v>0</v>
      </c>
      <c r="G303" s="133">
        <f t="shared" si="65"/>
        <v>0</v>
      </c>
      <c r="J303" s="7">
        <f t="shared" ca="1" si="73"/>
        <v>0</v>
      </c>
      <c r="N303" s="109">
        <f t="shared" ca="1" si="72"/>
        <v>0</v>
      </c>
    </row>
    <row r="304" spans="6:14" x14ac:dyDescent="0.25">
      <c r="F304" s="132">
        <f t="shared" si="64"/>
        <v>0</v>
      </c>
      <c r="G304" s="133">
        <f t="shared" si="65"/>
        <v>0</v>
      </c>
      <c r="J304" s="7">
        <f t="shared" ca="1" si="73"/>
        <v>0</v>
      </c>
      <c r="N304" s="109">
        <f t="shared" ca="1" si="72"/>
        <v>0</v>
      </c>
    </row>
    <row r="305" spans="6:14" x14ac:dyDescent="0.25">
      <c r="F305" s="132">
        <f t="shared" si="64"/>
        <v>0</v>
      </c>
      <c r="G305" s="133">
        <f t="shared" si="65"/>
        <v>0</v>
      </c>
      <c r="J305" s="7">
        <f t="shared" ca="1" si="73"/>
        <v>0</v>
      </c>
      <c r="N305" s="109">
        <f t="shared" ca="1" si="72"/>
        <v>0</v>
      </c>
    </row>
    <row r="306" spans="6:14" x14ac:dyDescent="0.25">
      <c r="F306" s="132">
        <f t="shared" si="64"/>
        <v>0</v>
      </c>
      <c r="G306" s="133">
        <f t="shared" si="65"/>
        <v>0</v>
      </c>
      <c r="J306" s="7">
        <f t="shared" ca="1" si="73"/>
        <v>0</v>
      </c>
      <c r="N306" s="109">
        <f t="shared" ca="1" si="72"/>
        <v>0</v>
      </c>
    </row>
    <row r="307" spans="6:14" x14ac:dyDescent="0.25">
      <c r="F307" s="132">
        <f t="shared" si="64"/>
        <v>0</v>
      </c>
      <c r="G307" s="133">
        <f t="shared" si="65"/>
        <v>0</v>
      </c>
      <c r="J307" s="7">
        <f t="shared" ca="1" si="73"/>
        <v>0</v>
      </c>
      <c r="N307" s="111">
        <f t="shared" ca="1" si="72"/>
        <v>0</v>
      </c>
    </row>
    <row r="308" spans="6:14" x14ac:dyDescent="0.25">
      <c r="F308" s="134">
        <f t="shared" si="64"/>
        <v>0</v>
      </c>
      <c r="G308" s="135">
        <f t="shared" si="65"/>
        <v>0</v>
      </c>
      <c r="J308" s="7">
        <f t="shared" ca="1" si="73"/>
        <v>0</v>
      </c>
      <c r="N308" s="21">
        <f ca="1">J465</f>
        <v>0</v>
      </c>
    </row>
    <row r="309" spans="6:14" x14ac:dyDescent="0.25">
      <c r="F309" s="15"/>
      <c r="G309" s="16"/>
      <c r="N309" s="22">
        <f t="shared" ref="N309:N316" ca="1" si="74">J466</f>
        <v>0</v>
      </c>
    </row>
    <row r="310" spans="6:14" x14ac:dyDescent="0.25">
      <c r="F310" s="15"/>
      <c r="G310" s="16"/>
      <c r="N310" s="22">
        <f t="shared" ca="1" si="74"/>
        <v>0</v>
      </c>
    </row>
    <row r="311" spans="6:14" x14ac:dyDescent="0.25">
      <c r="F311" s="130">
        <f t="shared" si="64"/>
        <v>0</v>
      </c>
      <c r="G311" s="131">
        <f t="shared" si="65"/>
        <v>0</v>
      </c>
      <c r="J311" s="7">
        <f ca="1">$I$310*((RAND()*(G311-F311))+F311)</f>
        <v>0</v>
      </c>
      <c r="N311" s="22">
        <f t="shared" ca="1" si="74"/>
        <v>0</v>
      </c>
    </row>
    <row r="312" spans="6:14" x14ac:dyDescent="0.25">
      <c r="F312" s="132">
        <f t="shared" si="64"/>
        <v>0</v>
      </c>
      <c r="G312" s="133">
        <f t="shared" si="65"/>
        <v>0</v>
      </c>
      <c r="J312" s="7">
        <f t="shared" ref="J312:J319" ca="1" si="75">$I$310*((RAND()*(G312-F312))+F312)</f>
        <v>0</v>
      </c>
      <c r="N312" s="22">
        <f t="shared" ca="1" si="74"/>
        <v>0</v>
      </c>
    </row>
    <row r="313" spans="6:14" x14ac:dyDescent="0.25">
      <c r="F313" s="132">
        <f t="shared" si="64"/>
        <v>0</v>
      </c>
      <c r="G313" s="133">
        <f t="shared" si="65"/>
        <v>0</v>
      </c>
      <c r="J313" s="7">
        <f t="shared" ca="1" si="75"/>
        <v>0</v>
      </c>
      <c r="N313" s="22">
        <f t="shared" ca="1" si="74"/>
        <v>0</v>
      </c>
    </row>
    <row r="314" spans="6:14" x14ac:dyDescent="0.25">
      <c r="F314" s="132">
        <f t="shared" si="64"/>
        <v>0</v>
      </c>
      <c r="G314" s="133">
        <f t="shared" si="65"/>
        <v>0</v>
      </c>
      <c r="J314" s="7">
        <f t="shared" ca="1" si="75"/>
        <v>0</v>
      </c>
      <c r="N314" s="22">
        <f t="shared" ca="1" si="74"/>
        <v>0</v>
      </c>
    </row>
    <row r="315" spans="6:14" x14ac:dyDescent="0.25">
      <c r="F315" s="132">
        <f t="shared" si="64"/>
        <v>0</v>
      </c>
      <c r="G315" s="133">
        <f t="shared" si="65"/>
        <v>0</v>
      </c>
      <c r="J315" s="7">
        <f t="shared" ca="1" si="75"/>
        <v>0</v>
      </c>
      <c r="N315" s="22">
        <f t="shared" ca="1" si="74"/>
        <v>0</v>
      </c>
    </row>
    <row r="316" spans="6:14" x14ac:dyDescent="0.25">
      <c r="F316" s="132">
        <f t="shared" si="64"/>
        <v>0</v>
      </c>
      <c r="G316" s="133">
        <f t="shared" si="65"/>
        <v>0</v>
      </c>
      <c r="J316" s="7">
        <f t="shared" ca="1" si="75"/>
        <v>0</v>
      </c>
      <c r="N316" s="17">
        <f t="shared" ca="1" si="74"/>
        <v>0</v>
      </c>
    </row>
    <row r="317" spans="6:14" x14ac:dyDescent="0.25">
      <c r="F317" s="132">
        <f t="shared" si="64"/>
        <v>0</v>
      </c>
      <c r="G317" s="133">
        <f t="shared" si="65"/>
        <v>0</v>
      </c>
      <c r="J317" s="7">
        <f t="shared" ca="1" si="75"/>
        <v>0</v>
      </c>
      <c r="N317" s="110">
        <f ca="1">J476</f>
        <v>0</v>
      </c>
    </row>
    <row r="318" spans="6:14" x14ac:dyDescent="0.25">
      <c r="F318" s="132">
        <f t="shared" si="64"/>
        <v>0</v>
      </c>
      <c r="G318" s="133">
        <f t="shared" si="65"/>
        <v>0</v>
      </c>
      <c r="J318" s="7">
        <f t="shared" ca="1" si="75"/>
        <v>0</v>
      </c>
      <c r="N318" s="109">
        <f t="shared" ref="N318:N325" ca="1" si="76">J477</f>
        <v>0</v>
      </c>
    </row>
    <row r="319" spans="6:14" x14ac:dyDescent="0.25">
      <c r="F319" s="134">
        <f t="shared" si="64"/>
        <v>0</v>
      </c>
      <c r="G319" s="135">
        <f t="shared" si="65"/>
        <v>0</v>
      </c>
      <c r="J319" s="7">
        <f t="shared" ca="1" si="75"/>
        <v>0</v>
      </c>
      <c r="N319" s="109">
        <f t="shared" ca="1" si="76"/>
        <v>0</v>
      </c>
    </row>
    <row r="320" spans="6:14" x14ac:dyDescent="0.25">
      <c r="F320" s="15"/>
      <c r="G320" s="16"/>
      <c r="N320" s="109">
        <f t="shared" ca="1" si="76"/>
        <v>0</v>
      </c>
    </row>
    <row r="321" spans="6:14" x14ac:dyDescent="0.25">
      <c r="F321" s="15"/>
      <c r="G321" s="16"/>
      <c r="N321" s="109">
        <f t="shared" ca="1" si="76"/>
        <v>0</v>
      </c>
    </row>
    <row r="322" spans="6:14" x14ac:dyDescent="0.25">
      <c r="F322" s="130">
        <f t="shared" si="64"/>
        <v>0</v>
      </c>
      <c r="G322" s="131">
        <f t="shared" si="65"/>
        <v>0</v>
      </c>
      <c r="J322" s="7">
        <f ca="1">$I$321*((RAND()*(G322-F322))+F322)</f>
        <v>0</v>
      </c>
      <c r="N322" s="109">
        <f t="shared" ca="1" si="76"/>
        <v>0</v>
      </c>
    </row>
    <row r="323" spans="6:14" x14ac:dyDescent="0.25">
      <c r="F323" s="132">
        <f t="shared" si="64"/>
        <v>0</v>
      </c>
      <c r="G323" s="133">
        <f t="shared" si="65"/>
        <v>0</v>
      </c>
      <c r="J323" s="7">
        <f t="shared" ref="J323:J330" ca="1" si="77">$I$321*((RAND()*(G323-F323))+F323)</f>
        <v>0</v>
      </c>
      <c r="N323" s="109">
        <f t="shared" ca="1" si="76"/>
        <v>0</v>
      </c>
    </row>
    <row r="324" spans="6:14" x14ac:dyDescent="0.25">
      <c r="F324" s="132">
        <f t="shared" si="64"/>
        <v>0</v>
      </c>
      <c r="G324" s="133">
        <f t="shared" si="65"/>
        <v>0</v>
      </c>
      <c r="J324" s="7">
        <f t="shared" ca="1" si="77"/>
        <v>0</v>
      </c>
      <c r="N324" s="109">
        <f t="shared" ca="1" si="76"/>
        <v>0</v>
      </c>
    </row>
    <row r="325" spans="6:14" x14ac:dyDescent="0.25">
      <c r="F325" s="132">
        <f t="shared" si="64"/>
        <v>0</v>
      </c>
      <c r="G325" s="133">
        <f t="shared" si="65"/>
        <v>0</v>
      </c>
      <c r="J325" s="7">
        <f t="shared" ca="1" si="77"/>
        <v>0</v>
      </c>
      <c r="N325" s="111">
        <f t="shared" ca="1" si="76"/>
        <v>0</v>
      </c>
    </row>
    <row r="326" spans="6:14" x14ac:dyDescent="0.25">
      <c r="F326" s="132">
        <f t="shared" si="64"/>
        <v>0</v>
      </c>
      <c r="G326" s="133">
        <f t="shared" si="65"/>
        <v>0</v>
      </c>
      <c r="J326" s="7">
        <f t="shared" ca="1" si="77"/>
        <v>0</v>
      </c>
      <c r="N326" s="110">
        <f ca="1">J487</f>
        <v>0</v>
      </c>
    </row>
    <row r="327" spans="6:14" x14ac:dyDescent="0.25">
      <c r="F327" s="132">
        <f t="shared" si="64"/>
        <v>0</v>
      </c>
      <c r="G327" s="133">
        <f t="shared" si="65"/>
        <v>0</v>
      </c>
      <c r="J327" s="7">
        <f t="shared" ca="1" si="77"/>
        <v>0</v>
      </c>
      <c r="N327" s="109">
        <f t="shared" ref="N327:N334" ca="1" si="78">J488</f>
        <v>0</v>
      </c>
    </row>
    <row r="328" spans="6:14" x14ac:dyDescent="0.25">
      <c r="F328" s="132">
        <f t="shared" si="64"/>
        <v>0</v>
      </c>
      <c r="G328" s="133">
        <f t="shared" si="65"/>
        <v>0</v>
      </c>
      <c r="J328" s="7">
        <f t="shared" ca="1" si="77"/>
        <v>0</v>
      </c>
      <c r="N328" s="109">
        <f t="shared" ca="1" si="78"/>
        <v>0</v>
      </c>
    </row>
    <row r="329" spans="6:14" x14ac:dyDescent="0.25">
      <c r="F329" s="132">
        <f t="shared" si="64"/>
        <v>0</v>
      </c>
      <c r="G329" s="133">
        <f t="shared" si="65"/>
        <v>0</v>
      </c>
      <c r="J329" s="7">
        <f t="shared" ca="1" si="77"/>
        <v>0</v>
      </c>
      <c r="N329" s="109">
        <f t="shared" ca="1" si="78"/>
        <v>0</v>
      </c>
    </row>
    <row r="330" spans="6:14" x14ac:dyDescent="0.25">
      <c r="F330" s="134">
        <f t="shared" si="64"/>
        <v>0</v>
      </c>
      <c r="G330" s="135">
        <f t="shared" si="65"/>
        <v>0</v>
      </c>
      <c r="J330" s="7">
        <f t="shared" ca="1" si="77"/>
        <v>0</v>
      </c>
      <c r="N330" s="109">
        <f t="shared" ca="1" si="78"/>
        <v>0</v>
      </c>
    </row>
    <row r="331" spans="6:14" x14ac:dyDescent="0.25">
      <c r="F331" s="15"/>
      <c r="G331" s="16"/>
      <c r="N331" s="109">
        <f t="shared" ca="1" si="78"/>
        <v>0</v>
      </c>
    </row>
    <row r="332" spans="6:14" x14ac:dyDescent="0.25">
      <c r="F332" s="15"/>
      <c r="G332" s="16"/>
      <c r="N332" s="109">
        <f t="shared" ca="1" si="78"/>
        <v>0</v>
      </c>
    </row>
    <row r="333" spans="6:14" x14ac:dyDescent="0.25">
      <c r="F333" s="130">
        <f t="shared" ref="F333:F395" si="79">D333*0.9</f>
        <v>0</v>
      </c>
      <c r="G333" s="131">
        <f t="shared" ref="G333:G395" si="80">1.1*D333</f>
        <v>0</v>
      </c>
      <c r="J333" s="7">
        <f ca="1">$I$332*((RAND()*(G333-F333))+F333)</f>
        <v>0</v>
      </c>
      <c r="N333" s="109">
        <f t="shared" ca="1" si="78"/>
        <v>0</v>
      </c>
    </row>
    <row r="334" spans="6:14" x14ac:dyDescent="0.25">
      <c r="F334" s="132">
        <f t="shared" si="79"/>
        <v>0</v>
      </c>
      <c r="G334" s="133">
        <f t="shared" si="80"/>
        <v>0</v>
      </c>
      <c r="J334" s="7">
        <f t="shared" ref="J334:J341" ca="1" si="81">$I$332*((RAND()*(G334-F334))+F334)</f>
        <v>0</v>
      </c>
      <c r="N334" s="111">
        <f t="shared" ca="1" si="78"/>
        <v>0</v>
      </c>
    </row>
    <row r="335" spans="6:14" x14ac:dyDescent="0.25">
      <c r="F335" s="132">
        <f t="shared" si="79"/>
        <v>0</v>
      </c>
      <c r="G335" s="133">
        <f t="shared" si="80"/>
        <v>0</v>
      </c>
      <c r="J335" s="7">
        <f t="shared" ca="1" si="81"/>
        <v>0</v>
      </c>
      <c r="N335" s="110">
        <f ca="1">J498</f>
        <v>0</v>
      </c>
    </row>
    <row r="336" spans="6:14" x14ac:dyDescent="0.25">
      <c r="F336" s="132">
        <f t="shared" si="79"/>
        <v>0</v>
      </c>
      <c r="G336" s="133">
        <f t="shared" si="80"/>
        <v>0</v>
      </c>
      <c r="J336" s="7">
        <f t="shared" ca="1" si="81"/>
        <v>0</v>
      </c>
      <c r="N336" s="109">
        <f t="shared" ref="N336:N343" ca="1" si="82">J499</f>
        <v>0</v>
      </c>
    </row>
    <row r="337" spans="6:14" x14ac:dyDescent="0.25">
      <c r="F337" s="132">
        <f t="shared" si="79"/>
        <v>0</v>
      </c>
      <c r="G337" s="133">
        <f t="shared" si="80"/>
        <v>0</v>
      </c>
      <c r="J337" s="7">
        <f t="shared" ca="1" si="81"/>
        <v>0</v>
      </c>
      <c r="N337" s="109">
        <f t="shared" ca="1" si="82"/>
        <v>0</v>
      </c>
    </row>
    <row r="338" spans="6:14" x14ac:dyDescent="0.25">
      <c r="F338" s="132">
        <f t="shared" si="79"/>
        <v>0</v>
      </c>
      <c r="G338" s="133">
        <f t="shared" si="80"/>
        <v>0</v>
      </c>
      <c r="J338" s="7">
        <f t="shared" ca="1" si="81"/>
        <v>0</v>
      </c>
      <c r="N338" s="109">
        <f t="shared" ca="1" si="82"/>
        <v>0</v>
      </c>
    </row>
    <row r="339" spans="6:14" x14ac:dyDescent="0.25">
      <c r="F339" s="132">
        <f t="shared" si="79"/>
        <v>0</v>
      </c>
      <c r="G339" s="133">
        <f t="shared" si="80"/>
        <v>0</v>
      </c>
      <c r="J339" s="7">
        <f t="shared" ca="1" si="81"/>
        <v>0</v>
      </c>
      <c r="N339" s="109">
        <f t="shared" ca="1" si="82"/>
        <v>0</v>
      </c>
    </row>
    <row r="340" spans="6:14" x14ac:dyDescent="0.25">
      <c r="F340" s="132">
        <f t="shared" si="79"/>
        <v>0</v>
      </c>
      <c r="G340" s="133">
        <f t="shared" si="80"/>
        <v>0</v>
      </c>
      <c r="J340" s="7">
        <f t="shared" ca="1" si="81"/>
        <v>0</v>
      </c>
      <c r="N340" s="109">
        <f t="shared" ca="1" si="82"/>
        <v>0</v>
      </c>
    </row>
    <row r="341" spans="6:14" x14ac:dyDescent="0.25">
      <c r="F341" s="134">
        <f t="shared" si="79"/>
        <v>0</v>
      </c>
      <c r="G341" s="135">
        <f t="shared" si="80"/>
        <v>0</v>
      </c>
      <c r="J341" s="7">
        <f t="shared" ca="1" si="81"/>
        <v>0</v>
      </c>
      <c r="N341" s="109">
        <f ca="1">J504</f>
        <v>0</v>
      </c>
    </row>
    <row r="342" spans="6:14" x14ac:dyDescent="0.25">
      <c r="F342" s="15"/>
      <c r="G342" s="16"/>
      <c r="N342" s="109">
        <f t="shared" ca="1" si="82"/>
        <v>0</v>
      </c>
    </row>
    <row r="343" spans="6:14" x14ac:dyDescent="0.25">
      <c r="F343" s="15"/>
      <c r="G343" s="16"/>
      <c r="N343" s="111">
        <f t="shared" ca="1" si="82"/>
        <v>0</v>
      </c>
    </row>
    <row r="344" spans="6:14" x14ac:dyDescent="0.25">
      <c r="F344" s="130">
        <f t="shared" si="79"/>
        <v>0</v>
      </c>
      <c r="G344" s="131">
        <f t="shared" si="80"/>
        <v>0</v>
      </c>
      <c r="J344" s="7">
        <f ca="1">$I$343*((RAND()*(G344-F344))+F344)</f>
        <v>0</v>
      </c>
      <c r="N344" s="110">
        <f ca="1">J509</f>
        <v>0</v>
      </c>
    </row>
    <row r="345" spans="6:14" x14ac:dyDescent="0.25">
      <c r="F345" s="132">
        <f t="shared" si="79"/>
        <v>0</v>
      </c>
      <c r="G345" s="133">
        <f t="shared" si="80"/>
        <v>0</v>
      </c>
      <c r="J345" s="7">
        <f t="shared" ref="J345:J352" ca="1" si="83">$I$343*((RAND()*(G345-F345))+F345)</f>
        <v>0</v>
      </c>
      <c r="N345" s="109">
        <f t="shared" ref="N345:N352" ca="1" si="84">J510</f>
        <v>0</v>
      </c>
    </row>
    <row r="346" spans="6:14" x14ac:dyDescent="0.25">
      <c r="F346" s="132">
        <f t="shared" si="79"/>
        <v>0</v>
      </c>
      <c r="G346" s="133">
        <f t="shared" si="80"/>
        <v>0</v>
      </c>
      <c r="J346" s="7">
        <f t="shared" ca="1" si="83"/>
        <v>0</v>
      </c>
      <c r="N346" s="109">
        <f t="shared" ca="1" si="84"/>
        <v>0</v>
      </c>
    </row>
    <row r="347" spans="6:14" x14ac:dyDescent="0.25">
      <c r="F347" s="132">
        <f t="shared" si="79"/>
        <v>0</v>
      </c>
      <c r="G347" s="133">
        <f t="shared" si="80"/>
        <v>0</v>
      </c>
      <c r="J347" s="7">
        <f t="shared" ca="1" si="83"/>
        <v>0</v>
      </c>
      <c r="N347" s="109">
        <f t="shared" ca="1" si="84"/>
        <v>0</v>
      </c>
    </row>
    <row r="348" spans="6:14" x14ac:dyDescent="0.25">
      <c r="F348" s="132">
        <f t="shared" si="79"/>
        <v>0</v>
      </c>
      <c r="G348" s="133">
        <f t="shared" si="80"/>
        <v>0</v>
      </c>
      <c r="J348" s="7">
        <f t="shared" ca="1" si="83"/>
        <v>0</v>
      </c>
      <c r="N348" s="109">
        <f t="shared" ca="1" si="84"/>
        <v>0</v>
      </c>
    </row>
    <row r="349" spans="6:14" x14ac:dyDescent="0.25">
      <c r="F349" s="132">
        <f t="shared" si="79"/>
        <v>0</v>
      </c>
      <c r="G349" s="133">
        <f t="shared" si="80"/>
        <v>0</v>
      </c>
      <c r="J349" s="7">
        <f t="shared" ca="1" si="83"/>
        <v>0</v>
      </c>
      <c r="N349" s="109">
        <f t="shared" ca="1" si="84"/>
        <v>0</v>
      </c>
    </row>
    <row r="350" spans="6:14" x14ac:dyDescent="0.25">
      <c r="F350" s="132">
        <f t="shared" si="79"/>
        <v>0</v>
      </c>
      <c r="G350" s="133">
        <f t="shared" si="80"/>
        <v>0</v>
      </c>
      <c r="J350" s="7">
        <f t="shared" ca="1" si="83"/>
        <v>0</v>
      </c>
      <c r="N350" s="109">
        <f t="shared" ca="1" si="84"/>
        <v>0</v>
      </c>
    </row>
    <row r="351" spans="6:14" x14ac:dyDescent="0.25">
      <c r="F351" s="132">
        <f t="shared" si="79"/>
        <v>0</v>
      </c>
      <c r="G351" s="133">
        <f t="shared" si="80"/>
        <v>0</v>
      </c>
      <c r="J351" s="7">
        <f t="shared" ca="1" si="83"/>
        <v>0</v>
      </c>
      <c r="N351" s="109">
        <f t="shared" ca="1" si="84"/>
        <v>0</v>
      </c>
    </row>
    <row r="352" spans="6:14" x14ac:dyDescent="0.25">
      <c r="F352" s="134">
        <f t="shared" si="79"/>
        <v>0</v>
      </c>
      <c r="G352" s="135">
        <f t="shared" si="80"/>
        <v>0</v>
      </c>
      <c r="J352" s="7">
        <f t="shared" ca="1" si="83"/>
        <v>0</v>
      </c>
      <c r="N352" s="111">
        <f t="shared" ca="1" si="84"/>
        <v>0</v>
      </c>
    </row>
    <row r="353" spans="6:14" x14ac:dyDescent="0.25">
      <c r="F353" s="15"/>
      <c r="G353" s="16"/>
      <c r="N353" s="110">
        <f ca="1">J520</f>
        <v>0</v>
      </c>
    </row>
    <row r="354" spans="6:14" x14ac:dyDescent="0.25">
      <c r="F354" s="15"/>
      <c r="G354" s="16"/>
      <c r="N354" s="109">
        <f t="shared" ref="N354:N361" ca="1" si="85">J521</f>
        <v>0</v>
      </c>
    </row>
    <row r="355" spans="6:14" x14ac:dyDescent="0.25">
      <c r="F355" s="130">
        <f t="shared" si="79"/>
        <v>0</v>
      </c>
      <c r="G355" s="131">
        <f t="shared" si="80"/>
        <v>0</v>
      </c>
      <c r="J355" s="7">
        <f ca="1">$I$354*((RAND()*(G355-F355))+F355)</f>
        <v>0</v>
      </c>
      <c r="N355" s="109">
        <f t="shared" ca="1" si="85"/>
        <v>0</v>
      </c>
    </row>
    <row r="356" spans="6:14" x14ac:dyDescent="0.25">
      <c r="F356" s="132">
        <f t="shared" si="79"/>
        <v>0</v>
      </c>
      <c r="G356" s="133">
        <f t="shared" si="80"/>
        <v>0</v>
      </c>
      <c r="J356" s="7">
        <f t="shared" ref="J356:J363" ca="1" si="86">$I$354*((RAND()*(G356-F356))+F356)</f>
        <v>0</v>
      </c>
      <c r="N356" s="109">
        <f t="shared" ca="1" si="85"/>
        <v>0</v>
      </c>
    </row>
    <row r="357" spans="6:14" x14ac:dyDescent="0.25">
      <c r="F357" s="132">
        <f t="shared" si="79"/>
        <v>0</v>
      </c>
      <c r="G357" s="133">
        <f t="shared" si="80"/>
        <v>0</v>
      </c>
      <c r="J357" s="7">
        <f t="shared" ca="1" si="86"/>
        <v>0</v>
      </c>
      <c r="N357" s="109">
        <f t="shared" ca="1" si="85"/>
        <v>0</v>
      </c>
    </row>
    <row r="358" spans="6:14" x14ac:dyDescent="0.25">
      <c r="F358" s="132">
        <f t="shared" si="79"/>
        <v>0</v>
      </c>
      <c r="G358" s="133">
        <f t="shared" si="80"/>
        <v>0</v>
      </c>
      <c r="J358" s="7">
        <f t="shared" ca="1" si="86"/>
        <v>0</v>
      </c>
      <c r="N358" s="109">
        <f t="shared" ca="1" si="85"/>
        <v>0</v>
      </c>
    </row>
    <row r="359" spans="6:14" x14ac:dyDescent="0.25">
      <c r="F359" s="132">
        <f t="shared" si="79"/>
        <v>0</v>
      </c>
      <c r="G359" s="133">
        <f t="shared" si="80"/>
        <v>0</v>
      </c>
      <c r="J359" s="7">
        <f t="shared" ca="1" si="86"/>
        <v>0</v>
      </c>
      <c r="N359" s="109">
        <f t="shared" ca="1" si="85"/>
        <v>0</v>
      </c>
    </row>
    <row r="360" spans="6:14" x14ac:dyDescent="0.25">
      <c r="F360" s="132">
        <f t="shared" si="79"/>
        <v>0</v>
      </c>
      <c r="G360" s="133">
        <f t="shared" si="80"/>
        <v>0</v>
      </c>
      <c r="J360" s="7">
        <f t="shared" ca="1" si="86"/>
        <v>0</v>
      </c>
      <c r="N360" s="109">
        <f t="shared" ca="1" si="85"/>
        <v>0</v>
      </c>
    </row>
    <row r="361" spans="6:14" x14ac:dyDescent="0.25">
      <c r="F361" s="132">
        <f t="shared" si="79"/>
        <v>0</v>
      </c>
      <c r="G361" s="133">
        <f t="shared" si="80"/>
        <v>0</v>
      </c>
      <c r="J361" s="7">
        <f t="shared" ca="1" si="86"/>
        <v>0</v>
      </c>
      <c r="N361" s="111">
        <f t="shared" ca="1" si="85"/>
        <v>0</v>
      </c>
    </row>
    <row r="362" spans="6:14" x14ac:dyDescent="0.25">
      <c r="F362" s="132">
        <f t="shared" si="79"/>
        <v>0</v>
      </c>
      <c r="G362" s="133">
        <f t="shared" si="80"/>
        <v>0</v>
      </c>
      <c r="J362" s="7">
        <f t="shared" ca="1" si="86"/>
        <v>0</v>
      </c>
      <c r="N362" s="110">
        <f ca="1">J531</f>
        <v>0</v>
      </c>
    </row>
    <row r="363" spans="6:14" x14ac:dyDescent="0.25">
      <c r="F363" s="134">
        <f t="shared" si="79"/>
        <v>0</v>
      </c>
      <c r="G363" s="135">
        <f t="shared" si="80"/>
        <v>0</v>
      </c>
      <c r="J363" s="7">
        <f t="shared" ca="1" si="86"/>
        <v>0</v>
      </c>
      <c r="N363" s="109">
        <f t="shared" ref="N363:N369" ca="1" si="87">J532</f>
        <v>0</v>
      </c>
    </row>
    <row r="364" spans="6:14" x14ac:dyDescent="0.25">
      <c r="F364" s="15"/>
      <c r="G364" s="16"/>
      <c r="N364" s="109">
        <f t="shared" ca="1" si="87"/>
        <v>0</v>
      </c>
    </row>
    <row r="365" spans="6:14" x14ac:dyDescent="0.25">
      <c r="F365" s="15"/>
      <c r="G365" s="16"/>
      <c r="N365" s="109">
        <f t="shared" ca="1" si="87"/>
        <v>0</v>
      </c>
    </row>
    <row r="366" spans="6:14" x14ac:dyDescent="0.25">
      <c r="F366" s="130">
        <f t="shared" si="79"/>
        <v>0</v>
      </c>
      <c r="G366" s="131">
        <f t="shared" si="80"/>
        <v>0</v>
      </c>
      <c r="J366" s="7">
        <f ca="1">$I$365*((RAND()*(G366-F366))+F366)</f>
        <v>0</v>
      </c>
      <c r="N366" s="109">
        <f t="shared" ca="1" si="87"/>
        <v>0</v>
      </c>
    </row>
    <row r="367" spans="6:14" x14ac:dyDescent="0.25">
      <c r="F367" s="132">
        <f t="shared" si="79"/>
        <v>0</v>
      </c>
      <c r="G367" s="133">
        <f t="shared" si="80"/>
        <v>0</v>
      </c>
      <c r="J367" s="7">
        <f t="shared" ref="J367:J374" ca="1" si="88">$I$365*((RAND()*(G367-F367))+F367)</f>
        <v>0</v>
      </c>
      <c r="N367" s="109">
        <f t="shared" ca="1" si="87"/>
        <v>0</v>
      </c>
    </row>
    <row r="368" spans="6:14" x14ac:dyDescent="0.25">
      <c r="F368" s="132">
        <f t="shared" si="79"/>
        <v>0</v>
      </c>
      <c r="G368" s="133">
        <f t="shared" si="80"/>
        <v>0</v>
      </c>
      <c r="J368" s="7">
        <f t="shared" ca="1" si="88"/>
        <v>0</v>
      </c>
      <c r="N368" s="109">
        <f t="shared" ca="1" si="87"/>
        <v>0</v>
      </c>
    </row>
    <row r="369" spans="6:14" x14ac:dyDescent="0.25">
      <c r="F369" s="132">
        <f t="shared" si="79"/>
        <v>0</v>
      </c>
      <c r="G369" s="133">
        <f t="shared" si="80"/>
        <v>0</v>
      </c>
      <c r="J369" s="7">
        <f t="shared" ca="1" si="88"/>
        <v>0</v>
      </c>
      <c r="N369" s="109">
        <f t="shared" ca="1" si="87"/>
        <v>0</v>
      </c>
    </row>
    <row r="370" spans="6:14" x14ac:dyDescent="0.25">
      <c r="F370" s="132">
        <f t="shared" si="79"/>
        <v>0</v>
      </c>
      <c r="G370" s="133">
        <f t="shared" si="80"/>
        <v>0</v>
      </c>
      <c r="J370" s="7">
        <f t="shared" ca="1" si="88"/>
        <v>0</v>
      </c>
      <c r="N370" s="109">
        <f ca="1">J539</f>
        <v>0</v>
      </c>
    </row>
    <row r="371" spans="6:14" x14ac:dyDescent="0.25">
      <c r="F371" s="132">
        <f t="shared" si="79"/>
        <v>0</v>
      </c>
      <c r="G371" s="133">
        <f t="shared" si="80"/>
        <v>0</v>
      </c>
      <c r="J371" s="7">
        <f t="shared" ca="1" si="88"/>
        <v>0</v>
      </c>
      <c r="N371" s="136"/>
    </row>
    <row r="372" spans="6:14" x14ac:dyDescent="0.25">
      <c r="F372" s="132">
        <f t="shared" si="79"/>
        <v>0</v>
      </c>
      <c r="G372" s="133">
        <f t="shared" si="80"/>
        <v>0</v>
      </c>
      <c r="J372" s="7">
        <f t="shared" ca="1" si="88"/>
        <v>0</v>
      </c>
      <c r="N372" s="9"/>
    </row>
    <row r="373" spans="6:14" x14ac:dyDescent="0.25">
      <c r="F373" s="132">
        <f t="shared" si="79"/>
        <v>0</v>
      </c>
      <c r="G373" s="133">
        <f t="shared" si="80"/>
        <v>0</v>
      </c>
      <c r="J373" s="7">
        <f t="shared" ca="1" si="88"/>
        <v>0</v>
      </c>
      <c r="N373" s="9"/>
    </row>
    <row r="374" spans="6:14" x14ac:dyDescent="0.25">
      <c r="F374" s="134">
        <f t="shared" si="79"/>
        <v>0</v>
      </c>
      <c r="G374" s="135">
        <f t="shared" si="80"/>
        <v>0</v>
      </c>
      <c r="J374" s="7">
        <f t="shared" ca="1" si="88"/>
        <v>0</v>
      </c>
      <c r="N374" s="9"/>
    </row>
    <row r="375" spans="6:14" x14ac:dyDescent="0.25">
      <c r="F375" s="15"/>
      <c r="G375" s="16"/>
      <c r="N375" s="9"/>
    </row>
    <row r="376" spans="6:14" x14ac:dyDescent="0.25">
      <c r="F376" s="15"/>
      <c r="G376" s="16"/>
      <c r="N376" s="9"/>
    </row>
    <row r="377" spans="6:14" x14ac:dyDescent="0.25">
      <c r="F377" s="130">
        <f t="shared" si="79"/>
        <v>0</v>
      </c>
      <c r="G377" s="131">
        <f t="shared" si="80"/>
        <v>0</v>
      </c>
      <c r="J377" s="7">
        <f ca="1">$I$376*((RAND()*(G377-F377))+F377)</f>
        <v>0</v>
      </c>
      <c r="N377" s="9"/>
    </row>
    <row r="378" spans="6:14" x14ac:dyDescent="0.25">
      <c r="F378" s="132">
        <f t="shared" si="79"/>
        <v>0</v>
      </c>
      <c r="G378" s="133">
        <f t="shared" si="80"/>
        <v>0</v>
      </c>
      <c r="J378" s="7">
        <f t="shared" ref="J378:J385" ca="1" si="89">$I$376*((RAND()*(G378-F378))+F378)</f>
        <v>0</v>
      </c>
      <c r="N378" s="9"/>
    </row>
    <row r="379" spans="6:14" x14ac:dyDescent="0.25">
      <c r="F379" s="132">
        <f t="shared" si="79"/>
        <v>0</v>
      </c>
      <c r="G379" s="133">
        <f t="shared" si="80"/>
        <v>0</v>
      </c>
      <c r="J379" s="7">
        <f t="shared" ca="1" si="89"/>
        <v>0</v>
      </c>
      <c r="N379" s="9"/>
    </row>
    <row r="380" spans="6:14" x14ac:dyDescent="0.25">
      <c r="F380" s="132">
        <f t="shared" si="79"/>
        <v>0</v>
      </c>
      <c r="G380" s="133">
        <f t="shared" si="80"/>
        <v>0</v>
      </c>
      <c r="J380" s="7">
        <f t="shared" ca="1" si="89"/>
        <v>0</v>
      </c>
      <c r="N380" s="9"/>
    </row>
    <row r="381" spans="6:14" x14ac:dyDescent="0.25">
      <c r="F381" s="132">
        <f t="shared" si="79"/>
        <v>0</v>
      </c>
      <c r="G381" s="133">
        <f t="shared" si="80"/>
        <v>0</v>
      </c>
      <c r="J381" s="7">
        <f t="shared" ca="1" si="89"/>
        <v>0</v>
      </c>
      <c r="N381" s="9"/>
    </row>
    <row r="382" spans="6:14" x14ac:dyDescent="0.25">
      <c r="F382" s="132">
        <f t="shared" si="79"/>
        <v>0</v>
      </c>
      <c r="G382" s="133">
        <f t="shared" si="80"/>
        <v>0</v>
      </c>
      <c r="J382" s="7">
        <f t="shared" ca="1" si="89"/>
        <v>0</v>
      </c>
      <c r="N382" s="9"/>
    </row>
    <row r="383" spans="6:14" x14ac:dyDescent="0.25">
      <c r="F383" s="132">
        <f t="shared" si="79"/>
        <v>0</v>
      </c>
      <c r="G383" s="133">
        <f t="shared" si="80"/>
        <v>0</v>
      </c>
      <c r="J383" s="7">
        <f t="shared" ca="1" si="89"/>
        <v>0</v>
      </c>
      <c r="N383" s="9"/>
    </row>
    <row r="384" spans="6:14" x14ac:dyDescent="0.25">
      <c r="F384" s="132">
        <f t="shared" si="79"/>
        <v>0</v>
      </c>
      <c r="G384" s="133">
        <f t="shared" si="80"/>
        <v>0</v>
      </c>
      <c r="J384" s="7">
        <f t="shared" ca="1" si="89"/>
        <v>0</v>
      </c>
      <c r="N384" s="9"/>
    </row>
    <row r="385" spans="6:14" x14ac:dyDescent="0.25">
      <c r="F385" s="134">
        <f t="shared" si="79"/>
        <v>0</v>
      </c>
      <c r="G385" s="135">
        <f t="shared" si="80"/>
        <v>0</v>
      </c>
      <c r="J385" s="7">
        <f t="shared" ca="1" si="89"/>
        <v>0</v>
      </c>
      <c r="N385" s="9"/>
    </row>
    <row r="386" spans="6:14" x14ac:dyDescent="0.25">
      <c r="F386" s="15"/>
      <c r="G386" s="16"/>
      <c r="N386" s="9"/>
    </row>
    <row r="387" spans="6:14" x14ac:dyDescent="0.25">
      <c r="F387" s="15"/>
      <c r="G387" s="16"/>
      <c r="N387" s="9"/>
    </row>
    <row r="388" spans="6:14" x14ac:dyDescent="0.25">
      <c r="F388" s="130">
        <f t="shared" si="79"/>
        <v>0</v>
      </c>
      <c r="G388" s="131">
        <f t="shared" si="80"/>
        <v>0</v>
      </c>
      <c r="J388" s="7">
        <f ca="1">$I$387*((RAND()*(G388-F388))+F388)</f>
        <v>0</v>
      </c>
      <c r="N388" s="9"/>
    </row>
    <row r="389" spans="6:14" x14ac:dyDescent="0.25">
      <c r="F389" s="132">
        <f t="shared" si="79"/>
        <v>0</v>
      </c>
      <c r="G389" s="133">
        <f t="shared" si="80"/>
        <v>0</v>
      </c>
      <c r="J389" s="7">
        <f t="shared" ref="J389:J396" ca="1" si="90">$I$387*((RAND()*(G389-F389))+F389)</f>
        <v>0</v>
      </c>
      <c r="N389" s="9"/>
    </row>
    <row r="390" spans="6:14" x14ac:dyDescent="0.25">
      <c r="F390" s="132">
        <f t="shared" si="79"/>
        <v>0</v>
      </c>
      <c r="G390" s="133">
        <f t="shared" si="80"/>
        <v>0</v>
      </c>
      <c r="J390" s="7">
        <f t="shared" ca="1" si="90"/>
        <v>0</v>
      </c>
      <c r="N390" s="9"/>
    </row>
    <row r="391" spans="6:14" x14ac:dyDescent="0.25">
      <c r="F391" s="132">
        <f t="shared" si="79"/>
        <v>0</v>
      </c>
      <c r="G391" s="133">
        <f t="shared" si="80"/>
        <v>0</v>
      </c>
      <c r="J391" s="7">
        <f t="shared" ca="1" si="90"/>
        <v>0</v>
      </c>
      <c r="N391" s="9"/>
    </row>
    <row r="392" spans="6:14" x14ac:dyDescent="0.25">
      <c r="F392" s="132">
        <f t="shared" si="79"/>
        <v>0</v>
      </c>
      <c r="G392" s="133">
        <f t="shared" si="80"/>
        <v>0</v>
      </c>
      <c r="J392" s="7">
        <f t="shared" ca="1" si="90"/>
        <v>0</v>
      </c>
      <c r="N392" s="9"/>
    </row>
    <row r="393" spans="6:14" x14ac:dyDescent="0.25">
      <c r="F393" s="132">
        <f t="shared" si="79"/>
        <v>0</v>
      </c>
      <c r="G393" s="133">
        <f t="shared" si="80"/>
        <v>0</v>
      </c>
      <c r="J393" s="7">
        <f t="shared" ca="1" si="90"/>
        <v>0</v>
      </c>
      <c r="N393" s="9"/>
    </row>
    <row r="394" spans="6:14" x14ac:dyDescent="0.25">
      <c r="F394" s="132">
        <f t="shared" si="79"/>
        <v>0</v>
      </c>
      <c r="G394" s="133">
        <f t="shared" si="80"/>
        <v>0</v>
      </c>
      <c r="J394" s="7">
        <f t="shared" ca="1" si="90"/>
        <v>0</v>
      </c>
      <c r="N394" s="9"/>
    </row>
    <row r="395" spans="6:14" x14ac:dyDescent="0.25">
      <c r="F395" s="132">
        <f t="shared" si="79"/>
        <v>0</v>
      </c>
      <c r="G395" s="133">
        <f t="shared" si="80"/>
        <v>0</v>
      </c>
      <c r="J395" s="7">
        <f t="shared" ca="1" si="90"/>
        <v>0</v>
      </c>
      <c r="N395" s="9"/>
    </row>
    <row r="396" spans="6:14" x14ac:dyDescent="0.25">
      <c r="F396" s="134">
        <f t="shared" ref="F396:F459" si="91">D396*0.9</f>
        <v>0</v>
      </c>
      <c r="G396" s="135">
        <f t="shared" ref="G396:G459" si="92">1.1*D396</f>
        <v>0</v>
      </c>
      <c r="J396" s="7">
        <f t="shared" ca="1" si="90"/>
        <v>0</v>
      </c>
      <c r="N396" s="9"/>
    </row>
    <row r="397" spans="6:14" x14ac:dyDescent="0.25">
      <c r="F397" s="15"/>
      <c r="G397" s="16"/>
      <c r="N397" s="9"/>
    </row>
    <row r="398" spans="6:14" x14ac:dyDescent="0.25">
      <c r="F398" s="15"/>
      <c r="G398" s="16"/>
      <c r="N398" s="9"/>
    </row>
    <row r="399" spans="6:14" x14ac:dyDescent="0.25">
      <c r="F399" s="130">
        <f t="shared" si="91"/>
        <v>0</v>
      </c>
      <c r="G399" s="131">
        <f t="shared" si="92"/>
        <v>0</v>
      </c>
      <c r="J399" s="7">
        <f ca="1">$I$398*((RAND()*(G399-F399))+F399)</f>
        <v>0</v>
      </c>
      <c r="N399" s="9"/>
    </row>
    <row r="400" spans="6:14" x14ac:dyDescent="0.25">
      <c r="F400" s="132">
        <f t="shared" si="91"/>
        <v>0</v>
      </c>
      <c r="G400" s="133">
        <f t="shared" si="92"/>
        <v>0</v>
      </c>
      <c r="J400" s="7">
        <f t="shared" ref="J400:J407" ca="1" si="93">$I$398*((RAND()*(G400-F400))+F400)</f>
        <v>0</v>
      </c>
      <c r="N400" s="9"/>
    </row>
    <row r="401" spans="6:14" x14ac:dyDescent="0.25">
      <c r="F401" s="132">
        <f t="shared" si="91"/>
        <v>0</v>
      </c>
      <c r="G401" s="133">
        <f t="shared" si="92"/>
        <v>0</v>
      </c>
      <c r="J401" s="7">
        <f t="shared" ca="1" si="93"/>
        <v>0</v>
      </c>
      <c r="N401" s="9"/>
    </row>
    <row r="402" spans="6:14" x14ac:dyDescent="0.25">
      <c r="F402" s="132">
        <f t="shared" si="91"/>
        <v>0</v>
      </c>
      <c r="G402" s="133">
        <f t="shared" si="92"/>
        <v>0</v>
      </c>
      <c r="J402" s="7">
        <f t="shared" ca="1" si="93"/>
        <v>0</v>
      </c>
      <c r="N402" s="9"/>
    </row>
    <row r="403" spans="6:14" x14ac:dyDescent="0.25">
      <c r="F403" s="132">
        <f t="shared" si="91"/>
        <v>0</v>
      </c>
      <c r="G403" s="133">
        <f t="shared" si="92"/>
        <v>0</v>
      </c>
      <c r="J403" s="7">
        <f t="shared" ca="1" si="93"/>
        <v>0</v>
      </c>
      <c r="N403" s="9"/>
    </row>
    <row r="404" spans="6:14" x14ac:dyDescent="0.25">
      <c r="F404" s="132">
        <f t="shared" si="91"/>
        <v>0</v>
      </c>
      <c r="G404" s="133">
        <f t="shared" si="92"/>
        <v>0</v>
      </c>
      <c r="J404" s="7">
        <f t="shared" ca="1" si="93"/>
        <v>0</v>
      </c>
      <c r="N404" s="9"/>
    </row>
    <row r="405" spans="6:14" x14ac:dyDescent="0.25">
      <c r="F405" s="132">
        <f t="shared" si="91"/>
        <v>0</v>
      </c>
      <c r="G405" s="133">
        <f t="shared" si="92"/>
        <v>0</v>
      </c>
      <c r="J405" s="7">
        <f t="shared" ca="1" si="93"/>
        <v>0</v>
      </c>
      <c r="N405" s="9"/>
    </row>
    <row r="406" spans="6:14" x14ac:dyDescent="0.25">
      <c r="F406" s="132">
        <f t="shared" si="91"/>
        <v>0</v>
      </c>
      <c r="G406" s="133">
        <f t="shared" si="92"/>
        <v>0</v>
      </c>
      <c r="J406" s="7">
        <f t="shared" ca="1" si="93"/>
        <v>0</v>
      </c>
      <c r="N406" s="9"/>
    </row>
    <row r="407" spans="6:14" x14ac:dyDescent="0.25">
      <c r="F407" s="134">
        <f t="shared" si="91"/>
        <v>0</v>
      </c>
      <c r="G407" s="135">
        <f t="shared" si="92"/>
        <v>0</v>
      </c>
      <c r="J407" s="7">
        <f t="shared" ca="1" si="93"/>
        <v>0</v>
      </c>
      <c r="N407" s="9"/>
    </row>
    <row r="408" spans="6:14" x14ac:dyDescent="0.25">
      <c r="F408" s="15"/>
      <c r="G408" s="16"/>
      <c r="N408" s="9"/>
    </row>
    <row r="409" spans="6:14" x14ac:dyDescent="0.25">
      <c r="F409" s="15"/>
      <c r="G409" s="16"/>
      <c r="N409" s="9"/>
    </row>
    <row r="410" spans="6:14" x14ac:dyDescent="0.25">
      <c r="F410" s="130">
        <f t="shared" si="91"/>
        <v>0</v>
      </c>
      <c r="G410" s="131">
        <f t="shared" si="92"/>
        <v>0</v>
      </c>
      <c r="J410" s="7">
        <f ca="1">$I$409*((RAND()*(G410-F410))+F410)</f>
        <v>0</v>
      </c>
      <c r="N410" s="9"/>
    </row>
    <row r="411" spans="6:14" x14ac:dyDescent="0.25">
      <c r="F411" s="132">
        <f t="shared" si="91"/>
        <v>0</v>
      </c>
      <c r="G411" s="133">
        <f t="shared" si="92"/>
        <v>0</v>
      </c>
      <c r="J411" s="7">
        <f t="shared" ref="J411:J418" ca="1" si="94">$I$409*((RAND()*(G411-F411))+F411)</f>
        <v>0</v>
      </c>
      <c r="N411" s="9"/>
    </row>
    <row r="412" spans="6:14" x14ac:dyDescent="0.25">
      <c r="F412" s="132">
        <f t="shared" si="91"/>
        <v>0</v>
      </c>
      <c r="G412" s="133">
        <f t="shared" si="92"/>
        <v>0</v>
      </c>
      <c r="J412" s="7">
        <f t="shared" ca="1" si="94"/>
        <v>0</v>
      </c>
      <c r="N412" s="9"/>
    </row>
    <row r="413" spans="6:14" x14ac:dyDescent="0.25">
      <c r="F413" s="132">
        <f t="shared" si="91"/>
        <v>0</v>
      </c>
      <c r="G413" s="133">
        <f t="shared" si="92"/>
        <v>0</v>
      </c>
      <c r="J413" s="7">
        <f t="shared" ca="1" si="94"/>
        <v>0</v>
      </c>
      <c r="N413" s="9"/>
    </row>
    <row r="414" spans="6:14" x14ac:dyDescent="0.25">
      <c r="F414" s="132">
        <f t="shared" si="91"/>
        <v>0</v>
      </c>
      <c r="G414" s="133">
        <f t="shared" si="92"/>
        <v>0</v>
      </c>
      <c r="J414" s="7">
        <f t="shared" ca="1" si="94"/>
        <v>0</v>
      </c>
      <c r="N414" s="9"/>
    </row>
    <row r="415" spans="6:14" x14ac:dyDescent="0.25">
      <c r="F415" s="132">
        <f t="shared" si="91"/>
        <v>0</v>
      </c>
      <c r="G415" s="133">
        <f t="shared" si="92"/>
        <v>0</v>
      </c>
      <c r="J415" s="7">
        <f t="shared" ca="1" si="94"/>
        <v>0</v>
      </c>
      <c r="N415" s="9"/>
    </row>
    <row r="416" spans="6:14" x14ac:dyDescent="0.25">
      <c r="F416" s="132">
        <f t="shared" si="91"/>
        <v>0</v>
      </c>
      <c r="G416" s="133">
        <f t="shared" si="92"/>
        <v>0</v>
      </c>
      <c r="J416" s="7">
        <f t="shared" ca="1" si="94"/>
        <v>0</v>
      </c>
      <c r="N416" s="9"/>
    </row>
    <row r="417" spans="6:14" x14ac:dyDescent="0.25">
      <c r="F417" s="132">
        <f t="shared" si="91"/>
        <v>0</v>
      </c>
      <c r="G417" s="133">
        <f t="shared" si="92"/>
        <v>0</v>
      </c>
      <c r="J417" s="7">
        <f t="shared" ca="1" si="94"/>
        <v>0</v>
      </c>
      <c r="N417" s="9"/>
    </row>
    <row r="418" spans="6:14" x14ac:dyDescent="0.25">
      <c r="F418" s="134">
        <f t="shared" si="91"/>
        <v>0</v>
      </c>
      <c r="G418" s="135">
        <f t="shared" si="92"/>
        <v>0</v>
      </c>
      <c r="J418" s="7">
        <f t="shared" ca="1" si="94"/>
        <v>0</v>
      </c>
      <c r="N418" s="9"/>
    </row>
    <row r="419" spans="6:14" x14ac:dyDescent="0.25">
      <c r="F419" s="15"/>
      <c r="G419" s="16"/>
      <c r="N419" s="9"/>
    </row>
    <row r="420" spans="6:14" x14ac:dyDescent="0.25">
      <c r="F420" s="15"/>
      <c r="G420" s="16"/>
      <c r="N420" s="9"/>
    </row>
    <row r="421" spans="6:14" x14ac:dyDescent="0.25">
      <c r="F421" s="130">
        <f t="shared" si="91"/>
        <v>0</v>
      </c>
      <c r="G421" s="131">
        <f t="shared" si="92"/>
        <v>0</v>
      </c>
      <c r="J421" s="7">
        <f ca="1">$I$420*((RAND()*(G421-F421))+F421)</f>
        <v>0</v>
      </c>
      <c r="N421" s="9"/>
    </row>
    <row r="422" spans="6:14" x14ac:dyDescent="0.25">
      <c r="F422" s="132">
        <f t="shared" si="91"/>
        <v>0</v>
      </c>
      <c r="G422" s="133">
        <f t="shared" si="92"/>
        <v>0</v>
      </c>
      <c r="J422" s="7">
        <f t="shared" ref="J422:J429" ca="1" si="95">$I$420*((RAND()*(G422-F422))+F422)</f>
        <v>0</v>
      </c>
      <c r="N422" s="9"/>
    </row>
    <row r="423" spans="6:14" x14ac:dyDescent="0.25">
      <c r="F423" s="132">
        <f t="shared" si="91"/>
        <v>0</v>
      </c>
      <c r="G423" s="133">
        <f t="shared" si="92"/>
        <v>0</v>
      </c>
      <c r="J423" s="7">
        <f t="shared" ca="1" si="95"/>
        <v>0</v>
      </c>
      <c r="N423" s="9"/>
    </row>
    <row r="424" spans="6:14" x14ac:dyDescent="0.25">
      <c r="F424" s="132">
        <f t="shared" si="91"/>
        <v>0</v>
      </c>
      <c r="G424" s="133">
        <f t="shared" si="92"/>
        <v>0</v>
      </c>
      <c r="J424" s="7">
        <f t="shared" ca="1" si="95"/>
        <v>0</v>
      </c>
      <c r="N424" s="9"/>
    </row>
    <row r="425" spans="6:14" x14ac:dyDescent="0.25">
      <c r="F425" s="132">
        <f t="shared" si="91"/>
        <v>0</v>
      </c>
      <c r="G425" s="133">
        <f t="shared" si="92"/>
        <v>0</v>
      </c>
      <c r="J425" s="7">
        <f t="shared" ca="1" si="95"/>
        <v>0</v>
      </c>
      <c r="N425" s="9"/>
    </row>
    <row r="426" spans="6:14" x14ac:dyDescent="0.25">
      <c r="F426" s="132">
        <f t="shared" si="91"/>
        <v>0</v>
      </c>
      <c r="G426" s="133">
        <f t="shared" si="92"/>
        <v>0</v>
      </c>
      <c r="J426" s="7">
        <f t="shared" ca="1" si="95"/>
        <v>0</v>
      </c>
      <c r="N426" s="9"/>
    </row>
    <row r="427" spans="6:14" x14ac:dyDescent="0.25">
      <c r="F427" s="132">
        <f t="shared" si="91"/>
        <v>0</v>
      </c>
      <c r="G427" s="133">
        <f t="shared" si="92"/>
        <v>0</v>
      </c>
      <c r="J427" s="7">
        <f t="shared" ca="1" si="95"/>
        <v>0</v>
      </c>
      <c r="N427" s="9"/>
    </row>
    <row r="428" spans="6:14" x14ac:dyDescent="0.25">
      <c r="F428" s="132">
        <f t="shared" si="91"/>
        <v>0</v>
      </c>
      <c r="G428" s="133">
        <f t="shared" si="92"/>
        <v>0</v>
      </c>
      <c r="J428" s="7">
        <f t="shared" ca="1" si="95"/>
        <v>0</v>
      </c>
      <c r="N428" s="9"/>
    </row>
    <row r="429" spans="6:14" x14ac:dyDescent="0.25">
      <c r="F429" s="134">
        <f t="shared" si="91"/>
        <v>0</v>
      </c>
      <c r="G429" s="135">
        <f t="shared" si="92"/>
        <v>0</v>
      </c>
      <c r="J429" s="7">
        <f t="shared" ca="1" si="95"/>
        <v>0</v>
      </c>
      <c r="N429" s="9"/>
    </row>
    <row r="430" spans="6:14" x14ac:dyDescent="0.25">
      <c r="F430" s="15"/>
      <c r="G430" s="16"/>
      <c r="N430" s="9"/>
    </row>
    <row r="431" spans="6:14" x14ac:dyDescent="0.25">
      <c r="F431" s="15"/>
      <c r="G431" s="16"/>
      <c r="N431" s="9"/>
    </row>
    <row r="432" spans="6:14" x14ac:dyDescent="0.25">
      <c r="F432" s="130">
        <f t="shared" si="91"/>
        <v>0</v>
      </c>
      <c r="G432" s="131">
        <f t="shared" si="92"/>
        <v>0</v>
      </c>
      <c r="J432" s="7">
        <f ca="1">$I$431*((RAND()*(G432-F432))+F432)</f>
        <v>0</v>
      </c>
      <c r="N432" s="9"/>
    </row>
    <row r="433" spans="6:14" x14ac:dyDescent="0.25">
      <c r="F433" s="132">
        <f t="shared" si="91"/>
        <v>0</v>
      </c>
      <c r="G433" s="133">
        <f t="shared" si="92"/>
        <v>0</v>
      </c>
      <c r="J433" s="7">
        <f t="shared" ref="J433:J440" ca="1" si="96">$I$431*((RAND()*(G433-F433))+F433)</f>
        <v>0</v>
      </c>
      <c r="N433" s="9"/>
    </row>
    <row r="434" spans="6:14" x14ac:dyDescent="0.25">
      <c r="F434" s="132">
        <f t="shared" si="91"/>
        <v>0</v>
      </c>
      <c r="G434" s="133">
        <f t="shared" si="92"/>
        <v>0</v>
      </c>
      <c r="J434" s="7">
        <f t="shared" ca="1" si="96"/>
        <v>0</v>
      </c>
      <c r="N434" s="9"/>
    </row>
    <row r="435" spans="6:14" x14ac:dyDescent="0.25">
      <c r="F435" s="132">
        <f t="shared" si="91"/>
        <v>0</v>
      </c>
      <c r="G435" s="133">
        <f t="shared" si="92"/>
        <v>0</v>
      </c>
      <c r="J435" s="7">
        <f t="shared" ca="1" si="96"/>
        <v>0</v>
      </c>
      <c r="N435" s="9"/>
    </row>
    <row r="436" spans="6:14" x14ac:dyDescent="0.25">
      <c r="F436" s="132">
        <f t="shared" si="91"/>
        <v>0</v>
      </c>
      <c r="G436" s="133">
        <f t="shared" si="92"/>
        <v>0</v>
      </c>
      <c r="J436" s="7">
        <f t="shared" ca="1" si="96"/>
        <v>0</v>
      </c>
      <c r="N436" s="9"/>
    </row>
    <row r="437" spans="6:14" x14ac:dyDescent="0.25">
      <c r="F437" s="132">
        <f t="shared" si="91"/>
        <v>0</v>
      </c>
      <c r="G437" s="133">
        <f t="shared" si="92"/>
        <v>0</v>
      </c>
      <c r="J437" s="7">
        <f t="shared" ca="1" si="96"/>
        <v>0</v>
      </c>
      <c r="N437" s="9"/>
    </row>
    <row r="438" spans="6:14" x14ac:dyDescent="0.25">
      <c r="F438" s="132">
        <f t="shared" si="91"/>
        <v>0</v>
      </c>
      <c r="G438" s="133">
        <f t="shared" si="92"/>
        <v>0</v>
      </c>
      <c r="J438" s="7">
        <f t="shared" ca="1" si="96"/>
        <v>0</v>
      </c>
      <c r="N438" s="9"/>
    </row>
    <row r="439" spans="6:14" x14ac:dyDescent="0.25">
      <c r="F439" s="132">
        <f t="shared" si="91"/>
        <v>0</v>
      </c>
      <c r="G439" s="133">
        <f t="shared" si="92"/>
        <v>0</v>
      </c>
      <c r="J439" s="7">
        <f t="shared" ca="1" si="96"/>
        <v>0</v>
      </c>
      <c r="N439" s="9"/>
    </row>
    <row r="440" spans="6:14" x14ac:dyDescent="0.25">
      <c r="F440" s="134">
        <f t="shared" si="91"/>
        <v>0</v>
      </c>
      <c r="G440" s="135">
        <f t="shared" si="92"/>
        <v>0</v>
      </c>
      <c r="J440" s="7">
        <f t="shared" ca="1" si="96"/>
        <v>0</v>
      </c>
      <c r="N440" s="9"/>
    </row>
    <row r="441" spans="6:14" x14ac:dyDescent="0.25">
      <c r="F441" s="15"/>
      <c r="G441" s="16"/>
      <c r="N441" s="9"/>
    </row>
    <row r="442" spans="6:14" x14ac:dyDescent="0.25">
      <c r="F442" s="15"/>
      <c r="G442" s="16"/>
      <c r="N442" s="9"/>
    </row>
    <row r="443" spans="6:14" x14ac:dyDescent="0.25">
      <c r="F443" s="130">
        <f t="shared" si="91"/>
        <v>0</v>
      </c>
      <c r="G443" s="131">
        <f t="shared" si="92"/>
        <v>0</v>
      </c>
      <c r="J443" s="7">
        <f ca="1">$I$442*((RAND()*(G443-F443))+F443)</f>
        <v>0</v>
      </c>
      <c r="N443" s="9"/>
    </row>
    <row r="444" spans="6:14" x14ac:dyDescent="0.25">
      <c r="F444" s="132">
        <f t="shared" si="91"/>
        <v>0</v>
      </c>
      <c r="G444" s="133">
        <f t="shared" si="92"/>
        <v>0</v>
      </c>
      <c r="J444" s="7">
        <f t="shared" ref="J444:J451" ca="1" si="97">$I$442*((RAND()*(G444-F444))+F444)</f>
        <v>0</v>
      </c>
      <c r="N444" s="9"/>
    </row>
    <row r="445" spans="6:14" x14ac:dyDescent="0.25">
      <c r="F445" s="132">
        <f t="shared" si="91"/>
        <v>0</v>
      </c>
      <c r="G445" s="133">
        <f t="shared" si="92"/>
        <v>0</v>
      </c>
      <c r="J445" s="7">
        <f t="shared" ca="1" si="97"/>
        <v>0</v>
      </c>
      <c r="N445" s="9"/>
    </row>
    <row r="446" spans="6:14" x14ac:dyDescent="0.25">
      <c r="F446" s="132">
        <f t="shared" si="91"/>
        <v>0</v>
      </c>
      <c r="G446" s="133">
        <f t="shared" si="92"/>
        <v>0</v>
      </c>
      <c r="J446" s="7">
        <f t="shared" ca="1" si="97"/>
        <v>0</v>
      </c>
      <c r="N446" s="9"/>
    </row>
    <row r="447" spans="6:14" x14ac:dyDescent="0.25">
      <c r="F447" s="132">
        <f t="shared" si="91"/>
        <v>0</v>
      </c>
      <c r="G447" s="133">
        <f t="shared" si="92"/>
        <v>0</v>
      </c>
      <c r="J447" s="7">
        <f t="shared" ca="1" si="97"/>
        <v>0</v>
      </c>
      <c r="N447" s="9"/>
    </row>
    <row r="448" spans="6:14" x14ac:dyDescent="0.25">
      <c r="F448" s="132">
        <f t="shared" si="91"/>
        <v>0</v>
      </c>
      <c r="G448" s="133">
        <f t="shared" si="92"/>
        <v>0</v>
      </c>
      <c r="J448" s="7">
        <f t="shared" ca="1" si="97"/>
        <v>0</v>
      </c>
      <c r="N448" s="9"/>
    </row>
    <row r="449" spans="6:14" x14ac:dyDescent="0.25">
      <c r="F449" s="132">
        <f t="shared" si="91"/>
        <v>0</v>
      </c>
      <c r="G449" s="133">
        <f t="shared" si="92"/>
        <v>0</v>
      </c>
      <c r="J449" s="7">
        <f t="shared" ca="1" si="97"/>
        <v>0</v>
      </c>
      <c r="N449" s="9"/>
    </row>
    <row r="450" spans="6:14" x14ac:dyDescent="0.25">
      <c r="F450" s="132">
        <f t="shared" si="91"/>
        <v>0</v>
      </c>
      <c r="G450" s="133">
        <f t="shared" si="92"/>
        <v>0</v>
      </c>
      <c r="J450" s="7">
        <f t="shared" ca="1" si="97"/>
        <v>0</v>
      </c>
      <c r="N450" s="9"/>
    </row>
    <row r="451" spans="6:14" x14ac:dyDescent="0.25">
      <c r="F451" s="134">
        <f t="shared" si="91"/>
        <v>0</v>
      </c>
      <c r="G451" s="135">
        <f t="shared" si="92"/>
        <v>0</v>
      </c>
      <c r="J451" s="7">
        <f t="shared" ca="1" si="97"/>
        <v>0</v>
      </c>
      <c r="N451" s="9"/>
    </row>
    <row r="452" spans="6:14" x14ac:dyDescent="0.25">
      <c r="F452" s="15"/>
      <c r="G452" s="16"/>
      <c r="N452" s="9"/>
    </row>
    <row r="453" spans="6:14" x14ac:dyDescent="0.25">
      <c r="F453" s="15"/>
      <c r="G453" s="16"/>
      <c r="N453" s="9"/>
    </row>
    <row r="454" spans="6:14" x14ac:dyDescent="0.25">
      <c r="F454" s="130">
        <f t="shared" si="91"/>
        <v>0</v>
      </c>
      <c r="G454" s="131">
        <f t="shared" si="92"/>
        <v>0</v>
      </c>
      <c r="J454" s="7">
        <f ca="1">$I$453*((RAND()*(G454-F454))+F454)</f>
        <v>0</v>
      </c>
      <c r="N454" s="9"/>
    </row>
    <row r="455" spans="6:14" x14ac:dyDescent="0.25">
      <c r="F455" s="132">
        <f t="shared" si="91"/>
        <v>0</v>
      </c>
      <c r="G455" s="133">
        <f t="shared" si="92"/>
        <v>0</v>
      </c>
      <c r="J455" s="7">
        <f t="shared" ref="J455:J462" ca="1" si="98">$I$453*((RAND()*(G455-F455))+F455)</f>
        <v>0</v>
      </c>
      <c r="N455" s="9"/>
    </row>
    <row r="456" spans="6:14" x14ac:dyDescent="0.25">
      <c r="F456" s="132">
        <f t="shared" si="91"/>
        <v>0</v>
      </c>
      <c r="G456" s="133">
        <f t="shared" si="92"/>
        <v>0</v>
      </c>
      <c r="J456" s="7">
        <f t="shared" ca="1" si="98"/>
        <v>0</v>
      </c>
      <c r="N456" s="9"/>
    </row>
    <row r="457" spans="6:14" x14ac:dyDescent="0.25">
      <c r="F457" s="132">
        <f t="shared" si="91"/>
        <v>0</v>
      </c>
      <c r="G457" s="133">
        <f t="shared" si="92"/>
        <v>0</v>
      </c>
      <c r="J457" s="7">
        <f t="shared" ca="1" si="98"/>
        <v>0</v>
      </c>
      <c r="N457" s="9"/>
    </row>
    <row r="458" spans="6:14" x14ac:dyDescent="0.25">
      <c r="F458" s="132">
        <f t="shared" si="91"/>
        <v>0</v>
      </c>
      <c r="G458" s="133">
        <f t="shared" si="92"/>
        <v>0</v>
      </c>
      <c r="J458" s="7">
        <f t="shared" ca="1" si="98"/>
        <v>0</v>
      </c>
      <c r="N458" s="9"/>
    </row>
    <row r="459" spans="6:14" x14ac:dyDescent="0.25">
      <c r="F459" s="132">
        <f t="shared" si="91"/>
        <v>0</v>
      </c>
      <c r="G459" s="133">
        <f t="shared" si="92"/>
        <v>0</v>
      </c>
      <c r="J459" s="7">
        <f t="shared" ca="1" si="98"/>
        <v>0</v>
      </c>
      <c r="N459" s="9"/>
    </row>
    <row r="460" spans="6:14" x14ac:dyDescent="0.25">
      <c r="F460" s="132">
        <f t="shared" ref="F460:F523" si="99">D460*0.9</f>
        <v>0</v>
      </c>
      <c r="G460" s="133">
        <f t="shared" ref="G460:G523" si="100">1.1*D460</f>
        <v>0</v>
      </c>
      <c r="J460" s="7">
        <f t="shared" ca="1" si="98"/>
        <v>0</v>
      </c>
      <c r="N460" s="9"/>
    </row>
    <row r="461" spans="6:14" x14ac:dyDescent="0.25">
      <c r="F461" s="132">
        <f t="shared" si="99"/>
        <v>0</v>
      </c>
      <c r="G461" s="133">
        <f t="shared" si="100"/>
        <v>0</v>
      </c>
      <c r="J461" s="7">
        <f t="shared" ca="1" si="98"/>
        <v>0</v>
      </c>
      <c r="N461" s="9"/>
    </row>
    <row r="462" spans="6:14" x14ac:dyDescent="0.25">
      <c r="F462" s="134">
        <f t="shared" si="99"/>
        <v>0</v>
      </c>
      <c r="G462" s="135">
        <f t="shared" si="100"/>
        <v>0</v>
      </c>
      <c r="J462" s="7">
        <f t="shared" ca="1" si="98"/>
        <v>0</v>
      </c>
      <c r="N462" s="9"/>
    </row>
    <row r="463" spans="6:14" x14ac:dyDescent="0.25">
      <c r="F463" s="15"/>
      <c r="G463" s="16"/>
      <c r="N463" s="9"/>
    </row>
    <row r="464" spans="6:14" x14ac:dyDescent="0.25">
      <c r="F464" s="15"/>
      <c r="G464" s="16"/>
      <c r="N464" s="9"/>
    </row>
    <row r="465" spans="6:14" x14ac:dyDescent="0.25">
      <c r="F465" s="130">
        <f t="shared" si="99"/>
        <v>0</v>
      </c>
      <c r="G465" s="131">
        <f t="shared" si="100"/>
        <v>0</v>
      </c>
      <c r="J465" s="7">
        <f ca="1">$I$464*((RAND()*(G465-F465))+F465)</f>
        <v>0</v>
      </c>
      <c r="N465" s="9"/>
    </row>
    <row r="466" spans="6:14" x14ac:dyDescent="0.25">
      <c r="F466" s="132">
        <f t="shared" si="99"/>
        <v>0</v>
      </c>
      <c r="G466" s="133">
        <f t="shared" si="100"/>
        <v>0</v>
      </c>
      <c r="J466" s="7">
        <f t="shared" ref="J466:J473" ca="1" si="101">$I$464*((RAND()*(G466-F466))+F466)</f>
        <v>0</v>
      </c>
      <c r="N466" s="9"/>
    </row>
    <row r="467" spans="6:14" x14ac:dyDescent="0.25">
      <c r="F467" s="132">
        <f t="shared" si="99"/>
        <v>0</v>
      </c>
      <c r="G467" s="133">
        <f t="shared" si="100"/>
        <v>0</v>
      </c>
      <c r="J467" s="7">
        <f t="shared" ca="1" si="101"/>
        <v>0</v>
      </c>
      <c r="N467" s="9"/>
    </row>
    <row r="468" spans="6:14" x14ac:dyDescent="0.25">
      <c r="F468" s="132">
        <f t="shared" si="99"/>
        <v>0</v>
      </c>
      <c r="G468" s="133">
        <f t="shared" si="100"/>
        <v>0</v>
      </c>
      <c r="J468" s="7">
        <f t="shared" ca="1" si="101"/>
        <v>0</v>
      </c>
      <c r="N468" s="9"/>
    </row>
    <row r="469" spans="6:14" x14ac:dyDescent="0.25">
      <c r="F469" s="132">
        <f t="shared" si="99"/>
        <v>0</v>
      </c>
      <c r="G469" s="133">
        <f t="shared" si="100"/>
        <v>0</v>
      </c>
      <c r="J469" s="7">
        <f t="shared" ca="1" si="101"/>
        <v>0</v>
      </c>
      <c r="N469" s="9"/>
    </row>
    <row r="470" spans="6:14" x14ac:dyDescent="0.25">
      <c r="F470" s="132">
        <f t="shared" si="99"/>
        <v>0</v>
      </c>
      <c r="G470" s="133">
        <f t="shared" si="100"/>
        <v>0</v>
      </c>
      <c r="J470" s="7">
        <f t="shared" ca="1" si="101"/>
        <v>0</v>
      </c>
    </row>
    <row r="471" spans="6:14" x14ac:dyDescent="0.25">
      <c r="F471" s="132">
        <f t="shared" si="99"/>
        <v>0</v>
      </c>
      <c r="G471" s="133">
        <f t="shared" si="100"/>
        <v>0</v>
      </c>
      <c r="J471" s="7">
        <f t="shared" ca="1" si="101"/>
        <v>0</v>
      </c>
    </row>
    <row r="472" spans="6:14" x14ac:dyDescent="0.25">
      <c r="F472" s="132">
        <f t="shared" si="99"/>
        <v>0</v>
      </c>
      <c r="G472" s="133">
        <f t="shared" si="100"/>
        <v>0</v>
      </c>
      <c r="J472" s="7">
        <f t="shared" ca="1" si="101"/>
        <v>0</v>
      </c>
    </row>
    <row r="473" spans="6:14" x14ac:dyDescent="0.25">
      <c r="F473" s="134">
        <f t="shared" si="99"/>
        <v>0</v>
      </c>
      <c r="G473" s="135">
        <f t="shared" si="100"/>
        <v>0</v>
      </c>
      <c r="J473" s="7">
        <f t="shared" ca="1" si="101"/>
        <v>0</v>
      </c>
    </row>
    <row r="474" spans="6:14" x14ac:dyDescent="0.25">
      <c r="F474" s="15"/>
      <c r="G474" s="16"/>
    </row>
    <row r="475" spans="6:14" x14ac:dyDescent="0.25">
      <c r="F475" s="15"/>
      <c r="G475" s="16"/>
    </row>
    <row r="476" spans="6:14" x14ac:dyDescent="0.25">
      <c r="F476" s="130">
        <f t="shared" si="99"/>
        <v>0</v>
      </c>
      <c r="G476" s="131">
        <f t="shared" si="100"/>
        <v>0</v>
      </c>
      <c r="J476" s="7">
        <f ca="1">$I$475*((RAND()*(G476-F476))+F476)</f>
        <v>0</v>
      </c>
    </row>
    <row r="477" spans="6:14" x14ac:dyDescent="0.25">
      <c r="F477" s="132">
        <f t="shared" si="99"/>
        <v>0</v>
      </c>
      <c r="G477" s="133">
        <f t="shared" si="100"/>
        <v>0</v>
      </c>
      <c r="J477" s="7">
        <f t="shared" ref="J477:J484" ca="1" si="102">$I$475*((RAND()*(G477-F477))+F477)</f>
        <v>0</v>
      </c>
    </row>
    <row r="478" spans="6:14" x14ac:dyDescent="0.25">
      <c r="F478" s="132">
        <f t="shared" si="99"/>
        <v>0</v>
      </c>
      <c r="G478" s="133">
        <f t="shared" si="100"/>
        <v>0</v>
      </c>
      <c r="J478" s="7">
        <f t="shared" ca="1" si="102"/>
        <v>0</v>
      </c>
    </row>
    <row r="479" spans="6:14" x14ac:dyDescent="0.25">
      <c r="F479" s="132">
        <f t="shared" si="99"/>
        <v>0</v>
      </c>
      <c r="G479" s="133">
        <f t="shared" si="100"/>
        <v>0</v>
      </c>
      <c r="J479" s="7">
        <f t="shared" ca="1" si="102"/>
        <v>0</v>
      </c>
      <c r="N479" s="9"/>
    </row>
    <row r="480" spans="6:14" x14ac:dyDescent="0.25">
      <c r="F480" s="132">
        <f t="shared" si="99"/>
        <v>0</v>
      </c>
      <c r="G480" s="133">
        <f t="shared" si="100"/>
        <v>0</v>
      </c>
      <c r="J480" s="7">
        <f t="shared" ca="1" si="102"/>
        <v>0</v>
      </c>
      <c r="N480" s="9"/>
    </row>
    <row r="481" spans="6:14" x14ac:dyDescent="0.25">
      <c r="F481" s="132">
        <f t="shared" si="99"/>
        <v>0</v>
      </c>
      <c r="G481" s="133">
        <f t="shared" si="100"/>
        <v>0</v>
      </c>
      <c r="J481" s="7">
        <f t="shared" ca="1" si="102"/>
        <v>0</v>
      </c>
      <c r="N481" s="9"/>
    </row>
    <row r="482" spans="6:14" x14ac:dyDescent="0.25">
      <c r="F482" s="132">
        <f t="shared" si="99"/>
        <v>0</v>
      </c>
      <c r="G482" s="133">
        <f t="shared" si="100"/>
        <v>0</v>
      </c>
      <c r="J482" s="7">
        <f t="shared" ca="1" si="102"/>
        <v>0</v>
      </c>
      <c r="N482" s="9"/>
    </row>
    <row r="483" spans="6:14" x14ac:dyDescent="0.25">
      <c r="F483" s="132">
        <f t="shared" si="99"/>
        <v>0</v>
      </c>
      <c r="G483" s="133">
        <f t="shared" si="100"/>
        <v>0</v>
      </c>
      <c r="J483" s="7">
        <f t="shared" ca="1" si="102"/>
        <v>0</v>
      </c>
      <c r="N483" s="9"/>
    </row>
    <row r="484" spans="6:14" x14ac:dyDescent="0.25">
      <c r="F484" s="134">
        <f t="shared" si="99"/>
        <v>0</v>
      </c>
      <c r="G484" s="135">
        <f t="shared" si="100"/>
        <v>0</v>
      </c>
      <c r="J484" s="7">
        <f t="shared" ca="1" si="102"/>
        <v>0</v>
      </c>
      <c r="N484" s="9"/>
    </row>
    <row r="485" spans="6:14" x14ac:dyDescent="0.25">
      <c r="F485" s="15"/>
      <c r="G485" s="16"/>
      <c r="N485" s="9"/>
    </row>
    <row r="486" spans="6:14" x14ac:dyDescent="0.25">
      <c r="F486" s="15"/>
      <c r="G486" s="16"/>
      <c r="N486" s="9"/>
    </row>
    <row r="487" spans="6:14" x14ac:dyDescent="0.25">
      <c r="F487" s="130">
        <f t="shared" si="99"/>
        <v>0</v>
      </c>
      <c r="G487" s="131">
        <f t="shared" si="100"/>
        <v>0</v>
      </c>
      <c r="J487" s="7">
        <f ca="1">$I$486*((RAND()*(G487-F487))+F487)</f>
        <v>0</v>
      </c>
      <c r="N487" s="9"/>
    </row>
    <row r="488" spans="6:14" x14ac:dyDescent="0.25">
      <c r="F488" s="132">
        <f t="shared" si="99"/>
        <v>0</v>
      </c>
      <c r="G488" s="133">
        <f t="shared" si="100"/>
        <v>0</v>
      </c>
      <c r="J488" s="7">
        <f t="shared" ref="J488:J495" ca="1" si="103">$I$486*((RAND()*(G488-F488))+F488)</f>
        <v>0</v>
      </c>
      <c r="N488" s="9"/>
    </row>
    <row r="489" spans="6:14" x14ac:dyDescent="0.25">
      <c r="F489" s="132">
        <f t="shared" si="99"/>
        <v>0</v>
      </c>
      <c r="G489" s="133">
        <f t="shared" si="100"/>
        <v>0</v>
      </c>
      <c r="J489" s="7">
        <f t="shared" ca="1" si="103"/>
        <v>0</v>
      </c>
      <c r="N489" s="9"/>
    </row>
    <row r="490" spans="6:14" x14ac:dyDescent="0.25">
      <c r="F490" s="132">
        <f t="shared" si="99"/>
        <v>0</v>
      </c>
      <c r="G490" s="133">
        <f t="shared" si="100"/>
        <v>0</v>
      </c>
      <c r="J490" s="7">
        <f t="shared" ca="1" si="103"/>
        <v>0</v>
      </c>
      <c r="N490" s="9"/>
    </row>
    <row r="491" spans="6:14" x14ac:dyDescent="0.25">
      <c r="F491" s="132">
        <f t="shared" si="99"/>
        <v>0</v>
      </c>
      <c r="G491" s="133">
        <f t="shared" si="100"/>
        <v>0</v>
      </c>
      <c r="J491" s="7">
        <f t="shared" ca="1" si="103"/>
        <v>0</v>
      </c>
      <c r="N491" s="9"/>
    </row>
    <row r="492" spans="6:14" x14ac:dyDescent="0.25">
      <c r="F492" s="132">
        <f t="shared" si="99"/>
        <v>0</v>
      </c>
      <c r="G492" s="133">
        <f t="shared" si="100"/>
        <v>0</v>
      </c>
      <c r="J492" s="7">
        <f t="shared" ca="1" si="103"/>
        <v>0</v>
      </c>
      <c r="N492" s="9"/>
    </row>
    <row r="493" spans="6:14" x14ac:dyDescent="0.25">
      <c r="F493" s="132">
        <f t="shared" si="99"/>
        <v>0</v>
      </c>
      <c r="G493" s="133">
        <f t="shared" si="100"/>
        <v>0</v>
      </c>
      <c r="J493" s="7">
        <f t="shared" ca="1" si="103"/>
        <v>0</v>
      </c>
      <c r="N493" s="9"/>
    </row>
    <row r="494" spans="6:14" x14ac:dyDescent="0.25">
      <c r="F494" s="132">
        <f t="shared" si="99"/>
        <v>0</v>
      </c>
      <c r="G494" s="133">
        <f t="shared" si="100"/>
        <v>0</v>
      </c>
      <c r="J494" s="7">
        <f t="shared" ca="1" si="103"/>
        <v>0</v>
      </c>
      <c r="N494" s="9"/>
    </row>
    <row r="495" spans="6:14" x14ac:dyDescent="0.25">
      <c r="F495" s="134">
        <f t="shared" si="99"/>
        <v>0</v>
      </c>
      <c r="G495" s="135">
        <f t="shared" si="100"/>
        <v>0</v>
      </c>
      <c r="J495" s="7">
        <f t="shared" ca="1" si="103"/>
        <v>0</v>
      </c>
      <c r="N495" s="9"/>
    </row>
    <row r="496" spans="6:14" x14ac:dyDescent="0.25">
      <c r="F496" s="15"/>
      <c r="G496" s="16"/>
      <c r="N496" s="9"/>
    </row>
    <row r="497" spans="6:14" x14ac:dyDescent="0.25">
      <c r="F497" s="15"/>
      <c r="G497" s="16"/>
      <c r="N497" s="9"/>
    </row>
    <row r="498" spans="6:14" x14ac:dyDescent="0.25">
      <c r="F498" s="130">
        <f t="shared" si="99"/>
        <v>0</v>
      </c>
      <c r="G498" s="131">
        <f t="shared" si="100"/>
        <v>0</v>
      </c>
      <c r="J498" s="7">
        <f ca="1">$I$497*((RAND()*(G498-F498))+F498)</f>
        <v>0</v>
      </c>
      <c r="N498" s="9"/>
    </row>
    <row r="499" spans="6:14" x14ac:dyDescent="0.25">
      <c r="F499" s="132">
        <f t="shared" si="99"/>
        <v>0</v>
      </c>
      <c r="G499" s="133">
        <f t="shared" si="100"/>
        <v>0</v>
      </c>
      <c r="J499" s="7">
        <f t="shared" ref="J499:J506" ca="1" si="104">$I$497*((RAND()*(G499-F499))+F499)</f>
        <v>0</v>
      </c>
      <c r="N499" s="9"/>
    </row>
    <row r="500" spans="6:14" x14ac:dyDescent="0.25">
      <c r="F500" s="132">
        <f t="shared" si="99"/>
        <v>0</v>
      </c>
      <c r="G500" s="133">
        <f t="shared" si="100"/>
        <v>0</v>
      </c>
      <c r="J500" s="7">
        <f t="shared" ca="1" si="104"/>
        <v>0</v>
      </c>
      <c r="N500" s="9"/>
    </row>
    <row r="501" spans="6:14" x14ac:dyDescent="0.25">
      <c r="F501" s="132">
        <f t="shared" si="99"/>
        <v>0</v>
      </c>
      <c r="G501" s="133">
        <f t="shared" si="100"/>
        <v>0</v>
      </c>
      <c r="J501" s="7">
        <f t="shared" ca="1" si="104"/>
        <v>0</v>
      </c>
      <c r="N501" s="9"/>
    </row>
    <row r="502" spans="6:14" x14ac:dyDescent="0.25">
      <c r="F502" s="132">
        <f t="shared" si="99"/>
        <v>0</v>
      </c>
      <c r="G502" s="133">
        <f t="shared" si="100"/>
        <v>0</v>
      </c>
      <c r="J502" s="7">
        <f t="shared" ca="1" si="104"/>
        <v>0</v>
      </c>
      <c r="N502" s="9"/>
    </row>
    <row r="503" spans="6:14" x14ac:dyDescent="0.25">
      <c r="F503" s="132">
        <f t="shared" si="99"/>
        <v>0</v>
      </c>
      <c r="G503" s="133">
        <f t="shared" si="100"/>
        <v>0</v>
      </c>
      <c r="J503" s="7">
        <f t="shared" ca="1" si="104"/>
        <v>0</v>
      </c>
      <c r="N503" s="9"/>
    </row>
    <row r="504" spans="6:14" x14ac:dyDescent="0.25">
      <c r="F504" s="132">
        <f t="shared" si="99"/>
        <v>0</v>
      </c>
      <c r="G504" s="133">
        <f t="shared" si="100"/>
        <v>0</v>
      </c>
      <c r="J504" s="7">
        <f t="shared" ca="1" si="104"/>
        <v>0</v>
      </c>
      <c r="N504" s="9"/>
    </row>
    <row r="505" spans="6:14" x14ac:dyDescent="0.25">
      <c r="F505" s="132">
        <f t="shared" si="99"/>
        <v>0</v>
      </c>
      <c r="G505" s="133">
        <f t="shared" si="100"/>
        <v>0</v>
      </c>
      <c r="J505" s="7">
        <f t="shared" ca="1" si="104"/>
        <v>0</v>
      </c>
      <c r="N505" s="9"/>
    </row>
    <row r="506" spans="6:14" x14ac:dyDescent="0.25">
      <c r="F506" s="134">
        <f t="shared" si="99"/>
        <v>0</v>
      </c>
      <c r="G506" s="135">
        <f t="shared" si="100"/>
        <v>0</v>
      </c>
      <c r="J506" s="7">
        <f t="shared" ca="1" si="104"/>
        <v>0</v>
      </c>
      <c r="N506" s="9"/>
    </row>
    <row r="507" spans="6:14" x14ac:dyDescent="0.25">
      <c r="F507" s="15"/>
      <c r="G507" s="16"/>
      <c r="N507" s="9"/>
    </row>
    <row r="508" spans="6:14" x14ac:dyDescent="0.25">
      <c r="F508" s="15"/>
      <c r="G508" s="16"/>
      <c r="N508" s="9"/>
    </row>
    <row r="509" spans="6:14" x14ac:dyDescent="0.25">
      <c r="F509" s="130">
        <f t="shared" si="99"/>
        <v>0</v>
      </c>
      <c r="G509" s="131">
        <f t="shared" si="100"/>
        <v>0</v>
      </c>
      <c r="J509" s="7">
        <f ca="1">$I$508*((RAND()*(G509-F509))+F509)</f>
        <v>0</v>
      </c>
      <c r="N509" s="9"/>
    </row>
    <row r="510" spans="6:14" x14ac:dyDescent="0.25">
      <c r="F510" s="132">
        <f t="shared" si="99"/>
        <v>0</v>
      </c>
      <c r="G510" s="133">
        <f t="shared" si="100"/>
        <v>0</v>
      </c>
      <c r="J510" s="7">
        <f t="shared" ref="J510:J517" ca="1" si="105">$I$508*((RAND()*(G510-F510))+F510)</f>
        <v>0</v>
      </c>
      <c r="N510" s="9"/>
    </row>
    <row r="511" spans="6:14" x14ac:dyDescent="0.25">
      <c r="F511" s="132">
        <f t="shared" si="99"/>
        <v>0</v>
      </c>
      <c r="G511" s="133">
        <f t="shared" si="100"/>
        <v>0</v>
      </c>
      <c r="J511" s="7">
        <f t="shared" ca="1" si="105"/>
        <v>0</v>
      </c>
      <c r="N511" s="9"/>
    </row>
    <row r="512" spans="6:14" x14ac:dyDescent="0.25">
      <c r="F512" s="132">
        <f t="shared" si="99"/>
        <v>0</v>
      </c>
      <c r="G512" s="133">
        <f t="shared" si="100"/>
        <v>0</v>
      </c>
      <c r="J512" s="7">
        <f t="shared" ca="1" si="105"/>
        <v>0</v>
      </c>
      <c r="N512" s="9"/>
    </row>
    <row r="513" spans="6:14" x14ac:dyDescent="0.25">
      <c r="F513" s="132">
        <f t="shared" si="99"/>
        <v>0</v>
      </c>
      <c r="G513" s="133">
        <f t="shared" si="100"/>
        <v>0</v>
      </c>
      <c r="J513" s="7">
        <f t="shared" ca="1" si="105"/>
        <v>0</v>
      </c>
      <c r="N513" s="9"/>
    </row>
    <row r="514" spans="6:14" x14ac:dyDescent="0.25">
      <c r="F514" s="132">
        <f t="shared" si="99"/>
        <v>0</v>
      </c>
      <c r="G514" s="133">
        <f t="shared" si="100"/>
        <v>0</v>
      </c>
      <c r="J514" s="7">
        <f t="shared" ca="1" si="105"/>
        <v>0</v>
      </c>
      <c r="N514" s="9"/>
    </row>
    <row r="515" spans="6:14" x14ac:dyDescent="0.25">
      <c r="F515" s="132">
        <f t="shared" si="99"/>
        <v>0</v>
      </c>
      <c r="G515" s="133">
        <f t="shared" si="100"/>
        <v>0</v>
      </c>
      <c r="J515" s="7">
        <f t="shared" ca="1" si="105"/>
        <v>0</v>
      </c>
      <c r="N515" s="9"/>
    </row>
    <row r="516" spans="6:14" x14ac:dyDescent="0.25">
      <c r="F516" s="132">
        <f t="shared" si="99"/>
        <v>0</v>
      </c>
      <c r="G516" s="133">
        <f t="shared" si="100"/>
        <v>0</v>
      </c>
      <c r="J516" s="7">
        <f t="shared" ca="1" si="105"/>
        <v>0</v>
      </c>
      <c r="N516" s="9"/>
    </row>
    <row r="517" spans="6:14" x14ac:dyDescent="0.25">
      <c r="F517" s="134">
        <f t="shared" si="99"/>
        <v>0</v>
      </c>
      <c r="G517" s="135">
        <f t="shared" si="100"/>
        <v>0</v>
      </c>
      <c r="J517" s="7">
        <f t="shared" ca="1" si="105"/>
        <v>0</v>
      </c>
      <c r="N517" s="9"/>
    </row>
    <row r="518" spans="6:14" x14ac:dyDescent="0.25">
      <c r="F518" s="15"/>
      <c r="G518" s="16"/>
      <c r="N518" s="9"/>
    </row>
    <row r="519" spans="6:14" x14ac:dyDescent="0.25">
      <c r="F519" s="15"/>
      <c r="G519" s="16"/>
      <c r="N519" s="9"/>
    </row>
    <row r="520" spans="6:14" x14ac:dyDescent="0.25">
      <c r="F520" s="130">
        <f t="shared" si="99"/>
        <v>0</v>
      </c>
      <c r="G520" s="131">
        <f t="shared" si="100"/>
        <v>0</v>
      </c>
      <c r="J520" s="7">
        <f ca="1">$I$519*((RAND()*(G520-F520))+F520)</f>
        <v>0</v>
      </c>
      <c r="N520" s="9"/>
    </row>
    <row r="521" spans="6:14" x14ac:dyDescent="0.25">
      <c r="F521" s="132">
        <f t="shared" si="99"/>
        <v>0</v>
      </c>
      <c r="G521" s="133">
        <f t="shared" si="100"/>
        <v>0</v>
      </c>
      <c r="J521" s="7">
        <f t="shared" ref="J521:J528" ca="1" si="106">$I$519*((RAND()*(G521-F521))+F521)</f>
        <v>0</v>
      </c>
      <c r="N521" s="9"/>
    </row>
    <row r="522" spans="6:14" x14ac:dyDescent="0.25">
      <c r="F522" s="132">
        <f t="shared" si="99"/>
        <v>0</v>
      </c>
      <c r="G522" s="133">
        <f t="shared" si="100"/>
        <v>0</v>
      </c>
      <c r="J522" s="7">
        <f t="shared" ca="1" si="106"/>
        <v>0</v>
      </c>
      <c r="N522" s="9"/>
    </row>
    <row r="523" spans="6:14" x14ac:dyDescent="0.25">
      <c r="F523" s="132">
        <f t="shared" si="99"/>
        <v>0</v>
      </c>
      <c r="G523" s="133">
        <f t="shared" si="100"/>
        <v>0</v>
      </c>
      <c r="J523" s="7">
        <f t="shared" ca="1" si="106"/>
        <v>0</v>
      </c>
      <c r="N523" s="9"/>
    </row>
    <row r="524" spans="6:14" x14ac:dyDescent="0.25">
      <c r="F524" s="132">
        <f t="shared" ref="F524:F539" si="107">D524*0.9</f>
        <v>0</v>
      </c>
      <c r="G524" s="133">
        <f t="shared" ref="G524:G539" si="108">1.1*D524</f>
        <v>0</v>
      </c>
      <c r="J524" s="7">
        <f t="shared" ca="1" si="106"/>
        <v>0</v>
      </c>
      <c r="N524" s="9"/>
    </row>
    <row r="525" spans="6:14" x14ac:dyDescent="0.25">
      <c r="F525" s="132">
        <f t="shared" si="107"/>
        <v>0</v>
      </c>
      <c r="G525" s="133">
        <f t="shared" si="108"/>
        <v>0</v>
      </c>
      <c r="J525" s="7">
        <f t="shared" ca="1" si="106"/>
        <v>0</v>
      </c>
      <c r="N525" s="9"/>
    </row>
    <row r="526" spans="6:14" x14ac:dyDescent="0.25">
      <c r="F526" s="132">
        <f t="shared" si="107"/>
        <v>0</v>
      </c>
      <c r="G526" s="133">
        <f t="shared" si="108"/>
        <v>0</v>
      </c>
      <c r="J526" s="7">
        <f t="shared" ca="1" si="106"/>
        <v>0</v>
      </c>
      <c r="N526" s="9"/>
    </row>
    <row r="527" spans="6:14" x14ac:dyDescent="0.25">
      <c r="F527" s="132">
        <f t="shared" si="107"/>
        <v>0</v>
      </c>
      <c r="G527" s="133">
        <f t="shared" si="108"/>
        <v>0</v>
      </c>
      <c r="J527" s="7">
        <f t="shared" ca="1" si="106"/>
        <v>0</v>
      </c>
      <c r="N527" s="9"/>
    </row>
    <row r="528" spans="6:14" x14ac:dyDescent="0.25">
      <c r="F528" s="134">
        <f t="shared" si="107"/>
        <v>0</v>
      </c>
      <c r="G528" s="135">
        <f t="shared" si="108"/>
        <v>0</v>
      </c>
      <c r="J528" s="7">
        <f t="shared" ca="1" si="106"/>
        <v>0</v>
      </c>
      <c r="N528" s="9"/>
    </row>
    <row r="529" spans="6:14" x14ac:dyDescent="0.25">
      <c r="F529" s="15"/>
      <c r="G529" s="16"/>
      <c r="N529" s="9"/>
    </row>
    <row r="530" spans="6:14" x14ac:dyDescent="0.25">
      <c r="F530" s="15"/>
      <c r="G530" s="16"/>
      <c r="N530" s="9"/>
    </row>
    <row r="531" spans="6:14" x14ac:dyDescent="0.25">
      <c r="F531" s="130">
        <f t="shared" si="107"/>
        <v>0</v>
      </c>
      <c r="G531" s="131">
        <f t="shared" si="108"/>
        <v>0</v>
      </c>
      <c r="J531" s="7">
        <f ca="1">$I$530*((RAND()*(G531-F531))+F531)</f>
        <v>0</v>
      </c>
      <c r="N531" s="9"/>
    </row>
    <row r="532" spans="6:14" x14ac:dyDescent="0.25">
      <c r="F532" s="132">
        <f t="shared" si="107"/>
        <v>0</v>
      </c>
      <c r="G532" s="133">
        <f t="shared" si="108"/>
        <v>0</v>
      </c>
      <c r="J532" s="7">
        <f t="shared" ref="J532:J539" ca="1" si="109">$I$530*((RAND()*(G532-F532))+F532)</f>
        <v>0</v>
      </c>
      <c r="N532" s="9"/>
    </row>
    <row r="533" spans="6:14" x14ac:dyDescent="0.25">
      <c r="F533" s="132">
        <f t="shared" si="107"/>
        <v>0</v>
      </c>
      <c r="G533" s="133">
        <f t="shared" si="108"/>
        <v>0</v>
      </c>
      <c r="J533" s="7">
        <f t="shared" ca="1" si="109"/>
        <v>0</v>
      </c>
      <c r="N533" s="9"/>
    </row>
    <row r="534" spans="6:14" x14ac:dyDescent="0.25">
      <c r="F534" s="132">
        <f t="shared" si="107"/>
        <v>0</v>
      </c>
      <c r="G534" s="133">
        <f t="shared" si="108"/>
        <v>0</v>
      </c>
      <c r="J534" s="7">
        <f t="shared" ca="1" si="109"/>
        <v>0</v>
      </c>
      <c r="N534" s="9"/>
    </row>
    <row r="535" spans="6:14" x14ac:dyDescent="0.25">
      <c r="F535" s="132">
        <f t="shared" si="107"/>
        <v>0</v>
      </c>
      <c r="G535" s="133">
        <f t="shared" si="108"/>
        <v>0</v>
      </c>
      <c r="J535" s="7">
        <f t="shared" ca="1" si="109"/>
        <v>0</v>
      </c>
      <c r="N535" s="9"/>
    </row>
    <row r="536" spans="6:14" x14ac:dyDescent="0.25">
      <c r="F536" s="132">
        <f t="shared" si="107"/>
        <v>0</v>
      </c>
      <c r="G536" s="133">
        <f t="shared" si="108"/>
        <v>0</v>
      </c>
      <c r="J536" s="7">
        <f t="shared" ca="1" si="109"/>
        <v>0</v>
      </c>
      <c r="N536" s="9"/>
    </row>
    <row r="537" spans="6:14" x14ac:dyDescent="0.25">
      <c r="F537" s="132">
        <f t="shared" si="107"/>
        <v>0</v>
      </c>
      <c r="G537" s="133">
        <f t="shared" si="108"/>
        <v>0</v>
      </c>
      <c r="J537" s="7">
        <f t="shared" ca="1" si="109"/>
        <v>0</v>
      </c>
      <c r="N537" s="9"/>
    </row>
    <row r="538" spans="6:14" x14ac:dyDescent="0.25">
      <c r="F538" s="132">
        <f t="shared" si="107"/>
        <v>0</v>
      </c>
      <c r="G538" s="133">
        <f t="shared" si="108"/>
        <v>0</v>
      </c>
      <c r="J538" s="7">
        <f t="shared" ca="1" si="109"/>
        <v>0</v>
      </c>
      <c r="N538" s="9"/>
    </row>
    <row r="539" spans="6:14" x14ac:dyDescent="0.25">
      <c r="F539" s="134">
        <f t="shared" si="107"/>
        <v>0</v>
      </c>
      <c r="G539" s="135">
        <f t="shared" si="108"/>
        <v>0</v>
      </c>
      <c r="J539" s="7">
        <f t="shared" ca="1" si="109"/>
        <v>0</v>
      </c>
      <c r="N539" s="9"/>
    </row>
    <row r="540" spans="6:14" x14ac:dyDescent="0.25">
      <c r="F540" s="15"/>
      <c r="G540" s="16"/>
      <c r="N540" s="9"/>
    </row>
    <row r="541" spans="6:14" x14ac:dyDescent="0.25">
      <c r="F541" s="15"/>
      <c r="G541" s="16"/>
      <c r="N541" s="9"/>
    </row>
    <row r="542" spans="6:14" x14ac:dyDescent="0.25">
      <c r="F542" s="130">
        <f t="shared" ref="F542:F550" si="110">D542*0.9</f>
        <v>0</v>
      </c>
      <c r="G542" s="131">
        <f t="shared" ref="G542:G550" si="111">1.1*D542</f>
        <v>0</v>
      </c>
      <c r="J542" s="7">
        <f ca="1">$I$541*((RAND()*(G542-F542))+F542)</f>
        <v>0</v>
      </c>
      <c r="N542" s="9"/>
    </row>
    <row r="543" spans="6:14" x14ac:dyDescent="0.25">
      <c r="F543" s="132">
        <f t="shared" si="110"/>
        <v>0</v>
      </c>
      <c r="G543" s="133">
        <f t="shared" si="111"/>
        <v>0</v>
      </c>
      <c r="J543" s="7">
        <f t="shared" ref="J543:J550" ca="1" si="112">$I$541*((RAND()*(G543-F543))+F543)</f>
        <v>0</v>
      </c>
      <c r="N543" s="9"/>
    </row>
    <row r="544" spans="6:14" x14ac:dyDescent="0.25">
      <c r="F544" s="132">
        <f t="shared" si="110"/>
        <v>0</v>
      </c>
      <c r="G544" s="133">
        <f t="shared" si="111"/>
        <v>0</v>
      </c>
      <c r="J544" s="7">
        <f t="shared" ca="1" si="112"/>
        <v>0</v>
      </c>
      <c r="N544" s="9"/>
    </row>
    <row r="545" spans="6:14" x14ac:dyDescent="0.25">
      <c r="F545" s="132">
        <f t="shared" si="110"/>
        <v>0</v>
      </c>
      <c r="G545" s="133">
        <f t="shared" si="111"/>
        <v>0</v>
      </c>
      <c r="J545" s="7">
        <f t="shared" ca="1" si="112"/>
        <v>0</v>
      </c>
      <c r="N545" s="9"/>
    </row>
    <row r="546" spans="6:14" x14ac:dyDescent="0.25">
      <c r="F546" s="132">
        <f t="shared" si="110"/>
        <v>0</v>
      </c>
      <c r="G546" s="133">
        <f t="shared" si="111"/>
        <v>0</v>
      </c>
      <c r="J546" s="7">
        <f t="shared" ca="1" si="112"/>
        <v>0</v>
      </c>
      <c r="N546" s="9"/>
    </row>
    <row r="547" spans="6:14" x14ac:dyDescent="0.25">
      <c r="F547" s="132">
        <f t="shared" si="110"/>
        <v>0</v>
      </c>
      <c r="G547" s="133">
        <f t="shared" si="111"/>
        <v>0</v>
      </c>
      <c r="J547" s="7">
        <f t="shared" ca="1" si="112"/>
        <v>0</v>
      </c>
      <c r="N547" s="9"/>
    </row>
    <row r="548" spans="6:14" x14ac:dyDescent="0.25">
      <c r="F548" s="132">
        <f t="shared" si="110"/>
        <v>0</v>
      </c>
      <c r="G548" s="133">
        <f t="shared" si="111"/>
        <v>0</v>
      </c>
      <c r="J548" s="7">
        <f t="shared" ca="1" si="112"/>
        <v>0</v>
      </c>
      <c r="N548" s="9"/>
    </row>
    <row r="549" spans="6:14" x14ac:dyDescent="0.25">
      <c r="F549" s="132">
        <f t="shared" si="110"/>
        <v>0</v>
      </c>
      <c r="G549" s="133">
        <f t="shared" si="111"/>
        <v>0</v>
      </c>
      <c r="J549" s="7">
        <f t="shared" ca="1" si="112"/>
        <v>0</v>
      </c>
      <c r="N549" s="9"/>
    </row>
    <row r="550" spans="6:14" x14ac:dyDescent="0.25">
      <c r="F550" s="134">
        <f t="shared" si="110"/>
        <v>0</v>
      </c>
      <c r="G550" s="135">
        <f t="shared" si="111"/>
        <v>0</v>
      </c>
      <c r="J550" s="7">
        <f t="shared" ca="1" si="112"/>
        <v>0</v>
      </c>
      <c r="N550" s="9"/>
    </row>
    <row r="551" spans="6:14" x14ac:dyDescent="0.25">
      <c r="F551" s="15"/>
      <c r="G551" s="16"/>
      <c r="N551" s="9"/>
    </row>
    <row r="552" spans="6:14" x14ac:dyDescent="0.25">
      <c r="F552" s="15"/>
      <c r="G552" s="16"/>
      <c r="N552" s="9"/>
    </row>
    <row r="553" spans="6:14" x14ac:dyDescent="0.25">
      <c r="F553" s="15"/>
      <c r="G553" s="16"/>
      <c r="N553" s="9"/>
    </row>
    <row r="554" spans="6:14" x14ac:dyDescent="0.25">
      <c r="F554" s="15"/>
      <c r="G554" s="16"/>
      <c r="N554" s="9"/>
    </row>
    <row r="555" spans="6:14" x14ac:dyDescent="0.25">
      <c r="F555" s="15"/>
      <c r="G555" s="16"/>
      <c r="N555" s="9"/>
    </row>
    <row r="556" spans="6:14" x14ac:dyDescent="0.25">
      <c r="F556" s="15"/>
      <c r="G556" s="16"/>
      <c r="N556" s="9"/>
    </row>
    <row r="557" spans="6:14" x14ac:dyDescent="0.25">
      <c r="F557" s="15"/>
      <c r="G557" s="16"/>
      <c r="N557" s="9"/>
    </row>
    <row r="558" spans="6:14" x14ac:dyDescent="0.25">
      <c r="F558" s="15"/>
      <c r="G558" s="16"/>
      <c r="N558" s="9"/>
    </row>
    <row r="559" spans="6:14" x14ac:dyDescent="0.25">
      <c r="F559" s="15"/>
      <c r="G559" s="16"/>
      <c r="N559" s="9"/>
    </row>
    <row r="560" spans="6:14" x14ac:dyDescent="0.25">
      <c r="F560" s="15"/>
      <c r="G560" s="16"/>
      <c r="N560" s="9"/>
    </row>
    <row r="561" spans="6:14" x14ac:dyDescent="0.25">
      <c r="F561" s="15"/>
      <c r="G561" s="16"/>
      <c r="N561" s="9"/>
    </row>
    <row r="562" spans="6:14" x14ac:dyDescent="0.25">
      <c r="F562" s="15"/>
      <c r="G562" s="16"/>
      <c r="N562" s="9"/>
    </row>
    <row r="563" spans="6:14" x14ac:dyDescent="0.25">
      <c r="F563" s="15"/>
      <c r="G563" s="16"/>
      <c r="N563" s="9"/>
    </row>
    <row r="564" spans="6:14" x14ac:dyDescent="0.25">
      <c r="F564" s="15"/>
      <c r="G564" s="16"/>
      <c r="N564" s="9"/>
    </row>
    <row r="565" spans="6:14" x14ac:dyDescent="0.25">
      <c r="F565" s="15"/>
      <c r="G565" s="16"/>
      <c r="N565" s="9"/>
    </row>
    <row r="566" spans="6:14" x14ac:dyDescent="0.25">
      <c r="F566" s="15"/>
      <c r="G566" s="16"/>
      <c r="N566" s="9"/>
    </row>
    <row r="567" spans="6:14" x14ac:dyDescent="0.25">
      <c r="F567" s="15"/>
      <c r="G567" s="16"/>
      <c r="N567" s="9"/>
    </row>
    <row r="568" spans="6:14" x14ac:dyDescent="0.25">
      <c r="F568" s="15"/>
      <c r="G568" s="16"/>
      <c r="N568" s="9"/>
    </row>
    <row r="569" spans="6:14" x14ac:dyDescent="0.25">
      <c r="F569" s="15"/>
      <c r="G569" s="16"/>
      <c r="N569" s="9"/>
    </row>
    <row r="570" spans="6:14" x14ac:dyDescent="0.25">
      <c r="F570" s="15"/>
      <c r="G570" s="16"/>
      <c r="N570" s="9"/>
    </row>
    <row r="571" spans="6:14" x14ac:dyDescent="0.25">
      <c r="F571" s="15"/>
      <c r="G571" s="16"/>
      <c r="N571" s="9"/>
    </row>
    <row r="572" spans="6:14" x14ac:dyDescent="0.25">
      <c r="F572" s="15"/>
      <c r="G572" s="16"/>
      <c r="N572" s="9"/>
    </row>
    <row r="573" spans="6:14" x14ac:dyDescent="0.25">
      <c r="F573" s="15"/>
      <c r="G573" s="16"/>
      <c r="N573" s="9"/>
    </row>
    <row r="574" spans="6:14" x14ac:dyDescent="0.25">
      <c r="F574" s="15"/>
      <c r="G574" s="16"/>
      <c r="N574" s="9"/>
    </row>
    <row r="575" spans="6:14" x14ac:dyDescent="0.25">
      <c r="F575" s="15"/>
      <c r="G575" s="16"/>
      <c r="N575" s="9"/>
    </row>
    <row r="576" spans="6:14" x14ac:dyDescent="0.25">
      <c r="F576" s="15"/>
      <c r="G576" s="16"/>
      <c r="N576" s="9"/>
    </row>
    <row r="577" spans="6:14" x14ac:dyDescent="0.25">
      <c r="F577" s="15"/>
      <c r="G577" s="16"/>
      <c r="N577" s="9"/>
    </row>
    <row r="578" spans="6:14" x14ac:dyDescent="0.25">
      <c r="F578" s="15"/>
      <c r="G578" s="16"/>
      <c r="N578" s="9"/>
    </row>
    <row r="579" spans="6:14" x14ac:dyDescent="0.25">
      <c r="F579" s="15"/>
      <c r="G579" s="16"/>
      <c r="N579" s="9"/>
    </row>
    <row r="580" spans="6:14" x14ac:dyDescent="0.25">
      <c r="F580" s="15"/>
      <c r="G580" s="16"/>
      <c r="N580" s="9"/>
    </row>
    <row r="581" spans="6:14" x14ac:dyDescent="0.25">
      <c r="F581" s="15"/>
      <c r="G581" s="16"/>
      <c r="N581" s="9"/>
    </row>
    <row r="582" spans="6:14" x14ac:dyDescent="0.25">
      <c r="F582" s="15"/>
      <c r="G582" s="16"/>
      <c r="N582" s="9"/>
    </row>
    <row r="583" spans="6:14" x14ac:dyDescent="0.25">
      <c r="F583" s="15"/>
      <c r="G583" s="16"/>
      <c r="N583" s="9"/>
    </row>
    <row r="584" spans="6:14" x14ac:dyDescent="0.25">
      <c r="F584" s="15"/>
      <c r="G584" s="16"/>
      <c r="N584" s="9"/>
    </row>
    <row r="585" spans="6:14" x14ac:dyDescent="0.25">
      <c r="F585" s="15"/>
      <c r="G585" s="16"/>
      <c r="N585" s="9"/>
    </row>
    <row r="586" spans="6:14" x14ac:dyDescent="0.25">
      <c r="F586" s="15"/>
      <c r="G586" s="16"/>
      <c r="N586" s="9"/>
    </row>
    <row r="587" spans="6:14" x14ac:dyDescent="0.25">
      <c r="F587" s="15"/>
      <c r="G587" s="16"/>
    </row>
    <row r="588" spans="6:14" x14ac:dyDescent="0.25">
      <c r="F588" s="15"/>
      <c r="G588" s="16"/>
    </row>
    <row r="589" spans="6:14" x14ac:dyDescent="0.25">
      <c r="F589" s="15"/>
      <c r="G589" s="16"/>
    </row>
    <row r="590" spans="6:14" x14ac:dyDescent="0.25">
      <c r="F590" s="15"/>
      <c r="G590" s="16"/>
    </row>
    <row r="591" spans="6:14" x14ac:dyDescent="0.25">
      <c r="F591" s="15"/>
      <c r="G591" s="16"/>
    </row>
    <row r="592" spans="6:14" x14ac:dyDescent="0.25">
      <c r="F592" s="15"/>
      <c r="G592" s="16"/>
    </row>
    <row r="593" spans="6:14" x14ac:dyDescent="0.25">
      <c r="F593" s="15"/>
      <c r="G593" s="16"/>
    </row>
    <row r="594" spans="6:14" x14ac:dyDescent="0.25">
      <c r="F594" s="15"/>
      <c r="G594" s="16"/>
    </row>
    <row r="595" spans="6:14" x14ac:dyDescent="0.25">
      <c r="F595" s="15"/>
      <c r="G595" s="16"/>
    </row>
    <row r="596" spans="6:14" x14ac:dyDescent="0.25">
      <c r="F596" s="15"/>
      <c r="G596" s="16"/>
      <c r="N596" s="9"/>
    </row>
    <row r="597" spans="6:14" x14ac:dyDescent="0.25">
      <c r="F597" s="15"/>
      <c r="G597" s="16"/>
      <c r="N597" s="9"/>
    </row>
    <row r="598" spans="6:14" x14ac:dyDescent="0.25">
      <c r="F598" s="15"/>
      <c r="G598" s="16"/>
      <c r="N598" s="9"/>
    </row>
    <row r="599" spans="6:14" x14ac:dyDescent="0.25">
      <c r="F599" s="15"/>
      <c r="G599" s="16"/>
      <c r="N599" s="9"/>
    </row>
    <row r="600" spans="6:14" x14ac:dyDescent="0.25">
      <c r="F600" s="15"/>
      <c r="G600" s="16"/>
      <c r="N600" s="9"/>
    </row>
    <row r="601" spans="6:14" x14ac:dyDescent="0.25">
      <c r="F601" s="15"/>
      <c r="G601" s="16"/>
      <c r="N601" s="9"/>
    </row>
    <row r="602" spans="6:14" x14ac:dyDescent="0.25">
      <c r="F602" s="15"/>
      <c r="G602" s="16"/>
      <c r="N602" s="9"/>
    </row>
    <row r="603" spans="6:14" x14ac:dyDescent="0.25">
      <c r="F603" s="15"/>
      <c r="G603" s="16"/>
      <c r="N603" s="9"/>
    </row>
    <row r="604" spans="6:14" x14ac:dyDescent="0.25">
      <c r="F604" s="15"/>
      <c r="G604" s="16"/>
      <c r="N604" s="9"/>
    </row>
    <row r="605" spans="6:14" x14ac:dyDescent="0.25">
      <c r="F605" s="15"/>
      <c r="G605" s="16"/>
      <c r="N605" s="9"/>
    </row>
    <row r="606" spans="6:14" x14ac:dyDescent="0.25">
      <c r="F606" s="15"/>
      <c r="G606" s="16"/>
      <c r="N606" s="9"/>
    </row>
    <row r="607" spans="6:14" x14ac:dyDescent="0.25">
      <c r="F607" s="15"/>
      <c r="G607" s="16"/>
      <c r="N607" s="9"/>
    </row>
    <row r="608" spans="6:14" x14ac:dyDescent="0.25">
      <c r="F608" s="15"/>
      <c r="G608" s="16"/>
      <c r="N608" s="9"/>
    </row>
    <row r="609" spans="6:14" x14ac:dyDescent="0.25">
      <c r="F609" s="15"/>
      <c r="G609" s="16"/>
      <c r="N609" s="9"/>
    </row>
    <row r="610" spans="6:14" x14ac:dyDescent="0.25">
      <c r="F610" s="15"/>
      <c r="G610" s="16"/>
      <c r="N610" s="9"/>
    </row>
    <row r="611" spans="6:14" x14ac:dyDescent="0.25">
      <c r="F611" s="15"/>
      <c r="G611" s="16"/>
      <c r="N611" s="9"/>
    </row>
    <row r="612" spans="6:14" x14ac:dyDescent="0.25">
      <c r="F612" s="15"/>
      <c r="G612" s="16"/>
      <c r="N612" s="9"/>
    </row>
    <row r="613" spans="6:14" x14ac:dyDescent="0.25">
      <c r="F613" s="15"/>
      <c r="G613" s="16"/>
      <c r="N613" s="9"/>
    </row>
    <row r="614" spans="6:14" x14ac:dyDescent="0.25">
      <c r="F614" s="15"/>
      <c r="G614" s="16"/>
      <c r="N614" s="9"/>
    </row>
    <row r="615" spans="6:14" x14ac:dyDescent="0.25">
      <c r="F615" s="15"/>
      <c r="G615" s="16"/>
      <c r="N615" s="9"/>
    </row>
    <row r="616" spans="6:14" x14ac:dyDescent="0.25">
      <c r="F616" s="15"/>
      <c r="G616" s="16"/>
      <c r="N616" s="9"/>
    </row>
    <row r="617" spans="6:14" x14ac:dyDescent="0.25">
      <c r="F617" s="15"/>
      <c r="G617" s="16"/>
      <c r="N617" s="9"/>
    </row>
    <row r="618" spans="6:14" x14ac:dyDescent="0.25">
      <c r="F618" s="15"/>
      <c r="G618" s="16"/>
      <c r="N618" s="9"/>
    </row>
    <row r="619" spans="6:14" x14ac:dyDescent="0.25">
      <c r="F619" s="15"/>
      <c r="G619" s="16"/>
      <c r="N619" s="9"/>
    </row>
    <row r="620" spans="6:14" x14ac:dyDescent="0.25">
      <c r="F620" s="15"/>
      <c r="G620" s="16"/>
      <c r="N620" s="9"/>
    </row>
    <row r="621" spans="6:14" x14ac:dyDescent="0.25">
      <c r="F621" s="15"/>
      <c r="G621" s="16"/>
      <c r="N621" s="9"/>
    </row>
    <row r="622" spans="6:14" x14ac:dyDescent="0.25">
      <c r="F622" s="15"/>
      <c r="G622" s="16"/>
      <c r="N622" s="9"/>
    </row>
    <row r="623" spans="6:14" x14ac:dyDescent="0.25">
      <c r="F623" s="15"/>
      <c r="G623" s="16"/>
      <c r="N623" s="9"/>
    </row>
    <row r="624" spans="6:14" x14ac:dyDescent="0.25">
      <c r="F624" s="15"/>
      <c r="G624" s="16"/>
      <c r="N624" s="9"/>
    </row>
    <row r="625" spans="6:14" x14ac:dyDescent="0.25">
      <c r="F625" s="15"/>
      <c r="G625" s="16"/>
      <c r="N625" s="9"/>
    </row>
    <row r="626" spans="6:14" x14ac:dyDescent="0.25">
      <c r="F626" s="15"/>
      <c r="G626" s="16"/>
      <c r="N626" s="9"/>
    </row>
    <row r="627" spans="6:14" x14ac:dyDescent="0.25">
      <c r="F627" s="15"/>
      <c r="G627" s="16"/>
      <c r="N627" s="9"/>
    </row>
    <row r="628" spans="6:14" x14ac:dyDescent="0.25">
      <c r="F628" s="15"/>
      <c r="G628" s="16"/>
      <c r="N628" s="9"/>
    </row>
    <row r="629" spans="6:14" x14ac:dyDescent="0.25">
      <c r="F629" s="15"/>
      <c r="G629" s="16"/>
      <c r="N629" s="9"/>
    </row>
    <row r="630" spans="6:14" x14ac:dyDescent="0.25">
      <c r="F630" s="15"/>
      <c r="G630" s="16"/>
      <c r="N630" s="9"/>
    </row>
    <row r="631" spans="6:14" x14ac:dyDescent="0.25">
      <c r="F631" s="15"/>
      <c r="G631" s="16"/>
      <c r="N631" s="9"/>
    </row>
    <row r="632" spans="6:14" x14ac:dyDescent="0.25">
      <c r="F632" s="15"/>
      <c r="G632" s="16"/>
      <c r="N632" s="9"/>
    </row>
    <row r="633" spans="6:14" x14ac:dyDescent="0.25">
      <c r="F633" s="15"/>
      <c r="G633" s="16"/>
      <c r="N633" s="9"/>
    </row>
    <row r="634" spans="6:14" x14ac:dyDescent="0.25">
      <c r="F634" s="15"/>
      <c r="G634" s="16"/>
      <c r="N634" s="9"/>
    </row>
    <row r="635" spans="6:14" x14ac:dyDescent="0.25">
      <c r="F635" s="15"/>
      <c r="G635" s="16"/>
      <c r="N635" s="9"/>
    </row>
    <row r="636" spans="6:14" x14ac:dyDescent="0.25">
      <c r="F636" s="15"/>
      <c r="G636" s="16"/>
      <c r="N636" s="9"/>
    </row>
    <row r="637" spans="6:14" x14ac:dyDescent="0.25">
      <c r="F637" s="15"/>
      <c r="G637" s="16"/>
      <c r="N637" s="9"/>
    </row>
    <row r="638" spans="6:14" x14ac:dyDescent="0.25">
      <c r="F638" s="15"/>
      <c r="G638" s="16"/>
      <c r="N638" s="9"/>
    </row>
    <row r="639" spans="6:14" x14ac:dyDescent="0.25">
      <c r="F639" s="15"/>
      <c r="G639" s="16"/>
      <c r="N639" s="9"/>
    </row>
    <row r="640" spans="6:14" x14ac:dyDescent="0.25">
      <c r="F640" s="15"/>
      <c r="G640" s="16"/>
      <c r="N640" s="9"/>
    </row>
    <row r="641" spans="6:14" x14ac:dyDescent="0.25">
      <c r="F641" s="15"/>
      <c r="G641" s="16"/>
      <c r="N641" s="9"/>
    </row>
    <row r="642" spans="6:14" x14ac:dyDescent="0.25">
      <c r="F642" s="15"/>
      <c r="G642" s="16"/>
      <c r="N642" s="9"/>
    </row>
    <row r="643" spans="6:14" x14ac:dyDescent="0.25">
      <c r="F643" s="15"/>
      <c r="G643" s="16"/>
      <c r="N643" s="9"/>
    </row>
    <row r="644" spans="6:14" x14ac:dyDescent="0.25">
      <c r="F644" s="15"/>
      <c r="G644" s="16"/>
      <c r="N644" s="9"/>
    </row>
    <row r="645" spans="6:14" x14ac:dyDescent="0.25">
      <c r="F645" s="15"/>
      <c r="G645" s="16"/>
      <c r="N645" s="9"/>
    </row>
    <row r="646" spans="6:14" x14ac:dyDescent="0.25">
      <c r="F646" s="15"/>
      <c r="G646" s="16"/>
      <c r="N646" s="9"/>
    </row>
    <row r="647" spans="6:14" x14ac:dyDescent="0.25">
      <c r="F647" s="15"/>
      <c r="G647" s="16"/>
      <c r="N647" s="9"/>
    </row>
    <row r="648" spans="6:14" x14ac:dyDescent="0.25">
      <c r="F648" s="15"/>
      <c r="G648" s="16"/>
      <c r="N648" s="9"/>
    </row>
    <row r="649" spans="6:14" x14ac:dyDescent="0.25">
      <c r="F649" s="15"/>
      <c r="G649" s="16"/>
      <c r="N649" s="9"/>
    </row>
    <row r="650" spans="6:14" x14ac:dyDescent="0.25">
      <c r="F650" s="15"/>
      <c r="G650" s="16"/>
      <c r="N650" s="9"/>
    </row>
    <row r="651" spans="6:14" x14ac:dyDescent="0.25">
      <c r="F651" s="15"/>
      <c r="G651" s="16"/>
      <c r="N651" s="9"/>
    </row>
    <row r="652" spans="6:14" x14ac:dyDescent="0.25">
      <c r="F652" s="15"/>
      <c r="G652" s="16"/>
      <c r="N652" s="9"/>
    </row>
    <row r="653" spans="6:14" x14ac:dyDescent="0.25">
      <c r="F653" s="15"/>
      <c r="G653" s="16"/>
      <c r="N653" s="9"/>
    </row>
    <row r="654" spans="6:14" x14ac:dyDescent="0.25">
      <c r="F654" s="15"/>
      <c r="G654" s="16"/>
      <c r="N654" s="9"/>
    </row>
    <row r="655" spans="6:14" x14ac:dyDescent="0.25">
      <c r="F655" s="15"/>
      <c r="G655" s="16"/>
      <c r="N655" s="9"/>
    </row>
    <row r="656" spans="6:14" x14ac:dyDescent="0.25">
      <c r="F656" s="15"/>
      <c r="G656" s="16"/>
      <c r="N656" s="9"/>
    </row>
    <row r="657" spans="6:14" x14ac:dyDescent="0.25">
      <c r="F657" s="15"/>
      <c r="G657" s="16"/>
      <c r="N657" s="9"/>
    </row>
    <row r="658" spans="6:14" x14ac:dyDescent="0.25">
      <c r="F658" s="15"/>
      <c r="G658" s="16"/>
      <c r="N658" s="9"/>
    </row>
    <row r="659" spans="6:14" x14ac:dyDescent="0.25">
      <c r="F659" s="15"/>
      <c r="G659" s="16"/>
      <c r="N659" s="9"/>
    </row>
    <row r="660" spans="6:14" x14ac:dyDescent="0.25">
      <c r="F660" s="15"/>
      <c r="G660" s="16"/>
      <c r="N660" s="9"/>
    </row>
    <row r="661" spans="6:14" x14ac:dyDescent="0.25">
      <c r="F661" s="15"/>
      <c r="G661" s="16"/>
      <c r="N661" s="9"/>
    </row>
    <row r="662" spans="6:14" x14ac:dyDescent="0.25">
      <c r="F662" s="15"/>
      <c r="G662" s="16"/>
      <c r="N662" s="9"/>
    </row>
    <row r="663" spans="6:14" x14ac:dyDescent="0.25">
      <c r="F663" s="15"/>
      <c r="G663" s="16"/>
      <c r="N663" s="9"/>
    </row>
    <row r="664" spans="6:14" x14ac:dyDescent="0.25">
      <c r="F664" s="15"/>
      <c r="G664" s="16"/>
      <c r="N664" s="9"/>
    </row>
    <row r="665" spans="6:14" x14ac:dyDescent="0.25">
      <c r="F665" s="15"/>
      <c r="G665" s="16"/>
      <c r="N665" s="9"/>
    </row>
    <row r="666" spans="6:14" x14ac:dyDescent="0.25">
      <c r="F666" s="15"/>
      <c r="G666" s="16"/>
      <c r="N666" s="9"/>
    </row>
    <row r="667" spans="6:14" x14ac:dyDescent="0.25">
      <c r="N667" s="9"/>
    </row>
    <row r="668" spans="6:14" x14ac:dyDescent="0.25">
      <c r="N668" s="9"/>
    </row>
    <row r="669" spans="6:14" x14ac:dyDescent="0.25">
      <c r="N669" s="9"/>
    </row>
    <row r="670" spans="6:14" x14ac:dyDescent="0.25">
      <c r="N670" s="9"/>
    </row>
    <row r="671" spans="6:14" x14ac:dyDescent="0.25">
      <c r="N671" s="9"/>
    </row>
    <row r="672" spans="6:14" x14ac:dyDescent="0.25">
      <c r="N672" s="9"/>
    </row>
    <row r="673" spans="14:14" x14ac:dyDescent="0.25">
      <c r="N673" s="9"/>
    </row>
    <row r="674" spans="14:14" x14ac:dyDescent="0.25">
      <c r="N674" s="9"/>
    </row>
    <row r="675" spans="14:14" x14ac:dyDescent="0.25">
      <c r="N675" s="9"/>
    </row>
    <row r="676" spans="14:14" x14ac:dyDescent="0.25">
      <c r="N676" s="9"/>
    </row>
    <row r="677" spans="14:14" x14ac:dyDescent="0.25">
      <c r="N677" s="9"/>
    </row>
    <row r="678" spans="14:14" x14ac:dyDescent="0.25">
      <c r="N678" s="9"/>
    </row>
    <row r="679" spans="14:14" x14ac:dyDescent="0.25">
      <c r="N679" s="9"/>
    </row>
    <row r="680" spans="14:14" x14ac:dyDescent="0.25">
      <c r="N680" s="9"/>
    </row>
    <row r="681" spans="14:14" x14ac:dyDescent="0.25">
      <c r="N681" s="9"/>
    </row>
    <row r="682" spans="14:14" x14ac:dyDescent="0.25">
      <c r="N682" s="9"/>
    </row>
    <row r="683" spans="14:14" x14ac:dyDescent="0.25">
      <c r="N683" s="9"/>
    </row>
    <row r="684" spans="14:14" x14ac:dyDescent="0.25">
      <c r="N684" s="9"/>
    </row>
    <row r="685" spans="14:14" x14ac:dyDescent="0.25">
      <c r="N685" s="9"/>
    </row>
    <row r="686" spans="14:14" x14ac:dyDescent="0.25">
      <c r="N686" s="9"/>
    </row>
    <row r="687" spans="14:14" x14ac:dyDescent="0.25">
      <c r="N687" s="9"/>
    </row>
    <row r="688" spans="14:14" x14ac:dyDescent="0.25">
      <c r="N688" s="9"/>
    </row>
    <row r="689" spans="14:14" x14ac:dyDescent="0.25">
      <c r="N689" s="9"/>
    </row>
    <row r="690" spans="14:14" x14ac:dyDescent="0.25">
      <c r="N690" s="9"/>
    </row>
    <row r="691" spans="14:14" x14ac:dyDescent="0.25">
      <c r="N691" s="9"/>
    </row>
    <row r="692" spans="14:14" x14ac:dyDescent="0.25">
      <c r="N692" s="9"/>
    </row>
    <row r="693" spans="14:14" x14ac:dyDescent="0.25">
      <c r="N693" s="9"/>
    </row>
    <row r="694" spans="14:14" x14ac:dyDescent="0.25">
      <c r="N694" s="9"/>
    </row>
    <row r="695" spans="14:14" x14ac:dyDescent="0.25">
      <c r="N695" s="9"/>
    </row>
    <row r="696" spans="14:14" x14ac:dyDescent="0.25">
      <c r="N696" s="9"/>
    </row>
    <row r="697" spans="14:14" x14ac:dyDescent="0.25">
      <c r="N697" s="9"/>
    </row>
    <row r="698" spans="14:14" x14ac:dyDescent="0.25">
      <c r="N698" s="9"/>
    </row>
    <row r="699" spans="14:14" x14ac:dyDescent="0.25">
      <c r="N699" s="9"/>
    </row>
    <row r="700" spans="14:14" x14ac:dyDescent="0.25">
      <c r="N700" s="9"/>
    </row>
    <row r="701" spans="14:14" x14ac:dyDescent="0.25">
      <c r="N701" s="9"/>
    </row>
    <row r="702" spans="14:14" x14ac:dyDescent="0.25">
      <c r="N702" s="9"/>
    </row>
    <row r="703" spans="14:14" x14ac:dyDescent="0.25">
      <c r="N703" s="9"/>
    </row>
    <row r="713" spans="14:14" x14ac:dyDescent="0.25">
      <c r="N713" s="9"/>
    </row>
    <row r="714" spans="14:14" x14ac:dyDescent="0.25">
      <c r="N714" s="9"/>
    </row>
    <row r="715" spans="14:14" x14ac:dyDescent="0.25">
      <c r="N715" s="9"/>
    </row>
    <row r="716" spans="14:14" x14ac:dyDescent="0.25">
      <c r="N716" s="9"/>
    </row>
    <row r="717" spans="14:14" x14ac:dyDescent="0.25">
      <c r="N717" s="9"/>
    </row>
    <row r="718" spans="14:14" x14ac:dyDescent="0.25">
      <c r="N718" s="9"/>
    </row>
    <row r="719" spans="14:14" x14ac:dyDescent="0.25">
      <c r="N719" s="9"/>
    </row>
    <row r="720" spans="14:14" x14ac:dyDescent="0.25">
      <c r="N720" s="9"/>
    </row>
    <row r="721" spans="14:14" x14ac:dyDescent="0.25">
      <c r="N721" s="9"/>
    </row>
    <row r="722" spans="14:14" x14ac:dyDescent="0.25">
      <c r="N722" s="9"/>
    </row>
    <row r="723" spans="14:14" x14ac:dyDescent="0.25">
      <c r="N723" s="9"/>
    </row>
    <row r="724" spans="14:14" x14ac:dyDescent="0.25">
      <c r="N724" s="9"/>
    </row>
    <row r="725" spans="14:14" x14ac:dyDescent="0.25">
      <c r="N725" s="9"/>
    </row>
    <row r="726" spans="14:14" x14ac:dyDescent="0.25">
      <c r="N726" s="9"/>
    </row>
    <row r="727" spans="14:14" x14ac:dyDescent="0.25">
      <c r="N727" s="9"/>
    </row>
    <row r="728" spans="14:14" x14ac:dyDescent="0.25">
      <c r="N728" s="9"/>
    </row>
    <row r="729" spans="14:14" x14ac:dyDescent="0.25">
      <c r="N729" s="9"/>
    </row>
    <row r="730" spans="14:14" x14ac:dyDescent="0.25">
      <c r="N730" s="9"/>
    </row>
    <row r="731" spans="14:14" x14ac:dyDescent="0.25">
      <c r="N731" s="9"/>
    </row>
    <row r="732" spans="14:14" x14ac:dyDescent="0.25">
      <c r="N732" s="9"/>
    </row>
    <row r="733" spans="14:14" x14ac:dyDescent="0.25">
      <c r="N733" s="9"/>
    </row>
    <row r="734" spans="14:14" x14ac:dyDescent="0.25">
      <c r="N734" s="9"/>
    </row>
    <row r="735" spans="14:14" x14ac:dyDescent="0.25">
      <c r="N735" s="9"/>
    </row>
    <row r="736" spans="14:14" x14ac:dyDescent="0.25">
      <c r="N736" s="9"/>
    </row>
    <row r="737" spans="14:14" x14ac:dyDescent="0.25">
      <c r="N737" s="9"/>
    </row>
    <row r="738" spans="14:14" x14ac:dyDescent="0.25">
      <c r="N738" s="9"/>
    </row>
    <row r="739" spans="14:14" x14ac:dyDescent="0.25">
      <c r="N739" s="9"/>
    </row>
    <row r="740" spans="14:14" x14ac:dyDescent="0.25">
      <c r="N740" s="9"/>
    </row>
    <row r="741" spans="14:14" x14ac:dyDescent="0.25">
      <c r="N741" s="9"/>
    </row>
    <row r="742" spans="14:14" x14ac:dyDescent="0.25">
      <c r="N742" s="9"/>
    </row>
    <row r="743" spans="14:14" x14ac:dyDescent="0.25">
      <c r="N743" s="9"/>
    </row>
    <row r="744" spans="14:14" x14ac:dyDescent="0.25">
      <c r="N744" s="9"/>
    </row>
    <row r="745" spans="14:14" x14ac:dyDescent="0.25">
      <c r="N745" s="9"/>
    </row>
    <row r="746" spans="14:14" x14ac:dyDescent="0.25">
      <c r="N746" s="9"/>
    </row>
    <row r="747" spans="14:14" x14ac:dyDescent="0.25">
      <c r="N747" s="9"/>
    </row>
    <row r="748" spans="14:14" x14ac:dyDescent="0.25">
      <c r="N748" s="9"/>
    </row>
    <row r="749" spans="14:14" x14ac:dyDescent="0.25">
      <c r="N749" s="9"/>
    </row>
    <row r="750" spans="14:14" x14ac:dyDescent="0.25">
      <c r="N750" s="9"/>
    </row>
    <row r="751" spans="14:14" x14ac:dyDescent="0.25">
      <c r="N751" s="9"/>
    </row>
    <row r="752" spans="14:14" x14ac:dyDescent="0.25">
      <c r="N752" s="9"/>
    </row>
    <row r="753" spans="14:14" x14ac:dyDescent="0.25">
      <c r="N753" s="9"/>
    </row>
    <row r="754" spans="14:14" x14ac:dyDescent="0.25">
      <c r="N754" s="9"/>
    </row>
    <row r="755" spans="14:14" x14ac:dyDescent="0.25">
      <c r="N755" s="9"/>
    </row>
    <row r="756" spans="14:14" x14ac:dyDescent="0.25">
      <c r="N756" s="9"/>
    </row>
    <row r="757" spans="14:14" x14ac:dyDescent="0.25">
      <c r="N757" s="9"/>
    </row>
    <row r="758" spans="14:14" x14ac:dyDescent="0.25">
      <c r="N758" s="9"/>
    </row>
    <row r="759" spans="14:14" x14ac:dyDescent="0.25">
      <c r="N759" s="9"/>
    </row>
    <row r="760" spans="14:14" x14ac:dyDescent="0.25">
      <c r="N760" s="9"/>
    </row>
    <row r="761" spans="14:14" x14ac:dyDescent="0.25">
      <c r="N761" s="9"/>
    </row>
    <row r="762" spans="14:14" x14ac:dyDescent="0.25">
      <c r="N762" s="9"/>
    </row>
    <row r="763" spans="14:14" x14ac:dyDescent="0.25">
      <c r="N763" s="9"/>
    </row>
    <row r="764" spans="14:14" x14ac:dyDescent="0.25">
      <c r="N764" s="9"/>
    </row>
    <row r="765" spans="14:14" x14ac:dyDescent="0.25">
      <c r="N765" s="9"/>
    </row>
    <row r="766" spans="14:14" x14ac:dyDescent="0.25">
      <c r="N766" s="9"/>
    </row>
    <row r="767" spans="14:14" x14ac:dyDescent="0.25">
      <c r="N767" s="9"/>
    </row>
    <row r="768" spans="14:14" x14ac:dyDescent="0.25">
      <c r="N768" s="9"/>
    </row>
    <row r="769" spans="14:14" x14ac:dyDescent="0.25">
      <c r="N769" s="9"/>
    </row>
    <row r="770" spans="14:14" x14ac:dyDescent="0.25">
      <c r="N770" s="9"/>
    </row>
    <row r="771" spans="14:14" x14ac:dyDescent="0.25">
      <c r="N771" s="9"/>
    </row>
    <row r="772" spans="14:14" x14ac:dyDescent="0.25">
      <c r="N772" s="9"/>
    </row>
    <row r="773" spans="14:14" x14ac:dyDescent="0.25">
      <c r="N773" s="9"/>
    </row>
    <row r="774" spans="14:14" x14ac:dyDescent="0.25">
      <c r="N774" s="9"/>
    </row>
    <row r="775" spans="14:14" x14ac:dyDescent="0.25">
      <c r="N775" s="9"/>
    </row>
    <row r="776" spans="14:14" x14ac:dyDescent="0.25">
      <c r="N776" s="9"/>
    </row>
    <row r="777" spans="14:14" x14ac:dyDescent="0.25">
      <c r="N777" s="9"/>
    </row>
    <row r="778" spans="14:14" x14ac:dyDescent="0.25">
      <c r="N778" s="9"/>
    </row>
    <row r="779" spans="14:14" x14ac:dyDescent="0.25">
      <c r="N779" s="9"/>
    </row>
    <row r="780" spans="14:14" x14ac:dyDescent="0.25">
      <c r="N780" s="9"/>
    </row>
    <row r="781" spans="14:14" x14ac:dyDescent="0.25">
      <c r="N781" s="9"/>
    </row>
    <row r="782" spans="14:14" x14ac:dyDescent="0.25">
      <c r="N782" s="9"/>
    </row>
    <row r="783" spans="14:14" x14ac:dyDescent="0.25">
      <c r="N783" s="9"/>
    </row>
    <row r="784" spans="14:14" x14ac:dyDescent="0.25">
      <c r="N784" s="9"/>
    </row>
    <row r="785" spans="14:14" x14ac:dyDescent="0.25">
      <c r="N785" s="9"/>
    </row>
    <row r="786" spans="14:14" x14ac:dyDescent="0.25">
      <c r="N786" s="9"/>
    </row>
    <row r="787" spans="14:14" x14ac:dyDescent="0.25">
      <c r="N787" s="9"/>
    </row>
    <row r="788" spans="14:14" x14ac:dyDescent="0.25">
      <c r="N788" s="9"/>
    </row>
    <row r="789" spans="14:14" x14ac:dyDescent="0.25">
      <c r="N789" s="9"/>
    </row>
    <row r="790" spans="14:14" x14ac:dyDescent="0.25">
      <c r="N790" s="9"/>
    </row>
    <row r="791" spans="14:14" x14ac:dyDescent="0.25">
      <c r="N791" s="9"/>
    </row>
    <row r="792" spans="14:14" x14ac:dyDescent="0.25">
      <c r="N792" s="9"/>
    </row>
    <row r="793" spans="14:14" x14ac:dyDescent="0.25">
      <c r="N793" s="9"/>
    </row>
    <row r="794" spans="14:14" x14ac:dyDescent="0.25">
      <c r="N794" s="9"/>
    </row>
    <row r="795" spans="14:14" x14ac:dyDescent="0.25">
      <c r="N795" s="9"/>
    </row>
    <row r="796" spans="14:14" x14ac:dyDescent="0.25">
      <c r="N796" s="9"/>
    </row>
    <row r="797" spans="14:14" x14ac:dyDescent="0.25">
      <c r="N797" s="9"/>
    </row>
    <row r="798" spans="14:14" x14ac:dyDescent="0.25">
      <c r="N798" s="9"/>
    </row>
    <row r="799" spans="14:14" x14ac:dyDescent="0.25">
      <c r="N799" s="9"/>
    </row>
    <row r="800" spans="14:14" x14ac:dyDescent="0.25">
      <c r="N800" s="9"/>
    </row>
    <row r="801" spans="14:14" x14ac:dyDescent="0.25">
      <c r="N801" s="9"/>
    </row>
    <row r="802" spans="14:14" x14ac:dyDescent="0.25">
      <c r="N802" s="9"/>
    </row>
    <row r="803" spans="14:14" x14ac:dyDescent="0.25">
      <c r="N803" s="9"/>
    </row>
    <row r="804" spans="14:14" x14ac:dyDescent="0.25">
      <c r="N804" s="9"/>
    </row>
    <row r="805" spans="14:14" x14ac:dyDescent="0.25">
      <c r="N805" s="9"/>
    </row>
    <row r="806" spans="14:14" x14ac:dyDescent="0.25">
      <c r="N806" s="9"/>
    </row>
    <row r="807" spans="14:14" x14ac:dyDescent="0.25">
      <c r="N807" s="9"/>
    </row>
    <row r="808" spans="14:14" x14ac:dyDescent="0.25">
      <c r="N808" s="9"/>
    </row>
    <row r="809" spans="14:14" x14ac:dyDescent="0.25">
      <c r="N809" s="9"/>
    </row>
    <row r="810" spans="14:14" x14ac:dyDescent="0.25">
      <c r="N810" s="9"/>
    </row>
    <row r="811" spans="14:14" x14ac:dyDescent="0.25">
      <c r="N811" s="9"/>
    </row>
    <row r="812" spans="14:14" x14ac:dyDescent="0.25">
      <c r="N812" s="9"/>
    </row>
    <row r="813" spans="14:14" x14ac:dyDescent="0.25">
      <c r="N813" s="9"/>
    </row>
    <row r="814" spans="14:14" x14ac:dyDescent="0.25">
      <c r="N814" s="9"/>
    </row>
    <row r="815" spans="14:14" x14ac:dyDescent="0.25">
      <c r="N815" s="9"/>
    </row>
    <row r="816" spans="14:14" x14ac:dyDescent="0.25">
      <c r="N816" s="9"/>
    </row>
    <row r="817" spans="14:14" x14ac:dyDescent="0.25">
      <c r="N817" s="9"/>
    </row>
    <row r="818" spans="14:14" x14ac:dyDescent="0.25">
      <c r="N818" s="9"/>
    </row>
    <row r="819" spans="14:14" x14ac:dyDescent="0.25">
      <c r="N819" s="9"/>
    </row>
    <row r="820" spans="14:14" x14ac:dyDescent="0.25">
      <c r="N820" s="9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Z428"/>
  <sheetViews>
    <sheetView workbookViewId="0">
      <selection sqref="A1:B1"/>
    </sheetView>
  </sheetViews>
  <sheetFormatPr defaultRowHeight="15" x14ac:dyDescent="0.25"/>
  <cols>
    <col min="1" max="1" width="9.7109375" style="9" bestFit="1" customWidth="1"/>
    <col min="2" max="2" width="9.140625" style="9"/>
    <col min="3" max="3" width="14.7109375" style="9" bestFit="1" customWidth="1"/>
    <col min="4" max="4" width="42.28515625" bestFit="1" customWidth="1"/>
    <col min="26" max="26" width="9.140625" style="19"/>
  </cols>
  <sheetData>
    <row r="1" spans="1:25" ht="15" customHeight="1" x14ac:dyDescent="0.25">
      <c r="A1" s="288"/>
      <c r="B1" s="288"/>
      <c r="D1" t="s">
        <v>118</v>
      </c>
      <c r="G1" s="287" t="s">
        <v>121</v>
      </c>
      <c r="H1" s="287"/>
      <c r="I1" s="287"/>
      <c r="J1" s="287"/>
      <c r="K1" s="287"/>
      <c r="L1" s="287"/>
      <c r="M1" s="287"/>
      <c r="N1" s="287"/>
      <c r="O1" s="287"/>
      <c r="Q1" s="289" t="s">
        <v>125</v>
      </c>
      <c r="R1" s="289"/>
      <c r="S1" s="289"/>
      <c r="T1" s="289"/>
      <c r="U1" s="289"/>
      <c r="V1" s="289"/>
      <c r="W1" s="289"/>
      <c r="X1" s="289"/>
      <c r="Y1" s="289"/>
    </row>
    <row r="2" spans="1:25" ht="15" customHeight="1" x14ac:dyDescent="0.25">
      <c r="A2" s="140"/>
      <c r="B2" s="140"/>
      <c r="D2" s="21">
        <f ca="1">RandNums!N2</f>
        <v>7275.7999999999965</v>
      </c>
      <c r="G2" s="287"/>
      <c r="H2" s="287"/>
      <c r="I2" s="287"/>
      <c r="J2" s="287"/>
      <c r="K2" s="287"/>
      <c r="L2" s="287"/>
      <c r="M2" s="287"/>
      <c r="N2" s="287"/>
      <c r="O2" s="287"/>
      <c r="Q2" s="289"/>
      <c r="R2" s="289"/>
      <c r="S2" s="289"/>
      <c r="T2" s="289"/>
      <c r="U2" s="289"/>
      <c r="V2" s="289"/>
      <c r="W2" s="289"/>
      <c r="X2" s="289"/>
      <c r="Y2" s="289"/>
    </row>
    <row r="3" spans="1:25" x14ac:dyDescent="0.25">
      <c r="A3" s="140"/>
      <c r="B3" s="140"/>
      <c r="D3" s="22">
        <f ca="1">RandNums!N3</f>
        <v>5729.1</v>
      </c>
      <c r="G3" t="s">
        <v>15</v>
      </c>
      <c r="H3" t="s">
        <v>16</v>
      </c>
      <c r="I3" t="s">
        <v>17</v>
      </c>
      <c r="J3" t="s">
        <v>18</v>
      </c>
      <c r="K3" t="s">
        <v>29</v>
      </c>
      <c r="L3" t="s">
        <v>19</v>
      </c>
      <c r="M3" t="s">
        <v>20</v>
      </c>
      <c r="N3" t="s">
        <v>21</v>
      </c>
      <c r="O3" t="s">
        <v>105</v>
      </c>
    </row>
    <row r="4" spans="1:25" x14ac:dyDescent="0.25">
      <c r="A4" s="140"/>
      <c r="B4" s="140"/>
      <c r="D4" s="22">
        <f ca="1">RandNums!N4</f>
        <v>6968.3</v>
      </c>
      <c r="F4" t="str">
        <f>Inputs!A2</f>
        <v>DomesticMC</v>
      </c>
      <c r="G4">
        <f t="shared" ref="G4:O13" ca="1" si="0">OFFSET(DynDem,COLUMN()-COLUMN($G$4)+((ROW()-ROW($G$4))*(ROWS(DynDem)/13)),0,1,1)</f>
        <v>7275.7999999999965</v>
      </c>
      <c r="H4" s="13">
        <f t="shared" ca="1" si="0"/>
        <v>5729.1</v>
      </c>
      <c r="I4" s="13">
        <f t="shared" ca="1" si="0"/>
        <v>6968.3</v>
      </c>
      <c r="J4" s="13">
        <f t="shared" ca="1" si="0"/>
        <v>5649.9</v>
      </c>
      <c r="K4" s="13">
        <f t="shared" ca="1" si="0"/>
        <v>5555.6</v>
      </c>
      <c r="L4" s="13">
        <f t="shared" ca="1" si="0"/>
        <v>6566</v>
      </c>
      <c r="M4" s="13">
        <f t="shared" ca="1" si="0"/>
        <v>6654.6</v>
      </c>
      <c r="N4" s="13">
        <f t="shared" ca="1" si="0"/>
        <v>6985.2</v>
      </c>
      <c r="O4" s="13">
        <f t="shared" ca="1" si="0"/>
        <v>6052.7</v>
      </c>
      <c r="Q4">
        <v>7275.7999999999965</v>
      </c>
      <c r="R4">
        <v>5729.1</v>
      </c>
      <c r="S4">
        <v>6968.3</v>
      </c>
      <c r="T4">
        <v>5649.9</v>
      </c>
      <c r="U4">
        <v>5555.6</v>
      </c>
      <c r="V4">
        <v>6566</v>
      </c>
      <c r="W4">
        <v>6654.6</v>
      </c>
      <c r="X4">
        <v>6985.2</v>
      </c>
      <c r="Y4">
        <v>6052.7</v>
      </c>
    </row>
    <row r="5" spans="1:25" x14ac:dyDescent="0.25">
      <c r="A5" s="140"/>
      <c r="B5" s="140"/>
      <c r="D5" s="22">
        <f ca="1">RandNums!N5</f>
        <v>5649.9</v>
      </c>
      <c r="F5" s="13" t="str">
        <f>Inputs!A3</f>
        <v>DomesticPNT</v>
      </c>
      <c r="G5" s="13">
        <f t="shared" ca="1" si="0"/>
        <v>7340.9</v>
      </c>
      <c r="H5" s="13">
        <f t="shared" ca="1" si="0"/>
        <v>7008</v>
      </c>
      <c r="I5" s="13">
        <f t="shared" ca="1" si="0"/>
        <v>6854.9</v>
      </c>
      <c r="J5" s="13">
        <f t="shared" ca="1" si="0"/>
        <v>6575.2</v>
      </c>
      <c r="K5" s="13">
        <f t="shared" ca="1" si="0"/>
        <v>6768</v>
      </c>
      <c r="L5" s="13">
        <f t="shared" ca="1" si="0"/>
        <v>7747</v>
      </c>
      <c r="M5" s="13">
        <f t="shared" ca="1" si="0"/>
        <v>7429.4</v>
      </c>
      <c r="N5" s="13">
        <f t="shared" ca="1" si="0"/>
        <v>7302.7</v>
      </c>
      <c r="O5" s="13">
        <f t="shared" ca="1" si="0"/>
        <v>7138.8</v>
      </c>
      <c r="Q5" s="13">
        <v>7340.9</v>
      </c>
      <c r="R5">
        <v>7008</v>
      </c>
      <c r="S5">
        <v>6854.9</v>
      </c>
      <c r="T5">
        <v>6575.2</v>
      </c>
      <c r="U5">
        <v>6768</v>
      </c>
      <c r="V5">
        <v>7747</v>
      </c>
      <c r="W5">
        <v>7429.4</v>
      </c>
      <c r="X5">
        <v>7302.7</v>
      </c>
      <c r="Y5">
        <v>7138.8</v>
      </c>
    </row>
    <row r="6" spans="1:25" x14ac:dyDescent="0.25">
      <c r="A6" s="140"/>
      <c r="B6" s="140"/>
      <c r="D6" s="22">
        <f ca="1">RandNums!N6</f>
        <v>5555.6</v>
      </c>
      <c r="F6" s="13" t="str">
        <f>Inputs!A4</f>
        <v>M3135400</v>
      </c>
      <c r="G6" s="13">
        <f t="shared" ca="1" si="0"/>
        <v>0</v>
      </c>
      <c r="H6" s="13">
        <f t="shared" ca="1" si="0"/>
        <v>0</v>
      </c>
      <c r="I6" s="13">
        <f t="shared" ca="1" si="0"/>
        <v>0</v>
      </c>
      <c r="J6" s="13">
        <f t="shared" ca="1" si="0"/>
        <v>0</v>
      </c>
      <c r="K6" s="13">
        <f t="shared" ca="1" si="0"/>
        <v>62.264458136695019</v>
      </c>
      <c r="L6" s="13">
        <f t="shared" ca="1" si="0"/>
        <v>67.695297474666802</v>
      </c>
      <c r="M6" s="13">
        <f t="shared" ca="1" si="0"/>
        <v>407.54138451916066</v>
      </c>
      <c r="N6" s="13">
        <f t="shared" ca="1" si="0"/>
        <v>103.04555276095037</v>
      </c>
      <c r="O6" s="13">
        <f t="shared" ca="1" si="0"/>
        <v>22.699978917183593</v>
      </c>
      <c r="Q6" s="13">
        <v>0</v>
      </c>
      <c r="R6">
        <v>0</v>
      </c>
      <c r="S6">
        <v>0</v>
      </c>
      <c r="T6">
        <v>0</v>
      </c>
      <c r="U6">
        <v>61.400007074253359</v>
      </c>
      <c r="V6">
        <v>73.303042272555786</v>
      </c>
      <c r="W6">
        <v>418.09638799578556</v>
      </c>
      <c r="X6">
        <v>118.0986438455042</v>
      </c>
      <c r="Y6">
        <v>18.814447651082546</v>
      </c>
    </row>
    <row r="7" spans="1:25" x14ac:dyDescent="0.25">
      <c r="A7" s="140"/>
      <c r="B7" s="140"/>
      <c r="D7" s="22">
        <f ca="1">RandNums!N7</f>
        <v>6566</v>
      </c>
      <c r="F7" s="13" t="str">
        <f>Inputs!A5</f>
        <v>M3135500</v>
      </c>
      <c r="G7" s="13">
        <f t="shared" ca="1" si="0"/>
        <v>0</v>
      </c>
      <c r="H7" s="13">
        <f t="shared" ca="1" si="0"/>
        <v>0</v>
      </c>
      <c r="I7" s="13">
        <f t="shared" ca="1" si="0"/>
        <v>0</v>
      </c>
      <c r="J7" s="13">
        <f t="shared" ca="1" si="0"/>
        <v>27.701424172264581</v>
      </c>
      <c r="K7" s="13">
        <f t="shared" ca="1" si="0"/>
        <v>115.00291311765284</v>
      </c>
      <c r="L7" s="13">
        <f t="shared" ca="1" si="0"/>
        <v>170.61553699633231</v>
      </c>
      <c r="M7" s="13">
        <f t="shared" ca="1" si="0"/>
        <v>99.87392080794271</v>
      </c>
      <c r="N7" s="13">
        <f t="shared" ca="1" si="0"/>
        <v>16.78487016936203</v>
      </c>
      <c r="O7" s="13">
        <f t="shared" ca="1" si="0"/>
        <v>0</v>
      </c>
      <c r="Q7" s="13">
        <v>0</v>
      </c>
      <c r="R7">
        <v>0</v>
      </c>
      <c r="S7">
        <v>0</v>
      </c>
      <c r="T7">
        <v>23.264245033543695</v>
      </c>
      <c r="U7">
        <v>107.43570770036732</v>
      </c>
      <c r="V7">
        <v>165.11771752033906</v>
      </c>
      <c r="W7">
        <v>111.89401416868924</v>
      </c>
      <c r="X7">
        <v>16.489634918351985</v>
      </c>
      <c r="Y7">
        <v>0</v>
      </c>
    </row>
    <row r="8" spans="1:25" x14ac:dyDescent="0.25">
      <c r="A8" s="140"/>
      <c r="B8" s="140"/>
      <c r="D8" s="22">
        <f ca="1">RandNums!N8</f>
        <v>6654.6</v>
      </c>
      <c r="F8" s="13" t="str">
        <f>Inputs!A6</f>
        <v>M3471400</v>
      </c>
      <c r="G8" s="13">
        <f t="shared" ca="1" si="0"/>
        <v>0</v>
      </c>
      <c r="H8" s="13">
        <f t="shared" ca="1" si="0"/>
        <v>0</v>
      </c>
      <c r="I8" s="13">
        <f t="shared" ca="1" si="0"/>
        <v>0</v>
      </c>
      <c r="J8" s="13">
        <f t="shared" ca="1" si="0"/>
        <v>2.5446327839160086</v>
      </c>
      <c r="K8" s="13">
        <f t="shared" ca="1" si="0"/>
        <v>15.369612950012572</v>
      </c>
      <c r="L8" s="13">
        <f t="shared" ca="1" si="0"/>
        <v>50.72369794134277</v>
      </c>
      <c r="M8" s="13">
        <f t="shared" ca="1" si="0"/>
        <v>128.47254547635274</v>
      </c>
      <c r="N8" s="13">
        <f t="shared" ca="1" si="0"/>
        <v>27.415997743763157</v>
      </c>
      <c r="O8" s="13">
        <f t="shared" ca="1" si="0"/>
        <v>20.402816368839193</v>
      </c>
      <c r="Q8" s="13">
        <v>0</v>
      </c>
      <c r="R8">
        <v>0</v>
      </c>
      <c r="S8">
        <v>0</v>
      </c>
      <c r="T8">
        <v>2.6405613988068777</v>
      </c>
      <c r="U8">
        <v>17.224022641783588</v>
      </c>
      <c r="V8">
        <v>54.441122083583402</v>
      </c>
      <c r="W8">
        <v>129.72567574041796</v>
      </c>
      <c r="X8">
        <v>26.076570984838273</v>
      </c>
      <c r="Y8">
        <v>20.995948606892767</v>
      </c>
    </row>
    <row r="9" spans="1:25" x14ac:dyDescent="0.25">
      <c r="A9" s="140"/>
      <c r="B9" s="140"/>
      <c r="D9" s="22">
        <f ca="1">RandNums!N9</f>
        <v>6985.2</v>
      </c>
      <c r="F9" s="13" t="str">
        <f>Inputs!A7</f>
        <v>M3472400</v>
      </c>
      <c r="G9" s="13">
        <f t="shared" ca="1" si="0"/>
        <v>0</v>
      </c>
      <c r="H9" s="13">
        <f t="shared" ca="1" si="0"/>
        <v>0</v>
      </c>
      <c r="I9" s="13">
        <f t="shared" ca="1" si="0"/>
        <v>0</v>
      </c>
      <c r="J9" s="13">
        <f t="shared" ca="1" si="0"/>
        <v>0</v>
      </c>
      <c r="K9" s="13">
        <f t="shared" ca="1" si="0"/>
        <v>0</v>
      </c>
      <c r="L9" s="13">
        <f t="shared" ca="1" si="0"/>
        <v>14.557636576765713</v>
      </c>
      <c r="M9" s="13">
        <f t="shared" ca="1" si="0"/>
        <v>114.15827392502079</v>
      </c>
      <c r="N9" s="13">
        <f t="shared" ca="1" si="0"/>
        <v>125.26597794080013</v>
      </c>
      <c r="O9" s="13">
        <f t="shared" ca="1" si="0"/>
        <v>0</v>
      </c>
      <c r="Q9" s="13">
        <v>0</v>
      </c>
      <c r="R9">
        <v>0</v>
      </c>
      <c r="S9">
        <v>0</v>
      </c>
      <c r="T9">
        <v>0</v>
      </c>
      <c r="U9">
        <v>0</v>
      </c>
      <c r="V9">
        <v>13.295463750186114</v>
      </c>
      <c r="W9">
        <v>109.96050648543051</v>
      </c>
      <c r="X9">
        <v>125.49151579229431</v>
      </c>
      <c r="Y9">
        <v>0</v>
      </c>
    </row>
    <row r="10" spans="1:25" x14ac:dyDescent="0.25">
      <c r="A10" s="140"/>
      <c r="B10" s="140"/>
      <c r="D10" s="17">
        <f ca="1">RandNums!N10</f>
        <v>6052.7</v>
      </c>
      <c r="F10" s="13" t="str">
        <f>Inputs!A8</f>
        <v>M4103300</v>
      </c>
      <c r="G10" s="13">
        <f t="shared" ca="1" si="0"/>
        <v>0</v>
      </c>
      <c r="H10" s="13">
        <f t="shared" ca="1" si="0"/>
        <v>0</v>
      </c>
      <c r="I10" s="13">
        <f t="shared" ca="1" si="0"/>
        <v>0</v>
      </c>
      <c r="J10" s="13">
        <f t="shared" ca="1" si="0"/>
        <v>0</v>
      </c>
      <c r="K10" s="13">
        <f t="shared" ca="1" si="0"/>
        <v>0</v>
      </c>
      <c r="L10" s="13">
        <f t="shared" ca="1" si="0"/>
        <v>96.759439872913603</v>
      </c>
      <c r="M10" s="13">
        <f t="shared" ca="1" si="0"/>
        <v>6.2722719233386046</v>
      </c>
      <c r="N10" s="13">
        <f t="shared" ca="1" si="0"/>
        <v>0</v>
      </c>
      <c r="O10" s="13">
        <f t="shared" ca="1" si="0"/>
        <v>0</v>
      </c>
      <c r="Q10" s="13">
        <v>0</v>
      </c>
      <c r="R10">
        <v>0</v>
      </c>
      <c r="S10">
        <v>0</v>
      </c>
      <c r="T10">
        <v>0</v>
      </c>
      <c r="U10">
        <v>0</v>
      </c>
      <c r="V10">
        <v>102.78610938046744</v>
      </c>
      <c r="W10">
        <v>5.5721161884604253</v>
      </c>
      <c r="X10">
        <v>0</v>
      </c>
      <c r="Y10">
        <v>0</v>
      </c>
    </row>
    <row r="11" spans="1:25" x14ac:dyDescent="0.25">
      <c r="A11" s="140"/>
      <c r="B11" s="140"/>
      <c r="D11" s="110">
        <f ca="1">RandNums!N11</f>
        <v>7340.9</v>
      </c>
      <c r="F11" s="13" t="str">
        <f>Inputs!A9</f>
        <v>M4348701</v>
      </c>
      <c r="G11" s="13">
        <f t="shared" ca="1" si="0"/>
        <v>0</v>
      </c>
      <c r="H11" s="13">
        <f t="shared" ca="1" si="0"/>
        <v>0</v>
      </c>
      <c r="I11" s="13">
        <f t="shared" ca="1" si="0"/>
        <v>1.2284569730693412E-2</v>
      </c>
      <c r="J11" s="13">
        <f t="shared" ca="1" si="0"/>
        <v>2.3413068061904649</v>
      </c>
      <c r="K11" s="13">
        <f t="shared" ca="1" si="0"/>
        <v>54.943675300953288</v>
      </c>
      <c r="L11" s="13">
        <f t="shared" ca="1" si="0"/>
        <v>167.85471321532813</v>
      </c>
      <c r="M11" s="13">
        <f t="shared" ca="1" si="0"/>
        <v>215.53981006957346</v>
      </c>
      <c r="N11" s="13">
        <f t="shared" ca="1" si="0"/>
        <v>151.50955912231896</v>
      </c>
      <c r="O11" s="13">
        <f t="shared" ca="1" si="0"/>
        <v>51.146532935275054</v>
      </c>
      <c r="Q11" s="13">
        <v>0</v>
      </c>
      <c r="R11">
        <v>0</v>
      </c>
      <c r="S11">
        <v>1.2269669370804115E-2</v>
      </c>
      <c r="T11">
        <v>1.9369654152949636</v>
      </c>
      <c r="U11">
        <v>51.224980923704415</v>
      </c>
      <c r="V11">
        <v>180.12868334426912</v>
      </c>
      <c r="W11">
        <v>249.8417550546061</v>
      </c>
      <c r="X11">
        <v>168.97071234312762</v>
      </c>
      <c r="Y11">
        <v>50.214090268344648</v>
      </c>
    </row>
    <row r="12" spans="1:25" x14ac:dyDescent="0.25">
      <c r="A12" s="140"/>
      <c r="B12" s="140"/>
      <c r="D12" s="109">
        <f ca="1">RandNums!N12</f>
        <v>7008</v>
      </c>
      <c r="F12" s="13" t="str">
        <f>Inputs!A10</f>
        <v>M4597400</v>
      </c>
      <c r="G12" s="13">
        <f t="shared" ca="1" si="0"/>
        <v>0</v>
      </c>
      <c r="H12" s="13">
        <f t="shared" ca="1" si="0"/>
        <v>0</v>
      </c>
      <c r="I12" s="13">
        <f t="shared" ca="1" si="0"/>
        <v>0</v>
      </c>
      <c r="J12" s="13">
        <f t="shared" ca="1" si="0"/>
        <v>0</v>
      </c>
      <c r="K12" s="13">
        <f t="shared" ca="1" si="0"/>
        <v>0</v>
      </c>
      <c r="L12" s="13">
        <f t="shared" ca="1" si="0"/>
        <v>89.294688202480259</v>
      </c>
      <c r="M12" s="13">
        <f t="shared" ca="1" si="0"/>
        <v>2.0812474389788114</v>
      </c>
      <c r="N12" s="13">
        <f t="shared" ca="1" si="0"/>
        <v>0</v>
      </c>
      <c r="O12" s="13">
        <f t="shared" ca="1" si="0"/>
        <v>16.648394386114322</v>
      </c>
      <c r="Q12" s="13">
        <v>0</v>
      </c>
      <c r="R12">
        <v>0</v>
      </c>
      <c r="S12">
        <v>0</v>
      </c>
      <c r="T12">
        <v>0</v>
      </c>
      <c r="U12">
        <v>0</v>
      </c>
      <c r="V12">
        <v>84.034621400953213</v>
      </c>
      <c r="W12">
        <v>2.3472088833456946</v>
      </c>
      <c r="X12">
        <v>0</v>
      </c>
      <c r="Y12">
        <v>16.979469338299268</v>
      </c>
    </row>
    <row r="13" spans="1:25" x14ac:dyDescent="0.25">
      <c r="A13" s="140"/>
      <c r="B13" s="140"/>
      <c r="D13" s="109">
        <f ca="1">RandNums!N13</f>
        <v>6854.9</v>
      </c>
      <c r="F13" s="13" t="str">
        <f>Inputs!A11</f>
        <v>M3134800</v>
      </c>
      <c r="G13" s="13">
        <f t="shared" ca="1" si="0"/>
        <v>0</v>
      </c>
      <c r="H13" s="13">
        <f t="shared" ca="1" si="0"/>
        <v>0</v>
      </c>
      <c r="I13" s="13">
        <f t="shared" ca="1" si="0"/>
        <v>0</v>
      </c>
      <c r="J13" s="13">
        <f t="shared" ca="1" si="0"/>
        <v>0</v>
      </c>
      <c r="K13" s="13">
        <f t="shared" ca="1" si="0"/>
        <v>48.186564199797239</v>
      </c>
      <c r="L13" s="13">
        <f t="shared" ca="1" si="0"/>
        <v>62.053999690311862</v>
      </c>
      <c r="M13" s="13">
        <f t="shared" ca="1" si="0"/>
        <v>267.97859822341837</v>
      </c>
      <c r="N13" s="13">
        <f t="shared" ca="1" si="0"/>
        <v>219.40393509180308</v>
      </c>
      <c r="O13" s="13">
        <f t="shared" ca="1" si="0"/>
        <v>16.326407635676677</v>
      </c>
      <c r="Q13" s="13">
        <v>0</v>
      </c>
      <c r="R13">
        <v>0</v>
      </c>
      <c r="S13">
        <v>0</v>
      </c>
      <c r="T13">
        <v>0</v>
      </c>
      <c r="U13">
        <v>46.427350220229293</v>
      </c>
      <c r="V13">
        <v>57.726485561219299</v>
      </c>
      <c r="W13">
        <v>270.61788905760852</v>
      </c>
      <c r="X13">
        <v>222.78644381877646</v>
      </c>
      <c r="Y13">
        <v>14.813121491493725</v>
      </c>
    </row>
    <row r="14" spans="1:25" x14ac:dyDescent="0.25">
      <c r="A14" s="140"/>
      <c r="B14" s="140"/>
      <c r="D14" s="109">
        <f ca="1">RandNums!N14</f>
        <v>6575.2</v>
      </c>
      <c r="F14" s="13" t="str">
        <f>Inputs!A12</f>
        <v>M3135000</v>
      </c>
      <c r="G14" s="13">
        <f t="shared" ref="G14:O23" ca="1" si="1">OFFSET(DynDem,COLUMN()-COLUMN($G$4)+((ROW()-ROW($G$4))*(ROWS(DynDem)/13)),0,1,1)</f>
        <v>0</v>
      </c>
      <c r="H14" s="13">
        <f t="shared" ca="1" si="1"/>
        <v>0</v>
      </c>
      <c r="I14" s="13">
        <f t="shared" ca="1" si="1"/>
        <v>0</v>
      </c>
      <c r="J14" s="13">
        <f t="shared" ca="1" si="1"/>
        <v>1.4328795138334558</v>
      </c>
      <c r="K14" s="13">
        <f t="shared" ca="1" si="1"/>
        <v>112.03594336616939</v>
      </c>
      <c r="L14" s="13">
        <f t="shared" ca="1" si="1"/>
        <v>143.9583957971096</v>
      </c>
      <c r="M14" s="13">
        <f t="shared" ca="1" si="1"/>
        <v>79.659298737903896</v>
      </c>
      <c r="N14" s="13">
        <f t="shared" ca="1" si="1"/>
        <v>12.38833767106903</v>
      </c>
      <c r="O14" s="13">
        <f t="shared" ca="1" si="1"/>
        <v>11.216154336183703</v>
      </c>
      <c r="Q14" s="13">
        <v>0</v>
      </c>
      <c r="R14">
        <v>0</v>
      </c>
      <c r="S14">
        <v>0</v>
      </c>
      <c r="T14">
        <v>1.2601338423261961</v>
      </c>
      <c r="U14">
        <v>100.77993959923502</v>
      </c>
      <c r="V14">
        <v>139.25219342212307</v>
      </c>
      <c r="W14">
        <v>86.875434356300076</v>
      </c>
      <c r="X14">
        <v>12.380455195815815</v>
      </c>
      <c r="Y14">
        <v>10.750560689310515</v>
      </c>
    </row>
    <row r="15" spans="1:25" x14ac:dyDescent="0.25">
      <c r="A15" s="140"/>
      <c r="B15" s="140"/>
      <c r="D15" s="109">
        <f ca="1">RandNums!N15</f>
        <v>6768</v>
      </c>
      <c r="F15" s="13" t="str">
        <f>Inputs!A13</f>
        <v>M4103600</v>
      </c>
      <c r="G15" s="13">
        <f t="shared" ca="1" si="1"/>
        <v>0</v>
      </c>
      <c r="H15" s="13">
        <f t="shared" ca="1" si="1"/>
        <v>0</v>
      </c>
      <c r="I15" s="13">
        <f t="shared" ca="1" si="1"/>
        <v>0</v>
      </c>
      <c r="J15" s="13">
        <f t="shared" ca="1" si="1"/>
        <v>0</v>
      </c>
      <c r="K15" s="13">
        <f t="shared" ca="1" si="1"/>
        <v>0</v>
      </c>
      <c r="L15" s="13">
        <f t="shared" ca="1" si="1"/>
        <v>85.237820840303613</v>
      </c>
      <c r="M15" s="13">
        <f t="shared" ca="1" si="1"/>
        <v>8.2738359741056389</v>
      </c>
      <c r="N15" s="13">
        <f t="shared" ca="1" si="1"/>
        <v>0</v>
      </c>
      <c r="O15" s="13">
        <f t="shared" ca="1" si="1"/>
        <v>0</v>
      </c>
      <c r="Q15" s="13">
        <v>0</v>
      </c>
      <c r="R15">
        <v>0</v>
      </c>
      <c r="S15">
        <v>0</v>
      </c>
      <c r="T15">
        <v>0</v>
      </c>
      <c r="U15">
        <v>0</v>
      </c>
      <c r="V15">
        <v>87.190147496832793</v>
      </c>
      <c r="W15">
        <v>9.1250188639985996</v>
      </c>
      <c r="X15">
        <v>0</v>
      </c>
      <c r="Y15">
        <v>0</v>
      </c>
    </row>
    <row r="16" spans="1:25" x14ac:dyDescent="0.25">
      <c r="A16" s="140"/>
      <c r="B16" s="140"/>
      <c r="D16" s="109">
        <f ca="1">RandNums!N16</f>
        <v>7747</v>
      </c>
      <c r="F16" s="13" t="str">
        <f>Inputs!A14</f>
        <v>M4330501</v>
      </c>
      <c r="G16" s="13">
        <f t="shared" ca="1" si="1"/>
        <v>0</v>
      </c>
      <c r="H16" s="13">
        <f t="shared" ca="1" si="1"/>
        <v>0</v>
      </c>
      <c r="I16" s="13">
        <f t="shared" ca="1" si="1"/>
        <v>0</v>
      </c>
      <c r="J16" s="13">
        <f t="shared" ca="1" si="1"/>
        <v>0</v>
      </c>
      <c r="K16" s="13">
        <f t="shared" ca="1" si="1"/>
        <v>0</v>
      </c>
      <c r="L16" s="13">
        <f t="shared" ca="1" si="1"/>
        <v>9.9855912194810355</v>
      </c>
      <c r="M16" s="13">
        <f t="shared" ca="1" si="1"/>
        <v>78.26462017096874</v>
      </c>
      <c r="N16" s="13">
        <f t="shared" ca="1" si="1"/>
        <v>82.165082206312633</v>
      </c>
      <c r="O16" s="13">
        <f t="shared" ca="1" si="1"/>
        <v>0</v>
      </c>
      <c r="Q16" s="13">
        <v>0</v>
      </c>
      <c r="R16">
        <v>0</v>
      </c>
      <c r="S16">
        <v>0</v>
      </c>
      <c r="T16">
        <v>0</v>
      </c>
      <c r="U16">
        <v>0</v>
      </c>
      <c r="V16">
        <v>9.2767918057191103</v>
      </c>
      <c r="W16">
        <v>76.218124867315225</v>
      </c>
      <c r="X16">
        <v>81.138307415079396</v>
      </c>
      <c r="Y16">
        <v>0</v>
      </c>
    </row>
    <row r="17" spans="1:25" x14ac:dyDescent="0.25">
      <c r="A17" s="140"/>
      <c r="B17" s="140"/>
      <c r="D17" s="109">
        <f ca="1">RandNums!N17</f>
        <v>7429.4</v>
      </c>
      <c r="F17" s="13" t="str">
        <f>Inputs!A15</f>
        <v>M4468800</v>
      </c>
      <c r="G17" s="23">
        <f t="shared" ca="1" si="1"/>
        <v>0</v>
      </c>
      <c r="H17" s="23">
        <f t="shared" ca="1" si="1"/>
        <v>0</v>
      </c>
      <c r="I17" s="23">
        <f t="shared" ca="1" si="1"/>
        <v>0</v>
      </c>
      <c r="J17" s="23">
        <f t="shared" ca="1" si="1"/>
        <v>0</v>
      </c>
      <c r="K17" s="23">
        <f t="shared" ca="1" si="1"/>
        <v>0</v>
      </c>
      <c r="L17" s="23">
        <f t="shared" ca="1" si="1"/>
        <v>18.823595543005741</v>
      </c>
      <c r="M17" s="23">
        <f t="shared" ca="1" si="1"/>
        <v>215.22403624455606</v>
      </c>
      <c r="N17" s="23">
        <f t="shared" ca="1" si="1"/>
        <v>216.08379902471904</v>
      </c>
      <c r="O17" s="23">
        <f t="shared" ca="1" si="1"/>
        <v>30.134149317535417</v>
      </c>
      <c r="Q17">
        <v>0</v>
      </c>
      <c r="R17">
        <v>0</v>
      </c>
      <c r="S17">
        <v>0</v>
      </c>
      <c r="T17">
        <v>0</v>
      </c>
      <c r="U17">
        <v>0</v>
      </c>
      <c r="V17">
        <v>19.538728218769329</v>
      </c>
      <c r="W17">
        <v>240.00260378368043</v>
      </c>
      <c r="X17">
        <v>241.90952782357431</v>
      </c>
      <c r="Y17">
        <v>31.163494828346391</v>
      </c>
    </row>
    <row r="18" spans="1:25" x14ac:dyDescent="0.25">
      <c r="A18" s="140"/>
      <c r="B18" s="140"/>
      <c r="D18" s="109">
        <f ca="1">RandNums!N18</f>
        <v>7302.7</v>
      </c>
      <c r="F18" s="13" t="str">
        <f>Inputs!A16</f>
        <v>M4581200</v>
      </c>
      <c r="G18" s="23">
        <f t="shared" ca="1" si="1"/>
        <v>0</v>
      </c>
      <c r="H18" s="23">
        <f t="shared" ca="1" si="1"/>
        <v>0</v>
      </c>
      <c r="I18" s="23">
        <f t="shared" ca="1" si="1"/>
        <v>0</v>
      </c>
      <c r="J18" s="23">
        <f t="shared" ca="1" si="1"/>
        <v>0</v>
      </c>
      <c r="K18" s="23">
        <f t="shared" ca="1" si="1"/>
        <v>0</v>
      </c>
      <c r="L18" s="23">
        <f t="shared" ca="1" si="1"/>
        <v>122.3710234507638</v>
      </c>
      <c r="M18" s="23">
        <f t="shared" ca="1" si="1"/>
        <v>0</v>
      </c>
      <c r="N18" s="23">
        <f t="shared" ca="1" si="1"/>
        <v>7.9407528357652843</v>
      </c>
      <c r="O18" s="23">
        <f t="shared" ca="1" si="1"/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139.98172982522576</v>
      </c>
      <c r="W18">
        <v>0</v>
      </c>
      <c r="X18">
        <v>8.0858328410802383</v>
      </c>
      <c r="Y18">
        <v>0</v>
      </c>
    </row>
    <row r="19" spans="1:25" x14ac:dyDescent="0.25">
      <c r="A19" s="140"/>
      <c r="B19" s="140"/>
      <c r="D19" s="111">
        <f ca="1">RandNums!N19</f>
        <v>7138.8</v>
      </c>
      <c r="F19" s="13">
        <f>Inputs!A17</f>
        <v>0</v>
      </c>
      <c r="G19" s="23">
        <f t="shared" ca="1" si="1"/>
        <v>0</v>
      </c>
      <c r="H19" s="23">
        <f t="shared" ca="1" si="1"/>
        <v>0</v>
      </c>
      <c r="I19" s="23">
        <f t="shared" ca="1" si="1"/>
        <v>0</v>
      </c>
      <c r="J19" s="23">
        <f t="shared" ca="1" si="1"/>
        <v>0</v>
      </c>
      <c r="K19" s="23">
        <f t="shared" ca="1" si="1"/>
        <v>0</v>
      </c>
      <c r="L19" s="23">
        <f t="shared" ca="1" si="1"/>
        <v>0</v>
      </c>
      <c r="M19" s="23">
        <f t="shared" ca="1" si="1"/>
        <v>0</v>
      </c>
      <c r="N19" s="23">
        <f t="shared" ca="1" si="1"/>
        <v>0</v>
      </c>
      <c r="O19" s="23">
        <f t="shared" ca="1" si="1"/>
        <v>0</v>
      </c>
    </row>
    <row r="20" spans="1:25" x14ac:dyDescent="0.25">
      <c r="A20" s="140"/>
      <c r="B20" s="140"/>
      <c r="D20" s="110">
        <f ca="1">RandNums!N20</f>
        <v>0</v>
      </c>
      <c r="F20" s="13">
        <f>Inputs!A18</f>
        <v>0</v>
      </c>
      <c r="G20" s="23">
        <f t="shared" ca="1" si="1"/>
        <v>0</v>
      </c>
      <c r="H20" s="23">
        <f t="shared" ca="1" si="1"/>
        <v>0</v>
      </c>
      <c r="I20" s="23">
        <f t="shared" ca="1" si="1"/>
        <v>0</v>
      </c>
      <c r="J20" s="23">
        <f t="shared" ca="1" si="1"/>
        <v>0</v>
      </c>
      <c r="K20" s="23">
        <f t="shared" ca="1" si="1"/>
        <v>0</v>
      </c>
      <c r="L20" s="23">
        <f t="shared" ca="1" si="1"/>
        <v>0</v>
      </c>
      <c r="M20" s="23">
        <f t="shared" ca="1" si="1"/>
        <v>0</v>
      </c>
      <c r="N20" s="23">
        <f t="shared" ca="1" si="1"/>
        <v>0</v>
      </c>
      <c r="O20" s="23">
        <f t="shared" ca="1" si="1"/>
        <v>0</v>
      </c>
    </row>
    <row r="21" spans="1:25" x14ac:dyDescent="0.25">
      <c r="A21" s="140"/>
      <c r="B21" s="140"/>
      <c r="D21" s="109">
        <f ca="1">RandNums!N21</f>
        <v>0</v>
      </c>
      <c r="F21" s="13">
        <f>Inputs!A19</f>
        <v>0</v>
      </c>
      <c r="G21" s="23">
        <f t="shared" ca="1" si="1"/>
        <v>0</v>
      </c>
      <c r="H21" s="23">
        <f t="shared" ca="1" si="1"/>
        <v>0</v>
      </c>
      <c r="I21" s="23">
        <f t="shared" ca="1" si="1"/>
        <v>0</v>
      </c>
      <c r="J21" s="23">
        <f t="shared" ca="1" si="1"/>
        <v>0</v>
      </c>
      <c r="K21" s="23">
        <f t="shared" ca="1" si="1"/>
        <v>0</v>
      </c>
      <c r="L21" s="23">
        <f t="shared" ca="1" si="1"/>
        <v>0</v>
      </c>
      <c r="M21" s="23">
        <f t="shared" ca="1" si="1"/>
        <v>0</v>
      </c>
      <c r="N21" s="23">
        <f t="shared" ca="1" si="1"/>
        <v>0</v>
      </c>
      <c r="O21" s="23">
        <f t="shared" ca="1" si="1"/>
        <v>0</v>
      </c>
    </row>
    <row r="22" spans="1:25" x14ac:dyDescent="0.25">
      <c r="A22" s="140"/>
      <c r="B22" s="140"/>
      <c r="D22" s="109">
        <f ca="1">RandNums!N22</f>
        <v>0</v>
      </c>
      <c r="F22" s="13">
        <f>Inputs!A20</f>
        <v>0</v>
      </c>
      <c r="G22" s="23">
        <f t="shared" ca="1" si="1"/>
        <v>0</v>
      </c>
      <c r="H22" s="23">
        <f t="shared" ca="1" si="1"/>
        <v>0</v>
      </c>
      <c r="I22" s="23">
        <f t="shared" ca="1" si="1"/>
        <v>0</v>
      </c>
      <c r="J22" s="23">
        <f t="shared" ca="1" si="1"/>
        <v>0</v>
      </c>
      <c r="K22" s="23">
        <f t="shared" ca="1" si="1"/>
        <v>0</v>
      </c>
      <c r="L22" s="23">
        <f t="shared" ca="1" si="1"/>
        <v>0</v>
      </c>
      <c r="M22" s="23">
        <f t="shared" ca="1" si="1"/>
        <v>0</v>
      </c>
      <c r="N22" s="23">
        <f t="shared" ca="1" si="1"/>
        <v>0</v>
      </c>
      <c r="O22" s="23">
        <f t="shared" ca="1" si="1"/>
        <v>0</v>
      </c>
    </row>
    <row r="23" spans="1:25" x14ac:dyDescent="0.25">
      <c r="A23" s="140"/>
      <c r="B23" s="140"/>
      <c r="D23" s="109">
        <f ca="1">RandNums!N23</f>
        <v>0</v>
      </c>
      <c r="F23" s="13">
        <f>Inputs!A21</f>
        <v>0</v>
      </c>
      <c r="G23" s="23">
        <f t="shared" ca="1" si="1"/>
        <v>0</v>
      </c>
      <c r="H23" s="23">
        <f t="shared" ca="1" si="1"/>
        <v>0</v>
      </c>
      <c r="I23" s="23">
        <f t="shared" ca="1" si="1"/>
        <v>0</v>
      </c>
      <c r="J23" s="23">
        <f t="shared" ca="1" si="1"/>
        <v>0</v>
      </c>
      <c r="K23" s="23">
        <f t="shared" ca="1" si="1"/>
        <v>0</v>
      </c>
      <c r="L23" s="23">
        <f t="shared" ca="1" si="1"/>
        <v>0</v>
      </c>
      <c r="M23" s="23">
        <f t="shared" ca="1" si="1"/>
        <v>0</v>
      </c>
      <c r="N23" s="23">
        <f t="shared" ca="1" si="1"/>
        <v>0</v>
      </c>
      <c r="O23" s="23">
        <f t="shared" ca="1" si="1"/>
        <v>0</v>
      </c>
    </row>
    <row r="24" spans="1:25" x14ac:dyDescent="0.25">
      <c r="A24" s="140"/>
      <c r="B24" s="140"/>
      <c r="D24" s="109">
        <f ca="1">RandNums!N24</f>
        <v>62.264458136695019</v>
      </c>
      <c r="F24" s="13">
        <f>Inputs!A22</f>
        <v>0</v>
      </c>
      <c r="G24" s="23">
        <f t="shared" ref="G24:O33" ca="1" si="2">OFFSET(DynDem,COLUMN()-COLUMN($G$4)+((ROW()-ROW($G$4))*(ROWS(DynDem)/13)),0,1,1)</f>
        <v>0</v>
      </c>
      <c r="H24" s="23">
        <f t="shared" ca="1" si="2"/>
        <v>0</v>
      </c>
      <c r="I24" s="23">
        <f t="shared" ca="1" si="2"/>
        <v>0</v>
      </c>
      <c r="J24" s="23">
        <f t="shared" ca="1" si="2"/>
        <v>0</v>
      </c>
      <c r="K24" s="23">
        <f t="shared" ca="1" si="2"/>
        <v>0</v>
      </c>
      <c r="L24" s="23">
        <f t="shared" ca="1" si="2"/>
        <v>0</v>
      </c>
      <c r="M24" s="23">
        <f t="shared" ca="1" si="2"/>
        <v>0</v>
      </c>
      <c r="N24" s="23">
        <f t="shared" ca="1" si="2"/>
        <v>0</v>
      </c>
      <c r="O24" s="23">
        <f t="shared" ca="1" si="2"/>
        <v>0</v>
      </c>
    </row>
    <row r="25" spans="1:25" x14ac:dyDescent="0.25">
      <c r="A25" s="140"/>
      <c r="B25" s="140"/>
      <c r="D25" s="109">
        <f ca="1">RandNums!N25</f>
        <v>67.695297474666802</v>
      </c>
      <c r="F25" s="13">
        <f>Inputs!A23</f>
        <v>0</v>
      </c>
      <c r="G25" s="23">
        <f t="shared" ca="1" si="2"/>
        <v>0</v>
      </c>
      <c r="H25" s="23">
        <f t="shared" ca="1" si="2"/>
        <v>0</v>
      </c>
      <c r="I25" s="23">
        <f t="shared" ca="1" si="2"/>
        <v>0</v>
      </c>
      <c r="J25" s="23">
        <f t="shared" ca="1" si="2"/>
        <v>0</v>
      </c>
      <c r="K25" s="23">
        <f t="shared" ca="1" si="2"/>
        <v>0</v>
      </c>
      <c r="L25" s="23">
        <f t="shared" ca="1" si="2"/>
        <v>0</v>
      </c>
      <c r="M25" s="23">
        <f t="shared" ca="1" si="2"/>
        <v>0</v>
      </c>
      <c r="N25" s="23">
        <f t="shared" ca="1" si="2"/>
        <v>0</v>
      </c>
      <c r="O25" s="23">
        <f t="shared" ca="1" si="2"/>
        <v>0</v>
      </c>
    </row>
    <row r="26" spans="1:25" x14ac:dyDescent="0.25">
      <c r="A26" s="140"/>
      <c r="B26" s="140"/>
      <c r="D26" s="109">
        <f ca="1">RandNums!N26</f>
        <v>407.54138451916066</v>
      </c>
      <c r="F26" s="13">
        <f>Inputs!A24</f>
        <v>0</v>
      </c>
      <c r="G26" s="23">
        <f t="shared" ca="1" si="2"/>
        <v>0</v>
      </c>
      <c r="H26" s="23">
        <f t="shared" ca="1" si="2"/>
        <v>0</v>
      </c>
      <c r="I26" s="23">
        <f t="shared" ca="1" si="2"/>
        <v>0</v>
      </c>
      <c r="J26" s="23">
        <f t="shared" ca="1" si="2"/>
        <v>0</v>
      </c>
      <c r="K26" s="23">
        <f t="shared" ca="1" si="2"/>
        <v>0</v>
      </c>
      <c r="L26" s="23">
        <f t="shared" ca="1" si="2"/>
        <v>0</v>
      </c>
      <c r="M26" s="23">
        <f t="shared" ca="1" si="2"/>
        <v>0</v>
      </c>
      <c r="N26" s="23">
        <f t="shared" ca="1" si="2"/>
        <v>0</v>
      </c>
      <c r="O26" s="23">
        <f t="shared" ca="1" si="2"/>
        <v>0</v>
      </c>
    </row>
    <row r="27" spans="1:25" x14ac:dyDescent="0.25">
      <c r="A27" s="140"/>
      <c r="B27" s="140"/>
      <c r="D27" s="109">
        <f ca="1">RandNums!N27</f>
        <v>103.04555276095037</v>
      </c>
      <c r="F27" s="13">
        <f>Inputs!A25</f>
        <v>0</v>
      </c>
      <c r="G27" s="23">
        <f t="shared" ca="1" si="2"/>
        <v>0</v>
      </c>
      <c r="H27" s="23">
        <f t="shared" ca="1" si="2"/>
        <v>0</v>
      </c>
      <c r="I27" s="23">
        <f t="shared" ca="1" si="2"/>
        <v>0</v>
      </c>
      <c r="J27" s="23">
        <f t="shared" ca="1" si="2"/>
        <v>0</v>
      </c>
      <c r="K27" s="23">
        <f t="shared" ca="1" si="2"/>
        <v>0</v>
      </c>
      <c r="L27" s="23">
        <f t="shared" ca="1" si="2"/>
        <v>0</v>
      </c>
      <c r="M27" s="23">
        <f t="shared" ca="1" si="2"/>
        <v>0</v>
      </c>
      <c r="N27" s="23">
        <f t="shared" ca="1" si="2"/>
        <v>0</v>
      </c>
      <c r="O27" s="23">
        <f t="shared" ca="1" si="2"/>
        <v>0</v>
      </c>
    </row>
    <row r="28" spans="1:25" x14ac:dyDescent="0.25">
      <c r="A28" s="140"/>
      <c r="B28" s="140"/>
      <c r="D28" s="111">
        <f ca="1">RandNums!N28</f>
        <v>22.699978917183593</v>
      </c>
      <c r="F28" s="13">
        <f>Inputs!A26</f>
        <v>0</v>
      </c>
      <c r="G28" s="23">
        <f t="shared" ca="1" si="2"/>
        <v>0</v>
      </c>
      <c r="H28" s="23">
        <f t="shared" ca="1" si="2"/>
        <v>0</v>
      </c>
      <c r="I28" s="23">
        <f t="shared" ca="1" si="2"/>
        <v>0</v>
      </c>
      <c r="J28" s="23">
        <f t="shared" ca="1" si="2"/>
        <v>0</v>
      </c>
      <c r="K28" s="23">
        <f t="shared" ca="1" si="2"/>
        <v>0</v>
      </c>
      <c r="L28" s="23">
        <f t="shared" ca="1" si="2"/>
        <v>0</v>
      </c>
      <c r="M28" s="23">
        <f t="shared" ca="1" si="2"/>
        <v>0</v>
      </c>
      <c r="N28" s="23">
        <f t="shared" ca="1" si="2"/>
        <v>0</v>
      </c>
      <c r="O28" s="23">
        <f t="shared" ca="1" si="2"/>
        <v>0</v>
      </c>
    </row>
    <row r="29" spans="1:25" x14ac:dyDescent="0.25">
      <c r="A29" s="140"/>
      <c r="B29" s="140"/>
      <c r="D29" s="110">
        <f ca="1">RandNums!N29</f>
        <v>0</v>
      </c>
      <c r="F29" s="13">
        <f>Inputs!A27</f>
        <v>0</v>
      </c>
      <c r="G29" s="23">
        <f t="shared" ca="1" si="2"/>
        <v>0</v>
      </c>
      <c r="H29" s="23">
        <f t="shared" ca="1" si="2"/>
        <v>0</v>
      </c>
      <c r="I29" s="23">
        <f t="shared" ca="1" si="2"/>
        <v>0</v>
      </c>
      <c r="J29" s="23">
        <f t="shared" ca="1" si="2"/>
        <v>0</v>
      </c>
      <c r="K29" s="23">
        <f t="shared" ca="1" si="2"/>
        <v>0</v>
      </c>
      <c r="L29" s="23">
        <f t="shared" ca="1" si="2"/>
        <v>0</v>
      </c>
      <c r="M29" s="23">
        <f t="shared" ca="1" si="2"/>
        <v>0</v>
      </c>
      <c r="N29" s="23">
        <f t="shared" ca="1" si="2"/>
        <v>0</v>
      </c>
      <c r="O29" s="23">
        <f t="shared" ca="1" si="2"/>
        <v>0</v>
      </c>
    </row>
    <row r="30" spans="1:25" x14ac:dyDescent="0.25">
      <c r="A30" s="140"/>
      <c r="B30" s="140"/>
      <c r="D30" s="109">
        <f ca="1">RandNums!N30</f>
        <v>0</v>
      </c>
      <c r="F30" s="13">
        <f>Inputs!A28</f>
        <v>0</v>
      </c>
      <c r="G30" s="23">
        <f t="shared" ca="1" si="2"/>
        <v>0</v>
      </c>
      <c r="H30" s="23">
        <f t="shared" ca="1" si="2"/>
        <v>0</v>
      </c>
      <c r="I30" s="23">
        <f t="shared" ca="1" si="2"/>
        <v>0</v>
      </c>
      <c r="J30" s="23">
        <f t="shared" ca="1" si="2"/>
        <v>0</v>
      </c>
      <c r="K30" s="23">
        <f t="shared" ca="1" si="2"/>
        <v>0</v>
      </c>
      <c r="L30" s="23">
        <f t="shared" ca="1" si="2"/>
        <v>0</v>
      </c>
      <c r="M30" s="23">
        <f t="shared" ca="1" si="2"/>
        <v>0</v>
      </c>
      <c r="N30" s="23">
        <f t="shared" ca="1" si="2"/>
        <v>0</v>
      </c>
      <c r="O30" s="23">
        <f t="shared" ca="1" si="2"/>
        <v>0</v>
      </c>
    </row>
    <row r="31" spans="1:25" x14ac:dyDescent="0.25">
      <c r="A31" s="140"/>
      <c r="B31" s="140"/>
      <c r="D31" s="109">
        <f ca="1">RandNums!N31</f>
        <v>0</v>
      </c>
      <c r="F31" s="13">
        <f>Inputs!A29</f>
        <v>0</v>
      </c>
      <c r="G31" s="23">
        <f t="shared" ca="1" si="2"/>
        <v>0</v>
      </c>
      <c r="H31" s="23">
        <f t="shared" ca="1" si="2"/>
        <v>0</v>
      </c>
      <c r="I31" s="23">
        <f t="shared" ca="1" si="2"/>
        <v>0</v>
      </c>
      <c r="J31" s="23">
        <f t="shared" ca="1" si="2"/>
        <v>0</v>
      </c>
      <c r="K31" s="23">
        <f t="shared" ca="1" si="2"/>
        <v>0</v>
      </c>
      <c r="L31" s="23">
        <f t="shared" ca="1" si="2"/>
        <v>0</v>
      </c>
      <c r="M31" s="23">
        <f t="shared" ca="1" si="2"/>
        <v>0</v>
      </c>
      <c r="N31" s="23">
        <f t="shared" ca="1" si="2"/>
        <v>0</v>
      </c>
      <c r="O31" s="23">
        <f t="shared" ca="1" si="2"/>
        <v>0</v>
      </c>
    </row>
    <row r="32" spans="1:25" x14ac:dyDescent="0.25">
      <c r="A32" s="140"/>
      <c r="B32" s="140"/>
      <c r="D32" s="109">
        <f ca="1">RandNums!N32</f>
        <v>27.701424172264581</v>
      </c>
      <c r="F32" s="13">
        <f>Inputs!A30</f>
        <v>0</v>
      </c>
      <c r="G32" s="23">
        <f t="shared" ca="1" si="2"/>
        <v>0</v>
      </c>
      <c r="H32" s="23">
        <f t="shared" ca="1" si="2"/>
        <v>0</v>
      </c>
      <c r="I32" s="23">
        <f t="shared" ca="1" si="2"/>
        <v>0</v>
      </c>
      <c r="J32" s="23">
        <f t="shared" ca="1" si="2"/>
        <v>0</v>
      </c>
      <c r="K32" s="23">
        <f t="shared" ca="1" si="2"/>
        <v>0</v>
      </c>
      <c r="L32" s="23">
        <f t="shared" ca="1" si="2"/>
        <v>0</v>
      </c>
      <c r="M32" s="23">
        <f t="shared" ca="1" si="2"/>
        <v>0</v>
      </c>
      <c r="N32" s="23">
        <f t="shared" ca="1" si="2"/>
        <v>0</v>
      </c>
      <c r="O32" s="23">
        <f t="shared" ca="1" si="2"/>
        <v>0</v>
      </c>
    </row>
    <row r="33" spans="1:15" x14ac:dyDescent="0.25">
      <c r="A33" s="140"/>
      <c r="B33" s="140"/>
      <c r="D33" s="109">
        <f ca="1">RandNums!N33</f>
        <v>115.00291311765284</v>
      </c>
      <c r="F33" s="13">
        <f>Inputs!A31</f>
        <v>0</v>
      </c>
      <c r="G33" s="23">
        <f t="shared" ca="1" si="2"/>
        <v>0</v>
      </c>
      <c r="H33" s="23">
        <f t="shared" ca="1" si="2"/>
        <v>0</v>
      </c>
      <c r="I33" s="23">
        <f t="shared" ca="1" si="2"/>
        <v>0</v>
      </c>
      <c r="J33" s="23">
        <f t="shared" ca="1" si="2"/>
        <v>0</v>
      </c>
      <c r="K33" s="23">
        <f t="shared" ca="1" si="2"/>
        <v>0</v>
      </c>
      <c r="L33" s="23">
        <f t="shared" ca="1" si="2"/>
        <v>0</v>
      </c>
      <c r="M33" s="23">
        <f t="shared" ca="1" si="2"/>
        <v>0</v>
      </c>
      <c r="N33" s="23">
        <f t="shared" ca="1" si="2"/>
        <v>0</v>
      </c>
      <c r="O33" s="23">
        <f t="shared" ca="1" si="2"/>
        <v>0</v>
      </c>
    </row>
    <row r="34" spans="1:15" x14ac:dyDescent="0.25">
      <c r="A34" s="140"/>
      <c r="B34" s="140"/>
      <c r="D34" s="109">
        <f ca="1">RandNums!N34</f>
        <v>170.61553699633231</v>
      </c>
      <c r="F34" s="13">
        <f>Inputs!A32</f>
        <v>0</v>
      </c>
      <c r="G34" s="23">
        <f t="shared" ref="G34:O43" ca="1" si="3">OFFSET(DynDem,COLUMN()-COLUMN($G$4)+((ROW()-ROW($G$4))*(ROWS(DynDem)/13)),0,1,1)</f>
        <v>0</v>
      </c>
      <c r="H34" s="23">
        <f t="shared" ca="1" si="3"/>
        <v>0</v>
      </c>
      <c r="I34" s="23">
        <f t="shared" ca="1" si="3"/>
        <v>0</v>
      </c>
      <c r="J34" s="23">
        <f t="shared" ca="1" si="3"/>
        <v>0</v>
      </c>
      <c r="K34" s="23">
        <f t="shared" ca="1" si="3"/>
        <v>0</v>
      </c>
      <c r="L34" s="23">
        <f t="shared" ca="1" si="3"/>
        <v>0</v>
      </c>
      <c r="M34" s="23">
        <f t="shared" ca="1" si="3"/>
        <v>0</v>
      </c>
      <c r="N34" s="23">
        <f t="shared" ca="1" si="3"/>
        <v>0</v>
      </c>
      <c r="O34" s="23">
        <f t="shared" ca="1" si="3"/>
        <v>0</v>
      </c>
    </row>
    <row r="35" spans="1:15" x14ac:dyDescent="0.25">
      <c r="A35" s="140"/>
      <c r="B35" s="140"/>
      <c r="D35" s="109">
        <f ca="1">RandNums!N35</f>
        <v>99.87392080794271</v>
      </c>
      <c r="F35" s="13">
        <f>Inputs!A33</f>
        <v>0</v>
      </c>
      <c r="G35" s="23">
        <f t="shared" ca="1" si="3"/>
        <v>0</v>
      </c>
      <c r="H35" s="23">
        <f t="shared" ca="1" si="3"/>
        <v>0</v>
      </c>
      <c r="I35" s="23">
        <f t="shared" ca="1" si="3"/>
        <v>0</v>
      </c>
      <c r="J35" s="23">
        <f t="shared" ca="1" si="3"/>
        <v>0</v>
      </c>
      <c r="K35" s="23">
        <f t="shared" ca="1" si="3"/>
        <v>0</v>
      </c>
      <c r="L35" s="23">
        <f t="shared" ca="1" si="3"/>
        <v>0</v>
      </c>
      <c r="M35" s="23">
        <f t="shared" ca="1" si="3"/>
        <v>0</v>
      </c>
      <c r="N35" s="23">
        <f t="shared" ca="1" si="3"/>
        <v>0</v>
      </c>
      <c r="O35" s="23">
        <f t="shared" ca="1" si="3"/>
        <v>0</v>
      </c>
    </row>
    <row r="36" spans="1:15" x14ac:dyDescent="0.25">
      <c r="A36" s="140"/>
      <c r="B36" s="140"/>
      <c r="D36" s="109">
        <f ca="1">RandNums!N36</f>
        <v>16.78487016936203</v>
      </c>
      <c r="F36" s="13">
        <f>Inputs!A34</f>
        <v>0</v>
      </c>
      <c r="G36" s="23">
        <f t="shared" ca="1" si="3"/>
        <v>0</v>
      </c>
      <c r="H36" s="23">
        <f t="shared" ca="1" si="3"/>
        <v>0</v>
      </c>
      <c r="I36" s="23">
        <f t="shared" ca="1" si="3"/>
        <v>0</v>
      </c>
      <c r="J36" s="23">
        <f t="shared" ca="1" si="3"/>
        <v>0</v>
      </c>
      <c r="K36" s="23">
        <f t="shared" ca="1" si="3"/>
        <v>0</v>
      </c>
      <c r="L36" s="23">
        <f t="shared" ca="1" si="3"/>
        <v>0</v>
      </c>
      <c r="M36" s="23">
        <f t="shared" ca="1" si="3"/>
        <v>0</v>
      </c>
      <c r="N36" s="23">
        <f t="shared" ca="1" si="3"/>
        <v>0</v>
      </c>
      <c r="O36" s="23">
        <f t="shared" ca="1" si="3"/>
        <v>0</v>
      </c>
    </row>
    <row r="37" spans="1:15" x14ac:dyDescent="0.25">
      <c r="A37" s="140"/>
      <c r="B37" s="140"/>
      <c r="D37" s="111">
        <f ca="1">RandNums!N37</f>
        <v>0</v>
      </c>
      <c r="F37" s="13">
        <f>Inputs!A35</f>
        <v>0</v>
      </c>
      <c r="G37" s="23">
        <f t="shared" ca="1" si="3"/>
        <v>0</v>
      </c>
      <c r="H37" s="23">
        <f t="shared" ca="1" si="3"/>
        <v>0</v>
      </c>
      <c r="I37" s="23">
        <f t="shared" ca="1" si="3"/>
        <v>0</v>
      </c>
      <c r="J37" s="23">
        <f t="shared" ca="1" si="3"/>
        <v>0</v>
      </c>
      <c r="K37" s="23">
        <f t="shared" ca="1" si="3"/>
        <v>0</v>
      </c>
      <c r="L37" s="23">
        <f t="shared" ca="1" si="3"/>
        <v>0</v>
      </c>
      <c r="M37" s="23">
        <f t="shared" ca="1" si="3"/>
        <v>0</v>
      </c>
      <c r="N37" s="23">
        <f t="shared" ca="1" si="3"/>
        <v>0</v>
      </c>
      <c r="O37" s="23">
        <f t="shared" ca="1" si="3"/>
        <v>0</v>
      </c>
    </row>
    <row r="38" spans="1:15" x14ac:dyDescent="0.25">
      <c r="A38" s="140"/>
      <c r="B38" s="140"/>
      <c r="D38" s="110">
        <f ca="1">RandNums!N38</f>
        <v>0</v>
      </c>
      <c r="F38" s="13">
        <f>Inputs!A36</f>
        <v>0</v>
      </c>
      <c r="G38" s="23">
        <f t="shared" ca="1" si="3"/>
        <v>0</v>
      </c>
      <c r="H38" s="23">
        <f t="shared" ca="1" si="3"/>
        <v>0</v>
      </c>
      <c r="I38" s="23">
        <f t="shared" ca="1" si="3"/>
        <v>0</v>
      </c>
      <c r="J38" s="23">
        <f t="shared" ca="1" si="3"/>
        <v>0</v>
      </c>
      <c r="K38" s="23">
        <f t="shared" ca="1" si="3"/>
        <v>0</v>
      </c>
      <c r="L38" s="23">
        <f t="shared" ca="1" si="3"/>
        <v>0</v>
      </c>
      <c r="M38" s="23">
        <f t="shared" ca="1" si="3"/>
        <v>0</v>
      </c>
      <c r="N38" s="23">
        <f t="shared" ca="1" si="3"/>
        <v>0</v>
      </c>
      <c r="O38" s="23">
        <f t="shared" ca="1" si="3"/>
        <v>0</v>
      </c>
    </row>
    <row r="39" spans="1:15" x14ac:dyDescent="0.25">
      <c r="A39" s="140"/>
      <c r="B39" s="140"/>
      <c r="D39" s="109">
        <f ca="1">RandNums!N39</f>
        <v>0</v>
      </c>
      <c r="F39" s="13">
        <f>Inputs!A37</f>
        <v>0</v>
      </c>
      <c r="G39" s="23">
        <f t="shared" ca="1" si="3"/>
        <v>0</v>
      </c>
      <c r="H39" s="23">
        <f t="shared" ca="1" si="3"/>
        <v>0</v>
      </c>
      <c r="I39" s="23">
        <f t="shared" ca="1" si="3"/>
        <v>0</v>
      </c>
      <c r="J39" s="23">
        <f t="shared" ca="1" si="3"/>
        <v>0</v>
      </c>
      <c r="K39" s="23">
        <f t="shared" ca="1" si="3"/>
        <v>0</v>
      </c>
      <c r="L39" s="23">
        <f t="shared" ca="1" si="3"/>
        <v>0</v>
      </c>
      <c r="M39" s="23">
        <f t="shared" ca="1" si="3"/>
        <v>0</v>
      </c>
      <c r="N39" s="23">
        <f t="shared" ca="1" si="3"/>
        <v>0</v>
      </c>
      <c r="O39" s="23">
        <f t="shared" ca="1" si="3"/>
        <v>0</v>
      </c>
    </row>
    <row r="40" spans="1:15" x14ac:dyDescent="0.25">
      <c r="A40" s="140"/>
      <c r="B40" s="140"/>
      <c r="D40" s="109">
        <f ca="1">RandNums!N40</f>
        <v>0</v>
      </c>
      <c r="F40" s="13">
        <f>Inputs!A38</f>
        <v>0</v>
      </c>
      <c r="G40" s="23">
        <f t="shared" ca="1" si="3"/>
        <v>0</v>
      </c>
      <c r="H40" s="23">
        <f t="shared" ca="1" si="3"/>
        <v>0</v>
      </c>
      <c r="I40" s="23">
        <f t="shared" ca="1" si="3"/>
        <v>0</v>
      </c>
      <c r="J40" s="23">
        <f t="shared" ca="1" si="3"/>
        <v>0</v>
      </c>
      <c r="K40" s="23">
        <f t="shared" ca="1" si="3"/>
        <v>0</v>
      </c>
      <c r="L40" s="23">
        <f t="shared" ca="1" si="3"/>
        <v>0</v>
      </c>
      <c r="M40" s="23">
        <f t="shared" ca="1" si="3"/>
        <v>0</v>
      </c>
      <c r="N40" s="23">
        <f t="shared" ca="1" si="3"/>
        <v>0</v>
      </c>
      <c r="O40" s="23">
        <f t="shared" ca="1" si="3"/>
        <v>0</v>
      </c>
    </row>
    <row r="41" spans="1:15" x14ac:dyDescent="0.25">
      <c r="A41" s="140"/>
      <c r="B41" s="140"/>
      <c r="D41" s="109">
        <f ca="1">RandNums!N41</f>
        <v>2.5446327839160086</v>
      </c>
      <c r="F41" s="13">
        <f>Inputs!A39</f>
        <v>0</v>
      </c>
      <c r="G41" s="23">
        <f t="shared" ca="1" si="3"/>
        <v>0</v>
      </c>
      <c r="H41" s="23">
        <f t="shared" ca="1" si="3"/>
        <v>0</v>
      </c>
      <c r="I41" s="23">
        <f t="shared" ca="1" si="3"/>
        <v>0</v>
      </c>
      <c r="J41" s="23">
        <f t="shared" ca="1" si="3"/>
        <v>0</v>
      </c>
      <c r="K41" s="23">
        <f t="shared" ca="1" si="3"/>
        <v>0</v>
      </c>
      <c r="L41" s="23">
        <f t="shared" ca="1" si="3"/>
        <v>0</v>
      </c>
      <c r="M41" s="23">
        <f t="shared" ca="1" si="3"/>
        <v>0</v>
      </c>
      <c r="N41" s="23">
        <f t="shared" ca="1" si="3"/>
        <v>0</v>
      </c>
      <c r="O41" s="23">
        <f t="shared" ca="1" si="3"/>
        <v>0</v>
      </c>
    </row>
    <row r="42" spans="1:15" x14ac:dyDescent="0.25">
      <c r="A42" s="140"/>
      <c r="B42" s="140"/>
      <c r="D42" s="109">
        <f ca="1">RandNums!N42</f>
        <v>15.369612950012572</v>
      </c>
      <c r="F42" s="13">
        <f>Inputs!A40</f>
        <v>0</v>
      </c>
      <c r="G42" s="23">
        <f t="shared" ca="1" si="3"/>
        <v>0</v>
      </c>
      <c r="H42" s="23">
        <f t="shared" ca="1" si="3"/>
        <v>0</v>
      </c>
      <c r="I42" s="23">
        <f t="shared" ca="1" si="3"/>
        <v>0</v>
      </c>
      <c r="J42" s="23">
        <f t="shared" ca="1" si="3"/>
        <v>0</v>
      </c>
      <c r="K42" s="23">
        <f t="shared" ca="1" si="3"/>
        <v>0</v>
      </c>
      <c r="L42" s="23">
        <f t="shared" ca="1" si="3"/>
        <v>0</v>
      </c>
      <c r="M42" s="23">
        <f t="shared" ca="1" si="3"/>
        <v>0</v>
      </c>
      <c r="N42" s="23">
        <f t="shared" ca="1" si="3"/>
        <v>0</v>
      </c>
      <c r="O42" s="23">
        <f t="shared" ca="1" si="3"/>
        <v>0</v>
      </c>
    </row>
    <row r="43" spans="1:15" x14ac:dyDescent="0.25">
      <c r="A43" s="140"/>
      <c r="B43" s="140"/>
      <c r="D43" s="109">
        <f ca="1">RandNums!N43</f>
        <v>50.72369794134277</v>
      </c>
      <c r="F43" s="13">
        <f>Inputs!A41</f>
        <v>0</v>
      </c>
      <c r="G43" s="23">
        <f t="shared" ca="1" si="3"/>
        <v>0</v>
      </c>
      <c r="H43" s="23">
        <f t="shared" ca="1" si="3"/>
        <v>0</v>
      </c>
      <c r="I43" s="23">
        <f t="shared" ca="1" si="3"/>
        <v>0</v>
      </c>
      <c r="J43" s="23">
        <f t="shared" ca="1" si="3"/>
        <v>0</v>
      </c>
      <c r="K43" s="23">
        <f t="shared" ca="1" si="3"/>
        <v>0</v>
      </c>
      <c r="L43" s="23">
        <f t="shared" ca="1" si="3"/>
        <v>0</v>
      </c>
      <c r="M43" s="23">
        <f t="shared" ca="1" si="3"/>
        <v>0</v>
      </c>
      <c r="N43" s="23">
        <f t="shared" ca="1" si="3"/>
        <v>0</v>
      </c>
      <c r="O43" s="23">
        <f t="shared" ca="1" si="3"/>
        <v>0</v>
      </c>
    </row>
    <row r="44" spans="1:15" x14ac:dyDescent="0.25">
      <c r="A44" s="140"/>
      <c r="B44" s="140"/>
      <c r="D44" s="109">
        <f ca="1">RandNums!N44</f>
        <v>128.47254547635274</v>
      </c>
      <c r="F44" s="13">
        <f>Inputs!A42</f>
        <v>0</v>
      </c>
      <c r="G44" s="23">
        <f t="shared" ref="G44:O53" ca="1" si="4">OFFSET(DynDem,COLUMN()-COLUMN($G$4)+((ROW()-ROW($G$4))*(ROWS(DynDem)/13)),0,1,1)</f>
        <v>0</v>
      </c>
      <c r="H44" s="23">
        <f t="shared" ca="1" si="4"/>
        <v>0</v>
      </c>
      <c r="I44" s="23">
        <f t="shared" ca="1" si="4"/>
        <v>0</v>
      </c>
      <c r="J44" s="23">
        <f t="shared" ca="1" si="4"/>
        <v>0</v>
      </c>
      <c r="K44" s="23">
        <f t="shared" ca="1" si="4"/>
        <v>0</v>
      </c>
      <c r="L44" s="23">
        <f t="shared" ca="1" si="4"/>
        <v>0</v>
      </c>
      <c r="M44" s="23">
        <f t="shared" ca="1" si="4"/>
        <v>0</v>
      </c>
      <c r="N44" s="23">
        <f t="shared" ca="1" si="4"/>
        <v>0</v>
      </c>
      <c r="O44" s="23">
        <f t="shared" ca="1" si="4"/>
        <v>0</v>
      </c>
    </row>
    <row r="45" spans="1:15" x14ac:dyDescent="0.25">
      <c r="A45" s="140"/>
      <c r="B45" s="140"/>
      <c r="D45" s="109">
        <f ca="1">RandNums!N45</f>
        <v>27.415997743763157</v>
      </c>
      <c r="F45" s="13">
        <f>Inputs!A43</f>
        <v>0</v>
      </c>
      <c r="G45" s="23">
        <f t="shared" ca="1" si="4"/>
        <v>0</v>
      </c>
      <c r="H45" s="23">
        <f t="shared" ca="1" si="4"/>
        <v>0</v>
      </c>
      <c r="I45" s="23">
        <f t="shared" ca="1" si="4"/>
        <v>0</v>
      </c>
      <c r="J45" s="23">
        <f t="shared" ca="1" si="4"/>
        <v>0</v>
      </c>
      <c r="K45" s="23">
        <f t="shared" ca="1" si="4"/>
        <v>0</v>
      </c>
      <c r="L45" s="23">
        <f t="shared" ca="1" si="4"/>
        <v>0</v>
      </c>
      <c r="M45" s="23">
        <f t="shared" ca="1" si="4"/>
        <v>0</v>
      </c>
      <c r="N45" s="23">
        <f t="shared" ca="1" si="4"/>
        <v>0</v>
      </c>
      <c r="O45" s="23">
        <f t="shared" ca="1" si="4"/>
        <v>0</v>
      </c>
    </row>
    <row r="46" spans="1:15" x14ac:dyDescent="0.25">
      <c r="A46" s="140"/>
      <c r="B46" s="140"/>
      <c r="D46" s="111">
        <f ca="1">RandNums!N46</f>
        <v>20.402816368839193</v>
      </c>
      <c r="F46" s="13">
        <f>Inputs!A44</f>
        <v>0</v>
      </c>
      <c r="G46" s="23">
        <f t="shared" ca="1" si="4"/>
        <v>0</v>
      </c>
      <c r="H46" s="23">
        <f t="shared" ca="1" si="4"/>
        <v>0</v>
      </c>
      <c r="I46" s="23">
        <f t="shared" ca="1" si="4"/>
        <v>0</v>
      </c>
      <c r="J46" s="23">
        <f t="shared" ca="1" si="4"/>
        <v>0</v>
      </c>
      <c r="K46" s="23">
        <f t="shared" ca="1" si="4"/>
        <v>0</v>
      </c>
      <c r="L46" s="23">
        <f t="shared" ca="1" si="4"/>
        <v>0</v>
      </c>
      <c r="M46" s="23">
        <f t="shared" ca="1" si="4"/>
        <v>0</v>
      </c>
      <c r="N46" s="23">
        <f t="shared" ca="1" si="4"/>
        <v>0</v>
      </c>
      <c r="O46" s="23">
        <f t="shared" ca="1" si="4"/>
        <v>0</v>
      </c>
    </row>
    <row r="47" spans="1:15" x14ac:dyDescent="0.25">
      <c r="A47" s="140"/>
      <c r="B47" s="140"/>
      <c r="D47" s="110">
        <f ca="1">RandNums!N47</f>
        <v>0</v>
      </c>
      <c r="F47" s="13">
        <f>Inputs!A45</f>
        <v>0</v>
      </c>
      <c r="G47" s="23">
        <f t="shared" ca="1" si="4"/>
        <v>0</v>
      </c>
      <c r="H47" s="23">
        <f t="shared" ca="1" si="4"/>
        <v>0</v>
      </c>
      <c r="I47" s="23">
        <f t="shared" ca="1" si="4"/>
        <v>0</v>
      </c>
      <c r="J47" s="23">
        <f t="shared" ca="1" si="4"/>
        <v>0</v>
      </c>
      <c r="K47" s="23">
        <f t="shared" ca="1" si="4"/>
        <v>0</v>
      </c>
      <c r="L47" s="23">
        <f t="shared" ca="1" si="4"/>
        <v>0</v>
      </c>
      <c r="M47" s="23">
        <f t="shared" ca="1" si="4"/>
        <v>0</v>
      </c>
      <c r="N47" s="23">
        <f t="shared" ca="1" si="4"/>
        <v>0</v>
      </c>
      <c r="O47" s="23">
        <f t="shared" ca="1" si="4"/>
        <v>0</v>
      </c>
    </row>
    <row r="48" spans="1:15" x14ac:dyDescent="0.25">
      <c r="A48" s="140"/>
      <c r="B48" s="140"/>
      <c r="D48" s="109">
        <f ca="1">RandNums!N48</f>
        <v>0</v>
      </c>
      <c r="F48" s="13">
        <f>Inputs!A46</f>
        <v>0</v>
      </c>
      <c r="G48" s="23">
        <f t="shared" ca="1" si="4"/>
        <v>0</v>
      </c>
      <c r="H48" s="23">
        <f t="shared" ca="1" si="4"/>
        <v>0</v>
      </c>
      <c r="I48" s="23">
        <f t="shared" ca="1" si="4"/>
        <v>0</v>
      </c>
      <c r="J48" s="23">
        <f t="shared" ca="1" si="4"/>
        <v>0</v>
      </c>
      <c r="K48" s="23">
        <f t="shared" ca="1" si="4"/>
        <v>0</v>
      </c>
      <c r="L48" s="23">
        <f t="shared" ca="1" si="4"/>
        <v>0</v>
      </c>
      <c r="M48" s="23">
        <f t="shared" ca="1" si="4"/>
        <v>0</v>
      </c>
      <c r="N48" s="23">
        <f t="shared" ca="1" si="4"/>
        <v>0</v>
      </c>
      <c r="O48" s="23">
        <f t="shared" ca="1" si="4"/>
        <v>0</v>
      </c>
    </row>
    <row r="49" spans="1:15" x14ac:dyDescent="0.25">
      <c r="A49" s="140"/>
      <c r="B49" s="140"/>
      <c r="D49" s="109">
        <f ca="1">RandNums!N49</f>
        <v>0</v>
      </c>
      <c r="F49" s="13">
        <f>Inputs!A47</f>
        <v>0</v>
      </c>
      <c r="G49" s="23">
        <f t="shared" ca="1" si="4"/>
        <v>0</v>
      </c>
      <c r="H49" s="23">
        <f t="shared" ca="1" si="4"/>
        <v>0</v>
      </c>
      <c r="I49" s="23">
        <f t="shared" ca="1" si="4"/>
        <v>0</v>
      </c>
      <c r="J49" s="23">
        <f t="shared" ca="1" si="4"/>
        <v>0</v>
      </c>
      <c r="K49" s="23">
        <f t="shared" ca="1" si="4"/>
        <v>0</v>
      </c>
      <c r="L49" s="23">
        <f t="shared" ca="1" si="4"/>
        <v>0</v>
      </c>
      <c r="M49" s="23">
        <f t="shared" ca="1" si="4"/>
        <v>0</v>
      </c>
      <c r="N49" s="23">
        <f t="shared" ca="1" si="4"/>
        <v>0</v>
      </c>
      <c r="O49" s="23">
        <f t="shared" ca="1" si="4"/>
        <v>0</v>
      </c>
    </row>
    <row r="50" spans="1:15" x14ac:dyDescent="0.25">
      <c r="A50" s="140"/>
      <c r="B50" s="140"/>
      <c r="D50" s="109">
        <f ca="1">RandNums!N50</f>
        <v>0</v>
      </c>
      <c r="F50" s="13">
        <f>Inputs!A48</f>
        <v>0</v>
      </c>
      <c r="G50" s="23">
        <f t="shared" ca="1" si="4"/>
        <v>0</v>
      </c>
      <c r="H50" s="23">
        <f t="shared" ca="1" si="4"/>
        <v>0</v>
      </c>
      <c r="I50" s="23">
        <f t="shared" ca="1" si="4"/>
        <v>0</v>
      </c>
      <c r="J50" s="23">
        <f t="shared" ca="1" si="4"/>
        <v>0</v>
      </c>
      <c r="K50" s="23">
        <f t="shared" ca="1" si="4"/>
        <v>0</v>
      </c>
      <c r="L50" s="23">
        <f t="shared" ca="1" si="4"/>
        <v>0</v>
      </c>
      <c r="M50" s="23">
        <f t="shared" ca="1" si="4"/>
        <v>0</v>
      </c>
      <c r="N50" s="23">
        <f t="shared" ca="1" si="4"/>
        <v>0</v>
      </c>
      <c r="O50" s="23">
        <f t="shared" ca="1" si="4"/>
        <v>0</v>
      </c>
    </row>
    <row r="51" spans="1:15" x14ac:dyDescent="0.25">
      <c r="A51" s="140"/>
      <c r="B51" s="140"/>
      <c r="D51" s="109">
        <f ca="1">RandNums!N51</f>
        <v>0</v>
      </c>
      <c r="F51" s="13">
        <f>Inputs!A49</f>
        <v>0</v>
      </c>
      <c r="G51" s="23">
        <f t="shared" ca="1" si="4"/>
        <v>0</v>
      </c>
      <c r="H51" s="23">
        <f t="shared" ca="1" si="4"/>
        <v>0</v>
      </c>
      <c r="I51" s="23">
        <f t="shared" ca="1" si="4"/>
        <v>0</v>
      </c>
      <c r="J51" s="23">
        <f t="shared" ca="1" si="4"/>
        <v>0</v>
      </c>
      <c r="K51" s="23">
        <f t="shared" ca="1" si="4"/>
        <v>0</v>
      </c>
      <c r="L51" s="23">
        <f t="shared" ca="1" si="4"/>
        <v>0</v>
      </c>
      <c r="M51" s="23">
        <f t="shared" ca="1" si="4"/>
        <v>0</v>
      </c>
      <c r="N51" s="23">
        <f t="shared" ca="1" si="4"/>
        <v>0</v>
      </c>
      <c r="O51" s="23">
        <f t="shared" ca="1" si="4"/>
        <v>0</v>
      </c>
    </row>
    <row r="52" spans="1:15" x14ac:dyDescent="0.25">
      <c r="A52" s="140"/>
      <c r="B52" s="140"/>
      <c r="D52" s="109">
        <f ca="1">RandNums!N52</f>
        <v>14.557636576765713</v>
      </c>
      <c r="F52" s="13">
        <f>Inputs!A50</f>
        <v>0</v>
      </c>
      <c r="G52" s="23">
        <f t="shared" ca="1" si="4"/>
        <v>0</v>
      </c>
      <c r="H52" s="23">
        <f t="shared" ca="1" si="4"/>
        <v>0</v>
      </c>
      <c r="I52" s="23">
        <f t="shared" ca="1" si="4"/>
        <v>0</v>
      </c>
      <c r="J52" s="23">
        <f t="shared" ca="1" si="4"/>
        <v>0</v>
      </c>
      <c r="K52" s="23">
        <f t="shared" ca="1" si="4"/>
        <v>0</v>
      </c>
      <c r="L52" s="23">
        <f t="shared" ca="1" si="4"/>
        <v>0</v>
      </c>
      <c r="M52" s="23">
        <f t="shared" ca="1" si="4"/>
        <v>0</v>
      </c>
      <c r="N52" s="23">
        <f t="shared" ca="1" si="4"/>
        <v>0</v>
      </c>
      <c r="O52" s="23">
        <f t="shared" ca="1" si="4"/>
        <v>0</v>
      </c>
    </row>
    <row r="53" spans="1:15" x14ac:dyDescent="0.25">
      <c r="A53" s="140"/>
      <c r="B53" s="140"/>
      <c r="D53" s="109">
        <f ca="1">RandNums!N53</f>
        <v>114.15827392502079</v>
      </c>
      <c r="F53" s="13">
        <f>Inputs!A51</f>
        <v>0</v>
      </c>
      <c r="G53" s="23">
        <f t="shared" ca="1" si="4"/>
        <v>0</v>
      </c>
      <c r="H53" s="23">
        <f t="shared" ca="1" si="4"/>
        <v>0</v>
      </c>
      <c r="I53" s="23">
        <f t="shared" ca="1" si="4"/>
        <v>0</v>
      </c>
      <c r="J53" s="23">
        <f t="shared" ca="1" si="4"/>
        <v>0</v>
      </c>
      <c r="K53" s="23">
        <f t="shared" ca="1" si="4"/>
        <v>0</v>
      </c>
      <c r="L53" s="23">
        <f t="shared" ca="1" si="4"/>
        <v>0</v>
      </c>
      <c r="M53" s="23">
        <f t="shared" ca="1" si="4"/>
        <v>0</v>
      </c>
      <c r="N53" s="23">
        <f t="shared" ca="1" si="4"/>
        <v>0</v>
      </c>
      <c r="O53" s="23">
        <f t="shared" ca="1" si="4"/>
        <v>0</v>
      </c>
    </row>
    <row r="54" spans="1:15" x14ac:dyDescent="0.25">
      <c r="A54" s="140"/>
      <c r="B54" s="140"/>
      <c r="D54" s="109">
        <f ca="1">RandNums!N54</f>
        <v>125.26597794080013</v>
      </c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1:15" x14ac:dyDescent="0.25">
      <c r="A55" s="140"/>
      <c r="B55" s="140"/>
      <c r="D55" s="111">
        <f ca="1">RandNums!N55</f>
        <v>0</v>
      </c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1:15" x14ac:dyDescent="0.25">
      <c r="A56" s="140"/>
      <c r="B56" s="140"/>
      <c r="D56" s="21">
        <f ca="1">RandNums!N56</f>
        <v>0</v>
      </c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1:15" x14ac:dyDescent="0.25">
      <c r="A57" s="140"/>
      <c r="B57" s="140"/>
      <c r="D57" s="22">
        <f ca="1">RandNums!N57</f>
        <v>0</v>
      </c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1:15" x14ac:dyDescent="0.25">
      <c r="A58" s="140"/>
      <c r="B58" s="140"/>
      <c r="D58" s="22">
        <f ca="1">RandNums!N58</f>
        <v>0</v>
      </c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1:15" x14ac:dyDescent="0.25">
      <c r="A59" s="140"/>
      <c r="B59" s="140"/>
      <c r="D59" s="22">
        <f ca="1">RandNums!N59</f>
        <v>0</v>
      </c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1:15" x14ac:dyDescent="0.25">
      <c r="A60" s="140"/>
      <c r="B60" s="140"/>
      <c r="D60" s="22">
        <f ca="1">RandNums!N60</f>
        <v>0</v>
      </c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1:15" x14ac:dyDescent="0.25">
      <c r="A61" s="140"/>
      <c r="B61" s="140"/>
      <c r="D61" s="22">
        <f ca="1">RandNums!N61</f>
        <v>96.759439872913603</v>
      </c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1:15" x14ac:dyDescent="0.25">
      <c r="A62" s="140"/>
      <c r="B62" s="140"/>
      <c r="D62" s="22">
        <f ca="1">RandNums!N62</f>
        <v>6.2722719233386046</v>
      </c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x14ac:dyDescent="0.25">
      <c r="A63" s="140"/>
      <c r="B63" s="140"/>
      <c r="D63" s="22">
        <f ca="1">RandNums!N63</f>
        <v>0</v>
      </c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1:15" x14ac:dyDescent="0.25">
      <c r="A64" s="140"/>
      <c r="B64" s="140"/>
      <c r="D64" s="17">
        <f ca="1">RandNums!N64</f>
        <v>0</v>
      </c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A65" s="140"/>
      <c r="B65" s="140"/>
      <c r="D65" s="110">
        <f ca="1">RandNums!N65</f>
        <v>0</v>
      </c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A66" s="140"/>
      <c r="B66" s="140"/>
      <c r="D66" s="109">
        <f ca="1">RandNums!N66</f>
        <v>0</v>
      </c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140"/>
      <c r="B67" s="140"/>
      <c r="D67" s="109">
        <f ca="1">RandNums!N67</f>
        <v>1.2284569730693412E-2</v>
      </c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140"/>
      <c r="B68" s="140"/>
      <c r="D68" s="109">
        <f ca="1">RandNums!N68</f>
        <v>2.3413068061904649</v>
      </c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140"/>
      <c r="B69" s="140"/>
      <c r="D69" s="109">
        <f ca="1">RandNums!N69</f>
        <v>54.943675300953288</v>
      </c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140"/>
      <c r="B70" s="140"/>
      <c r="D70" s="109">
        <f ca="1">RandNums!N70</f>
        <v>167.85471321532813</v>
      </c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140"/>
      <c r="B71" s="140"/>
      <c r="D71" s="109">
        <f ca="1">RandNums!N71</f>
        <v>215.53981006957346</v>
      </c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140"/>
      <c r="B72" s="140"/>
      <c r="D72" s="109">
        <f ca="1">RandNums!N72</f>
        <v>151.50955912231896</v>
      </c>
      <c r="F72" s="23"/>
      <c r="G72" s="23"/>
      <c r="H72" s="23"/>
      <c r="I72" s="23"/>
      <c r="J72" s="23"/>
      <c r="K72" s="23"/>
      <c r="L72" s="23"/>
      <c r="M72" s="23"/>
      <c r="N72" s="23"/>
      <c r="O72" s="23"/>
    </row>
    <row r="73" spans="1:15" x14ac:dyDescent="0.25">
      <c r="A73" s="140"/>
      <c r="B73" s="140"/>
      <c r="D73" s="111">
        <f ca="1">RandNums!N73</f>
        <v>51.146532935275054</v>
      </c>
      <c r="F73" s="23"/>
      <c r="G73" s="23"/>
      <c r="H73" s="23"/>
      <c r="I73" s="23"/>
      <c r="J73" s="23"/>
      <c r="K73" s="23"/>
      <c r="L73" s="23"/>
      <c r="M73" s="23"/>
      <c r="N73" s="23"/>
      <c r="O73" s="23"/>
    </row>
    <row r="74" spans="1:15" x14ac:dyDescent="0.25">
      <c r="A74" s="140"/>
      <c r="B74" s="140"/>
      <c r="D74" s="110">
        <f ca="1">RandNums!N74</f>
        <v>0</v>
      </c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x14ac:dyDescent="0.25">
      <c r="A75" s="140"/>
      <c r="B75" s="140"/>
      <c r="D75" s="109">
        <f ca="1">RandNums!N75</f>
        <v>0</v>
      </c>
      <c r="F75" s="23"/>
      <c r="G75" s="23"/>
      <c r="H75" s="23"/>
      <c r="I75" s="23"/>
      <c r="J75" s="23"/>
      <c r="K75" s="23"/>
      <c r="L75" s="23"/>
      <c r="M75" s="23"/>
      <c r="N75" s="23"/>
      <c r="O75" s="23"/>
    </row>
    <row r="76" spans="1:15" x14ac:dyDescent="0.25">
      <c r="A76" s="140"/>
      <c r="B76" s="140"/>
      <c r="D76" s="109">
        <f ca="1">RandNums!N76</f>
        <v>0</v>
      </c>
      <c r="F76" s="23"/>
      <c r="G76" s="23"/>
      <c r="H76" s="23"/>
      <c r="I76" s="23"/>
      <c r="J76" s="23"/>
      <c r="K76" s="23"/>
      <c r="L76" s="23"/>
      <c r="M76" s="23"/>
      <c r="N76" s="23"/>
      <c r="O76" s="23"/>
    </row>
    <row r="77" spans="1:15" x14ac:dyDescent="0.25">
      <c r="A77" s="140"/>
      <c r="B77" s="140"/>
      <c r="D77" s="109">
        <f ca="1">RandNums!N77</f>
        <v>0</v>
      </c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x14ac:dyDescent="0.25">
      <c r="A78" s="140"/>
      <c r="B78" s="140"/>
      <c r="D78" s="109">
        <f ca="1">RandNums!N78</f>
        <v>0</v>
      </c>
      <c r="F78" s="23"/>
      <c r="G78" s="23"/>
      <c r="H78" s="23"/>
      <c r="I78" s="23"/>
      <c r="J78" s="23"/>
      <c r="K78" s="23"/>
      <c r="L78" s="23"/>
      <c r="M78" s="23"/>
      <c r="N78" s="23"/>
      <c r="O78" s="23"/>
    </row>
    <row r="79" spans="1:15" x14ac:dyDescent="0.25">
      <c r="A79" s="140"/>
      <c r="B79" s="140"/>
      <c r="D79" s="109">
        <f ca="1">RandNums!N79</f>
        <v>89.294688202480259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</row>
    <row r="80" spans="1:15" x14ac:dyDescent="0.25">
      <c r="A80" s="140"/>
      <c r="B80" s="140"/>
      <c r="D80" s="109">
        <f ca="1">RandNums!N80</f>
        <v>2.0812474389788114</v>
      </c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x14ac:dyDescent="0.25">
      <c r="A81" s="140"/>
      <c r="B81" s="140"/>
      <c r="D81" s="109">
        <f ca="1">RandNums!N81</f>
        <v>0</v>
      </c>
      <c r="F81" s="23"/>
      <c r="G81" s="23"/>
      <c r="H81" s="23"/>
      <c r="I81" s="23"/>
      <c r="J81" s="23"/>
      <c r="K81" s="23"/>
      <c r="L81" s="23"/>
      <c r="M81" s="23"/>
      <c r="N81" s="23"/>
      <c r="O81" s="23"/>
    </row>
    <row r="82" spans="1:15" x14ac:dyDescent="0.25">
      <c r="A82" s="140"/>
      <c r="B82" s="140"/>
      <c r="D82" s="111">
        <f ca="1">RandNums!N82</f>
        <v>16.648394386114322</v>
      </c>
      <c r="F82" s="23"/>
      <c r="G82" s="23"/>
      <c r="H82" s="23"/>
      <c r="I82" s="23"/>
      <c r="J82" s="23"/>
      <c r="K82" s="23"/>
      <c r="L82" s="23"/>
      <c r="M82" s="23"/>
      <c r="N82" s="23"/>
      <c r="O82" s="23"/>
    </row>
    <row r="83" spans="1:15" x14ac:dyDescent="0.25">
      <c r="A83" s="140"/>
      <c r="B83" s="140"/>
      <c r="D83" s="110">
        <f ca="1">RandNums!N83</f>
        <v>0</v>
      </c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1:15" x14ac:dyDescent="0.25">
      <c r="A84" s="140"/>
      <c r="B84" s="140"/>
      <c r="D84" s="109">
        <f ca="1">RandNums!N84</f>
        <v>0</v>
      </c>
      <c r="F84" s="23"/>
      <c r="G84" s="23"/>
      <c r="H84" s="23"/>
      <c r="I84" s="23"/>
      <c r="J84" s="23"/>
      <c r="K84" s="23"/>
      <c r="L84" s="23"/>
      <c r="M84" s="23"/>
      <c r="N84" s="23"/>
      <c r="O84" s="23"/>
    </row>
    <row r="85" spans="1:15" x14ac:dyDescent="0.25">
      <c r="A85" s="140"/>
      <c r="B85" s="140"/>
      <c r="D85" s="109">
        <f ca="1">RandNums!N85</f>
        <v>0</v>
      </c>
      <c r="F85" s="23"/>
      <c r="G85" s="23"/>
      <c r="H85" s="23"/>
      <c r="I85" s="23"/>
      <c r="J85" s="23"/>
      <c r="K85" s="23"/>
      <c r="L85" s="23"/>
      <c r="M85" s="23"/>
      <c r="N85" s="23"/>
      <c r="O85" s="23"/>
    </row>
    <row r="86" spans="1:15" x14ac:dyDescent="0.25">
      <c r="A86" s="140"/>
      <c r="B86" s="140"/>
      <c r="D86" s="109">
        <f ca="1">RandNums!N86</f>
        <v>0</v>
      </c>
      <c r="F86" s="23"/>
      <c r="G86" s="23"/>
      <c r="H86" s="23"/>
      <c r="I86" s="23"/>
      <c r="J86" s="23"/>
      <c r="K86" s="23"/>
      <c r="L86" s="23"/>
      <c r="M86" s="23"/>
      <c r="N86" s="23"/>
      <c r="O86" s="23"/>
    </row>
    <row r="87" spans="1:15" x14ac:dyDescent="0.25">
      <c r="A87" s="140"/>
      <c r="B87" s="140"/>
      <c r="D87" s="109">
        <f ca="1">RandNums!N87</f>
        <v>48.186564199797239</v>
      </c>
      <c r="F87" s="23"/>
      <c r="G87" s="23"/>
      <c r="H87" s="23"/>
      <c r="I87" s="23"/>
      <c r="J87" s="23"/>
      <c r="K87" s="23"/>
      <c r="L87" s="23"/>
      <c r="M87" s="23"/>
      <c r="N87" s="23"/>
      <c r="O87" s="23"/>
    </row>
    <row r="88" spans="1:15" x14ac:dyDescent="0.25">
      <c r="A88" s="140"/>
      <c r="B88" s="140"/>
      <c r="D88" s="109">
        <f ca="1">RandNums!N88</f>
        <v>62.053999690311862</v>
      </c>
      <c r="F88" s="23"/>
      <c r="G88" s="23"/>
      <c r="H88" s="23"/>
      <c r="I88" s="23"/>
      <c r="J88" s="23"/>
      <c r="K88" s="23"/>
      <c r="L88" s="23"/>
      <c r="M88" s="23"/>
      <c r="N88" s="23"/>
      <c r="O88" s="23"/>
    </row>
    <row r="89" spans="1:15" x14ac:dyDescent="0.25">
      <c r="A89" s="140"/>
      <c r="B89" s="140"/>
      <c r="D89" s="109">
        <f ca="1">RandNums!N89</f>
        <v>267.97859822341837</v>
      </c>
      <c r="F89" s="23"/>
      <c r="G89" s="23"/>
      <c r="H89" s="23"/>
      <c r="I89" s="23"/>
      <c r="J89" s="23"/>
      <c r="K89" s="23"/>
      <c r="L89" s="23"/>
      <c r="M89" s="23"/>
      <c r="N89" s="23"/>
      <c r="O89" s="23"/>
    </row>
    <row r="90" spans="1:15" x14ac:dyDescent="0.25">
      <c r="A90" s="140"/>
      <c r="B90" s="140"/>
      <c r="D90" s="109">
        <f ca="1">RandNums!N90</f>
        <v>219.40393509180308</v>
      </c>
      <c r="F90" s="23"/>
      <c r="G90" s="23"/>
      <c r="H90" s="23"/>
      <c r="I90" s="23"/>
      <c r="J90" s="23"/>
      <c r="K90" s="23"/>
      <c r="L90" s="23"/>
      <c r="M90" s="23"/>
      <c r="N90" s="23"/>
      <c r="O90" s="23"/>
    </row>
    <row r="91" spans="1:15" x14ac:dyDescent="0.25">
      <c r="A91" s="140"/>
      <c r="B91" s="140"/>
      <c r="D91" s="111">
        <f ca="1">RandNums!N91</f>
        <v>16.326407635676677</v>
      </c>
      <c r="F91" s="23"/>
      <c r="G91" s="23"/>
      <c r="H91" s="23"/>
      <c r="I91" s="23"/>
      <c r="J91" s="23"/>
      <c r="K91" s="23"/>
      <c r="L91" s="23"/>
      <c r="M91" s="23"/>
      <c r="N91" s="23"/>
      <c r="O91" s="23"/>
    </row>
    <row r="92" spans="1:15" x14ac:dyDescent="0.25">
      <c r="A92" s="140"/>
      <c r="B92" s="140"/>
      <c r="D92" s="110">
        <f ca="1">RandNums!N92</f>
        <v>0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</row>
    <row r="93" spans="1:15" x14ac:dyDescent="0.25">
      <c r="A93" s="140"/>
      <c r="B93" s="140"/>
      <c r="D93" s="109">
        <f ca="1">RandNums!N93</f>
        <v>0</v>
      </c>
      <c r="F93" s="23"/>
      <c r="G93" s="23"/>
      <c r="H93" s="23"/>
      <c r="I93" s="23"/>
      <c r="J93" s="23"/>
      <c r="K93" s="23"/>
      <c r="L93" s="23"/>
      <c r="M93" s="23"/>
      <c r="N93" s="23"/>
      <c r="O93" s="23"/>
    </row>
    <row r="94" spans="1:15" x14ac:dyDescent="0.25">
      <c r="A94" s="140"/>
      <c r="B94" s="140"/>
      <c r="D94" s="109">
        <f ca="1">RandNums!N94</f>
        <v>0</v>
      </c>
      <c r="F94" s="23"/>
      <c r="G94" s="23"/>
      <c r="H94" s="23"/>
      <c r="I94" s="23"/>
      <c r="J94" s="23"/>
      <c r="K94" s="23"/>
      <c r="L94" s="23"/>
      <c r="M94" s="23"/>
      <c r="N94" s="23"/>
      <c r="O94" s="23"/>
    </row>
    <row r="95" spans="1:15" x14ac:dyDescent="0.25">
      <c r="A95" s="140"/>
      <c r="B95" s="140"/>
      <c r="D95" s="109">
        <f ca="1">RandNums!N95</f>
        <v>1.4328795138334558</v>
      </c>
      <c r="F95" s="23"/>
      <c r="G95" s="23"/>
      <c r="H95" s="23"/>
      <c r="I95" s="23"/>
      <c r="J95" s="23"/>
      <c r="K95" s="23"/>
      <c r="L95" s="23"/>
      <c r="M95" s="23"/>
      <c r="N95" s="23"/>
      <c r="O95" s="23"/>
    </row>
    <row r="96" spans="1:15" x14ac:dyDescent="0.25">
      <c r="A96" s="140"/>
      <c r="B96" s="140"/>
      <c r="D96" s="109">
        <f ca="1">RandNums!N96</f>
        <v>112.03594336616939</v>
      </c>
      <c r="F96" s="23"/>
      <c r="G96" s="23"/>
      <c r="H96" s="23"/>
      <c r="I96" s="23"/>
      <c r="J96" s="23"/>
      <c r="K96" s="23"/>
      <c r="L96" s="23"/>
      <c r="M96" s="23"/>
      <c r="N96" s="23"/>
      <c r="O96" s="23"/>
    </row>
    <row r="97" spans="1:15" x14ac:dyDescent="0.25">
      <c r="A97" s="140"/>
      <c r="B97" s="140"/>
      <c r="D97" s="109">
        <f ca="1">RandNums!N97</f>
        <v>143.9583957971096</v>
      </c>
      <c r="F97" s="23"/>
      <c r="G97" s="23"/>
      <c r="H97" s="23"/>
      <c r="I97" s="23"/>
      <c r="J97" s="23"/>
      <c r="K97" s="23"/>
      <c r="L97" s="23"/>
      <c r="M97" s="23"/>
      <c r="N97" s="23"/>
      <c r="O97" s="23"/>
    </row>
    <row r="98" spans="1:15" x14ac:dyDescent="0.25">
      <c r="A98" s="140"/>
      <c r="B98" s="140"/>
      <c r="D98" s="109">
        <f ca="1">RandNums!N98</f>
        <v>79.659298737903896</v>
      </c>
      <c r="F98" s="23"/>
      <c r="G98" s="23"/>
      <c r="H98" s="23"/>
      <c r="I98" s="23"/>
      <c r="J98" s="23"/>
      <c r="K98" s="23"/>
      <c r="L98" s="23"/>
      <c r="M98" s="23"/>
      <c r="N98" s="23"/>
      <c r="O98" s="23"/>
    </row>
    <row r="99" spans="1:15" x14ac:dyDescent="0.25">
      <c r="A99" s="140"/>
      <c r="B99" s="140"/>
      <c r="D99" s="109">
        <f ca="1">RandNums!N99</f>
        <v>12.38833767106903</v>
      </c>
      <c r="F99" s="23"/>
      <c r="G99" s="23"/>
      <c r="H99" s="23"/>
      <c r="I99" s="23"/>
      <c r="J99" s="23"/>
      <c r="K99" s="23"/>
      <c r="L99" s="23"/>
      <c r="M99" s="23"/>
      <c r="N99" s="23"/>
      <c r="O99" s="23"/>
    </row>
    <row r="100" spans="1:15" x14ac:dyDescent="0.25">
      <c r="A100" s="140"/>
      <c r="B100" s="140"/>
      <c r="D100" s="111">
        <f ca="1">RandNums!N100</f>
        <v>11.216154336183703</v>
      </c>
      <c r="F100" s="23"/>
      <c r="G100" s="23"/>
      <c r="H100" s="23"/>
      <c r="I100" s="23"/>
      <c r="J100" s="23"/>
      <c r="K100" s="23"/>
      <c r="L100" s="23"/>
      <c r="M100" s="23"/>
      <c r="N100" s="23"/>
      <c r="O100" s="23"/>
    </row>
    <row r="101" spans="1:15" x14ac:dyDescent="0.25">
      <c r="A101" s="140"/>
      <c r="B101" s="140"/>
      <c r="D101" s="110">
        <f ca="1">RandNums!N101</f>
        <v>0</v>
      </c>
      <c r="F101" s="23"/>
      <c r="G101" s="23"/>
      <c r="H101" s="23"/>
      <c r="I101" s="23"/>
      <c r="J101" s="23"/>
      <c r="K101" s="23"/>
      <c r="L101" s="23"/>
      <c r="M101" s="23"/>
      <c r="N101" s="23"/>
      <c r="O101" s="23"/>
    </row>
    <row r="102" spans="1:15" x14ac:dyDescent="0.25">
      <c r="A102" s="140"/>
      <c r="B102" s="140"/>
      <c r="D102" s="109">
        <f ca="1">RandNums!N102</f>
        <v>0</v>
      </c>
      <c r="F102" s="23"/>
      <c r="G102" s="23"/>
      <c r="H102" s="23"/>
      <c r="I102" s="23"/>
      <c r="J102" s="23"/>
      <c r="K102" s="23"/>
      <c r="L102" s="23"/>
      <c r="M102" s="23"/>
      <c r="N102" s="23"/>
      <c r="O102" s="23"/>
    </row>
    <row r="103" spans="1:15" x14ac:dyDescent="0.25">
      <c r="A103" s="140"/>
      <c r="B103" s="140"/>
      <c r="D103" s="109">
        <f ca="1">RandNums!N103</f>
        <v>0</v>
      </c>
      <c r="F103" s="23"/>
      <c r="G103" s="23"/>
      <c r="H103" s="23"/>
      <c r="I103" s="23"/>
      <c r="J103" s="23"/>
      <c r="K103" s="23"/>
      <c r="L103" s="23"/>
      <c r="M103" s="23"/>
      <c r="N103" s="23"/>
      <c r="O103" s="23"/>
    </row>
    <row r="104" spans="1:15" x14ac:dyDescent="0.25">
      <c r="A104" s="140"/>
      <c r="B104" s="140"/>
      <c r="D104" s="109">
        <f ca="1">RandNums!N104</f>
        <v>0</v>
      </c>
      <c r="F104" s="23"/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 x14ac:dyDescent="0.25">
      <c r="A105" s="140"/>
      <c r="B105" s="140"/>
      <c r="D105" s="109">
        <f ca="1">RandNums!N105</f>
        <v>0</v>
      </c>
      <c r="F105" s="23"/>
      <c r="G105" s="23"/>
      <c r="H105" s="23"/>
      <c r="I105" s="23"/>
      <c r="J105" s="23"/>
      <c r="K105" s="23"/>
      <c r="L105" s="23"/>
      <c r="M105" s="23"/>
      <c r="N105" s="23"/>
      <c r="O105" s="23"/>
    </row>
    <row r="106" spans="1:15" x14ac:dyDescent="0.25">
      <c r="A106" s="140"/>
      <c r="B106" s="140"/>
      <c r="D106" s="109">
        <f ca="1">RandNums!N106</f>
        <v>85.237820840303613</v>
      </c>
      <c r="F106" s="23"/>
      <c r="G106" s="23"/>
      <c r="H106" s="23"/>
      <c r="I106" s="23"/>
      <c r="J106" s="23"/>
      <c r="K106" s="23"/>
      <c r="L106" s="23"/>
      <c r="M106" s="23"/>
      <c r="N106" s="23"/>
      <c r="O106" s="23"/>
    </row>
    <row r="107" spans="1:15" x14ac:dyDescent="0.25">
      <c r="A107" s="140"/>
      <c r="B107" s="140"/>
      <c r="D107" s="109">
        <f ca="1">RandNums!N107</f>
        <v>8.2738359741056389</v>
      </c>
      <c r="F107" s="23"/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 x14ac:dyDescent="0.25">
      <c r="A108" s="140"/>
      <c r="B108" s="140"/>
      <c r="D108" s="109">
        <f ca="1">RandNums!N108</f>
        <v>0</v>
      </c>
      <c r="F108" s="23"/>
      <c r="G108" s="23"/>
      <c r="H108" s="23"/>
      <c r="I108" s="23"/>
      <c r="J108" s="23"/>
      <c r="K108" s="23"/>
      <c r="L108" s="23"/>
      <c r="M108" s="23"/>
      <c r="N108" s="23"/>
      <c r="O108" s="23"/>
    </row>
    <row r="109" spans="1:15" x14ac:dyDescent="0.25">
      <c r="A109" s="140"/>
      <c r="B109" s="140"/>
      <c r="D109" s="111">
        <f ca="1">RandNums!N109</f>
        <v>0</v>
      </c>
      <c r="F109" s="23"/>
      <c r="G109" s="23"/>
      <c r="H109" s="23"/>
      <c r="I109" s="23"/>
      <c r="J109" s="23"/>
      <c r="K109" s="23"/>
      <c r="L109" s="23"/>
      <c r="M109" s="23"/>
      <c r="N109" s="23"/>
      <c r="O109" s="23"/>
    </row>
    <row r="110" spans="1:15" x14ac:dyDescent="0.25">
      <c r="A110" s="140"/>
      <c r="B110" s="140"/>
      <c r="D110" s="110">
        <f ca="1">RandNums!N110</f>
        <v>0</v>
      </c>
      <c r="F110" s="23"/>
      <c r="G110" s="23"/>
      <c r="H110" s="23"/>
      <c r="I110" s="23"/>
      <c r="J110" s="23"/>
      <c r="K110" s="23"/>
      <c r="L110" s="23"/>
      <c r="M110" s="23"/>
      <c r="N110" s="23"/>
      <c r="O110" s="23"/>
    </row>
    <row r="111" spans="1:15" x14ac:dyDescent="0.25">
      <c r="A111" s="140"/>
      <c r="B111" s="140"/>
      <c r="D111" s="109">
        <f ca="1">RandNums!N111</f>
        <v>0</v>
      </c>
      <c r="F111" s="23"/>
      <c r="G111" s="23"/>
      <c r="H111" s="23"/>
      <c r="I111" s="23"/>
      <c r="J111" s="23"/>
      <c r="K111" s="23"/>
      <c r="L111" s="23"/>
      <c r="M111" s="23"/>
      <c r="N111" s="23"/>
      <c r="O111" s="23"/>
    </row>
    <row r="112" spans="1:15" x14ac:dyDescent="0.25">
      <c r="A112" s="140"/>
      <c r="B112" s="140"/>
      <c r="D112" s="109">
        <f ca="1">RandNums!N112</f>
        <v>0</v>
      </c>
      <c r="F112" s="23"/>
      <c r="G112" s="23"/>
      <c r="H112" s="23"/>
      <c r="I112" s="23"/>
      <c r="J112" s="23"/>
      <c r="K112" s="23"/>
      <c r="L112" s="23"/>
      <c r="M112" s="23"/>
      <c r="N112" s="23"/>
      <c r="O112" s="23"/>
    </row>
    <row r="113" spans="1:15" x14ac:dyDescent="0.25">
      <c r="A113" s="140"/>
      <c r="B113" s="140"/>
      <c r="D113" s="109">
        <f ca="1">RandNums!N113</f>
        <v>0</v>
      </c>
      <c r="F113" s="23"/>
      <c r="G113" s="23"/>
      <c r="H113" s="23"/>
      <c r="I113" s="23"/>
      <c r="J113" s="23"/>
      <c r="K113" s="23"/>
      <c r="L113" s="23"/>
      <c r="M113" s="23"/>
      <c r="N113" s="23"/>
      <c r="O113" s="23"/>
    </row>
    <row r="114" spans="1:15" x14ac:dyDescent="0.25">
      <c r="A114" s="140"/>
      <c r="B114" s="140"/>
      <c r="D114" s="109">
        <f ca="1">RandNums!N114</f>
        <v>0</v>
      </c>
      <c r="F114" s="23"/>
      <c r="G114" s="23"/>
      <c r="H114" s="23"/>
      <c r="I114" s="23"/>
      <c r="J114" s="23"/>
      <c r="K114" s="23"/>
      <c r="L114" s="23"/>
      <c r="M114" s="23"/>
      <c r="N114" s="23"/>
      <c r="O114" s="23"/>
    </row>
    <row r="115" spans="1:15" x14ac:dyDescent="0.25">
      <c r="A115" s="140"/>
      <c r="B115" s="140"/>
      <c r="D115" s="109">
        <f ca="1">RandNums!N115</f>
        <v>9.9855912194810355</v>
      </c>
      <c r="F115" s="23"/>
      <c r="G115" s="23"/>
      <c r="H115" s="23"/>
      <c r="I115" s="23"/>
      <c r="J115" s="23"/>
      <c r="K115" s="23"/>
      <c r="L115" s="23"/>
      <c r="M115" s="23"/>
      <c r="N115" s="23"/>
      <c r="O115" s="23"/>
    </row>
    <row r="116" spans="1:15" x14ac:dyDescent="0.25">
      <c r="A116" s="140"/>
      <c r="B116" s="140"/>
      <c r="D116" s="109">
        <f ca="1">RandNums!N116</f>
        <v>78.26462017096874</v>
      </c>
      <c r="F116" s="23"/>
      <c r="G116" s="23"/>
      <c r="H116" s="23"/>
      <c r="I116" s="23"/>
      <c r="J116" s="23"/>
      <c r="K116" s="23"/>
      <c r="L116" s="23"/>
      <c r="M116" s="23"/>
      <c r="N116" s="23"/>
      <c r="O116" s="23"/>
    </row>
    <row r="117" spans="1:15" x14ac:dyDescent="0.25">
      <c r="A117" s="140"/>
      <c r="B117" s="140"/>
      <c r="D117" s="109">
        <f ca="1">RandNums!N117</f>
        <v>82.165082206312633</v>
      </c>
      <c r="F117" s="23"/>
      <c r="G117" s="23"/>
      <c r="H117" s="23"/>
      <c r="I117" s="23"/>
      <c r="J117" s="23"/>
      <c r="K117" s="23"/>
      <c r="L117" s="23"/>
      <c r="M117" s="23"/>
      <c r="N117" s="23"/>
      <c r="O117" s="23"/>
    </row>
    <row r="118" spans="1:15" x14ac:dyDescent="0.25">
      <c r="A118" s="140"/>
      <c r="B118" s="140"/>
      <c r="D118" s="111">
        <f ca="1">RandNums!N118</f>
        <v>0</v>
      </c>
      <c r="F118" s="23"/>
      <c r="G118" s="23"/>
      <c r="H118" s="23"/>
      <c r="I118" s="23"/>
      <c r="J118" s="23"/>
      <c r="K118" s="23"/>
      <c r="L118" s="23"/>
      <c r="M118" s="23"/>
      <c r="N118" s="23"/>
      <c r="O118" s="23"/>
    </row>
    <row r="119" spans="1:15" x14ac:dyDescent="0.25">
      <c r="D119" s="110">
        <f ca="1">RandNums!N119</f>
        <v>0</v>
      </c>
      <c r="F119" s="23"/>
      <c r="G119" s="23"/>
      <c r="H119" s="23"/>
      <c r="I119" s="23"/>
      <c r="J119" s="23"/>
      <c r="K119" s="23"/>
      <c r="L119" s="23"/>
      <c r="M119" s="23"/>
      <c r="N119" s="23"/>
      <c r="O119" s="23"/>
    </row>
    <row r="120" spans="1:15" x14ac:dyDescent="0.25">
      <c r="D120" s="109">
        <f ca="1">RandNums!N120</f>
        <v>0</v>
      </c>
      <c r="F120" s="23"/>
      <c r="G120" s="23"/>
      <c r="H120" s="23"/>
      <c r="I120" s="23"/>
      <c r="J120" s="23"/>
      <c r="K120" s="23"/>
      <c r="L120" s="23"/>
      <c r="M120" s="23"/>
      <c r="N120" s="23"/>
      <c r="O120" s="23"/>
    </row>
    <row r="121" spans="1:15" x14ac:dyDescent="0.25">
      <c r="D121" s="109">
        <f ca="1">RandNums!N121</f>
        <v>0</v>
      </c>
      <c r="F121" s="23"/>
      <c r="G121" s="23"/>
      <c r="H121" s="23"/>
      <c r="I121" s="23"/>
      <c r="J121" s="23"/>
      <c r="K121" s="23"/>
      <c r="L121" s="23"/>
      <c r="M121" s="23"/>
      <c r="N121" s="23"/>
      <c r="O121" s="23"/>
    </row>
    <row r="122" spans="1:15" x14ac:dyDescent="0.25">
      <c r="D122" s="109">
        <f ca="1">RandNums!N122</f>
        <v>0</v>
      </c>
      <c r="F122" s="23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5" x14ac:dyDescent="0.25">
      <c r="D123" s="109">
        <f ca="1">RandNums!N123</f>
        <v>0</v>
      </c>
      <c r="F123" s="23"/>
      <c r="G123" s="23"/>
      <c r="H123" s="23"/>
      <c r="I123" s="23"/>
      <c r="J123" s="23"/>
      <c r="K123" s="23"/>
      <c r="L123" s="23"/>
      <c r="M123" s="23"/>
      <c r="N123" s="23"/>
      <c r="O123" s="23"/>
    </row>
    <row r="124" spans="1:15" x14ac:dyDescent="0.25">
      <c r="D124" s="109">
        <f ca="1">RandNums!N124</f>
        <v>18.823595543005741</v>
      </c>
      <c r="F124" s="23"/>
      <c r="G124" s="23"/>
      <c r="H124" s="23"/>
      <c r="I124" s="23"/>
      <c r="J124" s="23"/>
      <c r="K124" s="23"/>
      <c r="L124" s="23"/>
      <c r="M124" s="23"/>
      <c r="N124" s="23"/>
      <c r="O124" s="23"/>
    </row>
    <row r="125" spans="1:15" x14ac:dyDescent="0.25">
      <c r="D125" s="109">
        <f ca="1">RandNums!N125</f>
        <v>215.22403624455606</v>
      </c>
      <c r="F125" s="23"/>
      <c r="G125" s="23"/>
      <c r="H125" s="23"/>
      <c r="I125" s="23"/>
      <c r="J125" s="23"/>
      <c r="K125" s="23"/>
      <c r="L125" s="23"/>
      <c r="M125" s="23"/>
      <c r="N125" s="23"/>
      <c r="O125" s="23"/>
    </row>
    <row r="126" spans="1:15" x14ac:dyDescent="0.25">
      <c r="D126" s="109">
        <f ca="1">RandNums!N126</f>
        <v>216.08379902471904</v>
      </c>
      <c r="F126" s="23"/>
      <c r="G126" s="23"/>
      <c r="H126" s="23"/>
      <c r="I126" s="23"/>
      <c r="J126" s="23"/>
      <c r="K126" s="23"/>
      <c r="L126" s="23"/>
      <c r="M126" s="23"/>
      <c r="N126" s="23"/>
      <c r="O126" s="23"/>
    </row>
    <row r="127" spans="1:15" x14ac:dyDescent="0.25">
      <c r="D127" s="111">
        <f ca="1">RandNums!N127</f>
        <v>30.134149317535417</v>
      </c>
      <c r="F127" s="23"/>
      <c r="G127" s="23"/>
      <c r="H127" s="23"/>
      <c r="I127" s="23"/>
      <c r="J127" s="23"/>
      <c r="K127" s="23"/>
      <c r="L127" s="23"/>
      <c r="M127" s="23"/>
      <c r="N127" s="23"/>
      <c r="O127" s="23"/>
    </row>
    <row r="128" spans="1:15" x14ac:dyDescent="0.25">
      <c r="D128" s="110">
        <f ca="1">RandNums!N128</f>
        <v>0</v>
      </c>
      <c r="F128" s="23"/>
      <c r="G128" s="23"/>
      <c r="H128" s="23"/>
      <c r="I128" s="23"/>
      <c r="J128" s="23"/>
      <c r="K128" s="23"/>
      <c r="L128" s="23"/>
      <c r="M128" s="23"/>
      <c r="N128" s="23"/>
      <c r="O128" s="23"/>
    </row>
    <row r="129" spans="4:15" x14ac:dyDescent="0.25">
      <c r="D129" s="109">
        <f ca="1">RandNums!N129</f>
        <v>0</v>
      </c>
      <c r="F129" s="23"/>
      <c r="G129" s="23"/>
      <c r="H129" s="23"/>
      <c r="I129" s="23"/>
      <c r="J129" s="23"/>
      <c r="K129" s="23"/>
      <c r="L129" s="23"/>
      <c r="M129" s="23"/>
      <c r="N129" s="23"/>
      <c r="O129" s="23"/>
    </row>
    <row r="130" spans="4:15" x14ac:dyDescent="0.25">
      <c r="D130" s="109">
        <f ca="1">RandNums!N130</f>
        <v>0</v>
      </c>
      <c r="F130" s="23"/>
      <c r="G130" s="23"/>
      <c r="H130" s="23"/>
      <c r="I130" s="23"/>
      <c r="J130" s="23"/>
      <c r="K130" s="23"/>
      <c r="L130" s="23"/>
      <c r="M130" s="23"/>
      <c r="N130" s="23"/>
      <c r="O130" s="23"/>
    </row>
    <row r="131" spans="4:15" x14ac:dyDescent="0.25">
      <c r="D131" s="109">
        <f ca="1">RandNums!N131</f>
        <v>0</v>
      </c>
      <c r="F131" s="23"/>
      <c r="G131" s="23"/>
      <c r="H131" s="23"/>
      <c r="I131" s="23"/>
      <c r="J131" s="23"/>
      <c r="K131" s="23"/>
      <c r="L131" s="23"/>
      <c r="M131" s="23"/>
      <c r="N131" s="23"/>
      <c r="O131" s="23"/>
    </row>
    <row r="132" spans="4:15" x14ac:dyDescent="0.25">
      <c r="D132" s="109">
        <f ca="1">RandNums!N132</f>
        <v>0</v>
      </c>
      <c r="F132" s="23"/>
      <c r="G132" s="23"/>
      <c r="H132" s="23"/>
      <c r="I132" s="23"/>
      <c r="J132" s="23"/>
      <c r="K132" s="23"/>
      <c r="L132" s="23"/>
      <c r="M132" s="23"/>
      <c r="N132" s="23"/>
      <c r="O132" s="23"/>
    </row>
    <row r="133" spans="4:15" x14ac:dyDescent="0.25">
      <c r="D133" s="109">
        <f ca="1">RandNums!N133</f>
        <v>122.3710234507638</v>
      </c>
      <c r="F133" s="23"/>
      <c r="G133" s="23"/>
      <c r="H133" s="23"/>
      <c r="I133" s="23"/>
      <c r="J133" s="23"/>
      <c r="K133" s="23"/>
      <c r="L133" s="23"/>
      <c r="M133" s="23"/>
      <c r="N133" s="23"/>
      <c r="O133" s="23"/>
    </row>
    <row r="134" spans="4:15" x14ac:dyDescent="0.25">
      <c r="D134" s="109">
        <f ca="1">RandNums!N134</f>
        <v>0</v>
      </c>
      <c r="F134" s="23"/>
      <c r="G134" s="23"/>
      <c r="H134" s="23"/>
      <c r="I134" s="23"/>
      <c r="J134" s="23"/>
      <c r="K134" s="23"/>
      <c r="L134" s="23"/>
      <c r="M134" s="23"/>
      <c r="N134" s="23"/>
      <c r="O134" s="23"/>
    </row>
    <row r="135" spans="4:15" x14ac:dyDescent="0.25">
      <c r="D135" s="109">
        <f ca="1">RandNums!N135</f>
        <v>7.9407528357652843</v>
      </c>
      <c r="F135" s="23"/>
      <c r="G135" s="23"/>
      <c r="H135" s="23"/>
      <c r="I135" s="23"/>
      <c r="J135" s="23"/>
      <c r="K135" s="23"/>
      <c r="L135" s="23"/>
      <c r="M135" s="23"/>
      <c r="N135" s="23"/>
      <c r="O135" s="23"/>
    </row>
    <row r="136" spans="4:15" x14ac:dyDescent="0.25">
      <c r="D136" s="111">
        <f ca="1">RandNums!N136</f>
        <v>0</v>
      </c>
      <c r="F136" s="23"/>
      <c r="G136" s="23"/>
      <c r="H136" s="23"/>
      <c r="I136" s="23"/>
      <c r="J136" s="23"/>
      <c r="K136" s="23"/>
      <c r="L136" s="23"/>
      <c r="M136" s="23"/>
      <c r="N136" s="23"/>
      <c r="O136" s="23"/>
    </row>
    <row r="137" spans="4:15" x14ac:dyDescent="0.25">
      <c r="D137" s="21">
        <f ca="1">RandNums!N137</f>
        <v>0</v>
      </c>
      <c r="F137" s="23"/>
      <c r="G137" s="23"/>
      <c r="H137" s="23"/>
      <c r="I137" s="23"/>
      <c r="J137" s="23"/>
      <c r="K137" s="23"/>
      <c r="L137" s="23"/>
      <c r="M137" s="23"/>
      <c r="N137" s="23"/>
      <c r="O137" s="23"/>
    </row>
    <row r="138" spans="4:15" x14ac:dyDescent="0.25">
      <c r="D138" s="22">
        <f ca="1">RandNums!N138</f>
        <v>0</v>
      </c>
      <c r="F138" s="23"/>
      <c r="G138" s="23"/>
      <c r="H138" s="23"/>
      <c r="I138" s="23"/>
      <c r="J138" s="23"/>
      <c r="K138" s="23"/>
      <c r="L138" s="23"/>
      <c r="M138" s="23"/>
      <c r="N138" s="23"/>
      <c r="O138" s="23"/>
    </row>
    <row r="139" spans="4:15" x14ac:dyDescent="0.25">
      <c r="D139" s="22">
        <f ca="1">RandNums!N139</f>
        <v>0</v>
      </c>
      <c r="F139" s="23"/>
      <c r="G139" s="23"/>
      <c r="H139" s="23"/>
      <c r="I139" s="23"/>
      <c r="J139" s="23"/>
      <c r="K139" s="23"/>
      <c r="L139" s="23"/>
      <c r="M139" s="23"/>
      <c r="N139" s="23"/>
      <c r="O139" s="23"/>
    </row>
    <row r="140" spans="4:15" x14ac:dyDescent="0.25">
      <c r="D140" s="22">
        <f ca="1">RandNums!N140</f>
        <v>0</v>
      </c>
      <c r="F140" s="23"/>
      <c r="G140" s="23"/>
      <c r="H140" s="23"/>
      <c r="I140" s="23"/>
      <c r="J140" s="23"/>
      <c r="K140" s="23"/>
      <c r="L140" s="23"/>
      <c r="M140" s="23"/>
      <c r="N140" s="23"/>
      <c r="O140" s="23"/>
    </row>
    <row r="141" spans="4:15" x14ac:dyDescent="0.25">
      <c r="D141" s="22">
        <f ca="1">RandNums!N141</f>
        <v>0</v>
      </c>
      <c r="F141" s="23"/>
      <c r="G141" s="23"/>
      <c r="H141" s="23"/>
      <c r="I141" s="23"/>
      <c r="J141" s="23"/>
      <c r="K141" s="23"/>
      <c r="L141" s="23"/>
      <c r="M141" s="23"/>
      <c r="N141" s="23"/>
      <c r="O141" s="23"/>
    </row>
    <row r="142" spans="4:15" x14ac:dyDescent="0.25">
      <c r="D142" s="22">
        <f ca="1">RandNums!N142</f>
        <v>0</v>
      </c>
      <c r="F142" s="23"/>
      <c r="G142" s="23"/>
      <c r="H142" s="23"/>
      <c r="I142" s="23"/>
      <c r="J142" s="23"/>
      <c r="K142" s="23"/>
      <c r="L142" s="23"/>
      <c r="M142" s="23"/>
      <c r="N142" s="23"/>
      <c r="O142" s="23"/>
    </row>
    <row r="143" spans="4:15" x14ac:dyDescent="0.25">
      <c r="D143" s="22">
        <f ca="1">RandNums!N143</f>
        <v>0</v>
      </c>
      <c r="F143" s="23"/>
      <c r="G143" s="23"/>
      <c r="H143" s="23"/>
      <c r="I143" s="23"/>
      <c r="J143" s="23"/>
      <c r="K143" s="23"/>
      <c r="L143" s="23"/>
      <c r="M143" s="23"/>
      <c r="N143" s="23"/>
      <c r="O143" s="23"/>
    </row>
    <row r="144" spans="4:15" x14ac:dyDescent="0.25">
      <c r="D144" s="22">
        <f ca="1">RandNums!N144</f>
        <v>0</v>
      </c>
      <c r="F144" s="23"/>
      <c r="G144" s="23"/>
      <c r="H144" s="23"/>
      <c r="I144" s="23"/>
      <c r="J144" s="23"/>
      <c r="K144" s="23"/>
      <c r="L144" s="23"/>
      <c r="M144" s="23"/>
      <c r="N144" s="23"/>
      <c r="O144" s="23"/>
    </row>
    <row r="145" spans="4:15" x14ac:dyDescent="0.25">
      <c r="D145" s="17">
        <f ca="1">RandNums!N145</f>
        <v>0</v>
      </c>
      <c r="F145" s="23"/>
      <c r="G145" s="23"/>
      <c r="H145" s="23"/>
      <c r="I145" s="23"/>
      <c r="J145" s="23"/>
      <c r="K145" s="23"/>
      <c r="L145" s="23"/>
      <c r="M145" s="23"/>
      <c r="N145" s="23"/>
      <c r="O145" s="23"/>
    </row>
    <row r="146" spans="4:15" x14ac:dyDescent="0.25">
      <c r="D146" s="110">
        <f ca="1">RandNums!N146</f>
        <v>0</v>
      </c>
      <c r="F146" s="23"/>
      <c r="G146" s="23"/>
      <c r="H146" s="23"/>
      <c r="I146" s="23"/>
      <c r="J146" s="23"/>
      <c r="K146" s="23"/>
      <c r="L146" s="23"/>
      <c r="M146" s="23"/>
      <c r="N146" s="23"/>
      <c r="O146" s="23"/>
    </row>
    <row r="147" spans="4:15" x14ac:dyDescent="0.25">
      <c r="D147" s="109">
        <f ca="1">RandNums!N147</f>
        <v>0</v>
      </c>
      <c r="F147" s="23"/>
      <c r="G147" s="23"/>
      <c r="H147" s="23"/>
      <c r="I147" s="23"/>
      <c r="J147" s="23"/>
      <c r="K147" s="23"/>
      <c r="L147" s="23"/>
      <c r="M147" s="23"/>
      <c r="N147" s="23"/>
      <c r="O147" s="23"/>
    </row>
    <row r="148" spans="4:15" x14ac:dyDescent="0.25">
      <c r="D148" s="109">
        <f ca="1">RandNums!N148</f>
        <v>0</v>
      </c>
      <c r="F148" s="23"/>
      <c r="G148" s="23"/>
      <c r="H148" s="23"/>
      <c r="I148" s="23"/>
      <c r="J148" s="23"/>
      <c r="K148" s="23"/>
      <c r="L148" s="23"/>
      <c r="M148" s="23"/>
      <c r="N148" s="23"/>
      <c r="O148" s="23"/>
    </row>
    <row r="149" spans="4:15" x14ac:dyDescent="0.25">
      <c r="D149" s="109">
        <f ca="1">RandNums!N149</f>
        <v>0</v>
      </c>
      <c r="F149" s="23"/>
      <c r="G149" s="23"/>
      <c r="H149" s="23"/>
      <c r="I149" s="23"/>
      <c r="J149" s="23"/>
      <c r="K149" s="23"/>
      <c r="L149" s="23"/>
      <c r="M149" s="23"/>
      <c r="N149" s="23"/>
      <c r="O149" s="23"/>
    </row>
    <row r="150" spans="4:15" x14ac:dyDescent="0.25">
      <c r="D150" s="109">
        <f ca="1">RandNums!N150</f>
        <v>0</v>
      </c>
      <c r="F150" s="23"/>
      <c r="G150" s="23"/>
      <c r="H150" s="23"/>
      <c r="I150" s="23"/>
      <c r="J150" s="23"/>
      <c r="K150" s="23"/>
      <c r="L150" s="23"/>
      <c r="M150" s="23"/>
      <c r="N150" s="23"/>
      <c r="O150" s="23"/>
    </row>
    <row r="151" spans="4:15" x14ac:dyDescent="0.25">
      <c r="D151" s="109">
        <f ca="1">RandNums!N151</f>
        <v>0</v>
      </c>
      <c r="F151" s="23"/>
      <c r="G151" s="23"/>
      <c r="H151" s="23"/>
      <c r="I151" s="23"/>
      <c r="J151" s="23"/>
      <c r="K151" s="23"/>
      <c r="L151" s="23"/>
      <c r="M151" s="23"/>
      <c r="N151" s="23"/>
      <c r="O151" s="23"/>
    </row>
    <row r="152" spans="4:15" x14ac:dyDescent="0.25">
      <c r="D152" s="109">
        <f ca="1">RandNums!N152</f>
        <v>0</v>
      </c>
      <c r="F152" s="23"/>
      <c r="G152" s="23"/>
      <c r="H152" s="23"/>
      <c r="I152" s="23"/>
      <c r="J152" s="23"/>
      <c r="K152" s="23"/>
      <c r="L152" s="23"/>
      <c r="M152" s="23"/>
      <c r="N152" s="23"/>
      <c r="O152" s="23"/>
    </row>
    <row r="153" spans="4:15" x14ac:dyDescent="0.25">
      <c r="D153" s="109">
        <f ca="1">RandNums!N153</f>
        <v>0</v>
      </c>
      <c r="F153" s="23"/>
      <c r="G153" s="23"/>
      <c r="H153" s="23"/>
      <c r="I153" s="23"/>
      <c r="J153" s="23"/>
      <c r="K153" s="23"/>
      <c r="L153" s="23"/>
      <c r="M153" s="23"/>
      <c r="N153" s="23"/>
      <c r="O153" s="23"/>
    </row>
    <row r="154" spans="4:15" x14ac:dyDescent="0.25">
      <c r="D154" s="111">
        <f ca="1">RandNums!N154</f>
        <v>0</v>
      </c>
      <c r="F154" s="23"/>
      <c r="G154" s="23"/>
      <c r="H154" s="23"/>
      <c r="I154" s="23"/>
      <c r="J154" s="23"/>
      <c r="K154" s="23"/>
      <c r="L154" s="23"/>
      <c r="M154" s="23"/>
      <c r="N154" s="23"/>
      <c r="O154" s="23"/>
    </row>
    <row r="155" spans="4:15" x14ac:dyDescent="0.25">
      <c r="D155" s="110">
        <f ca="1">RandNums!N155</f>
        <v>0</v>
      </c>
      <c r="F155" s="23"/>
      <c r="G155" s="23"/>
      <c r="H155" s="23"/>
      <c r="I155" s="23"/>
      <c r="J155" s="23"/>
      <c r="K155" s="23"/>
      <c r="L155" s="23"/>
      <c r="M155" s="23"/>
      <c r="N155" s="23"/>
      <c r="O155" s="23"/>
    </row>
    <row r="156" spans="4:15" x14ac:dyDescent="0.25">
      <c r="D156" s="109">
        <f ca="1">RandNums!N156</f>
        <v>0</v>
      </c>
      <c r="F156" s="23"/>
      <c r="G156" s="23"/>
      <c r="H156" s="23"/>
      <c r="I156" s="23"/>
      <c r="J156" s="23"/>
      <c r="K156" s="23"/>
      <c r="L156" s="23"/>
      <c r="M156" s="23"/>
      <c r="N156" s="23"/>
      <c r="O156" s="23"/>
    </row>
    <row r="157" spans="4:15" x14ac:dyDescent="0.25">
      <c r="D157" s="109">
        <f ca="1">RandNums!N157</f>
        <v>0</v>
      </c>
      <c r="F157" s="23"/>
      <c r="G157" s="23"/>
      <c r="H157" s="23"/>
      <c r="I157" s="23"/>
      <c r="J157" s="23"/>
      <c r="K157" s="23"/>
      <c r="L157" s="23"/>
      <c r="M157" s="23"/>
      <c r="N157" s="23"/>
      <c r="O157" s="23"/>
    </row>
    <row r="158" spans="4:15" x14ac:dyDescent="0.25">
      <c r="D158" s="109">
        <f ca="1">RandNums!N158</f>
        <v>0</v>
      </c>
      <c r="F158" s="23"/>
      <c r="G158" s="23"/>
      <c r="H158" s="23"/>
      <c r="I158" s="23"/>
      <c r="J158" s="23"/>
      <c r="K158" s="23"/>
      <c r="L158" s="23"/>
      <c r="M158" s="23"/>
      <c r="N158" s="23"/>
      <c r="O158" s="23"/>
    </row>
    <row r="159" spans="4:15" x14ac:dyDescent="0.25">
      <c r="D159" s="109">
        <f ca="1">RandNums!N159</f>
        <v>0</v>
      </c>
      <c r="F159" s="23"/>
      <c r="G159" s="23"/>
      <c r="H159" s="23"/>
      <c r="I159" s="23"/>
      <c r="J159" s="23"/>
      <c r="K159" s="23"/>
      <c r="L159" s="23"/>
      <c r="M159" s="23"/>
      <c r="N159" s="23"/>
      <c r="O159" s="23"/>
    </row>
    <row r="160" spans="4:15" x14ac:dyDescent="0.25">
      <c r="D160" s="109">
        <f ca="1">RandNums!N160</f>
        <v>0</v>
      </c>
      <c r="F160" s="23"/>
      <c r="G160" s="23"/>
      <c r="H160" s="23"/>
      <c r="I160" s="23"/>
      <c r="J160" s="23"/>
      <c r="K160" s="23"/>
      <c r="L160" s="23"/>
      <c r="M160" s="23"/>
      <c r="N160" s="23"/>
      <c r="O160" s="23"/>
    </row>
    <row r="161" spans="4:15" x14ac:dyDescent="0.25">
      <c r="D161" s="109">
        <f ca="1">RandNums!N161</f>
        <v>0</v>
      </c>
      <c r="F161" s="23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4:15" x14ac:dyDescent="0.25">
      <c r="D162" s="109">
        <f ca="1">RandNums!N162</f>
        <v>0</v>
      </c>
      <c r="F162" s="23"/>
      <c r="G162" s="23"/>
      <c r="H162" s="23"/>
      <c r="I162" s="23"/>
      <c r="J162" s="23"/>
      <c r="K162" s="23"/>
      <c r="L162" s="23"/>
      <c r="M162" s="23"/>
      <c r="N162" s="23"/>
      <c r="O162" s="23"/>
    </row>
    <row r="163" spans="4:15" x14ac:dyDescent="0.25">
      <c r="D163" s="111">
        <f ca="1">RandNums!N163</f>
        <v>0</v>
      </c>
      <c r="F163" s="23"/>
      <c r="G163" s="23"/>
      <c r="H163" s="23"/>
      <c r="I163" s="23"/>
      <c r="J163" s="23"/>
      <c r="K163" s="23"/>
      <c r="L163" s="23"/>
      <c r="M163" s="23"/>
      <c r="N163" s="23"/>
      <c r="O163" s="23"/>
    </row>
    <row r="164" spans="4:15" x14ac:dyDescent="0.25">
      <c r="D164" s="110">
        <f ca="1">RandNums!N164</f>
        <v>0</v>
      </c>
      <c r="F164" s="23"/>
      <c r="G164" s="23"/>
      <c r="H164" s="23"/>
      <c r="I164" s="23"/>
      <c r="J164" s="23"/>
      <c r="K164" s="23"/>
      <c r="L164" s="23"/>
      <c r="M164" s="23"/>
      <c r="N164" s="23"/>
      <c r="O164" s="23"/>
    </row>
    <row r="165" spans="4:15" x14ac:dyDescent="0.25">
      <c r="D165" s="109">
        <f ca="1">RandNums!N165</f>
        <v>0</v>
      </c>
      <c r="F165" s="23"/>
      <c r="G165" s="23"/>
      <c r="H165" s="23"/>
      <c r="I165" s="23"/>
      <c r="J165" s="23"/>
      <c r="K165" s="23"/>
      <c r="L165" s="23"/>
      <c r="M165" s="23"/>
      <c r="N165" s="23"/>
      <c r="O165" s="23"/>
    </row>
    <row r="166" spans="4:15" x14ac:dyDescent="0.25">
      <c r="D166" s="109">
        <f ca="1">RandNums!N166</f>
        <v>0</v>
      </c>
      <c r="F166" s="23"/>
      <c r="G166" s="23"/>
      <c r="H166" s="23"/>
      <c r="I166" s="23"/>
      <c r="J166" s="23"/>
      <c r="K166" s="23"/>
      <c r="L166" s="23"/>
      <c r="M166" s="23"/>
      <c r="N166" s="23"/>
      <c r="O166" s="23"/>
    </row>
    <row r="167" spans="4:15" x14ac:dyDescent="0.25">
      <c r="D167" s="109">
        <f ca="1">RandNums!N167</f>
        <v>0</v>
      </c>
      <c r="F167" s="23"/>
      <c r="G167" s="23"/>
      <c r="H167" s="23"/>
      <c r="I167" s="23"/>
      <c r="J167" s="23"/>
      <c r="K167" s="23"/>
      <c r="L167" s="23"/>
      <c r="M167" s="23"/>
      <c r="N167" s="23"/>
      <c r="O167" s="23"/>
    </row>
    <row r="168" spans="4:15" x14ac:dyDescent="0.25">
      <c r="D168" s="109">
        <f ca="1">RandNums!N168</f>
        <v>0</v>
      </c>
      <c r="F168" s="23"/>
      <c r="G168" s="23"/>
      <c r="H168" s="23"/>
      <c r="I168" s="23"/>
      <c r="J168" s="23"/>
      <c r="K168" s="23"/>
      <c r="L168" s="23"/>
      <c r="M168" s="23"/>
      <c r="N168" s="23"/>
      <c r="O168" s="23"/>
    </row>
    <row r="169" spans="4:15" x14ac:dyDescent="0.25">
      <c r="D169" s="109">
        <f ca="1">RandNums!N169</f>
        <v>0</v>
      </c>
      <c r="F169" s="23"/>
      <c r="G169" s="23"/>
      <c r="H169" s="23"/>
      <c r="I169" s="23"/>
      <c r="J169" s="23"/>
      <c r="K169" s="23"/>
      <c r="L169" s="23"/>
      <c r="M169" s="23"/>
      <c r="N169" s="23"/>
      <c r="O169" s="23"/>
    </row>
    <row r="170" spans="4:15" x14ac:dyDescent="0.25">
      <c r="D170" s="109">
        <f ca="1">RandNums!N170</f>
        <v>0</v>
      </c>
      <c r="F170" s="23"/>
      <c r="G170" s="23"/>
      <c r="H170" s="23"/>
      <c r="I170" s="23"/>
      <c r="J170" s="23"/>
      <c r="K170" s="23"/>
      <c r="L170" s="23"/>
      <c r="M170" s="23"/>
      <c r="N170" s="23"/>
      <c r="O170" s="23"/>
    </row>
    <row r="171" spans="4:15" x14ac:dyDescent="0.25">
      <c r="D171" s="109">
        <f ca="1">RandNums!N171</f>
        <v>0</v>
      </c>
      <c r="F171" s="23"/>
      <c r="G171" s="23"/>
      <c r="H171" s="23"/>
      <c r="I171" s="23"/>
      <c r="J171" s="23"/>
      <c r="K171" s="23"/>
      <c r="L171" s="23"/>
      <c r="M171" s="23"/>
      <c r="N171" s="23"/>
      <c r="O171" s="23"/>
    </row>
    <row r="172" spans="4:15" x14ac:dyDescent="0.25">
      <c r="D172" s="111">
        <f ca="1">RandNums!N172</f>
        <v>0</v>
      </c>
      <c r="F172" s="23"/>
      <c r="G172" s="23"/>
      <c r="H172" s="23"/>
      <c r="I172" s="23"/>
      <c r="J172" s="23"/>
      <c r="K172" s="23"/>
      <c r="L172" s="23"/>
      <c r="M172" s="23"/>
      <c r="N172" s="23"/>
      <c r="O172" s="23"/>
    </row>
    <row r="173" spans="4:15" x14ac:dyDescent="0.25">
      <c r="D173" s="110">
        <f ca="1">RandNums!N173</f>
        <v>0</v>
      </c>
      <c r="F173" s="23"/>
      <c r="G173" s="23"/>
      <c r="H173" s="23"/>
      <c r="I173" s="23"/>
      <c r="J173" s="23"/>
      <c r="K173" s="23"/>
      <c r="L173" s="23"/>
      <c r="M173" s="23"/>
      <c r="N173" s="23"/>
      <c r="O173" s="23"/>
    </row>
    <row r="174" spans="4:15" x14ac:dyDescent="0.25">
      <c r="D174" s="109">
        <f ca="1">RandNums!N174</f>
        <v>0</v>
      </c>
      <c r="F174" s="23"/>
      <c r="G174" s="23"/>
      <c r="H174" s="23"/>
      <c r="I174" s="23"/>
      <c r="J174" s="23"/>
      <c r="K174" s="23"/>
      <c r="L174" s="23"/>
      <c r="M174" s="23"/>
      <c r="N174" s="23"/>
      <c r="O174" s="23"/>
    </row>
    <row r="175" spans="4:15" x14ac:dyDescent="0.25">
      <c r="D175" s="109">
        <f ca="1">RandNums!N175</f>
        <v>0</v>
      </c>
      <c r="F175" s="23"/>
      <c r="G175" s="23"/>
      <c r="H175" s="23"/>
      <c r="I175" s="23"/>
      <c r="J175" s="23"/>
      <c r="K175" s="23"/>
      <c r="L175" s="23"/>
      <c r="M175" s="23"/>
      <c r="N175" s="23"/>
      <c r="O175" s="23"/>
    </row>
    <row r="176" spans="4:15" x14ac:dyDescent="0.25">
      <c r="D176" s="109">
        <f ca="1">RandNums!N176</f>
        <v>0</v>
      </c>
      <c r="F176" s="23"/>
      <c r="G176" s="23"/>
      <c r="H176" s="23"/>
      <c r="I176" s="23"/>
      <c r="J176" s="23"/>
      <c r="K176" s="23"/>
      <c r="L176" s="23"/>
      <c r="M176" s="23"/>
      <c r="N176" s="23"/>
      <c r="O176" s="23"/>
    </row>
    <row r="177" spans="4:15" x14ac:dyDescent="0.25">
      <c r="D177" s="109">
        <f ca="1">RandNums!N177</f>
        <v>0</v>
      </c>
      <c r="F177" s="23"/>
      <c r="G177" s="23"/>
      <c r="H177" s="23"/>
      <c r="I177" s="23"/>
      <c r="J177" s="23"/>
      <c r="K177" s="23"/>
      <c r="L177" s="23"/>
      <c r="M177" s="23"/>
      <c r="N177" s="23"/>
      <c r="O177" s="23"/>
    </row>
    <row r="178" spans="4:15" x14ac:dyDescent="0.25">
      <c r="D178" s="109">
        <f ca="1">RandNums!N178</f>
        <v>0</v>
      </c>
      <c r="F178" s="23"/>
      <c r="G178" s="23"/>
      <c r="H178" s="23"/>
      <c r="I178" s="23"/>
      <c r="J178" s="23"/>
      <c r="K178" s="23"/>
      <c r="L178" s="23"/>
      <c r="M178" s="23"/>
      <c r="N178" s="23"/>
      <c r="O178" s="23"/>
    </row>
    <row r="179" spans="4:15" x14ac:dyDescent="0.25">
      <c r="D179" s="109">
        <f ca="1">RandNums!N179</f>
        <v>0</v>
      </c>
      <c r="F179" s="23"/>
      <c r="G179" s="23"/>
      <c r="H179" s="23"/>
      <c r="I179" s="23"/>
      <c r="J179" s="23"/>
      <c r="K179" s="23"/>
      <c r="L179" s="23"/>
      <c r="M179" s="23"/>
      <c r="N179" s="23"/>
      <c r="O179" s="23"/>
    </row>
    <row r="180" spans="4:15" x14ac:dyDescent="0.25">
      <c r="D180" s="109">
        <f ca="1">RandNums!N180</f>
        <v>0</v>
      </c>
      <c r="F180" s="23"/>
      <c r="G180" s="23"/>
      <c r="H180" s="23"/>
      <c r="I180" s="23"/>
      <c r="J180" s="23"/>
      <c r="K180" s="23"/>
      <c r="L180" s="23"/>
      <c r="M180" s="23"/>
      <c r="N180" s="23"/>
      <c r="O180" s="23"/>
    </row>
    <row r="181" spans="4:15" x14ac:dyDescent="0.25">
      <c r="D181" s="111">
        <f ca="1">RandNums!N181</f>
        <v>0</v>
      </c>
      <c r="F181" s="23"/>
      <c r="G181" s="23"/>
      <c r="H181" s="23"/>
      <c r="I181" s="23"/>
      <c r="J181" s="23"/>
      <c r="K181" s="23"/>
      <c r="L181" s="23"/>
      <c r="M181" s="23"/>
      <c r="N181" s="23"/>
      <c r="O181" s="23"/>
    </row>
    <row r="182" spans="4:15" x14ac:dyDescent="0.25">
      <c r="D182" s="110">
        <f ca="1">RandNums!N182</f>
        <v>0</v>
      </c>
      <c r="F182" s="23"/>
      <c r="G182" s="23"/>
      <c r="H182" s="23"/>
      <c r="I182" s="23"/>
      <c r="J182" s="23"/>
      <c r="K182" s="23"/>
      <c r="L182" s="23"/>
      <c r="M182" s="23"/>
      <c r="N182" s="23"/>
      <c r="O182" s="23"/>
    </row>
    <row r="183" spans="4:15" x14ac:dyDescent="0.25">
      <c r="D183" s="109">
        <f ca="1">RandNums!N183</f>
        <v>0</v>
      </c>
      <c r="F183" s="23"/>
      <c r="G183" s="23"/>
      <c r="H183" s="23"/>
      <c r="I183" s="23"/>
      <c r="J183" s="23"/>
      <c r="K183" s="23"/>
      <c r="L183" s="23"/>
      <c r="M183" s="23"/>
      <c r="N183" s="23"/>
      <c r="O183" s="23"/>
    </row>
    <row r="184" spans="4:15" x14ac:dyDescent="0.25">
      <c r="D184" s="109">
        <f ca="1">RandNums!N184</f>
        <v>0</v>
      </c>
      <c r="F184" s="23"/>
      <c r="G184" s="23"/>
      <c r="H184" s="23"/>
      <c r="I184" s="23"/>
      <c r="J184" s="23"/>
      <c r="K184" s="23"/>
      <c r="L184" s="23"/>
      <c r="M184" s="23"/>
      <c r="N184" s="23"/>
      <c r="O184" s="23"/>
    </row>
    <row r="185" spans="4:15" x14ac:dyDescent="0.25">
      <c r="D185" s="109">
        <f ca="1">RandNums!N185</f>
        <v>0</v>
      </c>
      <c r="F185" s="23"/>
      <c r="G185" s="23"/>
      <c r="H185" s="23"/>
      <c r="I185" s="23"/>
      <c r="J185" s="23"/>
      <c r="K185" s="23"/>
      <c r="L185" s="23"/>
      <c r="M185" s="23"/>
      <c r="N185" s="23"/>
      <c r="O185" s="23"/>
    </row>
    <row r="186" spans="4:15" x14ac:dyDescent="0.25">
      <c r="D186" s="109">
        <f ca="1">RandNums!N186</f>
        <v>0</v>
      </c>
      <c r="F186" s="23"/>
      <c r="G186" s="23"/>
      <c r="H186" s="23"/>
      <c r="I186" s="23"/>
      <c r="J186" s="23"/>
      <c r="K186" s="23"/>
      <c r="L186" s="23"/>
      <c r="M186" s="23"/>
      <c r="N186" s="23"/>
      <c r="O186" s="23"/>
    </row>
    <row r="187" spans="4:15" x14ac:dyDescent="0.25">
      <c r="D187" s="109">
        <f ca="1">RandNums!N187</f>
        <v>0</v>
      </c>
      <c r="F187" s="23"/>
      <c r="G187" s="23"/>
      <c r="H187" s="23"/>
      <c r="I187" s="23"/>
      <c r="J187" s="23"/>
      <c r="K187" s="23"/>
      <c r="L187" s="23"/>
      <c r="M187" s="23"/>
      <c r="N187" s="23"/>
      <c r="O187" s="23"/>
    </row>
    <row r="188" spans="4:15" x14ac:dyDescent="0.25">
      <c r="D188" s="109">
        <f ca="1">RandNums!N188</f>
        <v>0</v>
      </c>
      <c r="F188" s="23"/>
      <c r="G188" s="23"/>
      <c r="H188" s="23"/>
      <c r="I188" s="23"/>
      <c r="J188" s="23"/>
      <c r="K188" s="23"/>
      <c r="L188" s="23"/>
      <c r="M188" s="23"/>
      <c r="N188" s="23"/>
      <c r="O188" s="23"/>
    </row>
    <row r="189" spans="4:15" x14ac:dyDescent="0.25">
      <c r="D189" s="109">
        <f ca="1">RandNums!N189</f>
        <v>0</v>
      </c>
      <c r="F189" s="23"/>
      <c r="G189" s="23"/>
      <c r="H189" s="23"/>
      <c r="I189" s="23"/>
      <c r="J189" s="23"/>
      <c r="K189" s="23"/>
      <c r="L189" s="23"/>
      <c r="M189" s="23"/>
      <c r="N189" s="23"/>
      <c r="O189" s="23"/>
    </row>
    <row r="190" spans="4:15" x14ac:dyDescent="0.25">
      <c r="D190" s="111">
        <f ca="1">RandNums!N190</f>
        <v>0</v>
      </c>
      <c r="F190" s="23"/>
      <c r="G190" s="23"/>
      <c r="H190" s="23"/>
      <c r="I190" s="23"/>
      <c r="J190" s="23"/>
      <c r="K190" s="23"/>
      <c r="L190" s="23"/>
      <c r="M190" s="23"/>
      <c r="N190" s="23"/>
      <c r="O190" s="23"/>
    </row>
    <row r="191" spans="4:15" x14ac:dyDescent="0.25">
      <c r="D191" s="21">
        <f ca="1">RandNums!N191</f>
        <v>0</v>
      </c>
      <c r="F191" s="23"/>
      <c r="G191" s="23"/>
      <c r="H191" s="23"/>
      <c r="I191" s="23"/>
      <c r="J191" s="23"/>
      <c r="K191" s="23"/>
      <c r="L191" s="23"/>
      <c r="M191" s="23"/>
      <c r="N191" s="23"/>
      <c r="O191" s="23"/>
    </row>
    <row r="192" spans="4:15" x14ac:dyDescent="0.25">
      <c r="D192" s="22">
        <f ca="1">RandNums!N192</f>
        <v>0</v>
      </c>
      <c r="F192" s="23"/>
      <c r="G192" s="23"/>
      <c r="H192" s="23"/>
      <c r="I192" s="23"/>
      <c r="J192" s="23"/>
      <c r="K192" s="23"/>
      <c r="L192" s="23"/>
      <c r="M192" s="23"/>
      <c r="N192" s="23"/>
      <c r="O192" s="23"/>
    </row>
    <row r="193" spans="4:15" x14ac:dyDescent="0.25">
      <c r="D193" s="22">
        <f ca="1">RandNums!N193</f>
        <v>0</v>
      </c>
      <c r="F193" s="23"/>
      <c r="G193" s="23"/>
      <c r="H193" s="23"/>
      <c r="I193" s="23"/>
      <c r="J193" s="23"/>
      <c r="K193" s="23"/>
      <c r="L193" s="23"/>
      <c r="M193" s="23"/>
      <c r="N193" s="23"/>
      <c r="O193" s="23"/>
    </row>
    <row r="194" spans="4:15" x14ac:dyDescent="0.25">
      <c r="D194" s="22">
        <f ca="1">RandNums!N194</f>
        <v>0</v>
      </c>
      <c r="F194" s="23"/>
      <c r="G194" s="23"/>
      <c r="H194" s="23"/>
      <c r="I194" s="23"/>
      <c r="J194" s="23"/>
      <c r="K194" s="23"/>
      <c r="L194" s="23"/>
      <c r="M194" s="23"/>
      <c r="N194" s="23"/>
      <c r="O194" s="23"/>
    </row>
    <row r="195" spans="4:15" x14ac:dyDescent="0.25">
      <c r="D195" s="22">
        <f ca="1">RandNums!N195</f>
        <v>0</v>
      </c>
      <c r="F195" s="23"/>
      <c r="G195" s="23"/>
      <c r="H195" s="23"/>
      <c r="I195" s="23"/>
      <c r="J195" s="23"/>
      <c r="K195" s="23"/>
      <c r="L195" s="23"/>
      <c r="M195" s="23"/>
      <c r="N195" s="23"/>
      <c r="O195" s="23"/>
    </row>
    <row r="196" spans="4:15" x14ac:dyDescent="0.25">
      <c r="D196" s="22">
        <f ca="1">RandNums!N196</f>
        <v>0</v>
      </c>
      <c r="F196" s="23"/>
      <c r="G196" s="23"/>
      <c r="H196" s="23"/>
      <c r="I196" s="23"/>
      <c r="J196" s="23"/>
      <c r="K196" s="23"/>
      <c r="L196" s="23"/>
      <c r="M196" s="23"/>
      <c r="N196" s="23"/>
      <c r="O196" s="23"/>
    </row>
    <row r="197" spans="4:15" x14ac:dyDescent="0.25">
      <c r="D197" s="22">
        <f ca="1">RandNums!N197</f>
        <v>0</v>
      </c>
      <c r="F197" s="23"/>
      <c r="G197" s="23"/>
      <c r="H197" s="23"/>
      <c r="I197" s="23"/>
      <c r="J197" s="23"/>
      <c r="K197" s="23"/>
      <c r="L197" s="23"/>
      <c r="M197" s="23"/>
      <c r="N197" s="23"/>
      <c r="O197" s="23"/>
    </row>
    <row r="198" spans="4:15" x14ac:dyDescent="0.25">
      <c r="D198" s="22">
        <f ca="1">RandNums!N198</f>
        <v>0</v>
      </c>
      <c r="F198" s="23"/>
      <c r="G198" s="23"/>
      <c r="H198" s="23"/>
      <c r="I198" s="23"/>
      <c r="J198" s="23"/>
      <c r="K198" s="23"/>
      <c r="L198" s="23"/>
      <c r="M198" s="23"/>
      <c r="N198" s="23"/>
      <c r="O198" s="23"/>
    </row>
    <row r="199" spans="4:15" x14ac:dyDescent="0.25">
      <c r="D199" s="17">
        <f ca="1">RandNums!N199</f>
        <v>0</v>
      </c>
      <c r="F199" s="23"/>
      <c r="G199" s="23"/>
      <c r="H199" s="23"/>
      <c r="I199" s="23"/>
      <c r="J199" s="23"/>
      <c r="K199" s="23"/>
      <c r="L199" s="23"/>
      <c r="M199" s="23"/>
      <c r="N199" s="23"/>
      <c r="O199" s="23"/>
    </row>
    <row r="200" spans="4:15" x14ac:dyDescent="0.25">
      <c r="D200" s="110">
        <f ca="1">RandNums!N200</f>
        <v>0</v>
      </c>
      <c r="F200" s="23"/>
      <c r="G200" s="23"/>
      <c r="H200" s="23"/>
      <c r="I200" s="23"/>
      <c r="J200" s="23"/>
      <c r="K200" s="23"/>
      <c r="L200" s="23"/>
      <c r="M200" s="23"/>
      <c r="N200" s="23"/>
      <c r="O200" s="23"/>
    </row>
    <row r="201" spans="4:15" x14ac:dyDescent="0.25">
      <c r="D201" s="109">
        <f ca="1">RandNums!N201</f>
        <v>0</v>
      </c>
      <c r="F201" s="23"/>
      <c r="G201" s="23"/>
      <c r="H201" s="23"/>
      <c r="I201" s="23"/>
      <c r="J201" s="23"/>
      <c r="K201" s="23"/>
      <c r="L201" s="23"/>
      <c r="M201" s="23"/>
      <c r="N201" s="23"/>
      <c r="O201" s="23"/>
    </row>
    <row r="202" spans="4:15" x14ac:dyDescent="0.25">
      <c r="D202" s="109">
        <f ca="1">RandNums!N202</f>
        <v>0</v>
      </c>
      <c r="F202" s="23"/>
      <c r="G202" s="23"/>
      <c r="H202" s="23"/>
      <c r="I202" s="23"/>
      <c r="J202" s="23"/>
      <c r="K202" s="23"/>
      <c r="L202" s="23"/>
      <c r="M202" s="23"/>
      <c r="N202" s="23"/>
      <c r="O202" s="23"/>
    </row>
    <row r="203" spans="4:15" x14ac:dyDescent="0.25">
      <c r="D203" s="109">
        <f ca="1">RandNums!N203</f>
        <v>0</v>
      </c>
      <c r="F203" s="23"/>
      <c r="G203" s="23"/>
      <c r="H203" s="23"/>
      <c r="I203" s="23"/>
      <c r="J203" s="23"/>
      <c r="K203" s="23"/>
      <c r="L203" s="23"/>
      <c r="M203" s="23"/>
      <c r="N203" s="23"/>
      <c r="O203" s="23"/>
    </row>
    <row r="204" spans="4:15" x14ac:dyDescent="0.25">
      <c r="D204" s="109">
        <f ca="1">RandNums!N204</f>
        <v>0</v>
      </c>
      <c r="F204" s="23"/>
      <c r="G204" s="23"/>
      <c r="H204" s="23"/>
      <c r="I204" s="23"/>
      <c r="J204" s="23"/>
      <c r="K204" s="23"/>
      <c r="L204" s="23"/>
      <c r="M204" s="23"/>
      <c r="N204" s="23"/>
      <c r="O204" s="23"/>
    </row>
    <row r="205" spans="4:15" x14ac:dyDescent="0.25">
      <c r="D205" s="109">
        <f ca="1">RandNums!N205</f>
        <v>0</v>
      </c>
      <c r="F205" s="23"/>
      <c r="G205" s="23"/>
      <c r="H205" s="23"/>
      <c r="I205" s="23"/>
      <c r="J205" s="23"/>
      <c r="K205" s="23"/>
      <c r="L205" s="23"/>
      <c r="M205" s="23"/>
      <c r="N205" s="23"/>
      <c r="O205" s="23"/>
    </row>
    <row r="206" spans="4:15" x14ac:dyDescent="0.25">
      <c r="D206" s="109">
        <f ca="1">RandNums!N206</f>
        <v>0</v>
      </c>
      <c r="F206" s="23"/>
      <c r="G206" s="23"/>
      <c r="H206" s="23"/>
      <c r="I206" s="23"/>
      <c r="J206" s="23"/>
      <c r="K206" s="23"/>
      <c r="L206" s="23"/>
      <c r="M206" s="23"/>
      <c r="N206" s="23"/>
      <c r="O206" s="23"/>
    </row>
    <row r="207" spans="4:15" x14ac:dyDescent="0.25">
      <c r="D207" s="109">
        <f ca="1">RandNums!N207</f>
        <v>0</v>
      </c>
      <c r="F207" s="23"/>
      <c r="G207" s="23"/>
      <c r="H207" s="23"/>
      <c r="I207" s="23"/>
      <c r="J207" s="23"/>
      <c r="K207" s="23"/>
      <c r="L207" s="23"/>
      <c r="M207" s="23"/>
      <c r="N207" s="23"/>
      <c r="O207" s="23"/>
    </row>
    <row r="208" spans="4:15" x14ac:dyDescent="0.25">
      <c r="D208" s="111">
        <f ca="1">RandNums!N208</f>
        <v>0</v>
      </c>
      <c r="F208" s="23"/>
      <c r="G208" s="23"/>
      <c r="H208" s="23"/>
      <c r="I208" s="23"/>
      <c r="J208" s="23"/>
      <c r="K208" s="23"/>
      <c r="L208" s="23"/>
      <c r="M208" s="23"/>
      <c r="N208" s="23"/>
      <c r="O208" s="23"/>
    </row>
    <row r="209" spans="4:15" x14ac:dyDescent="0.25">
      <c r="D209" s="110">
        <f ca="1">RandNums!N209</f>
        <v>0</v>
      </c>
      <c r="F209" s="23"/>
      <c r="G209" s="23"/>
      <c r="H209" s="23"/>
      <c r="I209" s="23"/>
      <c r="J209" s="23"/>
      <c r="K209" s="23"/>
      <c r="L209" s="23"/>
      <c r="M209" s="23"/>
      <c r="N209" s="23"/>
      <c r="O209" s="23"/>
    </row>
    <row r="210" spans="4:15" x14ac:dyDescent="0.25">
      <c r="D210" s="109">
        <f ca="1">RandNums!N210</f>
        <v>0</v>
      </c>
      <c r="F210" s="23"/>
      <c r="G210" s="23"/>
      <c r="H210" s="23"/>
      <c r="I210" s="23"/>
      <c r="J210" s="23"/>
      <c r="K210" s="23"/>
      <c r="L210" s="23"/>
      <c r="M210" s="23"/>
      <c r="N210" s="23"/>
      <c r="O210" s="23"/>
    </row>
    <row r="211" spans="4:15" x14ac:dyDescent="0.25">
      <c r="D211" s="109">
        <f ca="1">RandNums!N211</f>
        <v>0</v>
      </c>
      <c r="G211" s="23"/>
      <c r="H211" s="23"/>
      <c r="I211" s="23"/>
      <c r="J211" s="23"/>
      <c r="K211" s="23"/>
      <c r="L211" s="23"/>
      <c r="M211" s="23"/>
      <c r="N211" s="23"/>
      <c r="O211" s="23"/>
    </row>
    <row r="212" spans="4:15" x14ac:dyDescent="0.25">
      <c r="D212" s="109">
        <f ca="1">RandNums!N212</f>
        <v>0</v>
      </c>
      <c r="G212" s="23"/>
      <c r="H212" s="23"/>
      <c r="I212" s="23"/>
      <c r="J212" s="23"/>
      <c r="K212" s="23"/>
      <c r="L212" s="23"/>
      <c r="M212" s="23"/>
      <c r="N212" s="23"/>
      <c r="O212" s="23"/>
    </row>
    <row r="213" spans="4:15" x14ac:dyDescent="0.25">
      <c r="D213" s="109">
        <f ca="1">RandNums!N213</f>
        <v>0</v>
      </c>
      <c r="G213" s="23"/>
      <c r="H213" s="23"/>
      <c r="I213" s="23"/>
      <c r="J213" s="23"/>
      <c r="K213" s="23"/>
      <c r="L213" s="23"/>
      <c r="M213" s="23"/>
      <c r="N213" s="23"/>
      <c r="O213" s="23"/>
    </row>
    <row r="214" spans="4:15" x14ac:dyDescent="0.25">
      <c r="D214" s="109">
        <f ca="1">RandNums!N214</f>
        <v>0</v>
      </c>
      <c r="G214" s="23"/>
      <c r="H214" s="23"/>
      <c r="I214" s="23"/>
      <c r="J214" s="23"/>
      <c r="K214" s="23"/>
      <c r="L214" s="23"/>
      <c r="M214" s="23"/>
      <c r="N214" s="23"/>
      <c r="O214" s="23"/>
    </row>
    <row r="215" spans="4:15" x14ac:dyDescent="0.25">
      <c r="D215" s="109">
        <f ca="1">RandNums!N215</f>
        <v>0</v>
      </c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4:15" x14ac:dyDescent="0.25">
      <c r="D216" s="109">
        <f ca="1">RandNums!N216</f>
        <v>0</v>
      </c>
      <c r="G216" s="23"/>
      <c r="H216" s="23"/>
      <c r="I216" s="23"/>
      <c r="J216" s="23"/>
      <c r="K216" s="23"/>
      <c r="L216" s="23"/>
      <c r="M216" s="23"/>
      <c r="N216" s="23"/>
      <c r="O216" s="23"/>
    </row>
    <row r="217" spans="4:15" x14ac:dyDescent="0.25">
      <c r="D217" s="111">
        <f ca="1">RandNums!N217</f>
        <v>0</v>
      </c>
      <c r="G217" s="23"/>
      <c r="H217" s="23"/>
      <c r="I217" s="23"/>
      <c r="J217" s="23"/>
      <c r="K217" s="23"/>
      <c r="L217" s="23"/>
      <c r="M217" s="23"/>
      <c r="N217" s="23"/>
      <c r="O217" s="23"/>
    </row>
    <row r="218" spans="4:15" x14ac:dyDescent="0.25">
      <c r="D218" s="110">
        <f ca="1">RandNums!N218</f>
        <v>0</v>
      </c>
      <c r="G218" s="23"/>
      <c r="H218" s="23"/>
      <c r="I218" s="23"/>
      <c r="J218" s="23"/>
      <c r="K218" s="23"/>
      <c r="L218" s="23"/>
      <c r="M218" s="23"/>
      <c r="N218" s="23"/>
      <c r="O218" s="23"/>
    </row>
    <row r="219" spans="4:15" x14ac:dyDescent="0.25">
      <c r="D219" s="109">
        <f ca="1">RandNums!N219</f>
        <v>0</v>
      </c>
      <c r="G219" s="23"/>
      <c r="H219" s="23"/>
      <c r="I219" s="23"/>
      <c r="J219" s="23"/>
      <c r="K219" s="23"/>
      <c r="L219" s="23"/>
      <c r="M219" s="23"/>
      <c r="N219" s="23"/>
      <c r="O219" s="23"/>
    </row>
    <row r="220" spans="4:15" x14ac:dyDescent="0.25">
      <c r="D220" s="109">
        <f ca="1">RandNums!N220</f>
        <v>0</v>
      </c>
      <c r="G220" s="23"/>
      <c r="H220" s="23"/>
      <c r="I220" s="23"/>
      <c r="J220" s="23"/>
      <c r="K220" s="23"/>
      <c r="L220" s="23"/>
      <c r="M220" s="23"/>
      <c r="N220" s="23"/>
      <c r="O220" s="23"/>
    </row>
    <row r="221" spans="4:15" x14ac:dyDescent="0.25">
      <c r="D221" s="109">
        <f ca="1">RandNums!N221</f>
        <v>0</v>
      </c>
      <c r="G221" s="23"/>
      <c r="H221" s="23"/>
      <c r="I221" s="23"/>
      <c r="J221" s="23"/>
      <c r="K221" s="23"/>
      <c r="L221" s="23"/>
      <c r="M221" s="23"/>
      <c r="N221" s="23"/>
      <c r="O221" s="23"/>
    </row>
    <row r="222" spans="4:15" x14ac:dyDescent="0.25">
      <c r="D222" s="109">
        <f ca="1">RandNums!N222</f>
        <v>0</v>
      </c>
      <c r="G222" s="23"/>
      <c r="H222" s="23"/>
      <c r="I222" s="23"/>
      <c r="J222" s="23"/>
      <c r="K222" s="23"/>
      <c r="L222" s="23"/>
      <c r="M222" s="23"/>
      <c r="N222" s="23"/>
      <c r="O222" s="23"/>
    </row>
    <row r="223" spans="4:15" x14ac:dyDescent="0.25">
      <c r="D223" s="109">
        <f ca="1">RandNums!N223</f>
        <v>0</v>
      </c>
      <c r="G223" s="23"/>
      <c r="H223" s="23"/>
      <c r="I223" s="23"/>
      <c r="J223" s="23"/>
      <c r="K223" s="23"/>
      <c r="L223" s="23"/>
      <c r="M223" s="23"/>
      <c r="N223" s="23"/>
      <c r="O223" s="23"/>
    </row>
    <row r="224" spans="4:15" x14ac:dyDescent="0.25">
      <c r="D224" s="109">
        <f ca="1">RandNums!N224</f>
        <v>0</v>
      </c>
      <c r="G224" s="23"/>
      <c r="H224" s="23"/>
      <c r="I224" s="23"/>
      <c r="J224" s="23"/>
      <c r="K224" s="23"/>
      <c r="L224" s="23"/>
      <c r="M224" s="23"/>
      <c r="N224" s="23"/>
      <c r="O224" s="23"/>
    </row>
    <row r="225" spans="4:15" x14ac:dyDescent="0.25">
      <c r="D225" s="109">
        <f ca="1">RandNums!N225</f>
        <v>0</v>
      </c>
      <c r="G225" s="23"/>
      <c r="H225" s="23"/>
      <c r="I225" s="23"/>
      <c r="J225" s="23"/>
      <c r="K225" s="23"/>
      <c r="L225" s="23"/>
      <c r="M225" s="23"/>
      <c r="N225" s="23"/>
      <c r="O225" s="23"/>
    </row>
    <row r="226" spans="4:15" x14ac:dyDescent="0.25">
      <c r="D226" s="111">
        <f ca="1">RandNums!N226</f>
        <v>0</v>
      </c>
      <c r="G226" s="23"/>
      <c r="H226" s="23"/>
      <c r="I226" s="23"/>
      <c r="J226" s="23"/>
      <c r="K226" s="23"/>
      <c r="L226" s="23"/>
      <c r="M226" s="23"/>
      <c r="N226" s="23"/>
      <c r="O226" s="23"/>
    </row>
    <row r="227" spans="4:15" x14ac:dyDescent="0.25">
      <c r="D227" s="110">
        <f ca="1">RandNums!N227</f>
        <v>0</v>
      </c>
      <c r="G227" s="23"/>
      <c r="H227" s="23"/>
      <c r="I227" s="23"/>
      <c r="J227" s="23"/>
      <c r="K227" s="23"/>
      <c r="L227" s="23"/>
      <c r="M227" s="23"/>
      <c r="N227" s="23"/>
      <c r="O227" s="23"/>
    </row>
    <row r="228" spans="4:15" x14ac:dyDescent="0.25">
      <c r="D228" s="109">
        <f ca="1">RandNums!N228</f>
        <v>0</v>
      </c>
      <c r="G228" s="23"/>
      <c r="H228" s="23"/>
      <c r="I228" s="23"/>
      <c r="J228" s="23"/>
      <c r="K228" s="23"/>
      <c r="L228" s="23"/>
      <c r="M228" s="23"/>
      <c r="N228" s="23"/>
      <c r="O228" s="23"/>
    </row>
    <row r="229" spans="4:15" x14ac:dyDescent="0.25">
      <c r="D229" s="109">
        <f ca="1">RandNums!N229</f>
        <v>0</v>
      </c>
      <c r="G229" s="23"/>
      <c r="H229" s="23"/>
      <c r="I229" s="23"/>
      <c r="J229" s="23"/>
      <c r="K229" s="23"/>
      <c r="L229" s="23"/>
      <c r="M229" s="23"/>
      <c r="N229" s="23"/>
      <c r="O229" s="23"/>
    </row>
    <row r="230" spans="4:15" x14ac:dyDescent="0.25">
      <c r="D230" s="109">
        <f ca="1">RandNums!N230</f>
        <v>0</v>
      </c>
    </row>
    <row r="231" spans="4:15" x14ac:dyDescent="0.25">
      <c r="D231" s="109">
        <f ca="1">RandNums!N231</f>
        <v>0</v>
      </c>
    </row>
    <row r="232" spans="4:15" x14ac:dyDescent="0.25">
      <c r="D232" s="109">
        <f ca="1">RandNums!N232</f>
        <v>0</v>
      </c>
    </row>
    <row r="233" spans="4:15" x14ac:dyDescent="0.25">
      <c r="D233" s="109">
        <f ca="1">RandNums!N233</f>
        <v>0</v>
      </c>
    </row>
    <row r="234" spans="4:15" x14ac:dyDescent="0.25">
      <c r="D234" s="109">
        <f ca="1">RandNums!N234</f>
        <v>0</v>
      </c>
    </row>
    <row r="235" spans="4:15" x14ac:dyDescent="0.25">
      <c r="D235" s="111">
        <f ca="1">RandNums!N235</f>
        <v>0</v>
      </c>
    </row>
    <row r="236" spans="4:15" x14ac:dyDescent="0.25">
      <c r="D236" s="110">
        <f ca="1">RandNums!N236</f>
        <v>0</v>
      </c>
    </row>
    <row r="237" spans="4:15" x14ac:dyDescent="0.25">
      <c r="D237" s="109">
        <f ca="1">RandNums!N237</f>
        <v>0</v>
      </c>
    </row>
    <row r="238" spans="4:15" x14ac:dyDescent="0.25">
      <c r="D238" s="109">
        <f ca="1">RandNums!N238</f>
        <v>0</v>
      </c>
    </row>
    <row r="239" spans="4:15" x14ac:dyDescent="0.25">
      <c r="D239" s="109">
        <f ca="1">RandNums!N239</f>
        <v>0</v>
      </c>
    </row>
    <row r="240" spans="4:15" x14ac:dyDescent="0.25">
      <c r="D240" s="109">
        <f ca="1">RandNums!N240</f>
        <v>0</v>
      </c>
    </row>
    <row r="241" spans="4:4" x14ac:dyDescent="0.25">
      <c r="D241" s="109">
        <f ca="1">RandNums!N241</f>
        <v>0</v>
      </c>
    </row>
    <row r="242" spans="4:4" x14ac:dyDescent="0.25">
      <c r="D242" s="109">
        <f ca="1">RandNums!N242</f>
        <v>0</v>
      </c>
    </row>
    <row r="243" spans="4:4" x14ac:dyDescent="0.25">
      <c r="D243" s="109">
        <f ca="1">RandNums!N243</f>
        <v>0</v>
      </c>
    </row>
    <row r="244" spans="4:4" x14ac:dyDescent="0.25">
      <c r="D244" s="111">
        <f ca="1">RandNums!N244</f>
        <v>0</v>
      </c>
    </row>
    <row r="245" spans="4:4" x14ac:dyDescent="0.25">
      <c r="D245" s="110">
        <f ca="1">RandNums!N245</f>
        <v>0</v>
      </c>
    </row>
    <row r="246" spans="4:4" x14ac:dyDescent="0.25">
      <c r="D246" s="109">
        <f ca="1">RandNums!N246</f>
        <v>0</v>
      </c>
    </row>
    <row r="247" spans="4:4" x14ac:dyDescent="0.25">
      <c r="D247" s="109">
        <f ca="1">RandNums!N247</f>
        <v>0</v>
      </c>
    </row>
    <row r="248" spans="4:4" x14ac:dyDescent="0.25">
      <c r="D248" s="109">
        <f ca="1">RandNums!N248</f>
        <v>0</v>
      </c>
    </row>
    <row r="249" spans="4:4" x14ac:dyDescent="0.25">
      <c r="D249" s="109">
        <f ca="1">RandNums!N249</f>
        <v>0</v>
      </c>
    </row>
    <row r="250" spans="4:4" x14ac:dyDescent="0.25">
      <c r="D250" s="109">
        <f ca="1">RandNums!N250</f>
        <v>0</v>
      </c>
    </row>
    <row r="251" spans="4:4" x14ac:dyDescent="0.25">
      <c r="D251" s="109">
        <f ca="1">RandNums!N251</f>
        <v>0</v>
      </c>
    </row>
    <row r="252" spans="4:4" x14ac:dyDescent="0.25">
      <c r="D252" s="109">
        <f ca="1">RandNums!N252</f>
        <v>0</v>
      </c>
    </row>
    <row r="253" spans="4:4" x14ac:dyDescent="0.25">
      <c r="D253" s="111">
        <f ca="1">RandNums!N253</f>
        <v>0</v>
      </c>
    </row>
    <row r="254" spans="4:4" x14ac:dyDescent="0.25">
      <c r="D254" s="110">
        <f ca="1">RandNums!N254</f>
        <v>0</v>
      </c>
    </row>
    <row r="255" spans="4:4" x14ac:dyDescent="0.25">
      <c r="D255" s="109">
        <f ca="1">RandNums!N255</f>
        <v>0</v>
      </c>
    </row>
    <row r="256" spans="4:4" x14ac:dyDescent="0.25">
      <c r="D256" s="109">
        <f ca="1">RandNums!N256</f>
        <v>0</v>
      </c>
    </row>
    <row r="257" spans="4:4" x14ac:dyDescent="0.25">
      <c r="D257" s="109">
        <f ca="1">RandNums!N257</f>
        <v>0</v>
      </c>
    </row>
    <row r="258" spans="4:4" x14ac:dyDescent="0.25">
      <c r="D258" s="109">
        <f ca="1">RandNums!N258</f>
        <v>0</v>
      </c>
    </row>
    <row r="259" spans="4:4" x14ac:dyDescent="0.25">
      <c r="D259" s="109">
        <f ca="1">RandNums!N259</f>
        <v>0</v>
      </c>
    </row>
    <row r="260" spans="4:4" x14ac:dyDescent="0.25">
      <c r="D260" s="109">
        <f ca="1">RandNums!N260</f>
        <v>0</v>
      </c>
    </row>
    <row r="261" spans="4:4" x14ac:dyDescent="0.25">
      <c r="D261" s="109">
        <f ca="1">RandNums!N261</f>
        <v>0</v>
      </c>
    </row>
    <row r="262" spans="4:4" x14ac:dyDescent="0.25">
      <c r="D262" s="111">
        <f ca="1">RandNums!N262</f>
        <v>0</v>
      </c>
    </row>
    <row r="263" spans="4:4" x14ac:dyDescent="0.25">
      <c r="D263" s="110">
        <f ca="1">RandNums!N263</f>
        <v>0</v>
      </c>
    </row>
    <row r="264" spans="4:4" x14ac:dyDescent="0.25">
      <c r="D264" s="109">
        <f ca="1">RandNums!N264</f>
        <v>0</v>
      </c>
    </row>
    <row r="265" spans="4:4" x14ac:dyDescent="0.25">
      <c r="D265" s="109">
        <f ca="1">RandNums!N265</f>
        <v>0</v>
      </c>
    </row>
    <row r="266" spans="4:4" x14ac:dyDescent="0.25">
      <c r="D266" s="109">
        <f ca="1">RandNums!N266</f>
        <v>0</v>
      </c>
    </row>
    <row r="267" spans="4:4" x14ac:dyDescent="0.25">
      <c r="D267" s="109">
        <f ca="1">RandNums!N267</f>
        <v>0</v>
      </c>
    </row>
    <row r="268" spans="4:4" x14ac:dyDescent="0.25">
      <c r="D268" s="109">
        <f ca="1">RandNums!N268</f>
        <v>0</v>
      </c>
    </row>
    <row r="269" spans="4:4" x14ac:dyDescent="0.25">
      <c r="D269" s="109">
        <f ca="1">RandNums!N269</f>
        <v>0</v>
      </c>
    </row>
    <row r="270" spans="4:4" x14ac:dyDescent="0.25">
      <c r="D270" s="109">
        <f ca="1">RandNums!N270</f>
        <v>0</v>
      </c>
    </row>
    <row r="271" spans="4:4" x14ac:dyDescent="0.25">
      <c r="D271" s="111">
        <f ca="1">RandNums!N271</f>
        <v>0</v>
      </c>
    </row>
    <row r="272" spans="4:4" x14ac:dyDescent="0.25">
      <c r="D272" s="21">
        <f>RandNums!N272</f>
        <v>0</v>
      </c>
    </row>
    <row r="273" spans="4:4" x14ac:dyDescent="0.25">
      <c r="D273" s="22">
        <f>RandNums!N273</f>
        <v>0</v>
      </c>
    </row>
    <row r="274" spans="4:4" x14ac:dyDescent="0.25">
      <c r="D274" s="22">
        <f ca="1">RandNums!N274</f>
        <v>0</v>
      </c>
    </row>
    <row r="275" spans="4:4" x14ac:dyDescent="0.25">
      <c r="D275" s="22">
        <f ca="1">RandNums!N275</f>
        <v>0</v>
      </c>
    </row>
    <row r="276" spans="4:4" x14ac:dyDescent="0.25">
      <c r="D276" s="22">
        <f ca="1">RandNums!N276</f>
        <v>0</v>
      </c>
    </row>
    <row r="277" spans="4:4" x14ac:dyDescent="0.25">
      <c r="D277" s="22">
        <f ca="1">RandNums!N277</f>
        <v>0</v>
      </c>
    </row>
    <row r="278" spans="4:4" x14ac:dyDescent="0.25">
      <c r="D278" s="22">
        <f ca="1">RandNums!N278</f>
        <v>0</v>
      </c>
    </row>
    <row r="279" spans="4:4" x14ac:dyDescent="0.25">
      <c r="D279" s="22">
        <f ca="1">RandNums!N279</f>
        <v>0</v>
      </c>
    </row>
    <row r="280" spans="4:4" x14ac:dyDescent="0.25">
      <c r="D280" s="17">
        <f ca="1">RandNums!N280</f>
        <v>0</v>
      </c>
    </row>
    <row r="281" spans="4:4" x14ac:dyDescent="0.25">
      <c r="D281" s="110">
        <f ca="1">RandNums!N281</f>
        <v>0</v>
      </c>
    </row>
    <row r="282" spans="4:4" x14ac:dyDescent="0.25">
      <c r="D282" s="109">
        <f ca="1">RandNums!N282</f>
        <v>0</v>
      </c>
    </row>
    <row r="283" spans="4:4" x14ac:dyDescent="0.25">
      <c r="D283" s="109">
        <f ca="1">RandNums!N283</f>
        <v>0</v>
      </c>
    </row>
    <row r="284" spans="4:4" x14ac:dyDescent="0.25">
      <c r="D284" s="109">
        <f ca="1">RandNums!N284</f>
        <v>0</v>
      </c>
    </row>
    <row r="285" spans="4:4" x14ac:dyDescent="0.25">
      <c r="D285" s="109">
        <f ca="1">RandNums!N285</f>
        <v>0</v>
      </c>
    </row>
    <row r="286" spans="4:4" x14ac:dyDescent="0.25">
      <c r="D286" s="109">
        <f ca="1">RandNums!N286</f>
        <v>0</v>
      </c>
    </row>
    <row r="287" spans="4:4" x14ac:dyDescent="0.25">
      <c r="D287" s="109">
        <f ca="1">RandNums!N287</f>
        <v>0</v>
      </c>
    </row>
    <row r="288" spans="4:4" x14ac:dyDescent="0.25">
      <c r="D288" s="109">
        <f ca="1">RandNums!N288</f>
        <v>0</v>
      </c>
    </row>
    <row r="289" spans="4:4" x14ac:dyDescent="0.25">
      <c r="D289" s="111">
        <f ca="1">RandNums!N289</f>
        <v>0</v>
      </c>
    </row>
    <row r="290" spans="4:4" x14ac:dyDescent="0.25">
      <c r="D290" s="110">
        <f ca="1">RandNums!N290</f>
        <v>0</v>
      </c>
    </row>
    <row r="291" spans="4:4" x14ac:dyDescent="0.25">
      <c r="D291" s="109">
        <f ca="1">RandNums!N291</f>
        <v>0</v>
      </c>
    </row>
    <row r="292" spans="4:4" x14ac:dyDescent="0.25">
      <c r="D292" s="109">
        <f ca="1">RandNums!N292</f>
        <v>0</v>
      </c>
    </row>
    <row r="293" spans="4:4" x14ac:dyDescent="0.25">
      <c r="D293" s="109">
        <f ca="1">RandNums!N293</f>
        <v>0</v>
      </c>
    </row>
    <row r="294" spans="4:4" x14ac:dyDescent="0.25">
      <c r="D294" s="109">
        <f ca="1">RandNums!N294</f>
        <v>0</v>
      </c>
    </row>
    <row r="295" spans="4:4" x14ac:dyDescent="0.25">
      <c r="D295" s="109">
        <f ca="1">RandNums!N295</f>
        <v>0</v>
      </c>
    </row>
    <row r="296" spans="4:4" x14ac:dyDescent="0.25">
      <c r="D296" s="109">
        <f ca="1">RandNums!N296</f>
        <v>0</v>
      </c>
    </row>
    <row r="297" spans="4:4" x14ac:dyDescent="0.25">
      <c r="D297" s="109">
        <f ca="1">RandNums!N297</f>
        <v>0</v>
      </c>
    </row>
    <row r="298" spans="4:4" x14ac:dyDescent="0.25">
      <c r="D298" s="111">
        <f ca="1">RandNums!N298</f>
        <v>0</v>
      </c>
    </row>
    <row r="299" spans="4:4" x14ac:dyDescent="0.25">
      <c r="D299" s="110">
        <f ca="1">RandNums!N299</f>
        <v>0</v>
      </c>
    </row>
    <row r="300" spans="4:4" x14ac:dyDescent="0.25">
      <c r="D300" s="109">
        <f ca="1">RandNums!N300</f>
        <v>0</v>
      </c>
    </row>
    <row r="301" spans="4:4" x14ac:dyDescent="0.25">
      <c r="D301" s="109">
        <f ca="1">RandNums!N301</f>
        <v>0</v>
      </c>
    </row>
    <row r="302" spans="4:4" x14ac:dyDescent="0.25">
      <c r="D302" s="109">
        <f ca="1">RandNums!N302</f>
        <v>0</v>
      </c>
    </row>
    <row r="303" spans="4:4" x14ac:dyDescent="0.25">
      <c r="D303" s="109">
        <f ca="1">RandNums!N303</f>
        <v>0</v>
      </c>
    </row>
    <row r="304" spans="4:4" x14ac:dyDescent="0.25">
      <c r="D304" s="109">
        <f ca="1">RandNums!N304</f>
        <v>0</v>
      </c>
    </row>
    <row r="305" spans="4:4" x14ac:dyDescent="0.25">
      <c r="D305" s="109">
        <f ca="1">RandNums!N305</f>
        <v>0</v>
      </c>
    </row>
    <row r="306" spans="4:4" x14ac:dyDescent="0.25">
      <c r="D306" s="109">
        <f ca="1">RandNums!N306</f>
        <v>0</v>
      </c>
    </row>
    <row r="307" spans="4:4" x14ac:dyDescent="0.25">
      <c r="D307" s="111">
        <f ca="1">RandNums!N307</f>
        <v>0</v>
      </c>
    </row>
    <row r="308" spans="4:4" x14ac:dyDescent="0.25">
      <c r="D308" s="110">
        <f ca="1">RandNums!N308</f>
        <v>0</v>
      </c>
    </row>
    <row r="309" spans="4:4" x14ac:dyDescent="0.25">
      <c r="D309" s="109">
        <f ca="1">RandNums!N309</f>
        <v>0</v>
      </c>
    </row>
    <row r="310" spans="4:4" x14ac:dyDescent="0.25">
      <c r="D310" s="109">
        <f ca="1">RandNums!N310</f>
        <v>0</v>
      </c>
    </row>
    <row r="311" spans="4:4" x14ac:dyDescent="0.25">
      <c r="D311" s="109">
        <f ca="1">RandNums!N311</f>
        <v>0</v>
      </c>
    </row>
    <row r="312" spans="4:4" x14ac:dyDescent="0.25">
      <c r="D312" s="109">
        <f ca="1">RandNums!N312</f>
        <v>0</v>
      </c>
    </row>
    <row r="313" spans="4:4" x14ac:dyDescent="0.25">
      <c r="D313" s="109">
        <f ca="1">RandNums!N313</f>
        <v>0</v>
      </c>
    </row>
    <row r="314" spans="4:4" x14ac:dyDescent="0.25">
      <c r="D314" s="109">
        <f ca="1">RandNums!N314</f>
        <v>0</v>
      </c>
    </row>
    <row r="315" spans="4:4" x14ac:dyDescent="0.25">
      <c r="D315" s="109">
        <f ca="1">RandNums!N315</f>
        <v>0</v>
      </c>
    </row>
    <row r="316" spans="4:4" x14ac:dyDescent="0.25">
      <c r="D316" s="111">
        <f ca="1">RandNums!N316</f>
        <v>0</v>
      </c>
    </row>
    <row r="317" spans="4:4" x14ac:dyDescent="0.25">
      <c r="D317" s="110">
        <f ca="1">RandNums!N317</f>
        <v>0</v>
      </c>
    </row>
    <row r="318" spans="4:4" x14ac:dyDescent="0.25">
      <c r="D318" s="109">
        <f ca="1">RandNums!N318</f>
        <v>0</v>
      </c>
    </row>
    <row r="319" spans="4:4" x14ac:dyDescent="0.25">
      <c r="D319" s="109">
        <f ca="1">RandNums!N319</f>
        <v>0</v>
      </c>
    </row>
    <row r="320" spans="4:4" x14ac:dyDescent="0.25">
      <c r="D320" s="109">
        <f ca="1">RandNums!N320</f>
        <v>0</v>
      </c>
    </row>
    <row r="321" spans="4:4" x14ac:dyDescent="0.25">
      <c r="D321" s="109">
        <f ca="1">RandNums!N321</f>
        <v>0</v>
      </c>
    </row>
    <row r="322" spans="4:4" x14ac:dyDescent="0.25">
      <c r="D322" s="109">
        <f ca="1">RandNums!N322</f>
        <v>0</v>
      </c>
    </row>
    <row r="323" spans="4:4" x14ac:dyDescent="0.25">
      <c r="D323" s="109">
        <f ca="1">RandNums!N323</f>
        <v>0</v>
      </c>
    </row>
    <row r="324" spans="4:4" x14ac:dyDescent="0.25">
      <c r="D324" s="109">
        <f ca="1">RandNums!N324</f>
        <v>0</v>
      </c>
    </row>
    <row r="325" spans="4:4" x14ac:dyDescent="0.25">
      <c r="D325" s="111">
        <f ca="1">RandNums!N325</f>
        <v>0</v>
      </c>
    </row>
    <row r="326" spans="4:4" x14ac:dyDescent="0.25">
      <c r="D326" s="21">
        <f ca="1">RandNums!N326</f>
        <v>0</v>
      </c>
    </row>
    <row r="327" spans="4:4" x14ac:dyDescent="0.25">
      <c r="D327" s="22">
        <f ca="1">RandNums!N327</f>
        <v>0</v>
      </c>
    </row>
    <row r="328" spans="4:4" x14ac:dyDescent="0.25">
      <c r="D328" s="22">
        <f ca="1">RandNums!N328</f>
        <v>0</v>
      </c>
    </row>
    <row r="329" spans="4:4" x14ac:dyDescent="0.25">
      <c r="D329" s="22">
        <f ca="1">RandNums!N329</f>
        <v>0</v>
      </c>
    </row>
    <row r="330" spans="4:4" x14ac:dyDescent="0.25">
      <c r="D330" s="22">
        <f ca="1">RandNums!N330</f>
        <v>0</v>
      </c>
    </row>
    <row r="331" spans="4:4" x14ac:dyDescent="0.25">
      <c r="D331" s="22">
        <f ca="1">RandNums!N331</f>
        <v>0</v>
      </c>
    </row>
    <row r="332" spans="4:4" x14ac:dyDescent="0.25">
      <c r="D332" s="22">
        <f ca="1">RandNums!N332</f>
        <v>0</v>
      </c>
    </row>
    <row r="333" spans="4:4" x14ac:dyDescent="0.25">
      <c r="D333" s="22">
        <f ca="1">RandNums!N333</f>
        <v>0</v>
      </c>
    </row>
    <row r="334" spans="4:4" x14ac:dyDescent="0.25">
      <c r="D334" s="17">
        <f ca="1">RandNums!N334</f>
        <v>0</v>
      </c>
    </row>
    <row r="335" spans="4:4" x14ac:dyDescent="0.25">
      <c r="D335" s="21">
        <f ca="1">RandNums!N335</f>
        <v>0</v>
      </c>
    </row>
    <row r="336" spans="4:4" x14ac:dyDescent="0.25">
      <c r="D336" s="22">
        <f ca="1">RandNums!N336</f>
        <v>0</v>
      </c>
    </row>
    <row r="337" spans="4:4" x14ac:dyDescent="0.25">
      <c r="D337" s="22">
        <f ca="1">RandNums!N337</f>
        <v>0</v>
      </c>
    </row>
    <row r="338" spans="4:4" x14ac:dyDescent="0.25">
      <c r="D338" s="22">
        <f ca="1">RandNums!N338</f>
        <v>0</v>
      </c>
    </row>
    <row r="339" spans="4:4" x14ac:dyDescent="0.25">
      <c r="D339" s="22">
        <f ca="1">RandNums!N339</f>
        <v>0</v>
      </c>
    </row>
    <row r="340" spans="4:4" x14ac:dyDescent="0.25">
      <c r="D340" s="22">
        <f ca="1">RandNums!N340</f>
        <v>0</v>
      </c>
    </row>
    <row r="341" spans="4:4" x14ac:dyDescent="0.25">
      <c r="D341" s="22">
        <f ca="1">RandNums!N341</f>
        <v>0</v>
      </c>
    </row>
    <row r="342" spans="4:4" x14ac:dyDescent="0.25">
      <c r="D342" s="22">
        <f ca="1">RandNums!N342</f>
        <v>0</v>
      </c>
    </row>
    <row r="343" spans="4:4" x14ac:dyDescent="0.25">
      <c r="D343" s="17">
        <f ca="1">RandNums!N343</f>
        <v>0</v>
      </c>
    </row>
    <row r="344" spans="4:4" x14ac:dyDescent="0.25">
      <c r="D344" s="21">
        <f ca="1">RandNums!N344</f>
        <v>0</v>
      </c>
    </row>
    <row r="345" spans="4:4" x14ac:dyDescent="0.25">
      <c r="D345" s="22">
        <f ca="1">RandNums!N345</f>
        <v>0</v>
      </c>
    </row>
    <row r="346" spans="4:4" x14ac:dyDescent="0.25">
      <c r="D346" s="22">
        <f ca="1">RandNums!N346</f>
        <v>0</v>
      </c>
    </row>
    <row r="347" spans="4:4" x14ac:dyDescent="0.25">
      <c r="D347" s="22">
        <f ca="1">RandNums!N347</f>
        <v>0</v>
      </c>
    </row>
    <row r="348" spans="4:4" x14ac:dyDescent="0.25">
      <c r="D348" s="22">
        <f ca="1">RandNums!N348</f>
        <v>0</v>
      </c>
    </row>
    <row r="349" spans="4:4" x14ac:dyDescent="0.25">
      <c r="D349" s="22">
        <f ca="1">RandNums!N349</f>
        <v>0</v>
      </c>
    </row>
    <row r="350" spans="4:4" x14ac:dyDescent="0.25">
      <c r="D350" s="22">
        <f ca="1">RandNums!N350</f>
        <v>0</v>
      </c>
    </row>
    <row r="351" spans="4:4" x14ac:dyDescent="0.25">
      <c r="D351" s="22">
        <f ca="1">RandNums!N351</f>
        <v>0</v>
      </c>
    </row>
    <row r="352" spans="4:4" x14ac:dyDescent="0.25">
      <c r="D352" s="17">
        <f ca="1">RandNums!N352</f>
        <v>0</v>
      </c>
    </row>
    <row r="353" spans="4:4" x14ac:dyDescent="0.25">
      <c r="D353" s="21">
        <f ca="1">RandNums!N353</f>
        <v>0</v>
      </c>
    </row>
    <row r="354" spans="4:4" x14ac:dyDescent="0.25">
      <c r="D354" s="22">
        <f ca="1">RandNums!N354</f>
        <v>0</v>
      </c>
    </row>
    <row r="355" spans="4:4" x14ac:dyDescent="0.25">
      <c r="D355" s="22">
        <f ca="1">RandNums!N355</f>
        <v>0</v>
      </c>
    </row>
    <row r="356" spans="4:4" x14ac:dyDescent="0.25">
      <c r="D356" s="22">
        <f ca="1">RandNums!N356</f>
        <v>0</v>
      </c>
    </row>
    <row r="357" spans="4:4" x14ac:dyDescent="0.25">
      <c r="D357" s="22">
        <f ca="1">RandNums!N357</f>
        <v>0</v>
      </c>
    </row>
    <row r="358" spans="4:4" x14ac:dyDescent="0.25">
      <c r="D358" s="22">
        <f ca="1">RandNums!N358</f>
        <v>0</v>
      </c>
    </row>
    <row r="359" spans="4:4" x14ac:dyDescent="0.25">
      <c r="D359" s="22">
        <f ca="1">RandNums!N359</f>
        <v>0</v>
      </c>
    </row>
    <row r="360" spans="4:4" x14ac:dyDescent="0.25">
      <c r="D360" s="22">
        <f ca="1">RandNums!N360</f>
        <v>0</v>
      </c>
    </row>
    <row r="361" spans="4:4" x14ac:dyDescent="0.25">
      <c r="D361" s="22">
        <f ca="1">RandNums!N361</f>
        <v>0</v>
      </c>
    </row>
    <row r="362" spans="4:4" x14ac:dyDescent="0.25">
      <c r="D362" s="110">
        <f ca="1">RandNums!N362</f>
        <v>0</v>
      </c>
    </row>
    <row r="363" spans="4:4" x14ac:dyDescent="0.25">
      <c r="D363" s="109">
        <f ca="1">RandNums!N363</f>
        <v>0</v>
      </c>
    </row>
    <row r="364" spans="4:4" x14ac:dyDescent="0.25">
      <c r="D364" s="109">
        <f ca="1">RandNums!N364</f>
        <v>0</v>
      </c>
    </row>
    <row r="365" spans="4:4" x14ac:dyDescent="0.25">
      <c r="D365" s="109">
        <f ca="1">RandNums!N365</f>
        <v>0</v>
      </c>
    </row>
    <row r="366" spans="4:4" x14ac:dyDescent="0.25">
      <c r="D366" s="109">
        <f ca="1">RandNums!N366</f>
        <v>0</v>
      </c>
    </row>
    <row r="367" spans="4:4" x14ac:dyDescent="0.25">
      <c r="D367" s="109">
        <f ca="1">RandNums!N367</f>
        <v>0</v>
      </c>
    </row>
    <row r="368" spans="4:4" x14ac:dyDescent="0.25">
      <c r="D368" s="109">
        <f ca="1">RandNums!N368</f>
        <v>0</v>
      </c>
    </row>
    <row r="369" spans="4:4" x14ac:dyDescent="0.25">
      <c r="D369" s="109">
        <f ca="1">RandNums!N369</f>
        <v>0</v>
      </c>
    </row>
    <row r="370" spans="4:4" x14ac:dyDescent="0.25">
      <c r="D370" s="111">
        <f ca="1">RandNums!N370</f>
        <v>0</v>
      </c>
    </row>
    <row r="371" spans="4:4" x14ac:dyDescent="0.25">
      <c r="D371" s="9"/>
    </row>
    <row r="372" spans="4:4" x14ac:dyDescent="0.25">
      <c r="D372" s="9"/>
    </row>
    <row r="373" spans="4:4" x14ac:dyDescent="0.25">
      <c r="D373" s="9"/>
    </row>
    <row r="374" spans="4:4" x14ac:dyDescent="0.25">
      <c r="D374" s="9"/>
    </row>
    <row r="375" spans="4:4" x14ac:dyDescent="0.25">
      <c r="D375" s="9"/>
    </row>
    <row r="376" spans="4:4" x14ac:dyDescent="0.25">
      <c r="D376" s="9"/>
    </row>
    <row r="377" spans="4:4" x14ac:dyDescent="0.25">
      <c r="D377" s="9"/>
    </row>
    <row r="378" spans="4:4" x14ac:dyDescent="0.25">
      <c r="D378" s="9"/>
    </row>
    <row r="379" spans="4:4" x14ac:dyDescent="0.25">
      <c r="D379" s="9"/>
    </row>
    <row r="380" spans="4:4" x14ac:dyDescent="0.25">
      <c r="D380" s="9"/>
    </row>
    <row r="381" spans="4:4" x14ac:dyDescent="0.25">
      <c r="D381" s="9"/>
    </row>
    <row r="382" spans="4:4" x14ac:dyDescent="0.25">
      <c r="D382" s="9"/>
    </row>
    <row r="383" spans="4:4" x14ac:dyDescent="0.25">
      <c r="D383" s="9"/>
    </row>
    <row r="384" spans="4:4" x14ac:dyDescent="0.25">
      <c r="D384" s="9"/>
    </row>
    <row r="385" spans="4:4" x14ac:dyDescent="0.25">
      <c r="D385" s="9"/>
    </row>
    <row r="386" spans="4:4" x14ac:dyDescent="0.25">
      <c r="D386" s="9"/>
    </row>
    <row r="387" spans="4:4" x14ac:dyDescent="0.25">
      <c r="D387" s="9"/>
    </row>
    <row r="388" spans="4:4" x14ac:dyDescent="0.25">
      <c r="D388" s="9"/>
    </row>
    <row r="389" spans="4:4" x14ac:dyDescent="0.25">
      <c r="D389" s="9"/>
    </row>
    <row r="390" spans="4:4" x14ac:dyDescent="0.25">
      <c r="D390" s="9"/>
    </row>
    <row r="391" spans="4:4" x14ac:dyDescent="0.25">
      <c r="D391" s="9"/>
    </row>
    <row r="392" spans="4:4" x14ac:dyDescent="0.25">
      <c r="D392" s="9"/>
    </row>
    <row r="393" spans="4:4" x14ac:dyDescent="0.25">
      <c r="D393" s="9"/>
    </row>
    <row r="394" spans="4:4" x14ac:dyDescent="0.25">
      <c r="D394" s="9"/>
    </row>
    <row r="395" spans="4:4" x14ac:dyDescent="0.25">
      <c r="D395" s="9"/>
    </row>
    <row r="396" spans="4:4" x14ac:dyDescent="0.25">
      <c r="D396" s="9"/>
    </row>
    <row r="397" spans="4:4" x14ac:dyDescent="0.25">
      <c r="D397" s="9"/>
    </row>
    <row r="398" spans="4:4" x14ac:dyDescent="0.25">
      <c r="D398" s="9"/>
    </row>
    <row r="399" spans="4:4" x14ac:dyDescent="0.25">
      <c r="D399" s="9"/>
    </row>
    <row r="400" spans="4:4" x14ac:dyDescent="0.25">
      <c r="D400" s="9"/>
    </row>
    <row r="401" spans="4:4" x14ac:dyDescent="0.25">
      <c r="D401" s="9"/>
    </row>
    <row r="402" spans="4:4" x14ac:dyDescent="0.25">
      <c r="D402" s="9"/>
    </row>
    <row r="403" spans="4:4" x14ac:dyDescent="0.25">
      <c r="D403" s="9"/>
    </row>
    <row r="404" spans="4:4" x14ac:dyDescent="0.25">
      <c r="D404" s="9"/>
    </row>
    <row r="405" spans="4:4" x14ac:dyDescent="0.25">
      <c r="D405" s="9"/>
    </row>
    <row r="406" spans="4:4" x14ac:dyDescent="0.25">
      <c r="D406" s="9"/>
    </row>
    <row r="407" spans="4:4" x14ac:dyDescent="0.25">
      <c r="D407" s="9"/>
    </row>
    <row r="408" spans="4:4" x14ac:dyDescent="0.25">
      <c r="D408" s="9"/>
    </row>
    <row r="409" spans="4:4" x14ac:dyDescent="0.25">
      <c r="D409" s="9"/>
    </row>
    <row r="410" spans="4:4" x14ac:dyDescent="0.25">
      <c r="D410" s="9"/>
    </row>
    <row r="411" spans="4:4" x14ac:dyDescent="0.25">
      <c r="D411" s="9"/>
    </row>
    <row r="412" spans="4:4" x14ac:dyDescent="0.25">
      <c r="D412" s="9"/>
    </row>
    <row r="413" spans="4:4" x14ac:dyDescent="0.25">
      <c r="D413" s="9"/>
    </row>
    <row r="414" spans="4:4" x14ac:dyDescent="0.25">
      <c r="D414" s="9"/>
    </row>
    <row r="415" spans="4:4" x14ac:dyDescent="0.25">
      <c r="D415" s="9"/>
    </row>
    <row r="416" spans="4:4" x14ac:dyDescent="0.25">
      <c r="D416" s="9"/>
    </row>
    <row r="417" spans="4:4" x14ac:dyDescent="0.25">
      <c r="D417" s="9"/>
    </row>
    <row r="418" spans="4:4" x14ac:dyDescent="0.25">
      <c r="D418" s="9"/>
    </row>
    <row r="419" spans="4:4" x14ac:dyDescent="0.25">
      <c r="D419" s="9"/>
    </row>
    <row r="420" spans="4:4" x14ac:dyDescent="0.25">
      <c r="D420" s="9"/>
    </row>
    <row r="421" spans="4:4" x14ac:dyDescent="0.25">
      <c r="D421" s="9"/>
    </row>
    <row r="422" spans="4:4" x14ac:dyDescent="0.25">
      <c r="D422" s="9"/>
    </row>
    <row r="423" spans="4:4" x14ac:dyDescent="0.25">
      <c r="D423" s="9"/>
    </row>
    <row r="424" spans="4:4" x14ac:dyDescent="0.25">
      <c r="D424" s="9"/>
    </row>
    <row r="425" spans="4:4" x14ac:dyDescent="0.25">
      <c r="D425" s="7"/>
    </row>
    <row r="426" spans="4:4" x14ac:dyDescent="0.25">
      <c r="D426" s="7"/>
    </row>
    <row r="427" spans="4:4" x14ac:dyDescent="0.25">
      <c r="D427" s="7"/>
    </row>
    <row r="428" spans="4:4" x14ac:dyDescent="0.25">
      <c r="D428" s="7"/>
    </row>
  </sheetData>
  <mergeCells count="3">
    <mergeCell ref="G1:O2"/>
    <mergeCell ref="A1:B1"/>
    <mergeCell ref="Q1:Y2"/>
  </mergeCells>
  <conditionalFormatting sqref="F4:O53 P5">
    <cfRule type="expression" dxfId="1" priority="2">
      <formula>$F4=0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/>
  </sheetPr>
  <dimension ref="A1:B1691"/>
  <sheetViews>
    <sheetView workbookViewId="0">
      <selection activeCell="A14" sqref="A14"/>
    </sheetView>
  </sheetViews>
  <sheetFormatPr defaultRowHeight="15" x14ac:dyDescent="0.25"/>
  <cols>
    <col min="1" max="1" width="9.85546875" bestFit="1" customWidth="1"/>
  </cols>
  <sheetData>
    <row r="1" spans="1:2" x14ac:dyDescent="0.25">
      <c r="A1" s="25" t="s">
        <v>9</v>
      </c>
    </row>
    <row r="2" spans="1:2" x14ac:dyDescent="0.25">
      <c r="A2" s="25" t="s">
        <v>10</v>
      </c>
      <c r="B2" s="13"/>
    </row>
    <row r="3" spans="1:2" x14ac:dyDescent="0.25">
      <c r="A3" s="25" t="s">
        <v>11</v>
      </c>
      <c r="B3" s="13"/>
    </row>
    <row r="4" spans="1:2" x14ac:dyDescent="0.25">
      <c r="A4" s="25" t="s">
        <v>12</v>
      </c>
      <c r="B4" s="13"/>
    </row>
    <row r="5" spans="1:2" x14ac:dyDescent="0.25">
      <c r="A5" s="25" t="s">
        <v>13</v>
      </c>
      <c r="B5" s="13"/>
    </row>
    <row r="6" spans="1:2" x14ac:dyDescent="0.25">
      <c r="A6" s="25" t="s">
        <v>14</v>
      </c>
      <c r="B6" s="13"/>
    </row>
    <row r="7" spans="1:2" x14ac:dyDescent="0.25">
      <c r="A7" s="25" t="s">
        <v>111</v>
      </c>
      <c r="B7" s="13"/>
    </row>
    <row r="8" spans="1:2" x14ac:dyDescent="0.25">
      <c r="A8" s="25" t="s">
        <v>22</v>
      </c>
      <c r="B8" s="13"/>
    </row>
    <row r="9" spans="1:2" x14ac:dyDescent="0.25">
      <c r="A9" s="25" t="s">
        <v>23</v>
      </c>
      <c r="B9" s="13"/>
    </row>
    <row r="10" spans="1:2" x14ac:dyDescent="0.25">
      <c r="A10" s="25" t="s">
        <v>108</v>
      </c>
      <c r="B10" s="13"/>
    </row>
    <row r="11" spans="1:2" x14ac:dyDescent="0.25">
      <c r="A11" s="25" t="s">
        <v>24</v>
      </c>
      <c r="B11" s="13"/>
    </row>
    <row r="12" spans="1:2" x14ac:dyDescent="0.25">
      <c r="A12" s="25" t="s">
        <v>109</v>
      </c>
      <c r="B12" s="13"/>
    </row>
    <row r="13" spans="1:2" x14ac:dyDescent="0.25">
      <c r="A13" s="25" t="s">
        <v>110</v>
      </c>
      <c r="B13" s="13"/>
    </row>
    <row r="14" spans="1:2" x14ac:dyDescent="0.25">
      <c r="A14" s="25"/>
    </row>
    <row r="15" spans="1:2" x14ac:dyDescent="0.25">
      <c r="A15" s="25"/>
    </row>
    <row r="16" spans="1:2" x14ac:dyDescent="0.25">
      <c r="A16" s="25"/>
    </row>
    <row r="17" spans="1:1" x14ac:dyDescent="0.25">
      <c r="A17" s="25"/>
    </row>
    <row r="18" spans="1:1" x14ac:dyDescent="0.25">
      <c r="A18" s="25"/>
    </row>
    <row r="19" spans="1:1" x14ac:dyDescent="0.25">
      <c r="A19" s="25"/>
    </row>
    <row r="20" spans="1:1" x14ac:dyDescent="0.25">
      <c r="A20" s="25"/>
    </row>
    <row r="21" spans="1:1" x14ac:dyDescent="0.25">
      <c r="A21" s="25"/>
    </row>
    <row r="22" spans="1:1" x14ac:dyDescent="0.25">
      <c r="A22" s="25"/>
    </row>
    <row r="23" spans="1:1" x14ac:dyDescent="0.25">
      <c r="A23" s="25"/>
    </row>
    <row r="24" spans="1:1" x14ac:dyDescent="0.25">
      <c r="A24" s="25"/>
    </row>
    <row r="25" spans="1:1" x14ac:dyDescent="0.25">
      <c r="A25" s="25"/>
    </row>
    <row r="26" spans="1:1" x14ac:dyDescent="0.25">
      <c r="A26" s="25"/>
    </row>
    <row r="27" spans="1:1" x14ac:dyDescent="0.25">
      <c r="A27" s="25"/>
    </row>
    <row r="28" spans="1:1" x14ac:dyDescent="0.25">
      <c r="A28" s="25"/>
    </row>
    <row r="29" spans="1:1" x14ac:dyDescent="0.25">
      <c r="A29" s="25"/>
    </row>
    <row r="30" spans="1:1" x14ac:dyDescent="0.25">
      <c r="A30" s="25"/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1" x14ac:dyDescent="0.25">
      <c r="A97" s="25"/>
    </row>
    <row r="98" spans="1:1" x14ac:dyDescent="0.25">
      <c r="A98" s="25"/>
    </row>
    <row r="99" spans="1:1" x14ac:dyDescent="0.25">
      <c r="A99" s="25"/>
    </row>
    <row r="100" spans="1:1" x14ac:dyDescent="0.25">
      <c r="A100" s="25"/>
    </row>
    <row r="101" spans="1:1" x14ac:dyDescent="0.25">
      <c r="A101" s="25"/>
    </row>
    <row r="102" spans="1:1" x14ac:dyDescent="0.25">
      <c r="A102" s="25"/>
    </row>
    <row r="103" spans="1:1" x14ac:dyDescent="0.25">
      <c r="A103" s="25"/>
    </row>
    <row r="104" spans="1:1" x14ac:dyDescent="0.25">
      <c r="A104" s="25"/>
    </row>
    <row r="105" spans="1:1" x14ac:dyDescent="0.25">
      <c r="A105" s="25"/>
    </row>
    <row r="106" spans="1:1" x14ac:dyDescent="0.25">
      <c r="A106" s="25"/>
    </row>
    <row r="107" spans="1:1" x14ac:dyDescent="0.25">
      <c r="A107" s="25"/>
    </row>
    <row r="108" spans="1:1" x14ac:dyDescent="0.25">
      <c r="A108" s="25"/>
    </row>
    <row r="109" spans="1:1" x14ac:dyDescent="0.25">
      <c r="A109" s="25"/>
    </row>
    <row r="110" spans="1:1" x14ac:dyDescent="0.25">
      <c r="A110" s="25"/>
    </row>
    <row r="111" spans="1:1" x14ac:dyDescent="0.25">
      <c r="A111" s="25"/>
    </row>
    <row r="112" spans="1:1" x14ac:dyDescent="0.25">
      <c r="A112" s="25"/>
    </row>
    <row r="113" spans="1:1" x14ac:dyDescent="0.25">
      <c r="A113" s="25"/>
    </row>
    <row r="114" spans="1:1" x14ac:dyDescent="0.25">
      <c r="A114" s="25"/>
    </row>
    <row r="115" spans="1:1" x14ac:dyDescent="0.25">
      <c r="A115" s="25"/>
    </row>
    <row r="116" spans="1:1" x14ac:dyDescent="0.25">
      <c r="A116" s="25"/>
    </row>
    <row r="117" spans="1:1" x14ac:dyDescent="0.25">
      <c r="A117" s="25"/>
    </row>
    <row r="118" spans="1:1" x14ac:dyDescent="0.25">
      <c r="A118" s="25"/>
    </row>
    <row r="119" spans="1:1" x14ac:dyDescent="0.25">
      <c r="A119" s="25"/>
    </row>
    <row r="120" spans="1:1" x14ac:dyDescent="0.25">
      <c r="A120" s="25"/>
    </row>
    <row r="121" spans="1:1" x14ac:dyDescent="0.25">
      <c r="A121" s="25"/>
    </row>
    <row r="122" spans="1:1" x14ac:dyDescent="0.25">
      <c r="A122" s="25"/>
    </row>
    <row r="123" spans="1:1" x14ac:dyDescent="0.25">
      <c r="A123" s="25"/>
    </row>
    <row r="124" spans="1:1" x14ac:dyDescent="0.25">
      <c r="A124" s="25"/>
    </row>
    <row r="125" spans="1:1" x14ac:dyDescent="0.25">
      <c r="A125" s="25"/>
    </row>
    <row r="126" spans="1:1" x14ac:dyDescent="0.25">
      <c r="A126" s="25"/>
    </row>
    <row r="127" spans="1:1" x14ac:dyDescent="0.25">
      <c r="A127" s="25"/>
    </row>
    <row r="128" spans="1:1" x14ac:dyDescent="0.25">
      <c r="A128" s="25"/>
    </row>
    <row r="129" spans="1:1" x14ac:dyDescent="0.25">
      <c r="A129" s="25"/>
    </row>
    <row r="130" spans="1:1" x14ac:dyDescent="0.25">
      <c r="A130" s="25"/>
    </row>
    <row r="131" spans="1:1" x14ac:dyDescent="0.25">
      <c r="A131" s="25"/>
    </row>
    <row r="132" spans="1:1" x14ac:dyDescent="0.25">
      <c r="A132" s="25"/>
    </row>
    <row r="133" spans="1:1" x14ac:dyDescent="0.25">
      <c r="A133" s="25"/>
    </row>
    <row r="134" spans="1:1" x14ac:dyDescent="0.25">
      <c r="A134" s="25"/>
    </row>
    <row r="135" spans="1:1" x14ac:dyDescent="0.25">
      <c r="A135" s="25"/>
    </row>
    <row r="136" spans="1:1" x14ac:dyDescent="0.25">
      <c r="A136" s="25"/>
    </row>
    <row r="137" spans="1:1" x14ac:dyDescent="0.25">
      <c r="A137" s="25"/>
    </row>
    <row r="138" spans="1:1" x14ac:dyDescent="0.25">
      <c r="A138" s="25"/>
    </row>
    <row r="139" spans="1:1" x14ac:dyDescent="0.25">
      <c r="A139" s="25"/>
    </row>
    <row r="140" spans="1:1" x14ac:dyDescent="0.25">
      <c r="A140" s="25"/>
    </row>
    <row r="141" spans="1:1" x14ac:dyDescent="0.25">
      <c r="A141" s="25"/>
    </row>
    <row r="142" spans="1:1" x14ac:dyDescent="0.25">
      <c r="A142" s="25"/>
    </row>
    <row r="143" spans="1:1" x14ac:dyDescent="0.25">
      <c r="A143" s="25"/>
    </row>
    <row r="144" spans="1:1" x14ac:dyDescent="0.25">
      <c r="A144" s="25"/>
    </row>
    <row r="145" spans="1:1" x14ac:dyDescent="0.25">
      <c r="A145" s="25"/>
    </row>
    <row r="146" spans="1:1" x14ac:dyDescent="0.25">
      <c r="A146" s="25"/>
    </row>
    <row r="147" spans="1:1" x14ac:dyDescent="0.25">
      <c r="A147" s="25"/>
    </row>
    <row r="148" spans="1:1" x14ac:dyDescent="0.25">
      <c r="A148" s="25"/>
    </row>
    <row r="149" spans="1:1" x14ac:dyDescent="0.25">
      <c r="A149" s="25"/>
    </row>
    <row r="150" spans="1:1" x14ac:dyDescent="0.25">
      <c r="A150" s="25"/>
    </row>
    <row r="151" spans="1:1" x14ac:dyDescent="0.25">
      <c r="A151" s="25"/>
    </row>
    <row r="152" spans="1:1" x14ac:dyDescent="0.25">
      <c r="A152" s="25"/>
    </row>
    <row r="153" spans="1:1" x14ac:dyDescent="0.25">
      <c r="A153" s="25"/>
    </row>
    <row r="154" spans="1:1" x14ac:dyDescent="0.25">
      <c r="A154" s="25"/>
    </row>
    <row r="155" spans="1:1" x14ac:dyDescent="0.25">
      <c r="A155" s="25"/>
    </row>
    <row r="156" spans="1:1" x14ac:dyDescent="0.25">
      <c r="A156" s="25"/>
    </row>
    <row r="157" spans="1:1" x14ac:dyDescent="0.25">
      <c r="A157" s="25"/>
    </row>
    <row r="158" spans="1:1" x14ac:dyDescent="0.25">
      <c r="A158" s="25"/>
    </row>
    <row r="159" spans="1:1" x14ac:dyDescent="0.25">
      <c r="A159" s="25"/>
    </row>
    <row r="160" spans="1:1" x14ac:dyDescent="0.25">
      <c r="A160" s="25"/>
    </row>
    <row r="161" spans="1:1" x14ac:dyDescent="0.25">
      <c r="A161" s="25"/>
    </row>
    <row r="162" spans="1:1" x14ac:dyDescent="0.25">
      <c r="A162" s="25"/>
    </row>
    <row r="163" spans="1:1" x14ac:dyDescent="0.25">
      <c r="A163" s="25"/>
    </row>
    <row r="164" spans="1:1" x14ac:dyDescent="0.25">
      <c r="A164" s="25"/>
    </row>
    <row r="165" spans="1:1" x14ac:dyDescent="0.25">
      <c r="A165" s="25"/>
    </row>
    <row r="166" spans="1:1" x14ac:dyDescent="0.25">
      <c r="A166" s="25"/>
    </row>
    <row r="167" spans="1:1" x14ac:dyDescent="0.25">
      <c r="A167" s="25"/>
    </row>
    <row r="168" spans="1:1" x14ac:dyDescent="0.25">
      <c r="A168" s="25"/>
    </row>
    <row r="169" spans="1:1" x14ac:dyDescent="0.25">
      <c r="A169" s="25"/>
    </row>
    <row r="170" spans="1:1" x14ac:dyDescent="0.25">
      <c r="A170" s="25"/>
    </row>
    <row r="171" spans="1:1" x14ac:dyDescent="0.25">
      <c r="A171" s="25"/>
    </row>
    <row r="172" spans="1:1" x14ac:dyDescent="0.25">
      <c r="A172" s="25"/>
    </row>
    <row r="173" spans="1:1" x14ac:dyDescent="0.25">
      <c r="A173" s="25"/>
    </row>
    <row r="174" spans="1:1" x14ac:dyDescent="0.25">
      <c r="A174" s="25"/>
    </row>
    <row r="175" spans="1:1" x14ac:dyDescent="0.25">
      <c r="A175" s="25"/>
    </row>
    <row r="176" spans="1:1" x14ac:dyDescent="0.25">
      <c r="A176" s="25"/>
    </row>
    <row r="177" spans="1:1" x14ac:dyDescent="0.25">
      <c r="A177" s="25"/>
    </row>
    <row r="178" spans="1:1" x14ac:dyDescent="0.25">
      <c r="A178" s="25"/>
    </row>
    <row r="179" spans="1:1" x14ac:dyDescent="0.25">
      <c r="A179" s="25"/>
    </row>
    <row r="180" spans="1:1" x14ac:dyDescent="0.25">
      <c r="A180" s="25"/>
    </row>
    <row r="181" spans="1:1" x14ac:dyDescent="0.25">
      <c r="A181" s="25"/>
    </row>
    <row r="182" spans="1:1" x14ac:dyDescent="0.25">
      <c r="A182" s="25"/>
    </row>
    <row r="183" spans="1:1" x14ac:dyDescent="0.25">
      <c r="A183" s="25"/>
    </row>
    <row r="184" spans="1:1" x14ac:dyDescent="0.25">
      <c r="A184" s="25"/>
    </row>
    <row r="185" spans="1:1" x14ac:dyDescent="0.25">
      <c r="A185" s="25"/>
    </row>
    <row r="186" spans="1:1" x14ac:dyDescent="0.25">
      <c r="A186" s="25"/>
    </row>
    <row r="187" spans="1:1" x14ac:dyDescent="0.25">
      <c r="A187" s="25"/>
    </row>
    <row r="188" spans="1:1" x14ac:dyDescent="0.25">
      <c r="A188" s="25"/>
    </row>
    <row r="189" spans="1:1" x14ac:dyDescent="0.25">
      <c r="A189" s="25"/>
    </row>
    <row r="190" spans="1:1" x14ac:dyDescent="0.25">
      <c r="A190" s="25"/>
    </row>
    <row r="191" spans="1:1" x14ac:dyDescent="0.25">
      <c r="A191" s="25"/>
    </row>
    <row r="192" spans="1:1" x14ac:dyDescent="0.25">
      <c r="A192" s="25"/>
    </row>
    <row r="193" spans="1:1" x14ac:dyDescent="0.25">
      <c r="A193" s="25"/>
    </row>
    <row r="194" spans="1:1" x14ac:dyDescent="0.25">
      <c r="A194" s="25"/>
    </row>
    <row r="195" spans="1:1" x14ac:dyDescent="0.25">
      <c r="A195" s="25"/>
    </row>
    <row r="196" spans="1:1" x14ac:dyDescent="0.25">
      <c r="A196" s="25"/>
    </row>
    <row r="197" spans="1:1" x14ac:dyDescent="0.25">
      <c r="A197" s="25"/>
    </row>
    <row r="198" spans="1:1" x14ac:dyDescent="0.25">
      <c r="A198" s="25"/>
    </row>
    <row r="199" spans="1:1" x14ac:dyDescent="0.25">
      <c r="A199" s="25"/>
    </row>
    <row r="200" spans="1:1" x14ac:dyDescent="0.25">
      <c r="A200" s="25"/>
    </row>
    <row r="201" spans="1:1" x14ac:dyDescent="0.25">
      <c r="A201" s="25"/>
    </row>
    <row r="202" spans="1:1" x14ac:dyDescent="0.25">
      <c r="A202" s="25"/>
    </row>
    <row r="203" spans="1:1" x14ac:dyDescent="0.25">
      <c r="A203" s="25"/>
    </row>
    <row r="204" spans="1:1" x14ac:dyDescent="0.25">
      <c r="A204" s="25"/>
    </row>
    <row r="205" spans="1:1" x14ac:dyDescent="0.25">
      <c r="A205" s="25"/>
    </row>
    <row r="206" spans="1:1" x14ac:dyDescent="0.25">
      <c r="A206" s="25"/>
    </row>
    <row r="207" spans="1:1" x14ac:dyDescent="0.25">
      <c r="A207" s="25"/>
    </row>
    <row r="208" spans="1:1" x14ac:dyDescent="0.25">
      <c r="A208" s="25"/>
    </row>
    <row r="209" spans="1:1" x14ac:dyDescent="0.25">
      <c r="A209" s="25"/>
    </row>
    <row r="210" spans="1:1" x14ac:dyDescent="0.25">
      <c r="A210" s="25"/>
    </row>
    <row r="211" spans="1:1" x14ac:dyDescent="0.25">
      <c r="A211" s="25"/>
    </row>
    <row r="212" spans="1:1" x14ac:dyDescent="0.25">
      <c r="A212" s="25"/>
    </row>
    <row r="213" spans="1:1" x14ac:dyDescent="0.25">
      <c r="A213" s="25"/>
    </row>
    <row r="214" spans="1:1" x14ac:dyDescent="0.25">
      <c r="A214" s="25"/>
    </row>
    <row r="215" spans="1:1" x14ac:dyDescent="0.25">
      <c r="A215" s="25"/>
    </row>
    <row r="216" spans="1:1" x14ac:dyDescent="0.25">
      <c r="A216" s="25"/>
    </row>
    <row r="217" spans="1:1" x14ac:dyDescent="0.25">
      <c r="A217" s="25"/>
    </row>
    <row r="218" spans="1:1" x14ac:dyDescent="0.25">
      <c r="A218" s="25"/>
    </row>
    <row r="219" spans="1:1" x14ac:dyDescent="0.25">
      <c r="A219" s="25"/>
    </row>
    <row r="220" spans="1:1" x14ac:dyDescent="0.25">
      <c r="A220" s="25"/>
    </row>
    <row r="221" spans="1:1" x14ac:dyDescent="0.25">
      <c r="A221" s="25"/>
    </row>
    <row r="222" spans="1:1" x14ac:dyDescent="0.25">
      <c r="A222" s="25"/>
    </row>
    <row r="223" spans="1:1" x14ac:dyDescent="0.25">
      <c r="A223" s="25"/>
    </row>
    <row r="224" spans="1:1" x14ac:dyDescent="0.25">
      <c r="A224" s="25"/>
    </row>
    <row r="225" spans="1:1" x14ac:dyDescent="0.25">
      <c r="A225" s="25"/>
    </row>
    <row r="226" spans="1:1" x14ac:dyDescent="0.25">
      <c r="A226" s="25"/>
    </row>
    <row r="227" spans="1:1" x14ac:dyDescent="0.25">
      <c r="A227" s="25"/>
    </row>
    <row r="228" spans="1:1" x14ac:dyDescent="0.25">
      <c r="A228" s="25"/>
    </row>
    <row r="229" spans="1:1" x14ac:dyDescent="0.25">
      <c r="A229" s="25"/>
    </row>
    <row r="230" spans="1:1" x14ac:dyDescent="0.25">
      <c r="A230" s="25"/>
    </row>
    <row r="231" spans="1:1" x14ac:dyDescent="0.25">
      <c r="A231" s="25"/>
    </row>
    <row r="232" spans="1:1" x14ac:dyDescent="0.25">
      <c r="A232" s="25"/>
    </row>
    <row r="233" spans="1:1" x14ac:dyDescent="0.25">
      <c r="A233" s="25"/>
    </row>
    <row r="234" spans="1:1" x14ac:dyDescent="0.25">
      <c r="A234" s="25"/>
    </row>
    <row r="235" spans="1:1" x14ac:dyDescent="0.25">
      <c r="A235" s="25"/>
    </row>
    <row r="236" spans="1:1" x14ac:dyDescent="0.25">
      <c r="A236" s="25"/>
    </row>
    <row r="237" spans="1:1" x14ac:dyDescent="0.25">
      <c r="A237" s="25"/>
    </row>
    <row r="238" spans="1:1" x14ac:dyDescent="0.25">
      <c r="A238" s="25"/>
    </row>
    <row r="239" spans="1:1" x14ac:dyDescent="0.25">
      <c r="A239" s="25"/>
    </row>
    <row r="240" spans="1:1" x14ac:dyDescent="0.25">
      <c r="A240" s="25"/>
    </row>
    <row r="241" spans="1:1" x14ac:dyDescent="0.25">
      <c r="A241" s="25"/>
    </row>
    <row r="242" spans="1:1" x14ac:dyDescent="0.25">
      <c r="A242" s="25"/>
    </row>
    <row r="243" spans="1:1" x14ac:dyDescent="0.25">
      <c r="A243" s="25"/>
    </row>
    <row r="244" spans="1:1" x14ac:dyDescent="0.25">
      <c r="A244" s="25"/>
    </row>
    <row r="245" spans="1:1" x14ac:dyDescent="0.25">
      <c r="A245" s="25"/>
    </row>
    <row r="246" spans="1:1" x14ac:dyDescent="0.25">
      <c r="A246" s="25"/>
    </row>
    <row r="247" spans="1:1" x14ac:dyDescent="0.25">
      <c r="A247" s="25"/>
    </row>
    <row r="248" spans="1:1" x14ac:dyDescent="0.25">
      <c r="A248" s="25"/>
    </row>
    <row r="249" spans="1:1" x14ac:dyDescent="0.25">
      <c r="A249" s="25"/>
    </row>
    <row r="250" spans="1:1" x14ac:dyDescent="0.25">
      <c r="A250" s="25"/>
    </row>
    <row r="251" spans="1:1" x14ac:dyDescent="0.25">
      <c r="A251" s="25"/>
    </row>
    <row r="252" spans="1:1" x14ac:dyDescent="0.25">
      <c r="A252" s="25"/>
    </row>
    <row r="253" spans="1:1" x14ac:dyDescent="0.25">
      <c r="A253" s="25"/>
    </row>
    <row r="254" spans="1:1" x14ac:dyDescent="0.25">
      <c r="A254" s="25"/>
    </row>
    <row r="255" spans="1:1" x14ac:dyDescent="0.25">
      <c r="A255" s="25"/>
    </row>
    <row r="256" spans="1:1" x14ac:dyDescent="0.25">
      <c r="A256" s="25"/>
    </row>
    <row r="257" spans="1:1" x14ac:dyDescent="0.25">
      <c r="A257" s="25"/>
    </row>
    <row r="258" spans="1:1" x14ac:dyDescent="0.25">
      <c r="A258" s="25"/>
    </row>
    <row r="259" spans="1:1" x14ac:dyDescent="0.25">
      <c r="A259" s="25"/>
    </row>
    <row r="260" spans="1:1" x14ac:dyDescent="0.25">
      <c r="A260" s="25"/>
    </row>
    <row r="261" spans="1:1" x14ac:dyDescent="0.25">
      <c r="A261" s="25"/>
    </row>
    <row r="262" spans="1:1" x14ac:dyDescent="0.25">
      <c r="A262" s="25"/>
    </row>
    <row r="263" spans="1:1" x14ac:dyDescent="0.25">
      <c r="A263" s="25"/>
    </row>
    <row r="264" spans="1:1" x14ac:dyDescent="0.25">
      <c r="A264" s="25"/>
    </row>
    <row r="265" spans="1:1" x14ac:dyDescent="0.25">
      <c r="A265" s="25"/>
    </row>
    <row r="266" spans="1:1" x14ac:dyDescent="0.25">
      <c r="A266" s="25"/>
    </row>
    <row r="267" spans="1:1" x14ac:dyDescent="0.25">
      <c r="A267" s="25"/>
    </row>
    <row r="268" spans="1:1" x14ac:dyDescent="0.25">
      <c r="A268" s="25"/>
    </row>
    <row r="269" spans="1:1" x14ac:dyDescent="0.25">
      <c r="A269" s="25"/>
    </row>
    <row r="270" spans="1:1" x14ac:dyDescent="0.25">
      <c r="A270" s="25"/>
    </row>
    <row r="271" spans="1:1" x14ac:dyDescent="0.25">
      <c r="A271" s="25"/>
    </row>
    <row r="272" spans="1:1" x14ac:dyDescent="0.25">
      <c r="A272" s="25"/>
    </row>
    <row r="273" spans="1:1" x14ac:dyDescent="0.25">
      <c r="A273" s="25"/>
    </row>
    <row r="274" spans="1:1" x14ac:dyDescent="0.25">
      <c r="A274" s="25"/>
    </row>
    <row r="275" spans="1:1" x14ac:dyDescent="0.25">
      <c r="A275" s="25"/>
    </row>
    <row r="276" spans="1:1" x14ac:dyDescent="0.25">
      <c r="A276" s="25"/>
    </row>
    <row r="277" spans="1:1" x14ac:dyDescent="0.25">
      <c r="A277" s="25"/>
    </row>
    <row r="278" spans="1:1" x14ac:dyDescent="0.25">
      <c r="A278" s="25"/>
    </row>
    <row r="279" spans="1:1" x14ac:dyDescent="0.25">
      <c r="A279" s="25"/>
    </row>
    <row r="280" spans="1:1" x14ac:dyDescent="0.25">
      <c r="A280" s="25"/>
    </row>
    <row r="281" spans="1:1" x14ac:dyDescent="0.25">
      <c r="A281" s="25"/>
    </row>
    <row r="282" spans="1:1" x14ac:dyDescent="0.25">
      <c r="A282" s="25"/>
    </row>
    <row r="283" spans="1:1" x14ac:dyDescent="0.25">
      <c r="A283" s="25"/>
    </row>
    <row r="284" spans="1:1" x14ac:dyDescent="0.25">
      <c r="A284" s="25"/>
    </row>
    <row r="285" spans="1:1" x14ac:dyDescent="0.25">
      <c r="A285" s="25"/>
    </row>
    <row r="286" spans="1:1" x14ac:dyDescent="0.25">
      <c r="A286" s="25"/>
    </row>
    <row r="287" spans="1:1" x14ac:dyDescent="0.25">
      <c r="A287" s="25"/>
    </row>
    <row r="288" spans="1:1" x14ac:dyDescent="0.25">
      <c r="A288" s="25"/>
    </row>
    <row r="289" spans="1:1" x14ac:dyDescent="0.25">
      <c r="A289" s="25"/>
    </row>
    <row r="290" spans="1:1" x14ac:dyDescent="0.25">
      <c r="A290" s="25"/>
    </row>
    <row r="291" spans="1:1" x14ac:dyDescent="0.25">
      <c r="A291" s="25"/>
    </row>
    <row r="292" spans="1:1" x14ac:dyDescent="0.25">
      <c r="A292" s="25"/>
    </row>
    <row r="293" spans="1:1" x14ac:dyDescent="0.25">
      <c r="A293" s="25"/>
    </row>
    <row r="294" spans="1:1" x14ac:dyDescent="0.25">
      <c r="A294" s="25"/>
    </row>
    <row r="295" spans="1:1" x14ac:dyDescent="0.25">
      <c r="A295" s="25"/>
    </row>
    <row r="296" spans="1:1" x14ac:dyDescent="0.25">
      <c r="A296" s="25"/>
    </row>
    <row r="297" spans="1:1" x14ac:dyDescent="0.25">
      <c r="A297" s="25"/>
    </row>
    <row r="298" spans="1:1" x14ac:dyDescent="0.25">
      <c r="A298" s="25"/>
    </row>
    <row r="299" spans="1:1" x14ac:dyDescent="0.25">
      <c r="A299" s="25"/>
    </row>
    <row r="300" spans="1:1" x14ac:dyDescent="0.25">
      <c r="A300" s="25"/>
    </row>
    <row r="301" spans="1:1" x14ac:dyDescent="0.25">
      <c r="A301" s="25"/>
    </row>
    <row r="302" spans="1:1" x14ac:dyDescent="0.25">
      <c r="A302" s="25"/>
    </row>
    <row r="303" spans="1:1" x14ac:dyDescent="0.25">
      <c r="A303" s="25"/>
    </row>
    <row r="304" spans="1:1" x14ac:dyDescent="0.25">
      <c r="A304" s="25"/>
    </row>
    <row r="305" spans="1:1" x14ac:dyDescent="0.25">
      <c r="A305" s="25"/>
    </row>
    <row r="306" spans="1:1" x14ac:dyDescent="0.25">
      <c r="A306" s="25"/>
    </row>
    <row r="307" spans="1:1" x14ac:dyDescent="0.25">
      <c r="A307" s="25"/>
    </row>
    <row r="308" spans="1:1" x14ac:dyDescent="0.25">
      <c r="A308" s="25"/>
    </row>
    <row r="309" spans="1:1" x14ac:dyDescent="0.25">
      <c r="A309" s="25"/>
    </row>
    <row r="310" spans="1:1" x14ac:dyDescent="0.25">
      <c r="A310" s="25"/>
    </row>
    <row r="311" spans="1:1" x14ac:dyDescent="0.25">
      <c r="A311" s="25"/>
    </row>
    <row r="312" spans="1:1" x14ac:dyDescent="0.25">
      <c r="A312" s="25"/>
    </row>
    <row r="313" spans="1:1" x14ac:dyDescent="0.25">
      <c r="A313" s="25"/>
    </row>
    <row r="314" spans="1:1" x14ac:dyDescent="0.25">
      <c r="A314" s="25"/>
    </row>
    <row r="315" spans="1:1" x14ac:dyDescent="0.25">
      <c r="A315" s="25"/>
    </row>
    <row r="316" spans="1:1" x14ac:dyDescent="0.25">
      <c r="A316" s="25"/>
    </row>
    <row r="317" spans="1:1" x14ac:dyDescent="0.25">
      <c r="A317" s="25"/>
    </row>
    <row r="318" spans="1:1" x14ac:dyDescent="0.25">
      <c r="A318" s="25"/>
    </row>
    <row r="319" spans="1:1" x14ac:dyDescent="0.25">
      <c r="A319" s="25"/>
    </row>
    <row r="320" spans="1:1" x14ac:dyDescent="0.25">
      <c r="A320" s="25"/>
    </row>
    <row r="321" spans="1:1" x14ac:dyDescent="0.25">
      <c r="A321" s="25"/>
    </row>
    <row r="322" spans="1:1" x14ac:dyDescent="0.25">
      <c r="A322" s="25"/>
    </row>
    <row r="323" spans="1:1" x14ac:dyDescent="0.25">
      <c r="A323" s="25"/>
    </row>
    <row r="324" spans="1:1" x14ac:dyDescent="0.25">
      <c r="A324" s="25"/>
    </row>
    <row r="325" spans="1:1" x14ac:dyDescent="0.25">
      <c r="A325" s="25"/>
    </row>
    <row r="326" spans="1:1" x14ac:dyDescent="0.25">
      <c r="A326" s="25"/>
    </row>
    <row r="327" spans="1:1" x14ac:dyDescent="0.25">
      <c r="A327" s="25"/>
    </row>
    <row r="328" spans="1:1" x14ac:dyDescent="0.25">
      <c r="A328" s="25"/>
    </row>
    <row r="329" spans="1:1" x14ac:dyDescent="0.25">
      <c r="A329" s="25"/>
    </row>
    <row r="330" spans="1:1" x14ac:dyDescent="0.25">
      <c r="A330" s="25"/>
    </row>
    <row r="331" spans="1:1" x14ac:dyDescent="0.25">
      <c r="A331" s="25"/>
    </row>
    <row r="332" spans="1:1" x14ac:dyDescent="0.25">
      <c r="A332" s="25"/>
    </row>
    <row r="333" spans="1:1" x14ac:dyDescent="0.25">
      <c r="A333" s="25"/>
    </row>
    <row r="334" spans="1:1" x14ac:dyDescent="0.25">
      <c r="A334" s="25"/>
    </row>
    <row r="335" spans="1:1" x14ac:dyDescent="0.25">
      <c r="A335" s="25"/>
    </row>
    <row r="336" spans="1:1" x14ac:dyDescent="0.25">
      <c r="A336" s="25"/>
    </row>
    <row r="337" spans="1:1" x14ac:dyDescent="0.25">
      <c r="A337" s="25"/>
    </row>
    <row r="338" spans="1:1" x14ac:dyDescent="0.25">
      <c r="A338" s="25"/>
    </row>
    <row r="339" spans="1:1" x14ac:dyDescent="0.25">
      <c r="A339" s="25"/>
    </row>
    <row r="340" spans="1:1" x14ac:dyDescent="0.25">
      <c r="A340" s="25"/>
    </row>
    <row r="341" spans="1:1" x14ac:dyDescent="0.25">
      <c r="A341" s="25"/>
    </row>
    <row r="342" spans="1:1" x14ac:dyDescent="0.25">
      <c r="A342" s="25"/>
    </row>
    <row r="343" spans="1:1" x14ac:dyDescent="0.25">
      <c r="A343" s="25"/>
    </row>
    <row r="344" spans="1:1" x14ac:dyDescent="0.25">
      <c r="A344" s="25"/>
    </row>
    <row r="345" spans="1:1" x14ac:dyDescent="0.25">
      <c r="A345" s="25"/>
    </row>
    <row r="346" spans="1:1" x14ac:dyDescent="0.25">
      <c r="A346" s="25"/>
    </row>
    <row r="347" spans="1:1" x14ac:dyDescent="0.25">
      <c r="A347" s="25"/>
    </row>
    <row r="348" spans="1:1" x14ac:dyDescent="0.25">
      <c r="A348" s="25"/>
    </row>
    <row r="349" spans="1:1" x14ac:dyDescent="0.25">
      <c r="A349" s="25"/>
    </row>
    <row r="350" spans="1:1" x14ac:dyDescent="0.25">
      <c r="A350" s="25"/>
    </row>
    <row r="351" spans="1:1" x14ac:dyDescent="0.25">
      <c r="A351" s="25"/>
    </row>
    <row r="352" spans="1:1" x14ac:dyDescent="0.25">
      <c r="A352" s="25"/>
    </row>
    <row r="353" spans="1:1" x14ac:dyDescent="0.25">
      <c r="A353" s="25"/>
    </row>
    <row r="354" spans="1:1" x14ac:dyDescent="0.25">
      <c r="A354" s="25"/>
    </row>
    <row r="355" spans="1:1" x14ac:dyDescent="0.25">
      <c r="A355" s="25"/>
    </row>
    <row r="356" spans="1:1" x14ac:dyDescent="0.25">
      <c r="A356" s="25"/>
    </row>
    <row r="357" spans="1:1" x14ac:dyDescent="0.25">
      <c r="A357" s="25"/>
    </row>
    <row r="358" spans="1:1" x14ac:dyDescent="0.25">
      <c r="A358" s="25"/>
    </row>
    <row r="359" spans="1:1" x14ac:dyDescent="0.25">
      <c r="A359" s="25"/>
    </row>
    <row r="360" spans="1:1" x14ac:dyDescent="0.25">
      <c r="A360" s="25"/>
    </row>
    <row r="361" spans="1:1" x14ac:dyDescent="0.25">
      <c r="A361" s="25"/>
    </row>
    <row r="362" spans="1:1" x14ac:dyDescent="0.25">
      <c r="A362" s="25"/>
    </row>
    <row r="363" spans="1:1" x14ac:dyDescent="0.25">
      <c r="A363" s="25"/>
    </row>
    <row r="364" spans="1:1" x14ac:dyDescent="0.25">
      <c r="A364" s="25"/>
    </row>
    <row r="365" spans="1:1" x14ac:dyDescent="0.25">
      <c r="A365" s="25"/>
    </row>
    <row r="366" spans="1:1" x14ac:dyDescent="0.25">
      <c r="A366" s="25"/>
    </row>
    <row r="367" spans="1:1" x14ac:dyDescent="0.25">
      <c r="A367" s="25"/>
    </row>
    <row r="368" spans="1:1" x14ac:dyDescent="0.25">
      <c r="A368" s="25"/>
    </row>
    <row r="369" spans="1:1" x14ac:dyDescent="0.25">
      <c r="A369" s="25"/>
    </row>
    <row r="370" spans="1:1" x14ac:dyDescent="0.25">
      <c r="A370" s="25"/>
    </row>
    <row r="371" spans="1:1" x14ac:dyDescent="0.25">
      <c r="A371" s="25"/>
    </row>
    <row r="372" spans="1:1" x14ac:dyDescent="0.25">
      <c r="A372" s="25"/>
    </row>
    <row r="373" spans="1:1" x14ac:dyDescent="0.25">
      <c r="A373" s="25"/>
    </row>
    <row r="374" spans="1:1" x14ac:dyDescent="0.25">
      <c r="A374" s="25"/>
    </row>
    <row r="375" spans="1:1" x14ac:dyDescent="0.25">
      <c r="A375" s="25"/>
    </row>
    <row r="376" spans="1:1" x14ac:dyDescent="0.25">
      <c r="A376" s="25"/>
    </row>
    <row r="377" spans="1:1" x14ac:dyDescent="0.25">
      <c r="A377" s="25"/>
    </row>
    <row r="378" spans="1:1" x14ac:dyDescent="0.25">
      <c r="A378" s="25"/>
    </row>
    <row r="379" spans="1:1" x14ac:dyDescent="0.25">
      <c r="A379" s="25"/>
    </row>
    <row r="380" spans="1:1" x14ac:dyDescent="0.25">
      <c r="A380" s="25"/>
    </row>
    <row r="381" spans="1:1" x14ac:dyDescent="0.25">
      <c r="A381" s="25"/>
    </row>
    <row r="382" spans="1:1" x14ac:dyDescent="0.25">
      <c r="A382" s="25"/>
    </row>
    <row r="383" spans="1:1" x14ac:dyDescent="0.25">
      <c r="A383" s="25"/>
    </row>
    <row r="384" spans="1:1" x14ac:dyDescent="0.25">
      <c r="A384" s="25"/>
    </row>
    <row r="385" spans="1:1" x14ac:dyDescent="0.25">
      <c r="A385" s="25"/>
    </row>
    <row r="386" spans="1:1" x14ac:dyDescent="0.25">
      <c r="A386" s="25"/>
    </row>
    <row r="387" spans="1:1" x14ac:dyDescent="0.25">
      <c r="A387" s="25"/>
    </row>
    <row r="388" spans="1:1" x14ac:dyDescent="0.25">
      <c r="A388" s="25"/>
    </row>
    <row r="389" spans="1:1" x14ac:dyDescent="0.25">
      <c r="A389" s="25"/>
    </row>
    <row r="390" spans="1:1" x14ac:dyDescent="0.25">
      <c r="A390" s="25"/>
    </row>
    <row r="391" spans="1:1" x14ac:dyDescent="0.25">
      <c r="A391" s="25"/>
    </row>
    <row r="392" spans="1:1" x14ac:dyDescent="0.25">
      <c r="A392" s="25"/>
    </row>
    <row r="393" spans="1:1" x14ac:dyDescent="0.25">
      <c r="A393" s="25"/>
    </row>
    <row r="394" spans="1:1" x14ac:dyDescent="0.25">
      <c r="A394" s="25"/>
    </row>
    <row r="395" spans="1:1" x14ac:dyDescent="0.25">
      <c r="A395" s="25"/>
    </row>
    <row r="396" spans="1:1" x14ac:dyDescent="0.25">
      <c r="A396" s="25"/>
    </row>
    <row r="397" spans="1:1" x14ac:dyDescent="0.25">
      <c r="A397" s="25"/>
    </row>
    <row r="398" spans="1:1" x14ac:dyDescent="0.25">
      <c r="A398" s="25"/>
    </row>
    <row r="399" spans="1:1" x14ac:dyDescent="0.25">
      <c r="A399" s="25"/>
    </row>
    <row r="400" spans="1:1" x14ac:dyDescent="0.25">
      <c r="A400" s="25"/>
    </row>
    <row r="401" spans="1:1" x14ac:dyDescent="0.25">
      <c r="A401" s="25"/>
    </row>
    <row r="402" spans="1:1" x14ac:dyDescent="0.25">
      <c r="A402" s="25"/>
    </row>
    <row r="403" spans="1:1" x14ac:dyDescent="0.25">
      <c r="A403" s="25"/>
    </row>
    <row r="404" spans="1:1" x14ac:dyDescent="0.25">
      <c r="A404" s="25"/>
    </row>
    <row r="405" spans="1:1" x14ac:dyDescent="0.25">
      <c r="A405" s="25"/>
    </row>
    <row r="406" spans="1:1" x14ac:dyDescent="0.25">
      <c r="A406" s="25"/>
    </row>
    <row r="407" spans="1:1" x14ac:dyDescent="0.25">
      <c r="A407" s="25"/>
    </row>
    <row r="408" spans="1:1" x14ac:dyDescent="0.25">
      <c r="A408" s="25"/>
    </row>
    <row r="409" spans="1:1" x14ac:dyDescent="0.25">
      <c r="A409" s="25"/>
    </row>
    <row r="410" spans="1:1" x14ac:dyDescent="0.25">
      <c r="A410" s="25"/>
    </row>
    <row r="411" spans="1:1" x14ac:dyDescent="0.25">
      <c r="A411" s="25"/>
    </row>
    <row r="412" spans="1:1" x14ac:dyDescent="0.25">
      <c r="A412" s="25"/>
    </row>
    <row r="413" spans="1:1" x14ac:dyDescent="0.25">
      <c r="A413" s="25"/>
    </row>
    <row r="414" spans="1:1" x14ac:dyDescent="0.25">
      <c r="A414" s="25"/>
    </row>
    <row r="415" spans="1:1" x14ac:dyDescent="0.25">
      <c r="A415" s="25"/>
    </row>
    <row r="416" spans="1:1" x14ac:dyDescent="0.25">
      <c r="A416" s="25"/>
    </row>
    <row r="417" spans="1:1" x14ac:dyDescent="0.25">
      <c r="A417" s="25"/>
    </row>
    <row r="418" spans="1:1" x14ac:dyDescent="0.25">
      <c r="A418" s="25"/>
    </row>
    <row r="419" spans="1:1" x14ac:dyDescent="0.25">
      <c r="A419" s="25"/>
    </row>
    <row r="420" spans="1:1" x14ac:dyDescent="0.25">
      <c r="A420" s="25"/>
    </row>
    <row r="421" spans="1:1" x14ac:dyDescent="0.25">
      <c r="A421" s="25"/>
    </row>
    <row r="422" spans="1:1" x14ac:dyDescent="0.25">
      <c r="A422" s="25"/>
    </row>
    <row r="423" spans="1:1" x14ac:dyDescent="0.25">
      <c r="A423" s="25"/>
    </row>
    <row r="424" spans="1:1" x14ac:dyDescent="0.25">
      <c r="A424" s="25"/>
    </row>
    <row r="425" spans="1:1" x14ac:dyDescent="0.25">
      <c r="A425" s="25"/>
    </row>
    <row r="426" spans="1:1" x14ac:dyDescent="0.25">
      <c r="A426" s="25"/>
    </row>
    <row r="427" spans="1:1" x14ac:dyDescent="0.25">
      <c r="A427" s="25"/>
    </row>
    <row r="428" spans="1:1" x14ac:dyDescent="0.25">
      <c r="A428" s="25"/>
    </row>
    <row r="429" spans="1:1" x14ac:dyDescent="0.25">
      <c r="A429" s="25"/>
    </row>
    <row r="430" spans="1:1" x14ac:dyDescent="0.25">
      <c r="A430" s="25"/>
    </row>
    <row r="431" spans="1:1" x14ac:dyDescent="0.25">
      <c r="A431" s="25"/>
    </row>
    <row r="432" spans="1:1" x14ac:dyDescent="0.25">
      <c r="A432" s="25"/>
    </row>
    <row r="433" spans="1:1" x14ac:dyDescent="0.25">
      <c r="A433" s="25"/>
    </row>
    <row r="434" spans="1:1" x14ac:dyDescent="0.25">
      <c r="A434" s="25"/>
    </row>
    <row r="435" spans="1:1" x14ac:dyDescent="0.25">
      <c r="A435" s="25"/>
    </row>
    <row r="436" spans="1:1" x14ac:dyDescent="0.25">
      <c r="A436" s="25"/>
    </row>
    <row r="437" spans="1:1" x14ac:dyDescent="0.25">
      <c r="A437" s="25"/>
    </row>
    <row r="438" spans="1:1" x14ac:dyDescent="0.25">
      <c r="A438" s="25"/>
    </row>
    <row r="439" spans="1:1" x14ac:dyDescent="0.25">
      <c r="A439" s="25"/>
    </row>
    <row r="440" spans="1:1" x14ac:dyDescent="0.25">
      <c r="A440" s="25"/>
    </row>
    <row r="441" spans="1:1" x14ac:dyDescent="0.25">
      <c r="A441" s="25"/>
    </row>
    <row r="442" spans="1:1" x14ac:dyDescent="0.25">
      <c r="A442" s="25"/>
    </row>
    <row r="443" spans="1:1" x14ac:dyDescent="0.25">
      <c r="A443" s="25"/>
    </row>
    <row r="444" spans="1:1" x14ac:dyDescent="0.25">
      <c r="A444" s="25"/>
    </row>
    <row r="445" spans="1:1" x14ac:dyDescent="0.25">
      <c r="A445" s="25"/>
    </row>
    <row r="446" spans="1:1" x14ac:dyDescent="0.25">
      <c r="A446" s="25"/>
    </row>
    <row r="447" spans="1:1" x14ac:dyDescent="0.25">
      <c r="A447" s="25"/>
    </row>
    <row r="448" spans="1:1" x14ac:dyDescent="0.25">
      <c r="A448" s="25"/>
    </row>
    <row r="449" spans="1:1" x14ac:dyDescent="0.25">
      <c r="A449" s="25"/>
    </row>
    <row r="450" spans="1:1" x14ac:dyDescent="0.25">
      <c r="A450" s="25"/>
    </row>
    <row r="451" spans="1:1" x14ac:dyDescent="0.25">
      <c r="A451" s="25"/>
    </row>
    <row r="452" spans="1:1" x14ac:dyDescent="0.25">
      <c r="A452" s="25"/>
    </row>
    <row r="453" spans="1:1" x14ac:dyDescent="0.25">
      <c r="A453" s="25"/>
    </row>
    <row r="454" spans="1:1" x14ac:dyDescent="0.25">
      <c r="A454" s="25"/>
    </row>
    <row r="455" spans="1:1" x14ac:dyDescent="0.25">
      <c r="A455" s="25"/>
    </row>
    <row r="456" spans="1:1" x14ac:dyDescent="0.25">
      <c r="A456" s="25"/>
    </row>
    <row r="457" spans="1:1" x14ac:dyDescent="0.25">
      <c r="A457" s="25"/>
    </row>
    <row r="458" spans="1:1" x14ac:dyDescent="0.25">
      <c r="A458" s="25"/>
    </row>
    <row r="459" spans="1:1" x14ac:dyDescent="0.25">
      <c r="A459" s="25"/>
    </row>
    <row r="460" spans="1:1" x14ac:dyDescent="0.25">
      <c r="A460" s="25"/>
    </row>
    <row r="461" spans="1:1" x14ac:dyDescent="0.25">
      <c r="A461" s="25"/>
    </row>
    <row r="462" spans="1:1" x14ac:dyDescent="0.25">
      <c r="A462" s="25"/>
    </row>
    <row r="463" spans="1:1" x14ac:dyDescent="0.25">
      <c r="A463" s="25"/>
    </row>
    <row r="464" spans="1:1" x14ac:dyDescent="0.25">
      <c r="A464" s="25"/>
    </row>
    <row r="465" spans="1:1" x14ac:dyDescent="0.25">
      <c r="A465" s="25"/>
    </row>
    <row r="466" spans="1:1" x14ac:dyDescent="0.25">
      <c r="A466" s="25"/>
    </row>
    <row r="467" spans="1:1" x14ac:dyDescent="0.25">
      <c r="A467" s="25"/>
    </row>
    <row r="468" spans="1:1" x14ac:dyDescent="0.25">
      <c r="A468" s="25"/>
    </row>
    <row r="469" spans="1:1" x14ac:dyDescent="0.25">
      <c r="A469" s="25"/>
    </row>
    <row r="470" spans="1:1" x14ac:dyDescent="0.25">
      <c r="A470" s="25"/>
    </row>
    <row r="471" spans="1:1" x14ac:dyDescent="0.25">
      <c r="A471" s="25"/>
    </row>
    <row r="472" spans="1:1" x14ac:dyDescent="0.25">
      <c r="A472" s="25"/>
    </row>
    <row r="473" spans="1:1" x14ac:dyDescent="0.25">
      <c r="A473" s="25"/>
    </row>
    <row r="474" spans="1:1" x14ac:dyDescent="0.25">
      <c r="A474" s="25"/>
    </row>
    <row r="475" spans="1:1" x14ac:dyDescent="0.25">
      <c r="A475" s="25"/>
    </row>
    <row r="476" spans="1:1" x14ac:dyDescent="0.25">
      <c r="A476" s="25"/>
    </row>
    <row r="477" spans="1:1" x14ac:dyDescent="0.25">
      <c r="A477" s="25"/>
    </row>
    <row r="478" spans="1:1" x14ac:dyDescent="0.25">
      <c r="A478" s="25"/>
    </row>
    <row r="479" spans="1:1" x14ac:dyDescent="0.25">
      <c r="A479" s="25"/>
    </row>
    <row r="480" spans="1:1" x14ac:dyDescent="0.25">
      <c r="A480" s="25"/>
    </row>
    <row r="481" spans="1:1" x14ac:dyDescent="0.25">
      <c r="A481" s="25"/>
    </row>
    <row r="482" spans="1:1" x14ac:dyDescent="0.25">
      <c r="A482" s="25"/>
    </row>
    <row r="483" spans="1:1" x14ac:dyDescent="0.25">
      <c r="A483" s="25"/>
    </row>
    <row r="484" spans="1:1" x14ac:dyDescent="0.25">
      <c r="A484" s="25"/>
    </row>
    <row r="485" spans="1:1" x14ac:dyDescent="0.25">
      <c r="A485" s="25"/>
    </row>
    <row r="486" spans="1:1" x14ac:dyDescent="0.25">
      <c r="A486" s="25"/>
    </row>
    <row r="487" spans="1:1" x14ac:dyDescent="0.25">
      <c r="A487" s="25"/>
    </row>
    <row r="488" spans="1:1" x14ac:dyDescent="0.25">
      <c r="A488" s="25"/>
    </row>
    <row r="489" spans="1:1" x14ac:dyDescent="0.25">
      <c r="A489" s="25"/>
    </row>
    <row r="490" spans="1:1" x14ac:dyDescent="0.25">
      <c r="A490" s="25"/>
    </row>
    <row r="491" spans="1:1" x14ac:dyDescent="0.25">
      <c r="A491" s="25"/>
    </row>
    <row r="492" spans="1:1" x14ac:dyDescent="0.25">
      <c r="A492" s="25"/>
    </row>
    <row r="493" spans="1:1" x14ac:dyDescent="0.25">
      <c r="A493" s="25"/>
    </row>
    <row r="494" spans="1:1" x14ac:dyDescent="0.25">
      <c r="A494" s="25"/>
    </row>
    <row r="495" spans="1:1" x14ac:dyDescent="0.25">
      <c r="A495" s="25"/>
    </row>
    <row r="496" spans="1:1" x14ac:dyDescent="0.25">
      <c r="A496" s="25"/>
    </row>
    <row r="497" spans="1:1" x14ac:dyDescent="0.25">
      <c r="A497" s="25"/>
    </row>
    <row r="498" spans="1:1" x14ac:dyDescent="0.25">
      <c r="A498" s="25"/>
    </row>
    <row r="499" spans="1:1" x14ac:dyDescent="0.25">
      <c r="A499" s="25"/>
    </row>
    <row r="500" spans="1:1" x14ac:dyDescent="0.25">
      <c r="A500" s="25"/>
    </row>
    <row r="501" spans="1:1" x14ac:dyDescent="0.25">
      <c r="A501" s="25"/>
    </row>
    <row r="502" spans="1:1" x14ac:dyDescent="0.25">
      <c r="A502" s="25"/>
    </row>
    <row r="503" spans="1:1" x14ac:dyDescent="0.25">
      <c r="A503" s="25"/>
    </row>
    <row r="504" spans="1:1" x14ac:dyDescent="0.25">
      <c r="A504" s="25"/>
    </row>
    <row r="505" spans="1:1" x14ac:dyDescent="0.25">
      <c r="A505" s="25"/>
    </row>
    <row r="506" spans="1:1" x14ac:dyDescent="0.25">
      <c r="A506" s="25"/>
    </row>
    <row r="507" spans="1:1" x14ac:dyDescent="0.25">
      <c r="A507" s="25"/>
    </row>
    <row r="508" spans="1:1" x14ac:dyDescent="0.25">
      <c r="A508" s="25"/>
    </row>
    <row r="509" spans="1:1" x14ac:dyDescent="0.25">
      <c r="A509" s="25"/>
    </row>
    <row r="510" spans="1:1" x14ac:dyDescent="0.25">
      <c r="A510" s="25"/>
    </row>
    <row r="511" spans="1:1" x14ac:dyDescent="0.25">
      <c r="A511" s="25"/>
    </row>
    <row r="512" spans="1:1" x14ac:dyDescent="0.25">
      <c r="A512" s="25"/>
    </row>
    <row r="513" spans="1:1" x14ac:dyDescent="0.25">
      <c r="A513" s="25"/>
    </row>
    <row r="514" spans="1:1" x14ac:dyDescent="0.25">
      <c r="A514" s="25"/>
    </row>
    <row r="515" spans="1:1" x14ac:dyDescent="0.25">
      <c r="A515" s="25"/>
    </row>
    <row r="516" spans="1:1" x14ac:dyDescent="0.25">
      <c r="A516" s="25"/>
    </row>
    <row r="517" spans="1:1" x14ac:dyDescent="0.25">
      <c r="A517" s="25"/>
    </row>
    <row r="518" spans="1:1" x14ac:dyDescent="0.25">
      <c r="A518" s="25"/>
    </row>
    <row r="519" spans="1:1" x14ac:dyDescent="0.25">
      <c r="A519" s="25"/>
    </row>
    <row r="520" spans="1:1" x14ac:dyDescent="0.25">
      <c r="A520" s="25"/>
    </row>
    <row r="521" spans="1:1" x14ac:dyDescent="0.25">
      <c r="A521" s="25"/>
    </row>
    <row r="522" spans="1:1" x14ac:dyDescent="0.25">
      <c r="A522" s="25"/>
    </row>
    <row r="523" spans="1:1" x14ac:dyDescent="0.25">
      <c r="A523" s="25"/>
    </row>
    <row r="524" spans="1:1" x14ac:dyDescent="0.25">
      <c r="A524" s="25"/>
    </row>
    <row r="525" spans="1:1" x14ac:dyDescent="0.25">
      <c r="A525" s="25"/>
    </row>
    <row r="526" spans="1:1" x14ac:dyDescent="0.25">
      <c r="A526" s="25"/>
    </row>
    <row r="527" spans="1:1" x14ac:dyDescent="0.25">
      <c r="A527" s="25"/>
    </row>
    <row r="528" spans="1:1" x14ac:dyDescent="0.25">
      <c r="A528" s="25"/>
    </row>
    <row r="529" spans="1:1" x14ac:dyDescent="0.25">
      <c r="A529" s="25"/>
    </row>
    <row r="530" spans="1:1" x14ac:dyDescent="0.25">
      <c r="A530" s="25"/>
    </row>
    <row r="531" spans="1:1" x14ac:dyDescent="0.25">
      <c r="A531" s="25"/>
    </row>
    <row r="532" spans="1:1" x14ac:dyDescent="0.25">
      <c r="A532" s="25"/>
    </row>
    <row r="533" spans="1:1" x14ac:dyDescent="0.25">
      <c r="A533" s="25"/>
    </row>
    <row r="534" spans="1:1" x14ac:dyDescent="0.25">
      <c r="A534" s="25"/>
    </row>
    <row r="535" spans="1:1" x14ac:dyDescent="0.25">
      <c r="A535" s="25"/>
    </row>
    <row r="536" spans="1:1" x14ac:dyDescent="0.25">
      <c r="A536" s="25"/>
    </row>
    <row r="537" spans="1:1" x14ac:dyDescent="0.25">
      <c r="A537" s="25"/>
    </row>
    <row r="538" spans="1:1" x14ac:dyDescent="0.25">
      <c r="A538" s="25"/>
    </row>
    <row r="539" spans="1:1" x14ac:dyDescent="0.25">
      <c r="A539" s="25"/>
    </row>
    <row r="540" spans="1:1" x14ac:dyDescent="0.25">
      <c r="A540" s="25"/>
    </row>
    <row r="541" spans="1:1" x14ac:dyDescent="0.25">
      <c r="A541" s="25"/>
    </row>
    <row r="542" spans="1:1" x14ac:dyDescent="0.25">
      <c r="A542" s="25"/>
    </row>
    <row r="543" spans="1:1" x14ac:dyDescent="0.25">
      <c r="A543" s="25"/>
    </row>
    <row r="544" spans="1:1" x14ac:dyDescent="0.25">
      <c r="A544" s="25"/>
    </row>
    <row r="545" spans="1:1" x14ac:dyDescent="0.25">
      <c r="A545" s="25"/>
    </row>
    <row r="546" spans="1:1" x14ac:dyDescent="0.25">
      <c r="A546" s="25"/>
    </row>
    <row r="547" spans="1:1" x14ac:dyDescent="0.25">
      <c r="A547" s="25"/>
    </row>
    <row r="548" spans="1:1" x14ac:dyDescent="0.25">
      <c r="A548" s="25"/>
    </row>
    <row r="549" spans="1:1" x14ac:dyDescent="0.25">
      <c r="A549" s="25"/>
    </row>
    <row r="550" spans="1:1" x14ac:dyDescent="0.25">
      <c r="A550" s="25"/>
    </row>
    <row r="551" spans="1:1" x14ac:dyDescent="0.25">
      <c r="A551" s="25"/>
    </row>
    <row r="552" spans="1:1" x14ac:dyDescent="0.25">
      <c r="A552" s="25"/>
    </row>
    <row r="553" spans="1:1" x14ac:dyDescent="0.25">
      <c r="A553" s="25"/>
    </row>
    <row r="554" spans="1:1" x14ac:dyDescent="0.25">
      <c r="A554" s="25"/>
    </row>
    <row r="555" spans="1:1" x14ac:dyDescent="0.25">
      <c r="A555" s="25"/>
    </row>
    <row r="556" spans="1:1" x14ac:dyDescent="0.25">
      <c r="A556" s="25"/>
    </row>
    <row r="557" spans="1:1" x14ac:dyDescent="0.25">
      <c r="A557" s="25"/>
    </row>
    <row r="558" spans="1:1" x14ac:dyDescent="0.25">
      <c r="A558" s="25"/>
    </row>
    <row r="559" spans="1:1" x14ac:dyDescent="0.25">
      <c r="A559" s="25"/>
    </row>
    <row r="560" spans="1:1" x14ac:dyDescent="0.25">
      <c r="A560" s="25"/>
    </row>
    <row r="561" spans="1:1" x14ac:dyDescent="0.25">
      <c r="A561" s="25"/>
    </row>
    <row r="562" spans="1:1" x14ac:dyDescent="0.25">
      <c r="A562" s="25"/>
    </row>
    <row r="563" spans="1:1" x14ac:dyDescent="0.25">
      <c r="A563" s="25"/>
    </row>
    <row r="564" spans="1:1" x14ac:dyDescent="0.25">
      <c r="A564" s="25"/>
    </row>
    <row r="565" spans="1:1" x14ac:dyDescent="0.25">
      <c r="A565" s="25"/>
    </row>
    <row r="566" spans="1:1" x14ac:dyDescent="0.25">
      <c r="A566" s="25"/>
    </row>
    <row r="567" spans="1:1" x14ac:dyDescent="0.25">
      <c r="A567" s="25"/>
    </row>
    <row r="568" spans="1:1" x14ac:dyDescent="0.25">
      <c r="A568" s="25"/>
    </row>
    <row r="569" spans="1:1" x14ac:dyDescent="0.25">
      <c r="A569" s="25"/>
    </row>
    <row r="570" spans="1:1" x14ac:dyDescent="0.25">
      <c r="A570" s="25"/>
    </row>
    <row r="571" spans="1:1" x14ac:dyDescent="0.25">
      <c r="A571" s="25"/>
    </row>
    <row r="572" spans="1:1" x14ac:dyDescent="0.25">
      <c r="A572" s="25"/>
    </row>
    <row r="573" spans="1:1" x14ac:dyDescent="0.25">
      <c r="A573" s="25"/>
    </row>
    <row r="574" spans="1:1" x14ac:dyDescent="0.25">
      <c r="A574" s="25"/>
    </row>
    <row r="575" spans="1:1" x14ac:dyDescent="0.25">
      <c r="A575" s="25"/>
    </row>
    <row r="576" spans="1:1" x14ac:dyDescent="0.25">
      <c r="A576" s="25"/>
    </row>
    <row r="577" spans="1:1" x14ac:dyDescent="0.25">
      <c r="A577" s="25"/>
    </row>
    <row r="578" spans="1:1" x14ac:dyDescent="0.25">
      <c r="A578" s="25"/>
    </row>
    <row r="579" spans="1:1" x14ac:dyDescent="0.25">
      <c r="A579" s="25"/>
    </row>
    <row r="580" spans="1:1" x14ac:dyDescent="0.25">
      <c r="A580" s="25"/>
    </row>
    <row r="581" spans="1:1" x14ac:dyDescent="0.25">
      <c r="A581" s="25"/>
    </row>
    <row r="582" spans="1:1" x14ac:dyDescent="0.25">
      <c r="A582" s="25"/>
    </row>
    <row r="583" spans="1:1" x14ac:dyDescent="0.25">
      <c r="A583" s="25"/>
    </row>
    <row r="584" spans="1:1" x14ac:dyDescent="0.25">
      <c r="A584" s="25"/>
    </row>
    <row r="585" spans="1:1" x14ac:dyDescent="0.25">
      <c r="A585" s="25"/>
    </row>
    <row r="586" spans="1:1" x14ac:dyDescent="0.25">
      <c r="A586" s="25"/>
    </row>
    <row r="587" spans="1:1" x14ac:dyDescent="0.25">
      <c r="A587" s="25"/>
    </row>
    <row r="588" spans="1:1" x14ac:dyDescent="0.25">
      <c r="A588" s="25"/>
    </row>
    <row r="589" spans="1:1" x14ac:dyDescent="0.25">
      <c r="A589" s="25"/>
    </row>
    <row r="590" spans="1:1" x14ac:dyDescent="0.25">
      <c r="A590" s="25"/>
    </row>
    <row r="591" spans="1:1" x14ac:dyDescent="0.25">
      <c r="A591" s="25"/>
    </row>
    <row r="592" spans="1:1" x14ac:dyDescent="0.25">
      <c r="A592" s="25"/>
    </row>
    <row r="593" spans="1:1" x14ac:dyDescent="0.25">
      <c r="A593" s="25"/>
    </row>
    <row r="594" spans="1:1" x14ac:dyDescent="0.25">
      <c r="A594" s="25"/>
    </row>
    <row r="595" spans="1:1" x14ac:dyDescent="0.25">
      <c r="A595" s="25"/>
    </row>
    <row r="596" spans="1:1" x14ac:dyDescent="0.25">
      <c r="A596" s="25"/>
    </row>
    <row r="597" spans="1:1" x14ac:dyDescent="0.25">
      <c r="A597" s="25"/>
    </row>
    <row r="598" spans="1:1" x14ac:dyDescent="0.25">
      <c r="A598" s="25"/>
    </row>
    <row r="599" spans="1:1" x14ac:dyDescent="0.25">
      <c r="A599" s="25"/>
    </row>
    <row r="600" spans="1:1" x14ac:dyDescent="0.25">
      <c r="A600" s="25"/>
    </row>
    <row r="601" spans="1:1" x14ac:dyDescent="0.25">
      <c r="A601" s="25"/>
    </row>
    <row r="602" spans="1:1" x14ac:dyDescent="0.25">
      <c r="A602" s="25"/>
    </row>
    <row r="603" spans="1:1" x14ac:dyDescent="0.25">
      <c r="A603" s="25"/>
    </row>
    <row r="604" spans="1:1" x14ac:dyDescent="0.25">
      <c r="A604" s="25"/>
    </row>
    <row r="605" spans="1:1" x14ac:dyDescent="0.25">
      <c r="A605" s="25"/>
    </row>
    <row r="606" spans="1:1" x14ac:dyDescent="0.25">
      <c r="A606" s="25"/>
    </row>
    <row r="607" spans="1:1" x14ac:dyDescent="0.25">
      <c r="A607" s="25"/>
    </row>
    <row r="608" spans="1:1" x14ac:dyDescent="0.25">
      <c r="A608" s="25"/>
    </row>
    <row r="609" spans="1:1" x14ac:dyDescent="0.25">
      <c r="A609" s="25"/>
    </row>
    <row r="610" spans="1:1" x14ac:dyDescent="0.25">
      <c r="A610" s="25"/>
    </row>
    <row r="611" spans="1:1" x14ac:dyDescent="0.25">
      <c r="A611" s="25"/>
    </row>
    <row r="612" spans="1:1" x14ac:dyDescent="0.25">
      <c r="A612" s="25"/>
    </row>
    <row r="613" spans="1:1" x14ac:dyDescent="0.25">
      <c r="A613" s="25"/>
    </row>
    <row r="614" spans="1:1" x14ac:dyDescent="0.25">
      <c r="A614" s="25"/>
    </row>
    <row r="615" spans="1:1" x14ac:dyDescent="0.25">
      <c r="A615" s="25"/>
    </row>
    <row r="616" spans="1:1" x14ac:dyDescent="0.25">
      <c r="A616" s="25"/>
    </row>
    <row r="617" spans="1:1" x14ac:dyDescent="0.25">
      <c r="A617" s="25"/>
    </row>
    <row r="618" spans="1:1" x14ac:dyDescent="0.25">
      <c r="A618" s="25"/>
    </row>
    <row r="619" spans="1:1" x14ac:dyDescent="0.25">
      <c r="A619" s="25"/>
    </row>
    <row r="620" spans="1:1" x14ac:dyDescent="0.25">
      <c r="A620" s="25"/>
    </row>
    <row r="621" spans="1:1" x14ac:dyDescent="0.25">
      <c r="A621" s="25"/>
    </row>
    <row r="622" spans="1:1" x14ac:dyDescent="0.25">
      <c r="A622" s="25"/>
    </row>
    <row r="623" spans="1:1" x14ac:dyDescent="0.25">
      <c r="A623" s="25"/>
    </row>
    <row r="624" spans="1:1" x14ac:dyDescent="0.25">
      <c r="A624" s="25"/>
    </row>
    <row r="625" spans="1:1" x14ac:dyDescent="0.25">
      <c r="A625" s="25"/>
    </row>
    <row r="626" spans="1:1" x14ac:dyDescent="0.25">
      <c r="A626" s="25"/>
    </row>
    <row r="627" spans="1:1" x14ac:dyDescent="0.25">
      <c r="A627" s="25"/>
    </row>
    <row r="628" spans="1:1" x14ac:dyDescent="0.25">
      <c r="A628" s="25"/>
    </row>
    <row r="629" spans="1:1" x14ac:dyDescent="0.25">
      <c r="A629" s="25"/>
    </row>
    <row r="630" spans="1:1" x14ac:dyDescent="0.25">
      <c r="A630" s="25"/>
    </row>
    <row r="631" spans="1:1" x14ac:dyDescent="0.25">
      <c r="A631" s="25"/>
    </row>
    <row r="632" spans="1:1" x14ac:dyDescent="0.25">
      <c r="A632" s="25"/>
    </row>
    <row r="633" spans="1:1" x14ac:dyDescent="0.25">
      <c r="A633" s="25"/>
    </row>
    <row r="634" spans="1:1" x14ac:dyDescent="0.25">
      <c r="A634" s="25"/>
    </row>
    <row r="635" spans="1:1" x14ac:dyDescent="0.25">
      <c r="A635" s="25"/>
    </row>
    <row r="636" spans="1:1" x14ac:dyDescent="0.25">
      <c r="A636" s="25"/>
    </row>
    <row r="637" spans="1:1" x14ac:dyDescent="0.25">
      <c r="A637" s="25"/>
    </row>
    <row r="638" spans="1:1" x14ac:dyDescent="0.25">
      <c r="A638" s="25"/>
    </row>
    <row r="639" spans="1:1" x14ac:dyDescent="0.25">
      <c r="A639" s="25"/>
    </row>
    <row r="640" spans="1:1" x14ac:dyDescent="0.25">
      <c r="A640" s="25"/>
    </row>
    <row r="641" spans="1:1" x14ac:dyDescent="0.25">
      <c r="A641" s="25"/>
    </row>
    <row r="642" spans="1:1" x14ac:dyDescent="0.25">
      <c r="A642" s="25"/>
    </row>
    <row r="643" spans="1:1" x14ac:dyDescent="0.25">
      <c r="A643" s="25"/>
    </row>
    <row r="644" spans="1:1" x14ac:dyDescent="0.25">
      <c r="A644" s="25"/>
    </row>
    <row r="645" spans="1:1" x14ac:dyDescent="0.25">
      <c r="A645" s="25"/>
    </row>
    <row r="646" spans="1:1" x14ac:dyDescent="0.25">
      <c r="A646" s="25"/>
    </row>
    <row r="647" spans="1:1" x14ac:dyDescent="0.25">
      <c r="A647" s="25"/>
    </row>
    <row r="648" spans="1:1" x14ac:dyDescent="0.25">
      <c r="A648" s="25"/>
    </row>
    <row r="649" spans="1:1" x14ac:dyDescent="0.25">
      <c r="A649" s="25"/>
    </row>
    <row r="650" spans="1:1" x14ac:dyDescent="0.25">
      <c r="A650" s="25"/>
    </row>
    <row r="651" spans="1:1" x14ac:dyDescent="0.25">
      <c r="A651" s="25"/>
    </row>
    <row r="652" spans="1:1" x14ac:dyDescent="0.25">
      <c r="A652" s="25"/>
    </row>
    <row r="653" spans="1:1" x14ac:dyDescent="0.25">
      <c r="A653" s="25"/>
    </row>
    <row r="654" spans="1:1" x14ac:dyDescent="0.25">
      <c r="A654" s="25"/>
    </row>
    <row r="655" spans="1:1" x14ac:dyDescent="0.25">
      <c r="A655" s="25"/>
    </row>
    <row r="656" spans="1:1" x14ac:dyDescent="0.25">
      <c r="A656" s="25"/>
    </row>
    <row r="657" spans="1:1" x14ac:dyDescent="0.25">
      <c r="A657" s="25"/>
    </row>
    <row r="658" spans="1:1" x14ac:dyDescent="0.25">
      <c r="A658" s="25"/>
    </row>
    <row r="659" spans="1:1" x14ac:dyDescent="0.25">
      <c r="A659" s="25"/>
    </row>
    <row r="660" spans="1:1" x14ac:dyDescent="0.25">
      <c r="A660" s="25"/>
    </row>
    <row r="661" spans="1:1" x14ac:dyDescent="0.25">
      <c r="A661" s="25"/>
    </row>
    <row r="662" spans="1:1" x14ac:dyDescent="0.25">
      <c r="A662" s="25"/>
    </row>
    <row r="663" spans="1:1" x14ac:dyDescent="0.25">
      <c r="A663" s="25"/>
    </row>
    <row r="664" spans="1:1" x14ac:dyDescent="0.25">
      <c r="A664" s="25"/>
    </row>
    <row r="665" spans="1:1" x14ac:dyDescent="0.25">
      <c r="A665" s="25"/>
    </row>
    <row r="666" spans="1:1" x14ac:dyDescent="0.25">
      <c r="A666" s="25"/>
    </row>
    <row r="667" spans="1:1" x14ac:dyDescent="0.25">
      <c r="A667" s="25"/>
    </row>
    <row r="668" spans="1:1" x14ac:dyDescent="0.25">
      <c r="A668" s="25"/>
    </row>
    <row r="669" spans="1:1" x14ac:dyDescent="0.25">
      <c r="A669" s="25"/>
    </row>
    <row r="670" spans="1:1" x14ac:dyDescent="0.25">
      <c r="A670" s="25"/>
    </row>
    <row r="671" spans="1:1" x14ac:dyDescent="0.25">
      <c r="A671" s="25"/>
    </row>
    <row r="672" spans="1:1" x14ac:dyDescent="0.25">
      <c r="A672" s="25"/>
    </row>
    <row r="673" spans="1:1" x14ac:dyDescent="0.25">
      <c r="A673" s="25"/>
    </row>
    <row r="674" spans="1:1" x14ac:dyDescent="0.25">
      <c r="A674" s="25"/>
    </row>
    <row r="675" spans="1:1" x14ac:dyDescent="0.25">
      <c r="A675" s="25"/>
    </row>
    <row r="676" spans="1:1" x14ac:dyDescent="0.25">
      <c r="A676" s="25"/>
    </row>
    <row r="677" spans="1:1" x14ac:dyDescent="0.25">
      <c r="A677" s="25"/>
    </row>
    <row r="678" spans="1:1" x14ac:dyDescent="0.25">
      <c r="A678" s="25"/>
    </row>
    <row r="679" spans="1:1" x14ac:dyDescent="0.25">
      <c r="A679" s="25"/>
    </row>
    <row r="680" spans="1:1" x14ac:dyDescent="0.25">
      <c r="A680" s="25"/>
    </row>
    <row r="681" spans="1:1" x14ac:dyDescent="0.25">
      <c r="A681" s="25"/>
    </row>
    <row r="682" spans="1:1" x14ac:dyDescent="0.25">
      <c r="A682" s="25"/>
    </row>
    <row r="683" spans="1:1" x14ac:dyDescent="0.25">
      <c r="A683" s="25"/>
    </row>
    <row r="684" spans="1:1" x14ac:dyDescent="0.25">
      <c r="A684" s="25"/>
    </row>
    <row r="685" spans="1:1" x14ac:dyDescent="0.25">
      <c r="A685" s="25"/>
    </row>
    <row r="686" spans="1:1" x14ac:dyDescent="0.25">
      <c r="A686" s="25"/>
    </row>
    <row r="687" spans="1:1" x14ac:dyDescent="0.25">
      <c r="A687" s="25"/>
    </row>
    <row r="688" spans="1:1" x14ac:dyDescent="0.25">
      <c r="A688" s="25"/>
    </row>
    <row r="689" spans="1:1" x14ac:dyDescent="0.25">
      <c r="A689" s="25"/>
    </row>
    <row r="690" spans="1:1" x14ac:dyDescent="0.25">
      <c r="A690" s="25"/>
    </row>
    <row r="691" spans="1:1" x14ac:dyDescent="0.25">
      <c r="A691" s="25"/>
    </row>
    <row r="692" spans="1:1" x14ac:dyDescent="0.25">
      <c r="A692" s="25"/>
    </row>
    <row r="693" spans="1:1" x14ac:dyDescent="0.25">
      <c r="A693" s="25"/>
    </row>
    <row r="694" spans="1:1" x14ac:dyDescent="0.25">
      <c r="A694" s="25"/>
    </row>
    <row r="695" spans="1:1" x14ac:dyDescent="0.25">
      <c r="A695" s="25"/>
    </row>
    <row r="696" spans="1:1" x14ac:dyDescent="0.25">
      <c r="A696" s="25"/>
    </row>
    <row r="697" spans="1:1" x14ac:dyDescent="0.25">
      <c r="A697" s="25"/>
    </row>
    <row r="698" spans="1:1" x14ac:dyDescent="0.25">
      <c r="A698" s="25"/>
    </row>
    <row r="699" spans="1:1" x14ac:dyDescent="0.25">
      <c r="A699" s="25"/>
    </row>
    <row r="700" spans="1:1" x14ac:dyDescent="0.25">
      <c r="A700" s="25"/>
    </row>
    <row r="701" spans="1:1" x14ac:dyDescent="0.25">
      <c r="A701" s="25"/>
    </row>
    <row r="702" spans="1:1" x14ac:dyDescent="0.25">
      <c r="A702" s="25"/>
    </row>
    <row r="703" spans="1:1" x14ac:dyDescent="0.25">
      <c r="A703" s="25"/>
    </row>
    <row r="704" spans="1:1" x14ac:dyDescent="0.25">
      <c r="A704" s="25"/>
    </row>
    <row r="705" spans="1:1" x14ac:dyDescent="0.25">
      <c r="A705" s="25"/>
    </row>
    <row r="706" spans="1:1" x14ac:dyDescent="0.25">
      <c r="A706" s="25"/>
    </row>
    <row r="707" spans="1:1" x14ac:dyDescent="0.25">
      <c r="A707" s="25"/>
    </row>
    <row r="708" spans="1:1" x14ac:dyDescent="0.25">
      <c r="A708" s="25"/>
    </row>
    <row r="709" spans="1:1" x14ac:dyDescent="0.25">
      <c r="A709" s="25"/>
    </row>
    <row r="710" spans="1:1" x14ac:dyDescent="0.25">
      <c r="A710" s="25"/>
    </row>
    <row r="711" spans="1:1" x14ac:dyDescent="0.25">
      <c r="A711" s="25"/>
    </row>
    <row r="712" spans="1:1" x14ac:dyDescent="0.25">
      <c r="A712" s="25"/>
    </row>
    <row r="713" spans="1:1" x14ac:dyDescent="0.25">
      <c r="A713" s="25"/>
    </row>
    <row r="714" spans="1:1" x14ac:dyDescent="0.25">
      <c r="A714" s="25"/>
    </row>
    <row r="715" spans="1:1" x14ac:dyDescent="0.25">
      <c r="A715" s="25"/>
    </row>
    <row r="716" spans="1:1" x14ac:dyDescent="0.25">
      <c r="A716" s="25"/>
    </row>
    <row r="717" spans="1:1" x14ac:dyDescent="0.25">
      <c r="A717" s="25"/>
    </row>
    <row r="718" spans="1:1" x14ac:dyDescent="0.25">
      <c r="A718" s="25"/>
    </row>
    <row r="719" spans="1:1" x14ac:dyDescent="0.25">
      <c r="A719" s="25"/>
    </row>
    <row r="720" spans="1:1" x14ac:dyDescent="0.25">
      <c r="A720" s="25"/>
    </row>
    <row r="721" spans="1:1" x14ac:dyDescent="0.25">
      <c r="A721" s="25"/>
    </row>
    <row r="722" spans="1:1" x14ac:dyDescent="0.25">
      <c r="A722" s="25"/>
    </row>
    <row r="723" spans="1:1" x14ac:dyDescent="0.25">
      <c r="A723" s="25"/>
    </row>
    <row r="724" spans="1:1" x14ac:dyDescent="0.25">
      <c r="A724" s="25"/>
    </row>
    <row r="725" spans="1:1" x14ac:dyDescent="0.25">
      <c r="A725" s="25"/>
    </row>
    <row r="726" spans="1:1" x14ac:dyDescent="0.25">
      <c r="A726" s="25"/>
    </row>
    <row r="727" spans="1:1" x14ac:dyDescent="0.25">
      <c r="A727" s="25"/>
    </row>
    <row r="728" spans="1:1" x14ac:dyDescent="0.25">
      <c r="A728" s="25"/>
    </row>
    <row r="729" spans="1:1" x14ac:dyDescent="0.25">
      <c r="A729" s="25"/>
    </row>
    <row r="730" spans="1:1" x14ac:dyDescent="0.25">
      <c r="A730" s="25"/>
    </row>
    <row r="731" spans="1:1" x14ac:dyDescent="0.25">
      <c r="A731" s="25"/>
    </row>
    <row r="732" spans="1:1" x14ac:dyDescent="0.25">
      <c r="A732" s="25"/>
    </row>
    <row r="733" spans="1:1" x14ac:dyDescent="0.25">
      <c r="A733" s="25"/>
    </row>
    <row r="734" spans="1:1" x14ac:dyDescent="0.25">
      <c r="A734" s="25"/>
    </row>
    <row r="735" spans="1:1" x14ac:dyDescent="0.25">
      <c r="A735" s="25"/>
    </row>
    <row r="736" spans="1:1" x14ac:dyDescent="0.25">
      <c r="A736" s="25"/>
    </row>
    <row r="737" spans="1:1" x14ac:dyDescent="0.25">
      <c r="A737" s="25"/>
    </row>
    <row r="738" spans="1:1" x14ac:dyDescent="0.25">
      <c r="A738" s="25"/>
    </row>
    <row r="739" spans="1:1" x14ac:dyDescent="0.25">
      <c r="A739" s="25"/>
    </row>
    <row r="740" spans="1:1" x14ac:dyDescent="0.25">
      <c r="A740" s="25"/>
    </row>
    <row r="741" spans="1:1" x14ac:dyDescent="0.25">
      <c r="A741" s="25"/>
    </row>
    <row r="742" spans="1:1" x14ac:dyDescent="0.25">
      <c r="A742" s="25"/>
    </row>
    <row r="743" spans="1:1" x14ac:dyDescent="0.25">
      <c r="A743" s="25"/>
    </row>
    <row r="744" spans="1:1" x14ac:dyDescent="0.25">
      <c r="A744" s="25"/>
    </row>
    <row r="745" spans="1:1" x14ac:dyDescent="0.25">
      <c r="A745" s="25"/>
    </row>
    <row r="746" spans="1:1" x14ac:dyDescent="0.25">
      <c r="A746" s="25"/>
    </row>
    <row r="747" spans="1:1" x14ac:dyDescent="0.25">
      <c r="A747" s="25"/>
    </row>
    <row r="748" spans="1:1" x14ac:dyDescent="0.25">
      <c r="A748" s="25"/>
    </row>
    <row r="749" spans="1:1" x14ac:dyDescent="0.25">
      <c r="A749" s="25"/>
    </row>
    <row r="750" spans="1:1" x14ac:dyDescent="0.25">
      <c r="A750" s="25"/>
    </row>
    <row r="751" spans="1:1" x14ac:dyDescent="0.25">
      <c r="A751" s="25"/>
    </row>
    <row r="752" spans="1:1" x14ac:dyDescent="0.25">
      <c r="A752" s="25"/>
    </row>
    <row r="753" spans="1:1" x14ac:dyDescent="0.25">
      <c r="A753" s="25"/>
    </row>
    <row r="754" spans="1:1" x14ac:dyDescent="0.25">
      <c r="A754" s="25"/>
    </row>
    <row r="755" spans="1:1" x14ac:dyDescent="0.25">
      <c r="A755" s="25"/>
    </row>
    <row r="756" spans="1:1" x14ac:dyDescent="0.25">
      <c r="A756" s="25"/>
    </row>
    <row r="757" spans="1:1" x14ac:dyDescent="0.25">
      <c r="A757" s="25"/>
    </row>
    <row r="758" spans="1:1" x14ac:dyDescent="0.25">
      <c r="A758" s="25"/>
    </row>
    <row r="759" spans="1:1" x14ac:dyDescent="0.25">
      <c r="A759" s="25"/>
    </row>
    <row r="760" spans="1:1" x14ac:dyDescent="0.25">
      <c r="A760" s="25"/>
    </row>
    <row r="761" spans="1:1" x14ac:dyDescent="0.25">
      <c r="A761" s="25"/>
    </row>
    <row r="762" spans="1:1" x14ac:dyDescent="0.25">
      <c r="A762" s="25"/>
    </row>
    <row r="763" spans="1:1" x14ac:dyDescent="0.25">
      <c r="A763" s="25"/>
    </row>
    <row r="764" spans="1:1" x14ac:dyDescent="0.25">
      <c r="A764" s="25"/>
    </row>
    <row r="765" spans="1:1" x14ac:dyDescent="0.25">
      <c r="A765" s="25"/>
    </row>
    <row r="766" spans="1:1" x14ac:dyDescent="0.25">
      <c r="A766" s="25"/>
    </row>
    <row r="767" spans="1:1" x14ac:dyDescent="0.25">
      <c r="A767" s="25"/>
    </row>
    <row r="768" spans="1:1" x14ac:dyDescent="0.25">
      <c r="A768" s="25"/>
    </row>
    <row r="769" spans="1:1" x14ac:dyDescent="0.25">
      <c r="A769" s="25"/>
    </row>
    <row r="770" spans="1:1" x14ac:dyDescent="0.25">
      <c r="A770" s="25"/>
    </row>
    <row r="771" spans="1:1" x14ac:dyDescent="0.25">
      <c r="A771" s="25"/>
    </row>
    <row r="772" spans="1:1" x14ac:dyDescent="0.25">
      <c r="A772" s="25"/>
    </row>
    <row r="773" spans="1:1" x14ac:dyDescent="0.25">
      <c r="A773" s="25"/>
    </row>
    <row r="774" spans="1:1" x14ac:dyDescent="0.25">
      <c r="A774" s="25"/>
    </row>
    <row r="775" spans="1:1" x14ac:dyDescent="0.25">
      <c r="A775" s="25"/>
    </row>
    <row r="776" spans="1:1" x14ac:dyDescent="0.25">
      <c r="A776" s="25"/>
    </row>
    <row r="777" spans="1:1" x14ac:dyDescent="0.25">
      <c r="A777" s="25"/>
    </row>
    <row r="778" spans="1:1" x14ac:dyDescent="0.25">
      <c r="A778" s="25"/>
    </row>
    <row r="779" spans="1:1" x14ac:dyDescent="0.25">
      <c r="A779" s="25"/>
    </row>
    <row r="780" spans="1:1" x14ac:dyDescent="0.25">
      <c r="A780" s="25"/>
    </row>
    <row r="781" spans="1:1" x14ac:dyDescent="0.25">
      <c r="A781" s="25"/>
    </row>
    <row r="782" spans="1:1" x14ac:dyDescent="0.25">
      <c r="A782" s="25"/>
    </row>
    <row r="783" spans="1:1" x14ac:dyDescent="0.25">
      <c r="A783" s="25"/>
    </row>
    <row r="784" spans="1:1" x14ac:dyDescent="0.25">
      <c r="A784" s="25"/>
    </row>
    <row r="785" spans="1:1" x14ac:dyDescent="0.25">
      <c r="A785" s="25"/>
    </row>
    <row r="786" spans="1:1" x14ac:dyDescent="0.25">
      <c r="A786" s="25"/>
    </row>
    <row r="787" spans="1:1" x14ac:dyDescent="0.25">
      <c r="A787" s="25"/>
    </row>
    <row r="788" spans="1:1" x14ac:dyDescent="0.25">
      <c r="A788" s="25"/>
    </row>
    <row r="789" spans="1:1" x14ac:dyDescent="0.25">
      <c r="A789" s="25"/>
    </row>
    <row r="790" spans="1:1" x14ac:dyDescent="0.25">
      <c r="A790" s="25"/>
    </row>
    <row r="791" spans="1:1" x14ac:dyDescent="0.25">
      <c r="A791" s="25"/>
    </row>
    <row r="792" spans="1:1" x14ac:dyDescent="0.25">
      <c r="A792" s="25"/>
    </row>
    <row r="793" spans="1:1" x14ac:dyDescent="0.25">
      <c r="A793" s="25"/>
    </row>
    <row r="794" spans="1:1" x14ac:dyDescent="0.25">
      <c r="A794" s="25"/>
    </row>
    <row r="795" spans="1:1" x14ac:dyDescent="0.25">
      <c r="A795" s="25"/>
    </row>
    <row r="796" spans="1:1" x14ac:dyDescent="0.25">
      <c r="A796" s="25"/>
    </row>
    <row r="797" spans="1:1" x14ac:dyDescent="0.25">
      <c r="A797" s="25"/>
    </row>
    <row r="798" spans="1:1" x14ac:dyDescent="0.25">
      <c r="A798" s="25"/>
    </row>
    <row r="799" spans="1:1" x14ac:dyDescent="0.25">
      <c r="A799" s="25"/>
    </row>
    <row r="800" spans="1:1" x14ac:dyDescent="0.25">
      <c r="A800" s="25"/>
    </row>
    <row r="801" spans="1:1" x14ac:dyDescent="0.25">
      <c r="A801" s="25"/>
    </row>
    <row r="802" spans="1:1" x14ac:dyDescent="0.25">
      <c r="A802" s="25"/>
    </row>
    <row r="803" spans="1:1" x14ac:dyDescent="0.25">
      <c r="A803" s="25"/>
    </row>
    <row r="804" spans="1:1" x14ac:dyDescent="0.25">
      <c r="A804" s="25"/>
    </row>
    <row r="805" spans="1:1" x14ac:dyDescent="0.25">
      <c r="A805" s="25"/>
    </row>
    <row r="806" spans="1:1" x14ac:dyDescent="0.25">
      <c r="A806" s="25"/>
    </row>
    <row r="807" spans="1:1" x14ac:dyDescent="0.25">
      <c r="A807" s="25"/>
    </row>
    <row r="808" spans="1:1" x14ac:dyDescent="0.25">
      <c r="A808" s="25"/>
    </row>
    <row r="809" spans="1:1" x14ac:dyDescent="0.25">
      <c r="A809" s="25"/>
    </row>
    <row r="810" spans="1:1" x14ac:dyDescent="0.25">
      <c r="A810" s="25"/>
    </row>
    <row r="811" spans="1:1" x14ac:dyDescent="0.25">
      <c r="A811" s="25"/>
    </row>
    <row r="812" spans="1:1" x14ac:dyDescent="0.25">
      <c r="A812" s="25"/>
    </row>
    <row r="813" spans="1:1" x14ac:dyDescent="0.25">
      <c r="A813" s="25"/>
    </row>
    <row r="814" spans="1:1" x14ac:dyDescent="0.25">
      <c r="A814" s="25"/>
    </row>
    <row r="815" spans="1:1" x14ac:dyDescent="0.25">
      <c r="A815" s="25"/>
    </row>
    <row r="816" spans="1:1" x14ac:dyDescent="0.25">
      <c r="A816" s="25"/>
    </row>
    <row r="817" spans="1:1" x14ac:dyDescent="0.25">
      <c r="A817" s="25"/>
    </row>
    <row r="818" spans="1:1" x14ac:dyDescent="0.25">
      <c r="A818" s="25"/>
    </row>
    <row r="819" spans="1:1" x14ac:dyDescent="0.25">
      <c r="A819" s="25"/>
    </row>
    <row r="820" spans="1:1" x14ac:dyDescent="0.25">
      <c r="A820" s="25"/>
    </row>
    <row r="821" spans="1:1" x14ac:dyDescent="0.25">
      <c r="A821" s="25"/>
    </row>
    <row r="822" spans="1:1" x14ac:dyDescent="0.25">
      <c r="A822" s="25"/>
    </row>
    <row r="823" spans="1:1" x14ac:dyDescent="0.25">
      <c r="A823" s="25"/>
    </row>
    <row r="824" spans="1:1" x14ac:dyDescent="0.25">
      <c r="A824" s="25"/>
    </row>
    <row r="825" spans="1:1" x14ac:dyDescent="0.25">
      <c r="A825" s="25"/>
    </row>
    <row r="826" spans="1:1" x14ac:dyDescent="0.25">
      <c r="A826" s="25"/>
    </row>
    <row r="827" spans="1:1" x14ac:dyDescent="0.25">
      <c r="A827" s="25"/>
    </row>
    <row r="828" spans="1:1" x14ac:dyDescent="0.25">
      <c r="A828" s="25"/>
    </row>
    <row r="829" spans="1:1" x14ac:dyDescent="0.25">
      <c r="A829" s="25"/>
    </row>
    <row r="830" spans="1:1" x14ac:dyDescent="0.25">
      <c r="A830" s="25"/>
    </row>
    <row r="831" spans="1:1" x14ac:dyDescent="0.25">
      <c r="A831" s="25"/>
    </row>
    <row r="832" spans="1:1" x14ac:dyDescent="0.25">
      <c r="A832" s="25"/>
    </row>
    <row r="833" spans="1:1" x14ac:dyDescent="0.25">
      <c r="A833" s="25"/>
    </row>
    <row r="834" spans="1:1" x14ac:dyDescent="0.25">
      <c r="A834" s="25"/>
    </row>
    <row r="835" spans="1:1" x14ac:dyDescent="0.25">
      <c r="A835" s="25"/>
    </row>
    <row r="836" spans="1:1" x14ac:dyDescent="0.25">
      <c r="A836" s="25"/>
    </row>
    <row r="837" spans="1:1" x14ac:dyDescent="0.25">
      <c r="A837" s="25"/>
    </row>
    <row r="838" spans="1:1" x14ac:dyDescent="0.25">
      <c r="A838" s="25"/>
    </row>
    <row r="839" spans="1:1" x14ac:dyDescent="0.25">
      <c r="A839" s="25"/>
    </row>
    <row r="840" spans="1:1" x14ac:dyDescent="0.25">
      <c r="A840" s="25"/>
    </row>
    <row r="841" spans="1:1" x14ac:dyDescent="0.25">
      <c r="A841" s="25"/>
    </row>
    <row r="842" spans="1:1" x14ac:dyDescent="0.25">
      <c r="A842" s="25"/>
    </row>
    <row r="843" spans="1:1" x14ac:dyDescent="0.25">
      <c r="A843" s="25"/>
    </row>
    <row r="844" spans="1:1" x14ac:dyDescent="0.25">
      <c r="A844" s="25"/>
    </row>
    <row r="845" spans="1:1" x14ac:dyDescent="0.25">
      <c r="A845" s="25"/>
    </row>
    <row r="846" spans="1:1" x14ac:dyDescent="0.25">
      <c r="A846" s="25"/>
    </row>
    <row r="847" spans="1:1" x14ac:dyDescent="0.25">
      <c r="A847" s="25"/>
    </row>
    <row r="848" spans="1:1" x14ac:dyDescent="0.25">
      <c r="A848" s="25"/>
    </row>
    <row r="849" spans="1:1" x14ac:dyDescent="0.25">
      <c r="A849" s="25"/>
    </row>
    <row r="850" spans="1:1" x14ac:dyDescent="0.25">
      <c r="A850" s="25"/>
    </row>
    <row r="851" spans="1:1" x14ac:dyDescent="0.25">
      <c r="A851" s="25"/>
    </row>
    <row r="852" spans="1:1" x14ac:dyDescent="0.25">
      <c r="A852" s="25"/>
    </row>
    <row r="853" spans="1:1" x14ac:dyDescent="0.25">
      <c r="A853" s="25"/>
    </row>
    <row r="854" spans="1:1" x14ac:dyDescent="0.25">
      <c r="A854" s="25"/>
    </row>
    <row r="855" spans="1:1" x14ac:dyDescent="0.25">
      <c r="A855" s="25"/>
    </row>
    <row r="856" spans="1:1" x14ac:dyDescent="0.25">
      <c r="A856" s="25"/>
    </row>
    <row r="857" spans="1:1" x14ac:dyDescent="0.25">
      <c r="A857" s="25"/>
    </row>
    <row r="858" spans="1:1" x14ac:dyDescent="0.25">
      <c r="A858" s="25"/>
    </row>
    <row r="859" spans="1:1" x14ac:dyDescent="0.25">
      <c r="A859" s="25"/>
    </row>
    <row r="860" spans="1:1" x14ac:dyDescent="0.25">
      <c r="A860" s="25"/>
    </row>
    <row r="861" spans="1:1" x14ac:dyDescent="0.25">
      <c r="A861" s="25"/>
    </row>
    <row r="862" spans="1:1" x14ac:dyDescent="0.25">
      <c r="A862" s="25"/>
    </row>
    <row r="863" spans="1:1" x14ac:dyDescent="0.25">
      <c r="A863" s="25"/>
    </row>
    <row r="864" spans="1:1" x14ac:dyDescent="0.25">
      <c r="A864" s="25"/>
    </row>
    <row r="865" spans="1:1" x14ac:dyDescent="0.25">
      <c r="A865" s="25"/>
    </row>
    <row r="866" spans="1:1" x14ac:dyDescent="0.25">
      <c r="A866" s="25"/>
    </row>
    <row r="867" spans="1:1" x14ac:dyDescent="0.25">
      <c r="A867" s="25"/>
    </row>
    <row r="868" spans="1:1" x14ac:dyDescent="0.25">
      <c r="A868" s="25"/>
    </row>
    <row r="869" spans="1:1" x14ac:dyDescent="0.25">
      <c r="A869" s="25"/>
    </row>
    <row r="870" spans="1:1" x14ac:dyDescent="0.25">
      <c r="A870" s="25"/>
    </row>
    <row r="871" spans="1:1" x14ac:dyDescent="0.25">
      <c r="A871" s="25"/>
    </row>
    <row r="872" spans="1:1" x14ac:dyDescent="0.25">
      <c r="A872" s="25"/>
    </row>
    <row r="873" spans="1:1" x14ac:dyDescent="0.25">
      <c r="A873" s="25"/>
    </row>
    <row r="874" spans="1:1" x14ac:dyDescent="0.25">
      <c r="A874" s="25"/>
    </row>
    <row r="875" spans="1:1" x14ac:dyDescent="0.25">
      <c r="A875" s="25"/>
    </row>
    <row r="876" spans="1:1" x14ac:dyDescent="0.25">
      <c r="A876" s="25"/>
    </row>
    <row r="877" spans="1:1" x14ac:dyDescent="0.25">
      <c r="A877" s="25"/>
    </row>
    <row r="878" spans="1:1" x14ac:dyDescent="0.25">
      <c r="A878" s="25"/>
    </row>
    <row r="879" spans="1:1" x14ac:dyDescent="0.25">
      <c r="A879" s="25"/>
    </row>
    <row r="880" spans="1:1" x14ac:dyDescent="0.25">
      <c r="A880" s="25"/>
    </row>
    <row r="881" spans="1:1" x14ac:dyDescent="0.25">
      <c r="A881" s="25"/>
    </row>
    <row r="882" spans="1:1" x14ac:dyDescent="0.25">
      <c r="A882" s="25"/>
    </row>
    <row r="883" spans="1:1" x14ac:dyDescent="0.25">
      <c r="A883" s="25"/>
    </row>
    <row r="884" spans="1:1" x14ac:dyDescent="0.25">
      <c r="A884" s="25"/>
    </row>
    <row r="885" spans="1:1" x14ac:dyDescent="0.25">
      <c r="A885" s="25"/>
    </row>
    <row r="886" spans="1:1" x14ac:dyDescent="0.25">
      <c r="A886" s="25"/>
    </row>
    <row r="887" spans="1:1" x14ac:dyDescent="0.25">
      <c r="A887" s="25"/>
    </row>
    <row r="888" spans="1:1" x14ac:dyDescent="0.25">
      <c r="A888" s="25"/>
    </row>
    <row r="889" spans="1:1" x14ac:dyDescent="0.25">
      <c r="A889" s="25"/>
    </row>
    <row r="890" spans="1:1" x14ac:dyDescent="0.25">
      <c r="A890" s="25"/>
    </row>
    <row r="891" spans="1:1" x14ac:dyDescent="0.25">
      <c r="A891" s="25"/>
    </row>
    <row r="892" spans="1:1" x14ac:dyDescent="0.25">
      <c r="A892" s="25"/>
    </row>
    <row r="893" spans="1:1" x14ac:dyDescent="0.25">
      <c r="A893" s="25"/>
    </row>
    <row r="894" spans="1:1" x14ac:dyDescent="0.25">
      <c r="A894" s="25"/>
    </row>
    <row r="895" spans="1:1" x14ac:dyDescent="0.25">
      <c r="A895" s="25"/>
    </row>
    <row r="896" spans="1:1" x14ac:dyDescent="0.25">
      <c r="A896" s="25"/>
    </row>
    <row r="897" spans="1:1" x14ac:dyDescent="0.25">
      <c r="A897" s="25"/>
    </row>
    <row r="898" spans="1:1" x14ac:dyDescent="0.25">
      <c r="A898" s="25"/>
    </row>
    <row r="899" spans="1:1" x14ac:dyDescent="0.25">
      <c r="A899" s="25"/>
    </row>
    <row r="900" spans="1:1" x14ac:dyDescent="0.25">
      <c r="A900" s="25"/>
    </row>
    <row r="901" spans="1:1" x14ac:dyDescent="0.25">
      <c r="A901" s="25"/>
    </row>
    <row r="902" spans="1:1" x14ac:dyDescent="0.25">
      <c r="A902" s="25"/>
    </row>
    <row r="903" spans="1:1" x14ac:dyDescent="0.25">
      <c r="A903" s="25"/>
    </row>
    <row r="904" spans="1:1" x14ac:dyDescent="0.25">
      <c r="A904" s="25"/>
    </row>
    <row r="905" spans="1:1" x14ac:dyDescent="0.25">
      <c r="A905" s="25"/>
    </row>
    <row r="906" spans="1:1" x14ac:dyDescent="0.25">
      <c r="A906" s="25"/>
    </row>
    <row r="907" spans="1:1" x14ac:dyDescent="0.25">
      <c r="A907" s="25"/>
    </row>
    <row r="908" spans="1:1" x14ac:dyDescent="0.25">
      <c r="A908" s="25"/>
    </row>
    <row r="909" spans="1:1" x14ac:dyDescent="0.25">
      <c r="A909" s="25"/>
    </row>
    <row r="910" spans="1:1" x14ac:dyDescent="0.25">
      <c r="A910" s="25"/>
    </row>
    <row r="911" spans="1:1" x14ac:dyDescent="0.25">
      <c r="A911" s="25"/>
    </row>
    <row r="912" spans="1:1" x14ac:dyDescent="0.25">
      <c r="A912" s="25"/>
    </row>
    <row r="913" spans="1:1" x14ac:dyDescent="0.25">
      <c r="A913" s="25"/>
    </row>
    <row r="914" spans="1:1" x14ac:dyDescent="0.25">
      <c r="A914" s="25"/>
    </row>
    <row r="915" spans="1:1" x14ac:dyDescent="0.25">
      <c r="A915" s="25"/>
    </row>
    <row r="916" spans="1:1" x14ac:dyDescent="0.25">
      <c r="A916" s="25"/>
    </row>
    <row r="917" spans="1:1" x14ac:dyDescent="0.25">
      <c r="A917" s="25"/>
    </row>
    <row r="918" spans="1:1" x14ac:dyDescent="0.25">
      <c r="A918" s="25"/>
    </row>
    <row r="919" spans="1:1" x14ac:dyDescent="0.25">
      <c r="A919" s="25"/>
    </row>
    <row r="920" spans="1:1" x14ac:dyDescent="0.25">
      <c r="A920" s="25"/>
    </row>
    <row r="921" spans="1:1" x14ac:dyDescent="0.25">
      <c r="A921" s="25"/>
    </row>
    <row r="922" spans="1:1" x14ac:dyDescent="0.25">
      <c r="A922" s="25"/>
    </row>
    <row r="923" spans="1:1" x14ac:dyDescent="0.25">
      <c r="A923" s="25"/>
    </row>
    <row r="924" spans="1:1" x14ac:dyDescent="0.25">
      <c r="A924" s="25"/>
    </row>
    <row r="925" spans="1:1" x14ac:dyDescent="0.25">
      <c r="A925" s="25"/>
    </row>
    <row r="926" spans="1:1" x14ac:dyDescent="0.25">
      <c r="A926" s="25"/>
    </row>
    <row r="927" spans="1:1" x14ac:dyDescent="0.25">
      <c r="A927" s="25"/>
    </row>
    <row r="928" spans="1:1" x14ac:dyDescent="0.25">
      <c r="A928" s="25"/>
    </row>
    <row r="929" spans="1:1" x14ac:dyDescent="0.25">
      <c r="A929" s="25"/>
    </row>
    <row r="930" spans="1:1" x14ac:dyDescent="0.25">
      <c r="A930" s="25"/>
    </row>
    <row r="931" spans="1:1" x14ac:dyDescent="0.25">
      <c r="A931" s="25"/>
    </row>
    <row r="932" spans="1:1" x14ac:dyDescent="0.25">
      <c r="A932" s="25"/>
    </row>
    <row r="933" spans="1:1" x14ac:dyDescent="0.25">
      <c r="A933" s="25"/>
    </row>
    <row r="934" spans="1:1" x14ac:dyDescent="0.25">
      <c r="A934" s="25"/>
    </row>
    <row r="935" spans="1:1" x14ac:dyDescent="0.25">
      <c r="A935" s="25"/>
    </row>
    <row r="936" spans="1:1" x14ac:dyDescent="0.25">
      <c r="A936" s="25"/>
    </row>
    <row r="937" spans="1:1" x14ac:dyDescent="0.25">
      <c r="A937" s="25"/>
    </row>
    <row r="938" spans="1:1" x14ac:dyDescent="0.25">
      <c r="A938" s="25"/>
    </row>
    <row r="939" spans="1:1" x14ac:dyDescent="0.25">
      <c r="A939" s="25"/>
    </row>
    <row r="940" spans="1:1" x14ac:dyDescent="0.25">
      <c r="A940" s="25"/>
    </row>
    <row r="941" spans="1:1" x14ac:dyDescent="0.25">
      <c r="A941" s="25"/>
    </row>
    <row r="942" spans="1:1" x14ac:dyDescent="0.25">
      <c r="A942" s="25"/>
    </row>
    <row r="943" spans="1:1" x14ac:dyDescent="0.25">
      <c r="A943" s="25"/>
    </row>
    <row r="944" spans="1:1" x14ac:dyDescent="0.25">
      <c r="A944" s="25"/>
    </row>
    <row r="945" spans="1:1" x14ac:dyDescent="0.25">
      <c r="A945" s="25"/>
    </row>
    <row r="946" spans="1:1" x14ac:dyDescent="0.25">
      <c r="A946" s="25"/>
    </row>
    <row r="947" spans="1:1" x14ac:dyDescent="0.25">
      <c r="A947" s="25"/>
    </row>
    <row r="948" spans="1:1" x14ac:dyDescent="0.25">
      <c r="A948" s="25"/>
    </row>
    <row r="949" spans="1:1" x14ac:dyDescent="0.25">
      <c r="A949" s="25"/>
    </row>
    <row r="950" spans="1:1" x14ac:dyDescent="0.25">
      <c r="A950" s="25"/>
    </row>
    <row r="951" spans="1:1" x14ac:dyDescent="0.25">
      <c r="A951" s="25"/>
    </row>
    <row r="952" spans="1:1" x14ac:dyDescent="0.25">
      <c r="A952" s="25"/>
    </row>
    <row r="953" spans="1:1" x14ac:dyDescent="0.25">
      <c r="A953" s="25"/>
    </row>
    <row r="954" spans="1:1" x14ac:dyDescent="0.25">
      <c r="A954" s="25"/>
    </row>
    <row r="955" spans="1:1" x14ac:dyDescent="0.25">
      <c r="A955" s="25"/>
    </row>
    <row r="956" spans="1:1" x14ac:dyDescent="0.25">
      <c r="A956" s="25"/>
    </row>
    <row r="957" spans="1:1" x14ac:dyDescent="0.25">
      <c r="A957" s="25"/>
    </row>
    <row r="958" spans="1:1" x14ac:dyDescent="0.25">
      <c r="A958" s="25"/>
    </row>
    <row r="959" spans="1:1" x14ac:dyDescent="0.25">
      <c r="A959" s="25"/>
    </row>
    <row r="960" spans="1:1" x14ac:dyDescent="0.25">
      <c r="A960" s="25"/>
    </row>
    <row r="961" spans="1:1" x14ac:dyDescent="0.25">
      <c r="A961" s="25"/>
    </row>
    <row r="962" spans="1:1" x14ac:dyDescent="0.25">
      <c r="A962" s="25"/>
    </row>
    <row r="963" spans="1:1" x14ac:dyDescent="0.25">
      <c r="A963" s="25"/>
    </row>
    <row r="964" spans="1:1" x14ac:dyDescent="0.25">
      <c r="A964" s="25"/>
    </row>
    <row r="965" spans="1:1" x14ac:dyDescent="0.25">
      <c r="A965" s="25"/>
    </row>
    <row r="966" spans="1:1" x14ac:dyDescent="0.25">
      <c r="A966" s="25"/>
    </row>
    <row r="967" spans="1:1" x14ac:dyDescent="0.25">
      <c r="A967" s="25"/>
    </row>
    <row r="968" spans="1:1" x14ac:dyDescent="0.25">
      <c r="A968" s="25"/>
    </row>
    <row r="969" spans="1:1" x14ac:dyDescent="0.25">
      <c r="A969" s="25"/>
    </row>
    <row r="970" spans="1:1" x14ac:dyDescent="0.25">
      <c r="A970" s="25"/>
    </row>
    <row r="971" spans="1:1" x14ac:dyDescent="0.25">
      <c r="A971" s="25"/>
    </row>
    <row r="972" spans="1:1" x14ac:dyDescent="0.25">
      <c r="A972" s="25"/>
    </row>
    <row r="973" spans="1:1" x14ac:dyDescent="0.25">
      <c r="A973" s="25"/>
    </row>
    <row r="974" spans="1:1" x14ac:dyDescent="0.25">
      <c r="A974" s="25"/>
    </row>
    <row r="975" spans="1:1" x14ac:dyDescent="0.25">
      <c r="A975" s="25"/>
    </row>
    <row r="976" spans="1:1" x14ac:dyDescent="0.25">
      <c r="A976" s="25"/>
    </row>
    <row r="977" spans="1:1" x14ac:dyDescent="0.25">
      <c r="A977" s="25"/>
    </row>
    <row r="978" spans="1:1" x14ac:dyDescent="0.25">
      <c r="A978" s="25"/>
    </row>
    <row r="979" spans="1:1" x14ac:dyDescent="0.25">
      <c r="A979" s="25"/>
    </row>
    <row r="980" spans="1:1" x14ac:dyDescent="0.25">
      <c r="A980" s="25"/>
    </row>
    <row r="981" spans="1:1" x14ac:dyDescent="0.25">
      <c r="A981" s="25"/>
    </row>
    <row r="982" spans="1:1" x14ac:dyDescent="0.25">
      <c r="A982" s="25"/>
    </row>
    <row r="983" spans="1:1" x14ac:dyDescent="0.25">
      <c r="A983" s="25"/>
    </row>
    <row r="984" spans="1:1" x14ac:dyDescent="0.25">
      <c r="A984" s="25"/>
    </row>
    <row r="985" spans="1:1" x14ac:dyDescent="0.25">
      <c r="A985" s="25"/>
    </row>
    <row r="986" spans="1:1" x14ac:dyDescent="0.25">
      <c r="A986" s="25"/>
    </row>
    <row r="987" spans="1:1" x14ac:dyDescent="0.25">
      <c r="A987" s="25"/>
    </row>
    <row r="988" spans="1:1" x14ac:dyDescent="0.25">
      <c r="A988" s="25"/>
    </row>
    <row r="989" spans="1:1" x14ac:dyDescent="0.25">
      <c r="A989" s="25"/>
    </row>
    <row r="990" spans="1:1" x14ac:dyDescent="0.25">
      <c r="A990" s="25"/>
    </row>
    <row r="991" spans="1:1" x14ac:dyDescent="0.25">
      <c r="A991" s="25"/>
    </row>
    <row r="992" spans="1:1" x14ac:dyDescent="0.25">
      <c r="A992" s="25"/>
    </row>
    <row r="993" spans="1:1" x14ac:dyDescent="0.25">
      <c r="A993" s="25"/>
    </row>
    <row r="994" spans="1:1" x14ac:dyDescent="0.25">
      <c r="A994" s="25"/>
    </row>
    <row r="995" spans="1:1" x14ac:dyDescent="0.25">
      <c r="A995" s="25"/>
    </row>
    <row r="996" spans="1:1" x14ac:dyDescent="0.25">
      <c r="A996" s="25"/>
    </row>
    <row r="997" spans="1:1" x14ac:dyDescent="0.25">
      <c r="A997" s="25"/>
    </row>
    <row r="998" spans="1:1" x14ac:dyDescent="0.25">
      <c r="A998" s="25"/>
    </row>
    <row r="999" spans="1:1" x14ac:dyDescent="0.25">
      <c r="A999" s="25"/>
    </row>
    <row r="1000" spans="1:1" x14ac:dyDescent="0.25">
      <c r="A1000" s="25"/>
    </row>
    <row r="1001" spans="1:1" x14ac:dyDescent="0.25">
      <c r="A1001" s="25"/>
    </row>
    <row r="1002" spans="1:1" x14ac:dyDescent="0.25">
      <c r="A1002" s="25"/>
    </row>
    <row r="1003" spans="1:1" x14ac:dyDescent="0.25">
      <c r="A1003" s="25"/>
    </row>
    <row r="1004" spans="1:1" x14ac:dyDescent="0.25">
      <c r="A1004" s="25"/>
    </row>
    <row r="1005" spans="1:1" x14ac:dyDescent="0.25">
      <c r="A1005" s="25"/>
    </row>
    <row r="1006" spans="1:1" x14ac:dyDescent="0.25">
      <c r="A1006" s="25"/>
    </row>
    <row r="1007" spans="1:1" x14ac:dyDescent="0.25">
      <c r="A1007" s="25"/>
    </row>
    <row r="1008" spans="1:1" x14ac:dyDescent="0.25">
      <c r="A1008" s="25"/>
    </row>
    <row r="1009" spans="1:1" x14ac:dyDescent="0.25">
      <c r="A1009" s="25"/>
    </row>
    <row r="1010" spans="1:1" x14ac:dyDescent="0.25">
      <c r="A1010" s="25"/>
    </row>
    <row r="1011" spans="1:1" x14ac:dyDescent="0.25">
      <c r="A1011" s="25"/>
    </row>
    <row r="1012" spans="1:1" x14ac:dyDescent="0.25">
      <c r="A1012" s="25"/>
    </row>
    <row r="1013" spans="1:1" x14ac:dyDescent="0.25">
      <c r="A1013" s="25"/>
    </row>
    <row r="1014" spans="1:1" x14ac:dyDescent="0.25">
      <c r="A1014" s="25"/>
    </row>
    <row r="1015" spans="1:1" x14ac:dyDescent="0.25">
      <c r="A1015" s="25"/>
    </row>
    <row r="1016" spans="1:1" x14ac:dyDescent="0.25">
      <c r="A1016" s="25"/>
    </row>
    <row r="1017" spans="1:1" x14ac:dyDescent="0.25">
      <c r="A1017" s="25"/>
    </row>
    <row r="1018" spans="1:1" x14ac:dyDescent="0.25">
      <c r="A1018" s="25"/>
    </row>
    <row r="1019" spans="1:1" x14ac:dyDescent="0.25">
      <c r="A1019" s="25"/>
    </row>
    <row r="1020" spans="1:1" x14ac:dyDescent="0.25">
      <c r="A1020" s="25"/>
    </row>
    <row r="1021" spans="1:1" x14ac:dyDescent="0.25">
      <c r="A1021" s="25"/>
    </row>
    <row r="1022" spans="1:1" x14ac:dyDescent="0.25">
      <c r="A1022" s="25"/>
    </row>
    <row r="1023" spans="1:1" x14ac:dyDescent="0.25">
      <c r="A1023" s="25"/>
    </row>
    <row r="1024" spans="1:1" x14ac:dyDescent="0.25">
      <c r="A1024" s="25"/>
    </row>
    <row r="1025" spans="1:1" x14ac:dyDescent="0.25">
      <c r="A1025" s="25"/>
    </row>
    <row r="1026" spans="1:1" x14ac:dyDescent="0.25">
      <c r="A1026" s="25"/>
    </row>
    <row r="1027" spans="1:1" x14ac:dyDescent="0.25">
      <c r="A1027" s="25"/>
    </row>
    <row r="1028" spans="1:1" x14ac:dyDescent="0.25">
      <c r="A1028" s="25"/>
    </row>
    <row r="1029" spans="1:1" x14ac:dyDescent="0.25">
      <c r="A1029" s="25"/>
    </row>
    <row r="1030" spans="1:1" x14ac:dyDescent="0.25">
      <c r="A1030" s="25"/>
    </row>
    <row r="1031" spans="1:1" x14ac:dyDescent="0.25">
      <c r="A1031" s="25"/>
    </row>
    <row r="1032" spans="1:1" x14ac:dyDescent="0.25">
      <c r="A1032" s="25"/>
    </row>
    <row r="1033" spans="1:1" x14ac:dyDescent="0.25">
      <c r="A1033" s="25"/>
    </row>
    <row r="1034" spans="1:1" x14ac:dyDescent="0.25">
      <c r="A1034" s="25"/>
    </row>
    <row r="1035" spans="1:1" x14ac:dyDescent="0.25">
      <c r="A1035" s="25"/>
    </row>
    <row r="1036" spans="1:1" x14ac:dyDescent="0.25">
      <c r="A1036" s="25"/>
    </row>
    <row r="1037" spans="1:1" x14ac:dyDescent="0.25">
      <c r="A1037" s="25"/>
    </row>
    <row r="1038" spans="1:1" x14ac:dyDescent="0.25">
      <c r="A1038" s="25"/>
    </row>
    <row r="1039" spans="1:1" x14ac:dyDescent="0.25">
      <c r="A1039" s="25"/>
    </row>
    <row r="1040" spans="1:1" x14ac:dyDescent="0.25">
      <c r="A1040" s="25"/>
    </row>
    <row r="1041" spans="1:1" x14ac:dyDescent="0.25">
      <c r="A1041" s="25"/>
    </row>
    <row r="1042" spans="1:1" x14ac:dyDescent="0.25">
      <c r="A1042" s="25"/>
    </row>
    <row r="1043" spans="1:1" x14ac:dyDescent="0.25">
      <c r="A1043" s="25"/>
    </row>
    <row r="1044" spans="1:1" x14ac:dyDescent="0.25">
      <c r="A1044" s="25"/>
    </row>
    <row r="1045" spans="1:1" x14ac:dyDescent="0.25">
      <c r="A1045" s="25"/>
    </row>
    <row r="1046" spans="1:1" x14ac:dyDescent="0.25">
      <c r="A1046" s="25"/>
    </row>
    <row r="1047" spans="1:1" x14ac:dyDescent="0.25">
      <c r="A1047" s="25"/>
    </row>
    <row r="1048" spans="1:1" x14ac:dyDescent="0.25">
      <c r="A1048" s="25"/>
    </row>
    <row r="1049" spans="1:1" x14ac:dyDescent="0.25">
      <c r="A1049" s="25"/>
    </row>
    <row r="1050" spans="1:1" x14ac:dyDescent="0.25">
      <c r="A1050" s="25"/>
    </row>
    <row r="1051" spans="1:1" x14ac:dyDescent="0.25">
      <c r="A1051" s="25"/>
    </row>
    <row r="1052" spans="1:1" x14ac:dyDescent="0.25">
      <c r="A1052" s="25"/>
    </row>
    <row r="1053" spans="1:1" x14ac:dyDescent="0.25">
      <c r="A1053" s="25"/>
    </row>
    <row r="1054" spans="1:1" x14ac:dyDescent="0.25">
      <c r="A1054" s="25"/>
    </row>
    <row r="1055" spans="1:1" x14ac:dyDescent="0.25">
      <c r="A1055" s="25"/>
    </row>
    <row r="1056" spans="1:1" x14ac:dyDescent="0.25">
      <c r="A1056" s="25"/>
    </row>
    <row r="1057" spans="1:1" x14ac:dyDescent="0.25">
      <c r="A1057" s="25"/>
    </row>
    <row r="1058" spans="1:1" x14ac:dyDescent="0.25">
      <c r="A1058" s="25"/>
    </row>
    <row r="1059" spans="1:1" x14ac:dyDescent="0.25">
      <c r="A1059" s="25"/>
    </row>
    <row r="1060" spans="1:1" x14ac:dyDescent="0.25">
      <c r="A1060" s="25"/>
    </row>
    <row r="1061" spans="1:1" x14ac:dyDescent="0.25">
      <c r="A1061" s="25"/>
    </row>
    <row r="1062" spans="1:1" x14ac:dyDescent="0.25">
      <c r="A1062" s="25"/>
    </row>
    <row r="1063" spans="1:1" x14ac:dyDescent="0.25">
      <c r="A1063" s="25"/>
    </row>
    <row r="1064" spans="1:1" x14ac:dyDescent="0.25">
      <c r="A1064" s="25"/>
    </row>
    <row r="1065" spans="1:1" x14ac:dyDescent="0.25">
      <c r="A1065" s="25"/>
    </row>
    <row r="1066" spans="1:1" x14ac:dyDescent="0.25">
      <c r="A1066" s="25"/>
    </row>
    <row r="1067" spans="1:1" x14ac:dyDescent="0.25">
      <c r="A1067" s="25"/>
    </row>
    <row r="1068" spans="1:1" x14ac:dyDescent="0.25">
      <c r="A1068" s="25"/>
    </row>
    <row r="1069" spans="1:1" x14ac:dyDescent="0.25">
      <c r="A1069" s="25"/>
    </row>
    <row r="1070" spans="1:1" x14ac:dyDescent="0.25">
      <c r="A1070" s="25"/>
    </row>
    <row r="1071" spans="1:1" x14ac:dyDescent="0.25">
      <c r="A1071" s="25"/>
    </row>
    <row r="1072" spans="1:1" x14ac:dyDescent="0.25">
      <c r="A1072" s="25"/>
    </row>
    <row r="1073" spans="1:1" x14ac:dyDescent="0.25">
      <c r="A1073" s="25"/>
    </row>
    <row r="1074" spans="1:1" x14ac:dyDescent="0.25">
      <c r="A1074" s="25"/>
    </row>
    <row r="1075" spans="1:1" x14ac:dyDescent="0.25">
      <c r="A1075" s="25"/>
    </row>
    <row r="1076" spans="1:1" x14ac:dyDescent="0.25">
      <c r="A1076" s="25"/>
    </row>
    <row r="1077" spans="1:1" x14ac:dyDescent="0.25">
      <c r="A1077" s="25"/>
    </row>
    <row r="1078" spans="1:1" x14ac:dyDescent="0.25">
      <c r="A1078" s="25"/>
    </row>
    <row r="1079" spans="1:1" x14ac:dyDescent="0.25">
      <c r="A1079" s="25"/>
    </row>
    <row r="1080" spans="1:1" x14ac:dyDescent="0.25">
      <c r="A1080" s="25"/>
    </row>
    <row r="1081" spans="1:1" x14ac:dyDescent="0.25">
      <c r="A1081" s="25"/>
    </row>
    <row r="1082" spans="1:1" x14ac:dyDescent="0.25">
      <c r="A1082" s="25"/>
    </row>
    <row r="1083" spans="1:1" x14ac:dyDescent="0.25">
      <c r="A1083" s="25"/>
    </row>
    <row r="1084" spans="1:1" x14ac:dyDescent="0.25">
      <c r="A1084" s="25"/>
    </row>
    <row r="1085" spans="1:1" x14ac:dyDescent="0.25">
      <c r="A1085" s="25"/>
    </row>
    <row r="1086" spans="1:1" x14ac:dyDescent="0.25">
      <c r="A1086" s="25"/>
    </row>
    <row r="1087" spans="1:1" x14ac:dyDescent="0.25">
      <c r="A1087" s="25"/>
    </row>
    <row r="1088" spans="1:1" x14ac:dyDescent="0.25">
      <c r="A1088" s="25"/>
    </row>
    <row r="1089" spans="1:1" x14ac:dyDescent="0.25">
      <c r="A1089" s="25"/>
    </row>
    <row r="1090" spans="1:1" x14ac:dyDescent="0.25">
      <c r="A1090" s="25"/>
    </row>
    <row r="1091" spans="1:1" x14ac:dyDescent="0.25">
      <c r="A1091" s="25"/>
    </row>
    <row r="1092" spans="1:1" x14ac:dyDescent="0.25">
      <c r="A1092" s="25"/>
    </row>
    <row r="1093" spans="1:1" x14ac:dyDescent="0.25">
      <c r="A1093" s="25"/>
    </row>
    <row r="1094" spans="1:1" x14ac:dyDescent="0.25">
      <c r="A1094" s="25"/>
    </row>
    <row r="1095" spans="1:1" x14ac:dyDescent="0.25">
      <c r="A1095" s="25"/>
    </row>
    <row r="1096" spans="1:1" x14ac:dyDescent="0.25">
      <c r="A1096" s="25"/>
    </row>
    <row r="1097" spans="1:1" x14ac:dyDescent="0.25">
      <c r="A1097" s="25"/>
    </row>
    <row r="1098" spans="1:1" x14ac:dyDescent="0.25">
      <c r="A1098" s="25"/>
    </row>
    <row r="1099" spans="1:1" x14ac:dyDescent="0.25">
      <c r="A1099" s="25"/>
    </row>
    <row r="1100" spans="1:1" x14ac:dyDescent="0.25">
      <c r="A1100" s="25"/>
    </row>
    <row r="1101" spans="1:1" x14ac:dyDescent="0.25">
      <c r="A1101" s="25"/>
    </row>
    <row r="1102" spans="1:1" x14ac:dyDescent="0.25">
      <c r="A1102" s="25"/>
    </row>
    <row r="1103" spans="1:1" x14ac:dyDescent="0.25">
      <c r="A1103" s="25"/>
    </row>
    <row r="1104" spans="1:1" x14ac:dyDescent="0.25">
      <c r="A1104" s="25"/>
    </row>
    <row r="1105" spans="1:1" x14ac:dyDescent="0.25">
      <c r="A1105" s="25"/>
    </row>
    <row r="1106" spans="1:1" x14ac:dyDescent="0.25">
      <c r="A1106" s="25"/>
    </row>
    <row r="1107" spans="1:1" x14ac:dyDescent="0.25">
      <c r="A1107" s="25"/>
    </row>
    <row r="1108" spans="1:1" x14ac:dyDescent="0.25">
      <c r="A1108" s="25"/>
    </row>
    <row r="1109" spans="1:1" x14ac:dyDescent="0.25">
      <c r="A1109" s="25"/>
    </row>
    <row r="1110" spans="1:1" x14ac:dyDescent="0.25">
      <c r="A1110" s="25"/>
    </row>
    <row r="1111" spans="1:1" x14ac:dyDescent="0.25">
      <c r="A1111" s="25"/>
    </row>
    <row r="1112" spans="1:1" x14ac:dyDescent="0.25">
      <c r="A1112" s="25"/>
    </row>
    <row r="1113" spans="1:1" x14ac:dyDescent="0.25">
      <c r="A1113" s="25"/>
    </row>
    <row r="1114" spans="1:1" x14ac:dyDescent="0.25">
      <c r="A1114" s="25"/>
    </row>
    <row r="1115" spans="1:1" x14ac:dyDescent="0.25">
      <c r="A1115" s="25"/>
    </row>
    <row r="1116" spans="1:1" x14ac:dyDescent="0.25">
      <c r="A1116" s="25"/>
    </row>
    <row r="1117" spans="1:1" x14ac:dyDescent="0.25">
      <c r="A1117" s="25"/>
    </row>
    <row r="1118" spans="1:1" x14ac:dyDescent="0.25">
      <c r="A1118" s="25"/>
    </row>
    <row r="1119" spans="1:1" x14ac:dyDescent="0.25">
      <c r="A1119" s="25"/>
    </row>
    <row r="1120" spans="1:1" x14ac:dyDescent="0.25">
      <c r="A1120" s="25"/>
    </row>
    <row r="1121" spans="1:1" x14ac:dyDescent="0.25">
      <c r="A1121" s="25"/>
    </row>
    <row r="1122" spans="1:1" x14ac:dyDescent="0.25">
      <c r="A1122" s="25"/>
    </row>
    <row r="1123" spans="1:1" x14ac:dyDescent="0.25">
      <c r="A1123" s="25"/>
    </row>
    <row r="1124" spans="1:1" x14ac:dyDescent="0.25">
      <c r="A1124" s="25"/>
    </row>
    <row r="1125" spans="1:1" x14ac:dyDescent="0.25">
      <c r="A1125" s="25"/>
    </row>
    <row r="1126" spans="1:1" x14ac:dyDescent="0.25">
      <c r="A1126" s="25"/>
    </row>
    <row r="1127" spans="1:1" x14ac:dyDescent="0.25">
      <c r="A1127" s="25"/>
    </row>
    <row r="1128" spans="1:1" x14ac:dyDescent="0.25">
      <c r="A1128" s="25"/>
    </row>
    <row r="1129" spans="1:1" x14ac:dyDescent="0.25">
      <c r="A1129" s="25"/>
    </row>
    <row r="1130" spans="1:1" x14ac:dyDescent="0.25">
      <c r="A1130" s="25"/>
    </row>
    <row r="1131" spans="1:1" x14ac:dyDescent="0.25">
      <c r="A1131" s="25"/>
    </row>
    <row r="1132" spans="1:1" x14ac:dyDescent="0.25">
      <c r="A1132" s="25"/>
    </row>
    <row r="1133" spans="1:1" x14ac:dyDescent="0.25">
      <c r="A1133" s="25"/>
    </row>
    <row r="1134" spans="1:1" x14ac:dyDescent="0.25">
      <c r="A1134" s="25"/>
    </row>
    <row r="1135" spans="1:1" x14ac:dyDescent="0.25">
      <c r="A1135" s="25"/>
    </row>
    <row r="1136" spans="1:1" x14ac:dyDescent="0.25">
      <c r="A1136" s="25"/>
    </row>
    <row r="1137" spans="1:1" x14ac:dyDescent="0.25">
      <c r="A1137" s="25"/>
    </row>
    <row r="1138" spans="1:1" x14ac:dyDescent="0.25">
      <c r="A1138" s="25"/>
    </row>
    <row r="1139" spans="1:1" x14ac:dyDescent="0.25">
      <c r="A1139" s="25"/>
    </row>
    <row r="1140" spans="1:1" x14ac:dyDescent="0.25">
      <c r="A1140" s="25"/>
    </row>
    <row r="1141" spans="1:1" x14ac:dyDescent="0.25">
      <c r="A1141" s="25"/>
    </row>
    <row r="1142" spans="1:1" x14ac:dyDescent="0.25">
      <c r="A1142" s="25"/>
    </row>
    <row r="1143" spans="1:1" x14ac:dyDescent="0.25">
      <c r="A1143" s="25"/>
    </row>
    <row r="1144" spans="1:1" x14ac:dyDescent="0.25">
      <c r="A1144" s="25"/>
    </row>
    <row r="1145" spans="1:1" x14ac:dyDescent="0.25">
      <c r="A1145" s="25"/>
    </row>
    <row r="1146" spans="1:1" x14ac:dyDescent="0.25">
      <c r="A1146" s="25"/>
    </row>
    <row r="1147" spans="1:1" x14ac:dyDescent="0.25">
      <c r="A1147" s="25"/>
    </row>
    <row r="1148" spans="1:1" x14ac:dyDescent="0.25">
      <c r="A1148" s="25"/>
    </row>
    <row r="1149" spans="1:1" x14ac:dyDescent="0.25">
      <c r="A1149" s="25"/>
    </row>
    <row r="1150" spans="1:1" x14ac:dyDescent="0.25">
      <c r="A1150" s="25"/>
    </row>
    <row r="1151" spans="1:1" x14ac:dyDescent="0.25">
      <c r="A1151" s="25"/>
    </row>
    <row r="1152" spans="1:1" x14ac:dyDescent="0.25">
      <c r="A1152" s="25"/>
    </row>
    <row r="1153" spans="1:1" x14ac:dyDescent="0.25">
      <c r="A1153" s="25"/>
    </row>
    <row r="1154" spans="1:1" x14ac:dyDescent="0.25">
      <c r="A1154" s="25"/>
    </row>
    <row r="1155" spans="1:1" x14ac:dyDescent="0.25">
      <c r="A1155" s="25"/>
    </row>
    <row r="1156" spans="1:1" x14ac:dyDescent="0.25">
      <c r="A1156" s="25"/>
    </row>
    <row r="1157" spans="1:1" x14ac:dyDescent="0.25">
      <c r="A1157" s="25"/>
    </row>
    <row r="1158" spans="1:1" x14ac:dyDescent="0.25">
      <c r="A1158" s="25"/>
    </row>
    <row r="1159" spans="1:1" x14ac:dyDescent="0.25">
      <c r="A1159" s="25"/>
    </row>
    <row r="1160" spans="1:1" x14ac:dyDescent="0.25">
      <c r="A1160" s="25"/>
    </row>
    <row r="1161" spans="1:1" x14ac:dyDescent="0.25">
      <c r="A1161" s="25"/>
    </row>
    <row r="1162" spans="1:1" x14ac:dyDescent="0.25">
      <c r="A1162" s="25"/>
    </row>
    <row r="1163" spans="1:1" x14ac:dyDescent="0.25">
      <c r="A1163" s="25"/>
    </row>
    <row r="1164" spans="1:1" x14ac:dyDescent="0.25">
      <c r="A1164" s="25"/>
    </row>
    <row r="1165" spans="1:1" x14ac:dyDescent="0.25">
      <c r="A1165" s="25"/>
    </row>
    <row r="1166" spans="1:1" x14ac:dyDescent="0.25">
      <c r="A1166" s="25"/>
    </row>
    <row r="1167" spans="1:1" x14ac:dyDescent="0.25">
      <c r="A1167" s="25"/>
    </row>
    <row r="1168" spans="1:1" x14ac:dyDescent="0.25">
      <c r="A1168" s="25"/>
    </row>
    <row r="1169" spans="1:1" x14ac:dyDescent="0.25">
      <c r="A1169" s="25"/>
    </row>
    <row r="1170" spans="1:1" x14ac:dyDescent="0.25">
      <c r="A1170" s="25"/>
    </row>
    <row r="1171" spans="1:1" x14ac:dyDescent="0.25">
      <c r="A1171" s="25"/>
    </row>
    <row r="1172" spans="1:1" x14ac:dyDescent="0.25">
      <c r="A1172" s="25"/>
    </row>
    <row r="1173" spans="1:1" x14ac:dyDescent="0.25">
      <c r="A1173" s="25"/>
    </row>
    <row r="1174" spans="1:1" x14ac:dyDescent="0.25">
      <c r="A1174" s="25"/>
    </row>
    <row r="1175" spans="1:1" x14ac:dyDescent="0.25">
      <c r="A1175" s="25"/>
    </row>
    <row r="1176" spans="1:1" x14ac:dyDescent="0.25">
      <c r="A1176" s="25"/>
    </row>
    <row r="1177" spans="1:1" x14ac:dyDescent="0.25">
      <c r="A1177" s="25"/>
    </row>
    <row r="1178" spans="1:1" x14ac:dyDescent="0.25">
      <c r="A1178" s="25"/>
    </row>
    <row r="1179" spans="1:1" x14ac:dyDescent="0.25">
      <c r="A1179" s="25"/>
    </row>
    <row r="1180" spans="1:1" x14ac:dyDescent="0.25">
      <c r="A1180" s="25"/>
    </row>
    <row r="1181" spans="1:1" x14ac:dyDescent="0.25">
      <c r="A1181" s="25"/>
    </row>
    <row r="1182" spans="1:1" x14ac:dyDescent="0.25">
      <c r="A1182" s="25"/>
    </row>
    <row r="1183" spans="1:1" x14ac:dyDescent="0.25">
      <c r="A1183" s="25"/>
    </row>
    <row r="1184" spans="1:1" x14ac:dyDescent="0.25">
      <c r="A1184" s="25"/>
    </row>
    <row r="1185" spans="1:1" x14ac:dyDescent="0.25">
      <c r="A1185" s="25"/>
    </row>
    <row r="1186" spans="1:1" x14ac:dyDescent="0.25">
      <c r="A1186" s="25"/>
    </row>
    <row r="1187" spans="1:1" x14ac:dyDescent="0.25">
      <c r="A1187" s="25"/>
    </row>
    <row r="1188" spans="1:1" x14ac:dyDescent="0.25">
      <c r="A1188" s="25"/>
    </row>
    <row r="1189" spans="1:1" x14ac:dyDescent="0.25">
      <c r="A1189" s="25"/>
    </row>
    <row r="1190" spans="1:1" x14ac:dyDescent="0.25">
      <c r="A1190" s="25"/>
    </row>
    <row r="1191" spans="1:1" x14ac:dyDescent="0.25">
      <c r="A1191" s="25"/>
    </row>
    <row r="1192" spans="1:1" x14ac:dyDescent="0.25">
      <c r="A1192" s="25"/>
    </row>
    <row r="1193" spans="1:1" x14ac:dyDescent="0.25">
      <c r="A1193" s="25"/>
    </row>
    <row r="1194" spans="1:1" x14ac:dyDescent="0.25">
      <c r="A1194" s="25"/>
    </row>
    <row r="1195" spans="1:1" x14ac:dyDescent="0.25">
      <c r="A1195" s="25"/>
    </row>
    <row r="1196" spans="1:1" x14ac:dyDescent="0.25">
      <c r="A1196" s="25"/>
    </row>
    <row r="1197" spans="1:1" x14ac:dyDescent="0.25">
      <c r="A1197" s="25"/>
    </row>
    <row r="1198" spans="1:1" x14ac:dyDescent="0.25">
      <c r="A1198" s="25"/>
    </row>
    <row r="1199" spans="1:1" x14ac:dyDescent="0.25">
      <c r="A1199" s="25"/>
    </row>
    <row r="1200" spans="1:1" x14ac:dyDescent="0.25">
      <c r="A1200" s="25"/>
    </row>
    <row r="1201" spans="1:1" x14ac:dyDescent="0.25">
      <c r="A1201" s="25"/>
    </row>
    <row r="1202" spans="1:1" x14ac:dyDescent="0.25">
      <c r="A1202" s="25"/>
    </row>
    <row r="1203" spans="1:1" x14ac:dyDescent="0.25">
      <c r="A1203" s="25"/>
    </row>
    <row r="1204" spans="1:1" x14ac:dyDescent="0.25">
      <c r="A1204" s="25"/>
    </row>
    <row r="1205" spans="1:1" x14ac:dyDescent="0.25">
      <c r="A1205" s="25"/>
    </row>
    <row r="1206" spans="1:1" x14ac:dyDescent="0.25">
      <c r="A1206" s="25"/>
    </row>
    <row r="1207" spans="1:1" x14ac:dyDescent="0.25">
      <c r="A1207" s="25"/>
    </row>
    <row r="1208" spans="1:1" x14ac:dyDescent="0.25">
      <c r="A1208" s="25"/>
    </row>
    <row r="1209" spans="1:1" x14ac:dyDescent="0.25">
      <c r="A1209" s="25"/>
    </row>
    <row r="1210" spans="1:1" x14ac:dyDescent="0.25">
      <c r="A1210" s="25"/>
    </row>
    <row r="1211" spans="1:1" x14ac:dyDescent="0.25">
      <c r="A1211" s="25"/>
    </row>
    <row r="1212" spans="1:1" x14ac:dyDescent="0.25">
      <c r="A1212" s="25"/>
    </row>
    <row r="1213" spans="1:1" x14ac:dyDescent="0.25">
      <c r="A1213" s="25"/>
    </row>
    <row r="1214" spans="1:1" x14ac:dyDescent="0.25">
      <c r="A1214" s="25"/>
    </row>
    <row r="1215" spans="1:1" x14ac:dyDescent="0.25">
      <c r="A1215" s="25"/>
    </row>
    <row r="1216" spans="1:1" x14ac:dyDescent="0.25">
      <c r="A1216" s="25"/>
    </row>
    <row r="1217" spans="1:1" x14ac:dyDescent="0.25">
      <c r="A1217" s="25"/>
    </row>
    <row r="1218" spans="1:1" x14ac:dyDescent="0.25">
      <c r="A1218" s="25"/>
    </row>
    <row r="1219" spans="1:1" x14ac:dyDescent="0.25">
      <c r="A1219" s="25"/>
    </row>
    <row r="1220" spans="1:1" x14ac:dyDescent="0.25">
      <c r="A1220" s="25"/>
    </row>
    <row r="1221" spans="1:1" x14ac:dyDescent="0.25">
      <c r="A1221" s="25"/>
    </row>
    <row r="1222" spans="1:1" x14ac:dyDescent="0.25">
      <c r="A1222" s="25"/>
    </row>
    <row r="1223" spans="1:1" x14ac:dyDescent="0.25">
      <c r="A1223" s="25"/>
    </row>
    <row r="1224" spans="1:1" x14ac:dyDescent="0.25">
      <c r="A1224" s="25"/>
    </row>
    <row r="1225" spans="1:1" x14ac:dyDescent="0.25">
      <c r="A1225" s="25"/>
    </row>
    <row r="1226" spans="1:1" x14ac:dyDescent="0.25">
      <c r="A1226" s="25"/>
    </row>
    <row r="1227" spans="1:1" x14ac:dyDescent="0.25">
      <c r="A1227" s="25"/>
    </row>
    <row r="1228" spans="1:1" x14ac:dyDescent="0.25">
      <c r="A1228" s="25"/>
    </row>
    <row r="1229" spans="1:1" x14ac:dyDescent="0.25">
      <c r="A1229" s="25"/>
    </row>
    <row r="1230" spans="1:1" x14ac:dyDescent="0.25">
      <c r="A1230" s="25"/>
    </row>
    <row r="1231" spans="1:1" x14ac:dyDescent="0.25">
      <c r="A1231" s="25"/>
    </row>
    <row r="1232" spans="1:1" x14ac:dyDescent="0.25">
      <c r="A1232" s="25"/>
    </row>
    <row r="1233" spans="1:1" x14ac:dyDescent="0.25">
      <c r="A1233" s="25"/>
    </row>
    <row r="1234" spans="1:1" x14ac:dyDescent="0.25">
      <c r="A1234" s="25"/>
    </row>
    <row r="1235" spans="1:1" x14ac:dyDescent="0.25">
      <c r="A1235" s="25"/>
    </row>
    <row r="1236" spans="1:1" x14ac:dyDescent="0.25">
      <c r="A1236" s="25"/>
    </row>
    <row r="1237" spans="1:1" x14ac:dyDescent="0.25">
      <c r="A1237" s="25"/>
    </row>
    <row r="1238" spans="1:1" x14ac:dyDescent="0.25">
      <c r="A1238" s="25"/>
    </row>
    <row r="1239" spans="1:1" x14ac:dyDescent="0.25">
      <c r="A1239" s="25"/>
    </row>
    <row r="1240" spans="1:1" x14ac:dyDescent="0.25">
      <c r="A1240" s="25"/>
    </row>
    <row r="1241" spans="1:1" x14ac:dyDescent="0.25">
      <c r="A1241" s="25"/>
    </row>
    <row r="1242" spans="1:1" x14ac:dyDescent="0.25">
      <c r="A1242" s="25"/>
    </row>
    <row r="1243" spans="1:1" x14ac:dyDescent="0.25">
      <c r="A1243" s="25"/>
    </row>
    <row r="1244" spans="1:1" x14ac:dyDescent="0.25">
      <c r="A1244" s="25"/>
    </row>
    <row r="1245" spans="1:1" x14ac:dyDescent="0.25">
      <c r="A1245" s="25"/>
    </row>
    <row r="1246" spans="1:1" x14ac:dyDescent="0.25">
      <c r="A1246" s="25"/>
    </row>
    <row r="1247" spans="1:1" x14ac:dyDescent="0.25">
      <c r="A1247" s="25"/>
    </row>
    <row r="1248" spans="1:1" x14ac:dyDescent="0.25">
      <c r="A1248" s="25"/>
    </row>
    <row r="1249" spans="1:1" x14ac:dyDescent="0.25">
      <c r="A1249" s="25"/>
    </row>
    <row r="1250" spans="1:1" x14ac:dyDescent="0.25">
      <c r="A1250" s="25"/>
    </row>
    <row r="1251" spans="1:1" x14ac:dyDescent="0.25">
      <c r="A1251" s="25"/>
    </row>
    <row r="1252" spans="1:1" x14ac:dyDescent="0.25">
      <c r="A1252" s="25"/>
    </row>
    <row r="1253" spans="1:1" x14ac:dyDescent="0.25">
      <c r="A1253" s="25"/>
    </row>
    <row r="1254" spans="1:1" x14ac:dyDescent="0.25">
      <c r="A1254" s="25"/>
    </row>
    <row r="1255" spans="1:1" x14ac:dyDescent="0.25">
      <c r="A1255" s="25"/>
    </row>
    <row r="1256" spans="1:1" x14ac:dyDescent="0.25">
      <c r="A1256" s="25"/>
    </row>
    <row r="1257" spans="1:1" x14ac:dyDescent="0.25">
      <c r="A1257" s="25"/>
    </row>
    <row r="1258" spans="1:1" x14ac:dyDescent="0.25">
      <c r="A1258" s="25"/>
    </row>
    <row r="1259" spans="1:1" x14ac:dyDescent="0.25">
      <c r="A1259" s="25"/>
    </row>
    <row r="1260" spans="1:1" x14ac:dyDescent="0.25">
      <c r="A1260" s="25"/>
    </row>
    <row r="1261" spans="1:1" x14ac:dyDescent="0.25">
      <c r="A1261" s="25"/>
    </row>
    <row r="1262" spans="1:1" x14ac:dyDescent="0.25">
      <c r="A1262" s="25"/>
    </row>
    <row r="1263" spans="1:1" x14ac:dyDescent="0.25">
      <c r="A1263" s="25"/>
    </row>
    <row r="1264" spans="1:1" x14ac:dyDescent="0.25">
      <c r="A1264" s="25"/>
    </row>
    <row r="1265" spans="1:1" x14ac:dyDescent="0.25">
      <c r="A1265" s="25"/>
    </row>
    <row r="1266" spans="1:1" x14ac:dyDescent="0.25">
      <c r="A1266" s="25"/>
    </row>
    <row r="1267" spans="1:1" x14ac:dyDescent="0.25">
      <c r="A1267" s="25"/>
    </row>
    <row r="1268" spans="1:1" x14ac:dyDescent="0.25">
      <c r="A1268" s="25"/>
    </row>
    <row r="1269" spans="1:1" x14ac:dyDescent="0.25">
      <c r="A1269" s="25"/>
    </row>
    <row r="1270" spans="1:1" x14ac:dyDescent="0.25">
      <c r="A1270" s="25"/>
    </row>
    <row r="1271" spans="1:1" x14ac:dyDescent="0.25">
      <c r="A1271" s="25"/>
    </row>
    <row r="1272" spans="1:1" x14ac:dyDescent="0.25">
      <c r="A1272" s="25"/>
    </row>
    <row r="1273" spans="1:1" x14ac:dyDescent="0.25">
      <c r="A1273" s="25"/>
    </row>
    <row r="1274" spans="1:1" x14ac:dyDescent="0.25">
      <c r="A1274" s="25"/>
    </row>
    <row r="1275" spans="1:1" x14ac:dyDescent="0.25">
      <c r="A1275" s="25"/>
    </row>
    <row r="1276" spans="1:1" x14ac:dyDescent="0.25">
      <c r="A1276" s="25"/>
    </row>
    <row r="1277" spans="1:1" x14ac:dyDescent="0.25">
      <c r="A1277" s="25"/>
    </row>
    <row r="1278" spans="1:1" x14ac:dyDescent="0.25">
      <c r="A1278" s="25"/>
    </row>
    <row r="1279" spans="1:1" x14ac:dyDescent="0.25">
      <c r="A1279" s="25"/>
    </row>
    <row r="1280" spans="1:1" x14ac:dyDescent="0.25">
      <c r="A1280" s="25"/>
    </row>
    <row r="1281" spans="1:1" x14ac:dyDescent="0.25">
      <c r="A1281" s="25"/>
    </row>
    <row r="1282" spans="1:1" x14ac:dyDescent="0.25">
      <c r="A1282" s="25"/>
    </row>
    <row r="1283" spans="1:1" x14ac:dyDescent="0.25">
      <c r="A1283" s="25"/>
    </row>
    <row r="1284" spans="1:1" x14ac:dyDescent="0.25">
      <c r="A1284" s="25"/>
    </row>
    <row r="1285" spans="1:1" x14ac:dyDescent="0.25">
      <c r="A1285" s="25"/>
    </row>
    <row r="1286" spans="1:1" x14ac:dyDescent="0.25">
      <c r="A1286" s="25"/>
    </row>
    <row r="1287" spans="1:1" x14ac:dyDescent="0.25">
      <c r="A1287" s="25"/>
    </row>
    <row r="1288" spans="1:1" x14ac:dyDescent="0.25">
      <c r="A1288" s="25"/>
    </row>
    <row r="1289" spans="1:1" x14ac:dyDescent="0.25">
      <c r="A1289" s="25"/>
    </row>
    <row r="1290" spans="1:1" x14ac:dyDescent="0.25">
      <c r="A1290" s="25"/>
    </row>
    <row r="1291" spans="1:1" x14ac:dyDescent="0.25">
      <c r="A1291" s="25"/>
    </row>
    <row r="1292" spans="1:1" x14ac:dyDescent="0.25">
      <c r="A1292" s="25"/>
    </row>
    <row r="1293" spans="1:1" x14ac:dyDescent="0.25">
      <c r="A1293" s="25"/>
    </row>
    <row r="1294" spans="1:1" x14ac:dyDescent="0.25">
      <c r="A1294" s="25"/>
    </row>
    <row r="1295" spans="1:1" x14ac:dyDescent="0.25">
      <c r="A1295" s="25"/>
    </row>
    <row r="1296" spans="1:1" x14ac:dyDescent="0.25">
      <c r="A1296" s="25"/>
    </row>
    <row r="1297" spans="1:1" x14ac:dyDescent="0.25">
      <c r="A1297" s="25"/>
    </row>
    <row r="1298" spans="1:1" x14ac:dyDescent="0.25">
      <c r="A1298" s="25"/>
    </row>
    <row r="1299" spans="1:1" x14ac:dyDescent="0.25">
      <c r="A1299" s="25"/>
    </row>
    <row r="1300" spans="1:1" x14ac:dyDescent="0.25">
      <c r="A1300" s="25"/>
    </row>
    <row r="1301" spans="1:1" x14ac:dyDescent="0.25">
      <c r="A1301" s="25"/>
    </row>
    <row r="1302" spans="1:1" x14ac:dyDescent="0.25">
      <c r="A1302" s="25"/>
    </row>
    <row r="1303" spans="1:1" x14ac:dyDescent="0.25">
      <c r="A1303" s="25"/>
    </row>
    <row r="1304" spans="1:1" x14ac:dyDescent="0.25">
      <c r="A1304" s="25"/>
    </row>
    <row r="1305" spans="1:1" x14ac:dyDescent="0.25">
      <c r="A1305" s="25"/>
    </row>
    <row r="1306" spans="1:1" x14ac:dyDescent="0.25">
      <c r="A1306" s="25"/>
    </row>
    <row r="1307" spans="1:1" x14ac:dyDescent="0.25">
      <c r="A1307" s="25"/>
    </row>
    <row r="1308" spans="1:1" x14ac:dyDescent="0.25">
      <c r="A1308" s="25"/>
    </row>
    <row r="1309" spans="1:1" x14ac:dyDescent="0.25">
      <c r="A1309" s="25"/>
    </row>
    <row r="1310" spans="1:1" x14ac:dyDescent="0.25">
      <c r="A1310" s="25"/>
    </row>
    <row r="1311" spans="1:1" x14ac:dyDescent="0.25">
      <c r="A1311" s="25"/>
    </row>
    <row r="1312" spans="1:1" x14ac:dyDescent="0.25">
      <c r="A1312" s="25"/>
    </row>
    <row r="1313" spans="1:1" x14ac:dyDescent="0.25">
      <c r="A1313" s="25"/>
    </row>
    <row r="1314" spans="1:1" x14ac:dyDescent="0.25">
      <c r="A1314" s="25"/>
    </row>
    <row r="1315" spans="1:1" x14ac:dyDescent="0.25">
      <c r="A1315" s="25"/>
    </row>
    <row r="1316" spans="1:1" x14ac:dyDescent="0.25">
      <c r="A1316" s="25"/>
    </row>
    <row r="1317" spans="1:1" x14ac:dyDescent="0.25">
      <c r="A1317" s="25"/>
    </row>
    <row r="1318" spans="1:1" x14ac:dyDescent="0.25">
      <c r="A1318" s="25"/>
    </row>
    <row r="1319" spans="1:1" x14ac:dyDescent="0.25">
      <c r="A1319" s="25"/>
    </row>
    <row r="1320" spans="1:1" x14ac:dyDescent="0.25">
      <c r="A1320" s="25"/>
    </row>
    <row r="1321" spans="1:1" x14ac:dyDescent="0.25">
      <c r="A1321" s="25"/>
    </row>
    <row r="1322" spans="1:1" x14ac:dyDescent="0.25">
      <c r="A1322" s="25"/>
    </row>
    <row r="1323" spans="1:1" x14ac:dyDescent="0.25">
      <c r="A1323" s="25"/>
    </row>
    <row r="1324" spans="1:1" x14ac:dyDescent="0.25">
      <c r="A1324" s="25"/>
    </row>
    <row r="1325" spans="1:1" x14ac:dyDescent="0.25">
      <c r="A1325" s="25"/>
    </row>
    <row r="1326" spans="1:1" x14ac:dyDescent="0.25">
      <c r="A1326" s="25"/>
    </row>
    <row r="1327" spans="1:1" x14ac:dyDescent="0.25">
      <c r="A1327" s="25"/>
    </row>
    <row r="1328" spans="1:1" x14ac:dyDescent="0.25">
      <c r="A1328" s="25"/>
    </row>
    <row r="1329" spans="1:1" x14ac:dyDescent="0.25">
      <c r="A1329" s="25"/>
    </row>
    <row r="1330" spans="1:1" x14ac:dyDescent="0.25">
      <c r="A1330" s="25"/>
    </row>
    <row r="1331" spans="1:1" x14ac:dyDescent="0.25">
      <c r="A1331" s="25"/>
    </row>
    <row r="1332" spans="1:1" x14ac:dyDescent="0.25">
      <c r="A1332" s="25"/>
    </row>
    <row r="1333" spans="1:1" x14ac:dyDescent="0.25">
      <c r="A1333" s="25"/>
    </row>
    <row r="1334" spans="1:1" x14ac:dyDescent="0.25">
      <c r="A1334" s="25"/>
    </row>
    <row r="1335" spans="1:1" x14ac:dyDescent="0.25">
      <c r="A1335" s="25"/>
    </row>
    <row r="1336" spans="1:1" x14ac:dyDescent="0.25">
      <c r="A1336" s="25"/>
    </row>
    <row r="1337" spans="1:1" x14ac:dyDescent="0.25">
      <c r="A1337" s="25"/>
    </row>
    <row r="1338" spans="1:1" x14ac:dyDescent="0.25">
      <c r="A1338" s="25"/>
    </row>
    <row r="1339" spans="1:1" x14ac:dyDescent="0.25">
      <c r="A1339" s="25"/>
    </row>
    <row r="1340" spans="1:1" x14ac:dyDescent="0.25">
      <c r="A1340" s="25"/>
    </row>
    <row r="1341" spans="1:1" x14ac:dyDescent="0.25">
      <c r="A1341" s="25"/>
    </row>
    <row r="1342" spans="1:1" x14ac:dyDescent="0.25">
      <c r="A1342" s="25"/>
    </row>
    <row r="1343" spans="1:1" x14ac:dyDescent="0.25">
      <c r="A1343" s="25"/>
    </row>
    <row r="1344" spans="1:1" x14ac:dyDescent="0.25">
      <c r="A1344" s="25"/>
    </row>
    <row r="1345" spans="1:1" x14ac:dyDescent="0.25">
      <c r="A1345" s="25"/>
    </row>
    <row r="1346" spans="1:1" x14ac:dyDescent="0.25">
      <c r="A1346" s="25"/>
    </row>
    <row r="1347" spans="1:1" x14ac:dyDescent="0.25">
      <c r="A1347" s="25"/>
    </row>
    <row r="1348" spans="1:1" x14ac:dyDescent="0.25">
      <c r="A1348" s="25"/>
    </row>
    <row r="1349" spans="1:1" x14ac:dyDescent="0.25">
      <c r="A1349" s="25"/>
    </row>
    <row r="1350" spans="1:1" x14ac:dyDescent="0.25">
      <c r="A1350" s="25"/>
    </row>
    <row r="1351" spans="1:1" x14ac:dyDescent="0.25">
      <c r="A1351" s="25"/>
    </row>
    <row r="1352" spans="1:1" x14ac:dyDescent="0.25">
      <c r="A1352" s="25"/>
    </row>
    <row r="1353" spans="1:1" x14ac:dyDescent="0.25">
      <c r="A1353" s="25"/>
    </row>
    <row r="1354" spans="1:1" x14ac:dyDescent="0.25">
      <c r="A1354" s="25"/>
    </row>
    <row r="1355" spans="1:1" x14ac:dyDescent="0.25">
      <c r="A1355" s="25"/>
    </row>
    <row r="1356" spans="1:1" x14ac:dyDescent="0.25">
      <c r="A1356" s="25"/>
    </row>
    <row r="1357" spans="1:1" x14ac:dyDescent="0.25">
      <c r="A1357" s="25"/>
    </row>
    <row r="1358" spans="1:1" x14ac:dyDescent="0.25">
      <c r="A1358" s="25"/>
    </row>
    <row r="1359" spans="1:1" x14ac:dyDescent="0.25">
      <c r="A1359" s="25"/>
    </row>
    <row r="1360" spans="1:1" x14ac:dyDescent="0.25">
      <c r="A1360" s="25"/>
    </row>
    <row r="1361" spans="1:1" x14ac:dyDescent="0.25">
      <c r="A1361" s="25"/>
    </row>
    <row r="1362" spans="1:1" x14ac:dyDescent="0.25">
      <c r="A1362" s="25"/>
    </row>
    <row r="1363" spans="1:1" x14ac:dyDescent="0.25">
      <c r="A1363" s="25"/>
    </row>
    <row r="1364" spans="1:1" x14ac:dyDescent="0.25">
      <c r="A1364" s="25"/>
    </row>
    <row r="1365" spans="1:1" x14ac:dyDescent="0.25">
      <c r="A1365" s="25"/>
    </row>
    <row r="1366" spans="1:1" x14ac:dyDescent="0.25">
      <c r="A1366" s="25"/>
    </row>
    <row r="1367" spans="1:1" x14ac:dyDescent="0.25">
      <c r="A1367" s="25"/>
    </row>
    <row r="1368" spans="1:1" x14ac:dyDescent="0.25">
      <c r="A1368" s="25"/>
    </row>
    <row r="1369" spans="1:1" x14ac:dyDescent="0.25">
      <c r="A1369" s="25"/>
    </row>
    <row r="1370" spans="1:1" x14ac:dyDescent="0.25">
      <c r="A1370" s="25"/>
    </row>
    <row r="1371" spans="1:1" x14ac:dyDescent="0.25">
      <c r="A1371" s="25"/>
    </row>
    <row r="1372" spans="1:1" x14ac:dyDescent="0.25">
      <c r="A1372" s="25"/>
    </row>
    <row r="1373" spans="1:1" x14ac:dyDescent="0.25">
      <c r="A1373" s="25"/>
    </row>
    <row r="1374" spans="1:1" x14ac:dyDescent="0.25">
      <c r="A1374" s="25"/>
    </row>
    <row r="1375" spans="1:1" x14ac:dyDescent="0.25">
      <c r="A1375" s="25"/>
    </row>
    <row r="1376" spans="1:1" x14ac:dyDescent="0.25">
      <c r="A1376" s="25"/>
    </row>
    <row r="1377" spans="1:1" x14ac:dyDescent="0.25">
      <c r="A1377" s="25"/>
    </row>
    <row r="1378" spans="1:1" x14ac:dyDescent="0.25">
      <c r="A1378" s="25"/>
    </row>
    <row r="1379" spans="1:1" x14ac:dyDescent="0.25">
      <c r="A1379" s="25"/>
    </row>
    <row r="1380" spans="1:1" x14ac:dyDescent="0.25">
      <c r="A1380" s="25"/>
    </row>
    <row r="1381" spans="1:1" x14ac:dyDescent="0.25">
      <c r="A1381" s="25"/>
    </row>
    <row r="1382" spans="1:1" x14ac:dyDescent="0.25">
      <c r="A1382" s="25"/>
    </row>
    <row r="1383" spans="1:1" x14ac:dyDescent="0.25">
      <c r="A1383" s="25"/>
    </row>
    <row r="1384" spans="1:1" x14ac:dyDescent="0.25">
      <c r="A1384" s="25"/>
    </row>
    <row r="1385" spans="1:1" x14ac:dyDescent="0.25">
      <c r="A1385" s="25"/>
    </row>
    <row r="1386" spans="1:1" x14ac:dyDescent="0.25">
      <c r="A1386" s="25"/>
    </row>
    <row r="1387" spans="1:1" x14ac:dyDescent="0.25">
      <c r="A1387" s="25"/>
    </row>
    <row r="1388" spans="1:1" x14ac:dyDescent="0.25">
      <c r="A1388" s="25"/>
    </row>
    <row r="1389" spans="1:1" x14ac:dyDescent="0.25">
      <c r="A1389" s="25"/>
    </row>
    <row r="1390" spans="1:1" x14ac:dyDescent="0.25">
      <c r="A1390" s="25"/>
    </row>
    <row r="1391" spans="1:1" x14ac:dyDescent="0.25">
      <c r="A1391" s="25"/>
    </row>
    <row r="1392" spans="1:1" x14ac:dyDescent="0.25">
      <c r="A1392" s="25"/>
    </row>
    <row r="1393" spans="1:1" x14ac:dyDescent="0.25">
      <c r="A1393" s="25"/>
    </row>
    <row r="1394" spans="1:1" x14ac:dyDescent="0.25">
      <c r="A1394" s="25"/>
    </row>
    <row r="1395" spans="1:1" x14ac:dyDescent="0.25">
      <c r="A1395" s="25"/>
    </row>
    <row r="1396" spans="1:1" x14ac:dyDescent="0.25">
      <c r="A1396" s="25"/>
    </row>
    <row r="1397" spans="1:1" x14ac:dyDescent="0.25">
      <c r="A1397" s="25"/>
    </row>
    <row r="1398" spans="1:1" x14ac:dyDescent="0.25">
      <c r="A1398" s="25"/>
    </row>
    <row r="1399" spans="1:1" x14ac:dyDescent="0.25">
      <c r="A1399" s="25"/>
    </row>
    <row r="1400" spans="1:1" x14ac:dyDescent="0.25">
      <c r="A1400" s="25"/>
    </row>
    <row r="1401" spans="1:1" x14ac:dyDescent="0.25">
      <c r="A1401" s="25"/>
    </row>
    <row r="1402" spans="1:1" x14ac:dyDescent="0.25">
      <c r="A1402" s="25"/>
    </row>
    <row r="1403" spans="1:1" x14ac:dyDescent="0.25">
      <c r="A1403" s="25"/>
    </row>
    <row r="1404" spans="1:1" x14ac:dyDescent="0.25">
      <c r="A1404" s="25"/>
    </row>
    <row r="1405" spans="1:1" x14ac:dyDescent="0.25">
      <c r="A1405" s="25"/>
    </row>
    <row r="1406" spans="1:1" x14ac:dyDescent="0.25">
      <c r="A1406" s="25"/>
    </row>
    <row r="1407" spans="1:1" x14ac:dyDescent="0.25">
      <c r="A1407" s="25"/>
    </row>
    <row r="1408" spans="1:1" x14ac:dyDescent="0.25">
      <c r="A1408" s="25"/>
    </row>
    <row r="1409" spans="1:1" x14ac:dyDescent="0.25">
      <c r="A1409" s="25"/>
    </row>
    <row r="1410" spans="1:1" x14ac:dyDescent="0.25">
      <c r="A1410" s="25"/>
    </row>
    <row r="1411" spans="1:1" x14ac:dyDescent="0.25">
      <c r="A1411" s="25"/>
    </row>
    <row r="1412" spans="1:1" x14ac:dyDescent="0.25">
      <c r="A1412" s="25"/>
    </row>
    <row r="1413" spans="1:1" x14ac:dyDescent="0.25">
      <c r="A1413" s="25"/>
    </row>
    <row r="1414" spans="1:1" x14ac:dyDescent="0.25">
      <c r="A1414" s="25"/>
    </row>
    <row r="1415" spans="1:1" x14ac:dyDescent="0.25">
      <c r="A1415" s="25"/>
    </row>
    <row r="1416" spans="1:1" x14ac:dyDescent="0.25">
      <c r="A1416" s="25"/>
    </row>
    <row r="1417" spans="1:1" x14ac:dyDescent="0.25">
      <c r="A1417" s="25"/>
    </row>
    <row r="1418" spans="1:1" x14ac:dyDescent="0.25">
      <c r="A1418" s="25"/>
    </row>
    <row r="1419" spans="1:1" x14ac:dyDescent="0.25">
      <c r="A1419" s="25"/>
    </row>
    <row r="1420" spans="1:1" x14ac:dyDescent="0.25">
      <c r="A1420" s="25"/>
    </row>
    <row r="1421" spans="1:1" x14ac:dyDescent="0.25">
      <c r="A1421" s="25"/>
    </row>
    <row r="1422" spans="1:1" x14ac:dyDescent="0.25">
      <c r="A1422" s="25"/>
    </row>
    <row r="1423" spans="1:1" x14ac:dyDescent="0.25">
      <c r="A1423" s="25"/>
    </row>
    <row r="1424" spans="1:1" x14ac:dyDescent="0.25">
      <c r="A1424" s="25"/>
    </row>
    <row r="1425" spans="1:1" x14ac:dyDescent="0.25">
      <c r="A1425" s="25"/>
    </row>
    <row r="1426" spans="1:1" x14ac:dyDescent="0.25">
      <c r="A1426" s="25"/>
    </row>
    <row r="1427" spans="1:1" x14ac:dyDescent="0.25">
      <c r="A1427" s="25"/>
    </row>
    <row r="1428" spans="1:1" x14ac:dyDescent="0.25">
      <c r="A1428" s="25"/>
    </row>
    <row r="1429" spans="1:1" x14ac:dyDescent="0.25">
      <c r="A1429" s="25"/>
    </row>
    <row r="1430" spans="1:1" x14ac:dyDescent="0.25">
      <c r="A1430" s="25"/>
    </row>
    <row r="1431" spans="1:1" x14ac:dyDescent="0.25">
      <c r="A1431" s="25"/>
    </row>
    <row r="1432" spans="1:1" x14ac:dyDescent="0.25">
      <c r="A1432" s="25"/>
    </row>
    <row r="1433" spans="1:1" x14ac:dyDescent="0.25">
      <c r="A1433" s="25"/>
    </row>
    <row r="1434" spans="1:1" x14ac:dyDescent="0.25">
      <c r="A1434" s="25"/>
    </row>
    <row r="1435" spans="1:1" x14ac:dyDescent="0.25">
      <c r="A1435" s="25"/>
    </row>
    <row r="1436" spans="1:1" x14ac:dyDescent="0.25">
      <c r="A1436" s="25"/>
    </row>
    <row r="1437" spans="1:1" x14ac:dyDescent="0.25">
      <c r="A1437" s="25"/>
    </row>
    <row r="1438" spans="1:1" x14ac:dyDescent="0.25">
      <c r="A1438" s="25"/>
    </row>
    <row r="1439" spans="1:1" x14ac:dyDescent="0.25">
      <c r="A1439" s="25"/>
    </row>
    <row r="1440" spans="1:1" x14ac:dyDescent="0.25">
      <c r="A1440" s="25"/>
    </row>
    <row r="1441" spans="1:1" x14ac:dyDescent="0.25">
      <c r="A1441" s="25"/>
    </row>
    <row r="1442" spans="1:1" x14ac:dyDescent="0.25">
      <c r="A1442" s="25"/>
    </row>
    <row r="1443" spans="1:1" x14ac:dyDescent="0.25">
      <c r="A1443" s="25"/>
    </row>
    <row r="1444" spans="1:1" x14ac:dyDescent="0.25">
      <c r="A1444" s="25"/>
    </row>
    <row r="1445" spans="1:1" x14ac:dyDescent="0.25">
      <c r="A1445" s="25"/>
    </row>
    <row r="1446" spans="1:1" x14ac:dyDescent="0.25">
      <c r="A1446" s="25"/>
    </row>
    <row r="1447" spans="1:1" x14ac:dyDescent="0.25">
      <c r="A1447" s="25"/>
    </row>
    <row r="1448" spans="1:1" x14ac:dyDescent="0.25">
      <c r="A1448" s="25"/>
    </row>
    <row r="1449" spans="1:1" x14ac:dyDescent="0.25">
      <c r="A1449" s="25"/>
    </row>
    <row r="1450" spans="1:1" x14ac:dyDescent="0.25">
      <c r="A1450" s="25"/>
    </row>
    <row r="1451" spans="1:1" x14ac:dyDescent="0.25">
      <c r="A1451" s="25"/>
    </row>
    <row r="1452" spans="1:1" x14ac:dyDescent="0.25">
      <c r="A1452" s="25"/>
    </row>
    <row r="1453" spans="1:1" x14ac:dyDescent="0.25">
      <c r="A1453" s="25"/>
    </row>
    <row r="1454" spans="1:1" x14ac:dyDescent="0.25">
      <c r="A1454" s="25"/>
    </row>
    <row r="1455" spans="1:1" x14ac:dyDescent="0.25">
      <c r="A1455" s="25"/>
    </row>
    <row r="1456" spans="1:1" x14ac:dyDescent="0.25">
      <c r="A1456" s="25"/>
    </row>
    <row r="1457" spans="1:1" x14ac:dyDescent="0.25">
      <c r="A1457" s="25"/>
    </row>
    <row r="1458" spans="1:1" x14ac:dyDescent="0.25">
      <c r="A1458" s="25"/>
    </row>
    <row r="1459" spans="1:1" x14ac:dyDescent="0.25">
      <c r="A1459" s="25"/>
    </row>
    <row r="1460" spans="1:1" x14ac:dyDescent="0.25">
      <c r="A1460" s="25"/>
    </row>
    <row r="1461" spans="1:1" x14ac:dyDescent="0.25">
      <c r="A1461" s="25"/>
    </row>
    <row r="1462" spans="1:1" x14ac:dyDescent="0.25">
      <c r="A1462" s="25"/>
    </row>
    <row r="1463" spans="1:1" x14ac:dyDescent="0.25">
      <c r="A1463" s="25"/>
    </row>
    <row r="1464" spans="1:1" x14ac:dyDescent="0.25">
      <c r="A1464" s="25"/>
    </row>
    <row r="1465" spans="1:1" x14ac:dyDescent="0.25">
      <c r="A1465" s="25"/>
    </row>
    <row r="1466" spans="1:1" x14ac:dyDescent="0.25">
      <c r="A1466" s="25"/>
    </row>
    <row r="1467" spans="1:1" x14ac:dyDescent="0.25">
      <c r="A1467" s="25"/>
    </row>
    <row r="1468" spans="1:1" x14ac:dyDescent="0.25">
      <c r="A1468" s="25"/>
    </row>
    <row r="1469" spans="1:1" x14ac:dyDescent="0.25">
      <c r="A1469" s="25"/>
    </row>
    <row r="1470" spans="1:1" x14ac:dyDescent="0.25">
      <c r="A1470" s="25"/>
    </row>
    <row r="1471" spans="1:1" x14ac:dyDescent="0.25">
      <c r="A1471" s="25"/>
    </row>
    <row r="1472" spans="1:1" x14ac:dyDescent="0.25">
      <c r="A1472" s="25"/>
    </row>
    <row r="1473" spans="1:1" x14ac:dyDescent="0.25">
      <c r="A1473" s="25"/>
    </row>
    <row r="1474" spans="1:1" x14ac:dyDescent="0.25">
      <c r="A1474" s="25"/>
    </row>
    <row r="1475" spans="1:1" x14ac:dyDescent="0.25">
      <c r="A1475" s="25"/>
    </row>
    <row r="1476" spans="1:1" x14ac:dyDescent="0.25">
      <c r="A1476" s="25"/>
    </row>
    <row r="1477" spans="1:1" x14ac:dyDescent="0.25">
      <c r="A1477" s="25"/>
    </row>
    <row r="1478" spans="1:1" x14ac:dyDescent="0.25">
      <c r="A1478" s="25"/>
    </row>
    <row r="1479" spans="1:1" x14ac:dyDescent="0.25">
      <c r="A1479" s="25"/>
    </row>
    <row r="1480" spans="1:1" x14ac:dyDescent="0.25">
      <c r="A1480" s="25"/>
    </row>
    <row r="1481" spans="1:1" x14ac:dyDescent="0.25">
      <c r="A1481" s="25"/>
    </row>
    <row r="1482" spans="1:1" x14ac:dyDescent="0.25">
      <c r="A1482" s="25"/>
    </row>
    <row r="1483" spans="1:1" x14ac:dyDescent="0.25">
      <c r="A1483" s="25"/>
    </row>
    <row r="1484" spans="1:1" x14ac:dyDescent="0.25">
      <c r="A1484" s="25"/>
    </row>
    <row r="1485" spans="1:1" x14ac:dyDescent="0.25">
      <c r="A1485" s="25"/>
    </row>
    <row r="1486" spans="1:1" x14ac:dyDescent="0.25">
      <c r="A1486" s="25"/>
    </row>
    <row r="1487" spans="1:1" x14ac:dyDescent="0.25">
      <c r="A1487" s="25"/>
    </row>
    <row r="1488" spans="1:1" x14ac:dyDescent="0.25">
      <c r="A1488" s="25"/>
    </row>
    <row r="1489" spans="1:1" x14ac:dyDescent="0.25">
      <c r="A1489" s="25"/>
    </row>
    <row r="1490" spans="1:1" x14ac:dyDescent="0.25">
      <c r="A1490" s="25"/>
    </row>
    <row r="1491" spans="1:1" x14ac:dyDescent="0.25">
      <c r="A1491" s="25"/>
    </row>
    <row r="1492" spans="1:1" x14ac:dyDescent="0.25">
      <c r="A1492" s="25"/>
    </row>
    <row r="1493" spans="1:1" x14ac:dyDescent="0.25">
      <c r="A1493" s="25"/>
    </row>
    <row r="1494" spans="1:1" x14ac:dyDescent="0.25">
      <c r="A1494" s="25"/>
    </row>
    <row r="1495" spans="1:1" x14ac:dyDescent="0.25">
      <c r="A1495" s="25"/>
    </row>
    <row r="1496" spans="1:1" x14ac:dyDescent="0.25">
      <c r="A1496" s="25"/>
    </row>
    <row r="1497" spans="1:1" x14ac:dyDescent="0.25">
      <c r="A1497" s="25"/>
    </row>
    <row r="1498" spans="1:1" x14ac:dyDescent="0.25">
      <c r="A1498" s="25"/>
    </row>
    <row r="1499" spans="1:1" x14ac:dyDescent="0.25">
      <c r="A1499" s="25"/>
    </row>
    <row r="1500" spans="1:1" x14ac:dyDescent="0.25">
      <c r="A1500" s="25"/>
    </row>
    <row r="1501" spans="1:1" x14ac:dyDescent="0.25">
      <c r="A1501" s="25"/>
    </row>
    <row r="1502" spans="1:1" x14ac:dyDescent="0.25">
      <c r="A1502" s="25"/>
    </row>
    <row r="1503" spans="1:1" x14ac:dyDescent="0.25">
      <c r="A1503" s="25"/>
    </row>
    <row r="1504" spans="1:1" x14ac:dyDescent="0.25">
      <c r="A1504" s="25"/>
    </row>
    <row r="1505" spans="1:1" x14ac:dyDescent="0.25">
      <c r="A1505" s="25"/>
    </row>
    <row r="1506" spans="1:1" x14ac:dyDescent="0.25">
      <c r="A1506" s="25"/>
    </row>
    <row r="1507" spans="1:1" x14ac:dyDescent="0.25">
      <c r="A1507" s="25"/>
    </row>
    <row r="1508" spans="1:1" x14ac:dyDescent="0.25">
      <c r="A1508" s="25"/>
    </row>
    <row r="1509" spans="1:1" x14ac:dyDescent="0.25">
      <c r="A1509" s="25"/>
    </row>
    <row r="1510" spans="1:1" x14ac:dyDescent="0.25">
      <c r="A1510" s="25"/>
    </row>
    <row r="1511" spans="1:1" x14ac:dyDescent="0.25">
      <c r="A1511" s="25"/>
    </row>
    <row r="1512" spans="1:1" x14ac:dyDescent="0.25">
      <c r="A1512" s="25"/>
    </row>
    <row r="1513" spans="1:1" x14ac:dyDescent="0.25">
      <c r="A1513" s="25"/>
    </row>
    <row r="1514" spans="1:1" x14ac:dyDescent="0.25">
      <c r="A1514" s="25"/>
    </row>
    <row r="1515" spans="1:1" x14ac:dyDescent="0.25">
      <c r="A1515" s="25"/>
    </row>
    <row r="1516" spans="1:1" x14ac:dyDescent="0.25">
      <c r="A1516" s="25"/>
    </row>
    <row r="1517" spans="1:1" x14ac:dyDescent="0.25">
      <c r="A1517" s="25"/>
    </row>
    <row r="1518" spans="1:1" x14ac:dyDescent="0.25">
      <c r="A1518" s="25"/>
    </row>
    <row r="1519" spans="1:1" x14ac:dyDescent="0.25">
      <c r="A1519" s="25"/>
    </row>
    <row r="1520" spans="1:1" x14ac:dyDescent="0.25">
      <c r="A1520" s="25"/>
    </row>
    <row r="1521" spans="1:1" x14ac:dyDescent="0.25">
      <c r="A1521" s="25"/>
    </row>
    <row r="1522" spans="1:1" x14ac:dyDescent="0.25">
      <c r="A1522" s="25"/>
    </row>
    <row r="1523" spans="1:1" x14ac:dyDescent="0.25">
      <c r="A1523" s="25"/>
    </row>
    <row r="1524" spans="1:1" x14ac:dyDescent="0.25">
      <c r="A1524" s="25"/>
    </row>
    <row r="1525" spans="1:1" x14ac:dyDescent="0.25">
      <c r="A1525" s="25"/>
    </row>
    <row r="1526" spans="1:1" x14ac:dyDescent="0.25">
      <c r="A1526" s="25"/>
    </row>
    <row r="1527" spans="1:1" x14ac:dyDescent="0.25">
      <c r="A1527" s="25"/>
    </row>
    <row r="1528" spans="1:1" x14ac:dyDescent="0.25">
      <c r="A1528" s="25"/>
    </row>
    <row r="1529" spans="1:1" x14ac:dyDescent="0.25">
      <c r="A1529" s="25"/>
    </row>
    <row r="1530" spans="1:1" x14ac:dyDescent="0.25">
      <c r="A1530" s="25"/>
    </row>
    <row r="1531" spans="1:1" x14ac:dyDescent="0.25">
      <c r="A1531" s="25"/>
    </row>
    <row r="1532" spans="1:1" x14ac:dyDescent="0.25">
      <c r="A1532" s="25"/>
    </row>
    <row r="1533" spans="1:1" x14ac:dyDescent="0.25">
      <c r="A1533" s="25"/>
    </row>
    <row r="1534" spans="1:1" x14ac:dyDescent="0.25">
      <c r="A1534" s="25"/>
    </row>
    <row r="1535" spans="1:1" x14ac:dyDescent="0.25">
      <c r="A1535" s="25"/>
    </row>
    <row r="1536" spans="1:1" x14ac:dyDescent="0.25">
      <c r="A1536" s="25"/>
    </row>
    <row r="1537" spans="1:1" x14ac:dyDescent="0.25">
      <c r="A1537" s="25"/>
    </row>
    <row r="1538" spans="1:1" x14ac:dyDescent="0.25">
      <c r="A1538" s="25"/>
    </row>
    <row r="1539" spans="1:1" x14ac:dyDescent="0.25">
      <c r="A1539" s="25"/>
    </row>
    <row r="1540" spans="1:1" x14ac:dyDescent="0.25">
      <c r="A1540" s="25"/>
    </row>
    <row r="1541" spans="1:1" x14ac:dyDescent="0.25">
      <c r="A1541" s="25"/>
    </row>
    <row r="1542" spans="1:1" x14ac:dyDescent="0.25">
      <c r="A1542" s="25"/>
    </row>
    <row r="1543" spans="1:1" x14ac:dyDescent="0.25">
      <c r="A1543" s="25"/>
    </row>
    <row r="1544" spans="1:1" x14ac:dyDescent="0.25">
      <c r="A1544" s="25"/>
    </row>
    <row r="1545" spans="1:1" x14ac:dyDescent="0.25">
      <c r="A1545" s="25"/>
    </row>
    <row r="1546" spans="1:1" x14ac:dyDescent="0.25">
      <c r="A1546" s="25"/>
    </row>
    <row r="1547" spans="1:1" x14ac:dyDescent="0.25">
      <c r="A1547" s="25"/>
    </row>
    <row r="1548" spans="1:1" x14ac:dyDescent="0.25">
      <c r="A1548" s="25"/>
    </row>
    <row r="1549" spans="1:1" x14ac:dyDescent="0.25">
      <c r="A1549" s="25"/>
    </row>
    <row r="1550" spans="1:1" x14ac:dyDescent="0.25">
      <c r="A1550" s="25"/>
    </row>
    <row r="1551" spans="1:1" x14ac:dyDescent="0.25">
      <c r="A1551" s="25"/>
    </row>
    <row r="1552" spans="1:1" x14ac:dyDescent="0.25">
      <c r="A1552" s="25"/>
    </row>
    <row r="1553" spans="1:1" x14ac:dyDescent="0.25">
      <c r="A1553" s="25"/>
    </row>
    <row r="1554" spans="1:1" x14ac:dyDescent="0.25">
      <c r="A1554" s="25"/>
    </row>
    <row r="1555" spans="1:1" x14ac:dyDescent="0.25">
      <c r="A1555" s="25"/>
    </row>
    <row r="1556" spans="1:1" x14ac:dyDescent="0.25">
      <c r="A1556" s="25"/>
    </row>
    <row r="1557" spans="1:1" x14ac:dyDescent="0.25">
      <c r="A1557" s="25"/>
    </row>
    <row r="1558" spans="1:1" x14ac:dyDescent="0.25">
      <c r="A1558" s="25"/>
    </row>
    <row r="1559" spans="1:1" x14ac:dyDescent="0.25">
      <c r="A1559" s="25"/>
    </row>
    <row r="1560" spans="1:1" x14ac:dyDescent="0.25">
      <c r="A1560" s="25"/>
    </row>
    <row r="1561" spans="1:1" x14ac:dyDescent="0.25">
      <c r="A1561" s="25"/>
    </row>
    <row r="1562" spans="1:1" x14ac:dyDescent="0.25">
      <c r="A1562" s="25"/>
    </row>
    <row r="1563" spans="1:1" x14ac:dyDescent="0.25">
      <c r="A1563" s="25"/>
    </row>
    <row r="1564" spans="1:1" x14ac:dyDescent="0.25">
      <c r="A1564" s="25"/>
    </row>
    <row r="1565" spans="1:1" x14ac:dyDescent="0.25">
      <c r="A1565" s="25"/>
    </row>
    <row r="1566" spans="1:1" x14ac:dyDescent="0.25">
      <c r="A1566" s="25"/>
    </row>
    <row r="1567" spans="1:1" x14ac:dyDescent="0.25">
      <c r="A1567" s="25"/>
    </row>
    <row r="1568" spans="1:1" x14ac:dyDescent="0.25">
      <c r="A1568" s="25"/>
    </row>
    <row r="1569" spans="1:1" x14ac:dyDescent="0.25">
      <c r="A1569" s="25"/>
    </row>
    <row r="1570" spans="1:1" x14ac:dyDescent="0.25">
      <c r="A1570" s="25"/>
    </row>
    <row r="1571" spans="1:1" x14ac:dyDescent="0.25">
      <c r="A1571" s="25"/>
    </row>
    <row r="1572" spans="1:1" x14ac:dyDescent="0.25">
      <c r="A1572" s="25"/>
    </row>
    <row r="1573" spans="1:1" x14ac:dyDescent="0.25">
      <c r="A1573" s="25"/>
    </row>
    <row r="1574" spans="1:1" x14ac:dyDescent="0.25">
      <c r="A1574" s="25"/>
    </row>
    <row r="1575" spans="1:1" x14ac:dyDescent="0.25">
      <c r="A1575" s="25"/>
    </row>
    <row r="1576" spans="1:1" x14ac:dyDescent="0.25">
      <c r="A1576" s="25"/>
    </row>
    <row r="1577" spans="1:1" x14ac:dyDescent="0.25">
      <c r="A1577" s="25"/>
    </row>
    <row r="1578" spans="1:1" x14ac:dyDescent="0.25">
      <c r="A1578" s="25"/>
    </row>
    <row r="1579" spans="1:1" x14ac:dyDescent="0.25">
      <c r="A1579" s="25"/>
    </row>
    <row r="1580" spans="1:1" x14ac:dyDescent="0.25">
      <c r="A1580" s="25"/>
    </row>
    <row r="1581" spans="1:1" x14ac:dyDescent="0.25">
      <c r="A1581" s="25"/>
    </row>
    <row r="1582" spans="1:1" x14ac:dyDescent="0.25">
      <c r="A1582" s="25"/>
    </row>
    <row r="1583" spans="1:1" x14ac:dyDescent="0.25">
      <c r="A1583" s="25"/>
    </row>
    <row r="1584" spans="1:1" x14ac:dyDescent="0.25">
      <c r="A1584" s="25"/>
    </row>
    <row r="1585" spans="1:1" x14ac:dyDescent="0.25">
      <c r="A1585" s="25"/>
    </row>
    <row r="1586" spans="1:1" x14ac:dyDescent="0.25">
      <c r="A1586" s="25"/>
    </row>
    <row r="1587" spans="1:1" x14ac:dyDescent="0.25">
      <c r="A1587" s="25"/>
    </row>
    <row r="1588" spans="1:1" x14ac:dyDescent="0.25">
      <c r="A1588" s="25"/>
    </row>
    <row r="1589" spans="1:1" x14ac:dyDescent="0.25">
      <c r="A1589" s="25"/>
    </row>
    <row r="1590" spans="1:1" x14ac:dyDescent="0.25">
      <c r="A1590" s="25"/>
    </row>
    <row r="1591" spans="1:1" x14ac:dyDescent="0.25">
      <c r="A1591" s="25"/>
    </row>
    <row r="1592" spans="1:1" x14ac:dyDescent="0.25">
      <c r="A1592" s="25"/>
    </row>
    <row r="1593" spans="1:1" x14ac:dyDescent="0.25">
      <c r="A1593" s="25"/>
    </row>
    <row r="1594" spans="1:1" x14ac:dyDescent="0.25">
      <c r="A1594" s="25"/>
    </row>
    <row r="1595" spans="1:1" x14ac:dyDescent="0.25">
      <c r="A1595" s="25"/>
    </row>
    <row r="1596" spans="1:1" x14ac:dyDescent="0.25">
      <c r="A1596" s="25"/>
    </row>
    <row r="1597" spans="1:1" x14ac:dyDescent="0.25">
      <c r="A1597" s="25"/>
    </row>
    <row r="1598" spans="1:1" x14ac:dyDescent="0.25">
      <c r="A1598" s="25"/>
    </row>
    <row r="1599" spans="1:1" x14ac:dyDescent="0.25">
      <c r="A1599" s="25"/>
    </row>
    <row r="1600" spans="1:1" x14ac:dyDescent="0.25">
      <c r="A1600" s="25"/>
    </row>
    <row r="1601" spans="1:1" x14ac:dyDescent="0.25">
      <c r="A1601" s="25"/>
    </row>
    <row r="1602" spans="1:1" x14ac:dyDescent="0.25">
      <c r="A1602" s="25"/>
    </row>
    <row r="1603" spans="1:1" x14ac:dyDescent="0.25">
      <c r="A1603" s="25"/>
    </row>
    <row r="1604" spans="1:1" x14ac:dyDescent="0.25">
      <c r="A1604" s="25"/>
    </row>
    <row r="1605" spans="1:1" x14ac:dyDescent="0.25">
      <c r="A1605" s="25"/>
    </row>
    <row r="1606" spans="1:1" x14ac:dyDescent="0.25">
      <c r="A1606" s="25"/>
    </row>
    <row r="1607" spans="1:1" x14ac:dyDescent="0.25">
      <c r="A1607" s="25"/>
    </row>
    <row r="1608" spans="1:1" x14ac:dyDescent="0.25">
      <c r="A1608" s="25"/>
    </row>
    <row r="1609" spans="1:1" x14ac:dyDescent="0.25">
      <c r="A1609" s="25"/>
    </row>
    <row r="1610" spans="1:1" x14ac:dyDescent="0.25">
      <c r="A1610" s="25"/>
    </row>
    <row r="1611" spans="1:1" x14ac:dyDescent="0.25">
      <c r="A1611" s="25"/>
    </row>
    <row r="1612" spans="1:1" x14ac:dyDescent="0.25">
      <c r="A1612" s="25"/>
    </row>
    <row r="1613" spans="1:1" x14ac:dyDescent="0.25">
      <c r="A1613" s="25"/>
    </row>
    <row r="1614" spans="1:1" x14ac:dyDescent="0.25">
      <c r="A1614" s="25"/>
    </row>
    <row r="1615" spans="1:1" x14ac:dyDescent="0.25">
      <c r="A1615" s="25"/>
    </row>
    <row r="1616" spans="1:1" x14ac:dyDescent="0.25">
      <c r="A1616" s="25"/>
    </row>
    <row r="1617" spans="1:1" x14ac:dyDescent="0.25">
      <c r="A1617" s="25"/>
    </row>
    <row r="1618" spans="1:1" x14ac:dyDescent="0.25">
      <c r="A1618" s="25"/>
    </row>
    <row r="1619" spans="1:1" x14ac:dyDescent="0.25">
      <c r="A1619" s="25"/>
    </row>
    <row r="1620" spans="1:1" x14ac:dyDescent="0.25">
      <c r="A1620" s="25"/>
    </row>
    <row r="1621" spans="1:1" x14ac:dyDescent="0.25">
      <c r="A1621" s="25"/>
    </row>
    <row r="1622" spans="1:1" x14ac:dyDescent="0.25">
      <c r="A1622" s="25"/>
    </row>
    <row r="1623" spans="1:1" x14ac:dyDescent="0.25">
      <c r="A1623" s="25"/>
    </row>
    <row r="1624" spans="1:1" x14ac:dyDescent="0.25">
      <c r="A1624" s="25"/>
    </row>
    <row r="1625" spans="1:1" x14ac:dyDescent="0.25">
      <c r="A1625" s="25"/>
    </row>
    <row r="1626" spans="1:1" x14ac:dyDescent="0.25">
      <c r="A1626" s="25"/>
    </row>
    <row r="1627" spans="1:1" x14ac:dyDescent="0.25">
      <c r="A1627" s="25"/>
    </row>
    <row r="1628" spans="1:1" x14ac:dyDescent="0.25">
      <c r="A1628" s="25"/>
    </row>
    <row r="1629" spans="1:1" x14ac:dyDescent="0.25">
      <c r="A1629" s="25"/>
    </row>
    <row r="1630" spans="1:1" x14ac:dyDescent="0.25">
      <c r="A1630" s="25"/>
    </row>
    <row r="1631" spans="1:1" x14ac:dyDescent="0.25">
      <c r="A1631" s="25"/>
    </row>
    <row r="1632" spans="1:1" x14ac:dyDescent="0.25">
      <c r="A1632" s="25"/>
    </row>
    <row r="1633" spans="1:1" x14ac:dyDescent="0.25">
      <c r="A1633" s="25"/>
    </row>
    <row r="1634" spans="1:1" x14ac:dyDescent="0.25">
      <c r="A1634" s="25"/>
    </row>
    <row r="1635" spans="1:1" x14ac:dyDescent="0.25">
      <c r="A1635" s="25"/>
    </row>
    <row r="1636" spans="1:1" x14ac:dyDescent="0.25">
      <c r="A1636" s="25"/>
    </row>
    <row r="1637" spans="1:1" x14ac:dyDescent="0.25">
      <c r="A1637" s="25"/>
    </row>
    <row r="1638" spans="1:1" x14ac:dyDescent="0.25">
      <c r="A1638" s="25"/>
    </row>
    <row r="1639" spans="1:1" x14ac:dyDescent="0.25">
      <c r="A1639" s="25"/>
    </row>
    <row r="1640" spans="1:1" x14ac:dyDescent="0.25">
      <c r="A1640" s="25"/>
    </row>
    <row r="1641" spans="1:1" x14ac:dyDescent="0.25">
      <c r="A1641" s="25"/>
    </row>
    <row r="1642" spans="1:1" x14ac:dyDescent="0.25">
      <c r="A1642" s="25"/>
    </row>
    <row r="1643" spans="1:1" x14ac:dyDescent="0.25">
      <c r="A1643" s="25"/>
    </row>
    <row r="1644" spans="1:1" x14ac:dyDescent="0.25">
      <c r="A1644" s="25"/>
    </row>
    <row r="1645" spans="1:1" x14ac:dyDescent="0.25">
      <c r="A1645" s="25"/>
    </row>
    <row r="1646" spans="1:1" x14ac:dyDescent="0.25">
      <c r="A1646" s="25"/>
    </row>
    <row r="1647" spans="1:1" x14ac:dyDescent="0.25">
      <c r="A1647" s="25"/>
    </row>
    <row r="1648" spans="1:1" x14ac:dyDescent="0.25">
      <c r="A1648" s="25"/>
    </row>
    <row r="1649" spans="1:1" x14ac:dyDescent="0.25">
      <c r="A1649" s="25"/>
    </row>
    <row r="1650" spans="1:1" x14ac:dyDescent="0.25">
      <c r="A1650" s="25"/>
    </row>
    <row r="1651" spans="1:1" x14ac:dyDescent="0.25">
      <c r="A1651" s="25"/>
    </row>
    <row r="1652" spans="1:1" x14ac:dyDescent="0.25">
      <c r="A1652" s="25"/>
    </row>
    <row r="1653" spans="1:1" x14ac:dyDescent="0.25">
      <c r="A1653" s="25"/>
    </row>
    <row r="1654" spans="1:1" x14ac:dyDescent="0.25">
      <c r="A1654" s="25"/>
    </row>
    <row r="1655" spans="1:1" x14ac:dyDescent="0.25">
      <c r="A1655" s="25"/>
    </row>
    <row r="1656" spans="1:1" x14ac:dyDescent="0.25">
      <c r="A1656" s="25"/>
    </row>
    <row r="1657" spans="1:1" x14ac:dyDescent="0.25">
      <c r="A1657" s="25"/>
    </row>
    <row r="1658" spans="1:1" x14ac:dyDescent="0.25">
      <c r="A1658" s="25"/>
    </row>
    <row r="1659" spans="1:1" x14ac:dyDescent="0.25">
      <c r="A1659" s="25"/>
    </row>
    <row r="1660" spans="1:1" x14ac:dyDescent="0.25">
      <c r="A1660" s="25"/>
    </row>
    <row r="1661" spans="1:1" x14ac:dyDescent="0.25">
      <c r="A1661" s="25"/>
    </row>
    <row r="1662" spans="1:1" x14ac:dyDescent="0.25">
      <c r="A1662" s="25"/>
    </row>
    <row r="1663" spans="1:1" x14ac:dyDescent="0.25">
      <c r="A1663" s="25"/>
    </row>
    <row r="1664" spans="1:1" x14ac:dyDescent="0.25">
      <c r="A1664" s="25"/>
    </row>
    <row r="1665" spans="1:1" x14ac:dyDescent="0.25">
      <c r="A1665" s="25"/>
    </row>
    <row r="1666" spans="1:1" x14ac:dyDescent="0.25">
      <c r="A1666" s="25"/>
    </row>
    <row r="1667" spans="1:1" x14ac:dyDescent="0.25">
      <c r="A1667" s="25"/>
    </row>
    <row r="1668" spans="1:1" x14ac:dyDescent="0.25">
      <c r="A1668" s="25"/>
    </row>
    <row r="1669" spans="1:1" x14ac:dyDescent="0.25">
      <c r="A1669" s="25"/>
    </row>
    <row r="1670" spans="1:1" x14ac:dyDescent="0.25">
      <c r="A1670" s="25"/>
    </row>
    <row r="1671" spans="1:1" x14ac:dyDescent="0.25">
      <c r="A1671" s="25"/>
    </row>
    <row r="1672" spans="1:1" x14ac:dyDescent="0.25">
      <c r="A1672" s="25"/>
    </row>
    <row r="1673" spans="1:1" x14ac:dyDescent="0.25">
      <c r="A1673" s="25"/>
    </row>
    <row r="1674" spans="1:1" x14ac:dyDescent="0.25">
      <c r="A1674" s="25"/>
    </row>
    <row r="1675" spans="1:1" x14ac:dyDescent="0.25">
      <c r="A1675" s="25"/>
    </row>
    <row r="1676" spans="1:1" x14ac:dyDescent="0.25">
      <c r="A1676" s="25"/>
    </row>
    <row r="1677" spans="1:1" x14ac:dyDescent="0.25">
      <c r="A1677" s="25"/>
    </row>
    <row r="1678" spans="1:1" x14ac:dyDescent="0.25">
      <c r="A1678" s="25"/>
    </row>
    <row r="1679" spans="1:1" x14ac:dyDescent="0.25">
      <c r="A1679" s="25"/>
    </row>
    <row r="1680" spans="1:1" x14ac:dyDescent="0.25">
      <c r="A1680" s="25"/>
    </row>
    <row r="1681" spans="1:1" x14ac:dyDescent="0.25">
      <c r="A1681" s="25"/>
    </row>
    <row r="1682" spans="1:1" x14ac:dyDescent="0.25">
      <c r="A1682" s="25"/>
    </row>
    <row r="1683" spans="1:1" x14ac:dyDescent="0.25">
      <c r="A1683" s="25"/>
    </row>
    <row r="1684" spans="1:1" x14ac:dyDescent="0.25">
      <c r="A1684" s="25"/>
    </row>
    <row r="1685" spans="1:1" x14ac:dyDescent="0.25">
      <c r="A1685" s="25"/>
    </row>
    <row r="1686" spans="1:1" x14ac:dyDescent="0.25">
      <c r="A1686" s="25"/>
    </row>
    <row r="1687" spans="1:1" x14ac:dyDescent="0.25">
      <c r="A1687" s="25"/>
    </row>
    <row r="1688" spans="1:1" x14ac:dyDescent="0.25">
      <c r="A1688" s="25"/>
    </row>
    <row r="1689" spans="1:1" x14ac:dyDescent="0.25">
      <c r="A1689" s="25"/>
    </row>
    <row r="1690" spans="1:1" x14ac:dyDescent="0.25">
      <c r="A1690" s="25"/>
    </row>
    <row r="1691" spans="1:1" x14ac:dyDescent="0.25">
      <c r="A1691" s="2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V52"/>
  <sheetViews>
    <sheetView workbookViewId="0"/>
  </sheetViews>
  <sheetFormatPr defaultRowHeight="15" x14ac:dyDescent="0.25"/>
  <cols>
    <col min="1" max="1" width="32" bestFit="1" customWidth="1"/>
    <col min="12" max="12" width="24.28515625" bestFit="1" customWidth="1"/>
    <col min="13" max="13" width="12.85546875" bestFit="1" customWidth="1"/>
    <col min="14" max="14" width="5" bestFit="1" customWidth="1"/>
  </cols>
  <sheetData>
    <row r="1" spans="1:22" ht="21" x14ac:dyDescent="0.35">
      <c r="A1" s="159" t="s">
        <v>90</v>
      </c>
      <c r="B1" s="13" t="s">
        <v>15</v>
      </c>
      <c r="C1" s="13" t="s">
        <v>16</v>
      </c>
      <c r="D1" s="13" t="s">
        <v>17</v>
      </c>
      <c r="E1" s="13" t="s">
        <v>18</v>
      </c>
      <c r="F1" s="13" t="s">
        <v>29</v>
      </c>
      <c r="G1" s="13" t="s">
        <v>19</v>
      </c>
      <c r="H1" s="13" t="s">
        <v>20</v>
      </c>
      <c r="I1" s="13" t="s">
        <v>21</v>
      </c>
      <c r="J1" s="13" t="s">
        <v>105</v>
      </c>
      <c r="L1" s="159" t="s">
        <v>132</v>
      </c>
      <c r="M1">
        <v>1</v>
      </c>
      <c r="N1">
        <v>2</v>
      </c>
      <c r="O1">
        <v>3</v>
      </c>
      <c r="P1">
        <v>4</v>
      </c>
      <c r="Q1">
        <v>5</v>
      </c>
      <c r="R1">
        <v>6</v>
      </c>
      <c r="S1">
        <v>7</v>
      </c>
      <c r="T1">
        <v>8</v>
      </c>
      <c r="U1">
        <v>9</v>
      </c>
      <c r="V1">
        <v>10</v>
      </c>
    </row>
    <row r="2" spans="1:22" x14ac:dyDescent="0.25">
      <c r="A2" s="157" t="s">
        <v>88</v>
      </c>
      <c r="B2" s="13">
        <v>7275.7999999999975</v>
      </c>
      <c r="C2" s="13">
        <v>5729.1</v>
      </c>
      <c r="D2" s="13">
        <v>6968.3</v>
      </c>
      <c r="E2" s="13">
        <v>5649.9</v>
      </c>
      <c r="F2" s="13">
        <v>5555.6</v>
      </c>
      <c r="G2" s="13">
        <v>6566</v>
      </c>
      <c r="H2" s="13">
        <v>6654.6</v>
      </c>
      <c r="I2" s="13">
        <v>6985.2</v>
      </c>
      <c r="J2" s="13">
        <v>6052.7</v>
      </c>
      <c r="M2" s="157" t="str">
        <f>Inputs!A2</f>
        <v>DomesticMC</v>
      </c>
      <c r="N2">
        <f>VLOOKUP($M2,$A$2:$J$16,N$1,FALSE)</f>
        <v>7275.7999999999975</v>
      </c>
      <c r="O2" s="13">
        <f t="shared" ref="O2:V2" si="0">VLOOKUP($M2,$A$2:$J$16,O$1,FALSE)</f>
        <v>5729.1</v>
      </c>
      <c r="P2" s="13">
        <f t="shared" si="0"/>
        <v>6968.3</v>
      </c>
      <c r="Q2" s="13">
        <f t="shared" si="0"/>
        <v>5649.9</v>
      </c>
      <c r="R2" s="13">
        <f t="shared" si="0"/>
        <v>5555.6</v>
      </c>
      <c r="S2" s="13">
        <f t="shared" si="0"/>
        <v>6566</v>
      </c>
      <c r="T2" s="13">
        <f t="shared" si="0"/>
        <v>6654.6</v>
      </c>
      <c r="U2" s="13">
        <f t="shared" si="0"/>
        <v>6985.2</v>
      </c>
      <c r="V2" s="13">
        <f t="shared" si="0"/>
        <v>6052.7</v>
      </c>
    </row>
    <row r="3" spans="1:22" x14ac:dyDescent="0.25">
      <c r="A3" s="157" t="s">
        <v>9</v>
      </c>
      <c r="B3" s="13">
        <v>0</v>
      </c>
      <c r="C3" s="13">
        <v>6.2</v>
      </c>
      <c r="D3" s="13">
        <v>139.69999999999999</v>
      </c>
      <c r="E3" s="13">
        <v>196.1</v>
      </c>
      <c r="F3" s="13">
        <v>189.4</v>
      </c>
      <c r="G3" s="13">
        <v>122.5</v>
      </c>
      <c r="H3" s="13">
        <v>4.4000000000000004</v>
      </c>
      <c r="I3" s="13">
        <v>0</v>
      </c>
      <c r="J3" s="13">
        <v>0</v>
      </c>
      <c r="M3" s="157" t="str">
        <f>Inputs!A3</f>
        <v>DomesticPNT</v>
      </c>
      <c r="N3" s="13">
        <f t="shared" ref="N3:V18" si="1">VLOOKUP($M3,$A$2:$J$16,N$1,FALSE)</f>
        <v>7340.9</v>
      </c>
      <c r="O3" s="13">
        <f t="shared" si="1"/>
        <v>7008</v>
      </c>
      <c r="P3" s="13">
        <f t="shared" si="1"/>
        <v>6854.9</v>
      </c>
      <c r="Q3" s="13">
        <f t="shared" si="1"/>
        <v>6575.2</v>
      </c>
      <c r="R3" s="13">
        <f t="shared" si="1"/>
        <v>6768</v>
      </c>
      <c r="S3" s="13">
        <f t="shared" si="1"/>
        <v>7747</v>
      </c>
      <c r="T3" s="13">
        <f t="shared" si="1"/>
        <v>7429.4</v>
      </c>
      <c r="U3" s="13">
        <f t="shared" si="1"/>
        <v>7302.7</v>
      </c>
      <c r="V3" s="13">
        <f t="shared" si="1"/>
        <v>7138.8</v>
      </c>
    </row>
    <row r="4" spans="1:22" x14ac:dyDescent="0.25">
      <c r="A4" s="157" t="s">
        <v>10</v>
      </c>
      <c r="B4" s="13">
        <v>0.2</v>
      </c>
      <c r="C4" s="13">
        <v>30.9</v>
      </c>
      <c r="D4" s="13">
        <v>124.8</v>
      </c>
      <c r="E4" s="13">
        <v>141</v>
      </c>
      <c r="F4" s="13">
        <v>95.1</v>
      </c>
      <c r="G4" s="13">
        <v>34.4</v>
      </c>
      <c r="H4" s="13">
        <v>0.1</v>
      </c>
      <c r="I4" s="13">
        <v>0</v>
      </c>
      <c r="J4" s="13">
        <v>0</v>
      </c>
      <c r="M4" s="157" t="str">
        <f>Inputs!A4</f>
        <v>M3135400</v>
      </c>
      <c r="N4" s="13">
        <f t="shared" si="1"/>
        <v>0</v>
      </c>
      <c r="O4" s="13">
        <f t="shared" si="1"/>
        <v>6.2</v>
      </c>
      <c r="P4" s="13">
        <f t="shared" si="1"/>
        <v>139.69999999999999</v>
      </c>
      <c r="Q4" s="13">
        <f t="shared" si="1"/>
        <v>196.1</v>
      </c>
      <c r="R4" s="13">
        <f t="shared" si="1"/>
        <v>189.4</v>
      </c>
      <c r="S4" s="13">
        <f t="shared" si="1"/>
        <v>122.5</v>
      </c>
      <c r="T4" s="13">
        <f t="shared" si="1"/>
        <v>4.4000000000000004</v>
      </c>
      <c r="U4" s="13">
        <f t="shared" si="1"/>
        <v>0</v>
      </c>
      <c r="V4" s="13">
        <f t="shared" si="1"/>
        <v>0</v>
      </c>
    </row>
    <row r="5" spans="1:22" x14ac:dyDescent="0.25">
      <c r="A5" s="157" t="s">
        <v>11</v>
      </c>
      <c r="B5" s="13">
        <v>5.6</v>
      </c>
      <c r="C5" s="13">
        <v>7.5</v>
      </c>
      <c r="D5" s="13">
        <v>43.5</v>
      </c>
      <c r="E5" s="13">
        <v>52.8</v>
      </c>
      <c r="F5" s="13">
        <v>57.4</v>
      </c>
      <c r="G5" s="13">
        <v>76.2</v>
      </c>
      <c r="H5" s="13">
        <v>0</v>
      </c>
      <c r="I5" s="13">
        <v>0</v>
      </c>
      <c r="J5" s="13">
        <v>0</v>
      </c>
      <c r="M5" s="157" t="str">
        <f>Inputs!A5</f>
        <v>M3135500</v>
      </c>
      <c r="N5" s="13">
        <f t="shared" si="1"/>
        <v>0.2</v>
      </c>
      <c r="O5" s="13">
        <f t="shared" si="1"/>
        <v>30.9</v>
      </c>
      <c r="P5" s="13">
        <f t="shared" si="1"/>
        <v>124.8</v>
      </c>
      <c r="Q5" s="13">
        <f t="shared" si="1"/>
        <v>141</v>
      </c>
      <c r="R5" s="13">
        <f t="shared" si="1"/>
        <v>95.1</v>
      </c>
      <c r="S5" s="13">
        <f t="shared" si="1"/>
        <v>34.4</v>
      </c>
      <c r="T5" s="13">
        <f t="shared" si="1"/>
        <v>0.1</v>
      </c>
      <c r="U5" s="13">
        <f t="shared" si="1"/>
        <v>0</v>
      </c>
      <c r="V5" s="13">
        <f t="shared" si="1"/>
        <v>0</v>
      </c>
    </row>
    <row r="6" spans="1:22" x14ac:dyDescent="0.25">
      <c r="A6" s="157" t="s">
        <v>12</v>
      </c>
      <c r="B6" s="13">
        <v>0</v>
      </c>
      <c r="C6" s="13">
        <v>0</v>
      </c>
      <c r="D6" s="13">
        <v>0</v>
      </c>
      <c r="E6" s="13">
        <v>110.3</v>
      </c>
      <c r="F6" s="13">
        <v>14.5</v>
      </c>
      <c r="G6" s="13">
        <v>110.5</v>
      </c>
      <c r="H6" s="13">
        <v>5.5</v>
      </c>
      <c r="I6" s="13">
        <v>0</v>
      </c>
      <c r="J6" s="13">
        <v>0</v>
      </c>
      <c r="M6" s="157" t="str">
        <f>Inputs!A6</f>
        <v>M3471400</v>
      </c>
      <c r="N6" s="13">
        <f t="shared" si="1"/>
        <v>5.6</v>
      </c>
      <c r="O6" s="13">
        <f t="shared" si="1"/>
        <v>7.5</v>
      </c>
      <c r="P6" s="13">
        <f t="shared" si="1"/>
        <v>43.5</v>
      </c>
      <c r="Q6" s="13">
        <f t="shared" si="1"/>
        <v>52.8</v>
      </c>
      <c r="R6" s="13">
        <f t="shared" si="1"/>
        <v>57.4</v>
      </c>
      <c r="S6" s="13">
        <f t="shared" si="1"/>
        <v>76.2</v>
      </c>
      <c r="T6" s="13">
        <f t="shared" si="1"/>
        <v>0</v>
      </c>
      <c r="U6" s="13">
        <f t="shared" si="1"/>
        <v>0</v>
      </c>
      <c r="V6" s="13">
        <f t="shared" si="1"/>
        <v>0</v>
      </c>
    </row>
    <row r="7" spans="1:22" x14ac:dyDescent="0.25">
      <c r="A7" s="157" t="s">
        <v>13</v>
      </c>
      <c r="B7" s="13">
        <v>0</v>
      </c>
      <c r="C7" s="13">
        <v>0</v>
      </c>
      <c r="D7" s="13">
        <v>0</v>
      </c>
      <c r="E7" s="13">
        <v>108.1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M7" s="157" t="str">
        <f>Inputs!A7</f>
        <v>M3472400</v>
      </c>
      <c r="N7" s="13">
        <f t="shared" si="1"/>
        <v>0</v>
      </c>
      <c r="O7" s="13">
        <f t="shared" si="1"/>
        <v>0</v>
      </c>
      <c r="P7" s="13">
        <f t="shared" si="1"/>
        <v>0</v>
      </c>
      <c r="Q7" s="13">
        <f t="shared" si="1"/>
        <v>110.3</v>
      </c>
      <c r="R7" s="13">
        <f t="shared" si="1"/>
        <v>14.5</v>
      </c>
      <c r="S7" s="13">
        <f t="shared" si="1"/>
        <v>110.5</v>
      </c>
      <c r="T7" s="13">
        <f t="shared" si="1"/>
        <v>5.5</v>
      </c>
      <c r="U7" s="13">
        <f t="shared" si="1"/>
        <v>0</v>
      </c>
      <c r="V7" s="13">
        <f t="shared" si="1"/>
        <v>0</v>
      </c>
    </row>
    <row r="8" spans="1:22" x14ac:dyDescent="0.25">
      <c r="A8" s="157" t="s">
        <v>14</v>
      </c>
      <c r="B8" s="13">
        <v>0</v>
      </c>
      <c r="C8" s="13">
        <v>0</v>
      </c>
      <c r="D8" s="13">
        <v>35.1</v>
      </c>
      <c r="E8" s="13">
        <v>337</v>
      </c>
      <c r="F8" s="13">
        <v>288.7</v>
      </c>
      <c r="G8" s="13">
        <v>0</v>
      </c>
      <c r="H8" s="13">
        <v>0</v>
      </c>
      <c r="I8" s="13">
        <v>0</v>
      </c>
      <c r="J8" s="13">
        <v>0</v>
      </c>
      <c r="M8" s="157" t="str">
        <f>Inputs!A8</f>
        <v>M4103300</v>
      </c>
      <c r="N8" s="13">
        <f t="shared" si="1"/>
        <v>0</v>
      </c>
      <c r="O8" s="13">
        <f t="shared" si="1"/>
        <v>0</v>
      </c>
      <c r="P8" s="13">
        <f t="shared" si="1"/>
        <v>0</v>
      </c>
      <c r="Q8" s="13">
        <f t="shared" si="1"/>
        <v>108.1</v>
      </c>
      <c r="R8" s="13">
        <f t="shared" si="1"/>
        <v>0</v>
      </c>
      <c r="S8" s="13">
        <f t="shared" si="1"/>
        <v>0</v>
      </c>
      <c r="T8" s="13">
        <f t="shared" si="1"/>
        <v>0</v>
      </c>
      <c r="U8" s="13">
        <f t="shared" si="1"/>
        <v>0</v>
      </c>
      <c r="V8" s="13">
        <f t="shared" si="1"/>
        <v>0</v>
      </c>
    </row>
    <row r="9" spans="1:22" x14ac:dyDescent="0.25">
      <c r="A9" s="157" t="s">
        <v>111</v>
      </c>
      <c r="B9" s="13">
        <v>0</v>
      </c>
      <c r="C9" s="13">
        <v>0</v>
      </c>
      <c r="D9" s="13">
        <v>0</v>
      </c>
      <c r="E9" s="13">
        <v>110.3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M9" s="157" t="str">
        <f>Inputs!A9</f>
        <v>M4348701</v>
      </c>
      <c r="N9" s="13">
        <f t="shared" si="1"/>
        <v>0</v>
      </c>
      <c r="O9" s="13">
        <f t="shared" si="1"/>
        <v>0</v>
      </c>
      <c r="P9" s="13">
        <f t="shared" si="1"/>
        <v>35.1</v>
      </c>
      <c r="Q9" s="13">
        <f t="shared" si="1"/>
        <v>337</v>
      </c>
      <c r="R9" s="13">
        <f t="shared" si="1"/>
        <v>288.7</v>
      </c>
      <c r="S9" s="13">
        <f t="shared" si="1"/>
        <v>0</v>
      </c>
      <c r="T9" s="13">
        <f t="shared" si="1"/>
        <v>0</v>
      </c>
      <c r="U9" s="13">
        <f t="shared" si="1"/>
        <v>0</v>
      </c>
      <c r="V9" s="13">
        <f t="shared" si="1"/>
        <v>0</v>
      </c>
    </row>
    <row r="10" spans="1:22" x14ac:dyDescent="0.25">
      <c r="A10" s="157" t="s">
        <v>22</v>
      </c>
      <c r="B10" s="13">
        <v>0</v>
      </c>
      <c r="C10" s="13">
        <v>0</v>
      </c>
      <c r="D10" s="13">
        <v>113.8</v>
      </c>
      <c r="E10" s="13">
        <v>195.7</v>
      </c>
      <c r="F10" s="13">
        <v>116.5</v>
      </c>
      <c r="G10" s="13">
        <v>147.69999999999999</v>
      </c>
      <c r="H10" s="13">
        <v>10.7</v>
      </c>
      <c r="I10" s="13">
        <v>0</v>
      </c>
      <c r="J10" s="13">
        <v>0</v>
      </c>
      <c r="M10" s="157" t="str">
        <f>Inputs!A10</f>
        <v>M4597400</v>
      </c>
      <c r="N10" s="13">
        <f t="shared" si="1"/>
        <v>0</v>
      </c>
      <c r="O10" s="13">
        <f t="shared" si="1"/>
        <v>0</v>
      </c>
      <c r="P10" s="13">
        <f t="shared" si="1"/>
        <v>0</v>
      </c>
      <c r="Q10" s="13">
        <f t="shared" si="1"/>
        <v>110.3</v>
      </c>
      <c r="R10" s="13">
        <f t="shared" si="1"/>
        <v>0</v>
      </c>
      <c r="S10" s="13">
        <f t="shared" si="1"/>
        <v>0</v>
      </c>
      <c r="T10" s="13">
        <f t="shared" si="1"/>
        <v>0</v>
      </c>
      <c r="U10" s="13">
        <f t="shared" si="1"/>
        <v>0</v>
      </c>
      <c r="V10" s="13">
        <f t="shared" si="1"/>
        <v>0</v>
      </c>
    </row>
    <row r="11" spans="1:22" x14ac:dyDescent="0.25">
      <c r="A11" s="157" t="s">
        <v>23</v>
      </c>
      <c r="B11" s="13">
        <v>0.2</v>
      </c>
      <c r="C11" s="13">
        <v>22.9</v>
      </c>
      <c r="D11" s="13">
        <v>120.9</v>
      </c>
      <c r="E11" s="13">
        <v>124.8</v>
      </c>
      <c r="F11" s="13">
        <v>71.3</v>
      </c>
      <c r="G11" s="13">
        <v>22.9</v>
      </c>
      <c r="H11" s="13">
        <v>0</v>
      </c>
      <c r="I11" s="13">
        <v>0</v>
      </c>
      <c r="J11" s="13">
        <v>0</v>
      </c>
      <c r="M11" s="157" t="str">
        <f>Inputs!A11</f>
        <v>M3134800</v>
      </c>
      <c r="N11" s="13">
        <f t="shared" si="1"/>
        <v>0</v>
      </c>
      <c r="O11" s="13">
        <f t="shared" si="1"/>
        <v>0</v>
      </c>
      <c r="P11" s="13">
        <f t="shared" si="1"/>
        <v>113.8</v>
      </c>
      <c r="Q11" s="13">
        <f t="shared" si="1"/>
        <v>195.7</v>
      </c>
      <c r="R11" s="13">
        <f t="shared" si="1"/>
        <v>116.5</v>
      </c>
      <c r="S11" s="13">
        <f t="shared" si="1"/>
        <v>147.69999999999999</v>
      </c>
      <c r="T11" s="13">
        <f t="shared" si="1"/>
        <v>10.7</v>
      </c>
      <c r="U11" s="13">
        <f t="shared" si="1"/>
        <v>0</v>
      </c>
      <c r="V11" s="13">
        <f t="shared" si="1"/>
        <v>0</v>
      </c>
    </row>
    <row r="12" spans="1:22" x14ac:dyDescent="0.25">
      <c r="A12" s="157" t="s">
        <v>108</v>
      </c>
      <c r="B12" s="13">
        <v>0</v>
      </c>
      <c r="C12" s="13">
        <v>0</v>
      </c>
      <c r="D12" s="13">
        <v>0</v>
      </c>
      <c r="E12" s="13">
        <v>98.9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M12" s="157" t="str">
        <f>Inputs!A12</f>
        <v>M3135000</v>
      </c>
      <c r="N12" s="13">
        <f t="shared" si="1"/>
        <v>0.2</v>
      </c>
      <c r="O12" s="13">
        <f t="shared" si="1"/>
        <v>22.9</v>
      </c>
      <c r="P12" s="13">
        <f t="shared" si="1"/>
        <v>120.9</v>
      </c>
      <c r="Q12" s="13">
        <f t="shared" si="1"/>
        <v>124.8</v>
      </c>
      <c r="R12" s="13">
        <f t="shared" si="1"/>
        <v>71.3</v>
      </c>
      <c r="S12" s="13">
        <f t="shared" si="1"/>
        <v>22.9</v>
      </c>
      <c r="T12" s="13">
        <f t="shared" si="1"/>
        <v>0</v>
      </c>
      <c r="U12" s="13">
        <f t="shared" si="1"/>
        <v>0</v>
      </c>
      <c r="V12" s="13">
        <f t="shared" si="1"/>
        <v>0</v>
      </c>
    </row>
    <row r="13" spans="1:22" x14ac:dyDescent="0.25">
      <c r="A13" s="157" t="s">
        <v>24</v>
      </c>
      <c r="B13" s="13">
        <v>0</v>
      </c>
      <c r="C13" s="13">
        <v>20.399999999999999</v>
      </c>
      <c r="D13" s="13">
        <v>65</v>
      </c>
      <c r="E13" s="13">
        <v>81.3</v>
      </c>
      <c r="F13" s="13">
        <v>1.2</v>
      </c>
      <c r="G13" s="13">
        <v>0</v>
      </c>
      <c r="H13" s="13">
        <v>0</v>
      </c>
      <c r="I13" s="13">
        <v>0</v>
      </c>
      <c r="J13" s="13">
        <v>0</v>
      </c>
      <c r="M13" s="157" t="str">
        <f>Inputs!A13</f>
        <v>M4103600</v>
      </c>
      <c r="N13" s="13">
        <f t="shared" si="1"/>
        <v>0</v>
      </c>
      <c r="O13" s="13">
        <f t="shared" si="1"/>
        <v>0</v>
      </c>
      <c r="P13" s="13">
        <f t="shared" si="1"/>
        <v>0</v>
      </c>
      <c r="Q13" s="13">
        <f t="shared" si="1"/>
        <v>98.9</v>
      </c>
      <c r="R13" s="13">
        <f t="shared" si="1"/>
        <v>0</v>
      </c>
      <c r="S13" s="13">
        <f t="shared" si="1"/>
        <v>0</v>
      </c>
      <c r="T13" s="13">
        <f t="shared" si="1"/>
        <v>0</v>
      </c>
      <c r="U13" s="13">
        <f t="shared" si="1"/>
        <v>0</v>
      </c>
      <c r="V13" s="13">
        <f t="shared" si="1"/>
        <v>0</v>
      </c>
    </row>
    <row r="14" spans="1:22" x14ac:dyDescent="0.25">
      <c r="A14" s="157" t="s">
        <v>109</v>
      </c>
      <c r="B14" s="13">
        <v>0</v>
      </c>
      <c r="C14" s="13">
        <v>0</v>
      </c>
      <c r="D14" s="13">
        <v>0</v>
      </c>
      <c r="E14" s="13">
        <v>21</v>
      </c>
      <c r="F14" s="13">
        <v>213.5</v>
      </c>
      <c r="G14" s="13">
        <v>232.4</v>
      </c>
      <c r="H14" s="13">
        <v>26.6</v>
      </c>
      <c r="I14" s="13">
        <v>0</v>
      </c>
      <c r="J14" s="13">
        <v>0</v>
      </c>
      <c r="M14" s="157" t="str">
        <f>Inputs!A14</f>
        <v>M4330501</v>
      </c>
      <c r="N14" s="13">
        <f t="shared" si="1"/>
        <v>0</v>
      </c>
      <c r="O14" s="13">
        <f t="shared" si="1"/>
        <v>20.399999999999999</v>
      </c>
      <c r="P14" s="13">
        <f t="shared" si="1"/>
        <v>65</v>
      </c>
      <c r="Q14" s="13">
        <f t="shared" si="1"/>
        <v>81.3</v>
      </c>
      <c r="R14" s="13">
        <f t="shared" si="1"/>
        <v>1.2</v>
      </c>
      <c r="S14" s="13">
        <f t="shared" si="1"/>
        <v>0</v>
      </c>
      <c r="T14" s="13">
        <f t="shared" si="1"/>
        <v>0</v>
      </c>
      <c r="U14" s="13">
        <f t="shared" si="1"/>
        <v>0</v>
      </c>
      <c r="V14" s="13">
        <f t="shared" si="1"/>
        <v>0</v>
      </c>
    </row>
    <row r="15" spans="1:22" x14ac:dyDescent="0.25">
      <c r="A15" s="157" t="s">
        <v>110</v>
      </c>
      <c r="B15" s="13">
        <v>0</v>
      </c>
      <c r="C15" s="13">
        <v>0</v>
      </c>
      <c r="D15" s="13">
        <v>0</v>
      </c>
      <c r="E15" s="13">
        <v>137.6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M15" s="157" t="str">
        <f>Inputs!A15</f>
        <v>M4468800</v>
      </c>
      <c r="N15" s="13">
        <f t="shared" si="1"/>
        <v>0</v>
      </c>
      <c r="O15" s="13">
        <f t="shared" si="1"/>
        <v>0</v>
      </c>
      <c r="P15" s="13">
        <f t="shared" si="1"/>
        <v>0</v>
      </c>
      <c r="Q15" s="13">
        <f t="shared" si="1"/>
        <v>21</v>
      </c>
      <c r="R15" s="13">
        <f t="shared" si="1"/>
        <v>213.5</v>
      </c>
      <c r="S15" s="13">
        <f t="shared" si="1"/>
        <v>232.4</v>
      </c>
      <c r="T15" s="13">
        <f t="shared" si="1"/>
        <v>26.6</v>
      </c>
      <c r="U15" s="13">
        <f t="shared" si="1"/>
        <v>0</v>
      </c>
      <c r="V15" s="13">
        <f t="shared" si="1"/>
        <v>0</v>
      </c>
    </row>
    <row r="16" spans="1:22" x14ac:dyDescent="0.25">
      <c r="A16" s="157" t="s">
        <v>89</v>
      </c>
      <c r="B16" s="13">
        <v>7340.9</v>
      </c>
      <c r="C16" s="13">
        <v>7008</v>
      </c>
      <c r="D16" s="13">
        <v>6854.9</v>
      </c>
      <c r="E16" s="13">
        <v>6575.2</v>
      </c>
      <c r="F16" s="13">
        <v>6768</v>
      </c>
      <c r="G16" s="13">
        <v>7747</v>
      </c>
      <c r="H16" s="13">
        <v>7429.4</v>
      </c>
      <c r="I16" s="13">
        <v>7302.7</v>
      </c>
      <c r="J16" s="13">
        <v>7138.8</v>
      </c>
      <c r="M16" s="157" t="str">
        <f>Inputs!A16</f>
        <v>M4581200</v>
      </c>
      <c r="N16" s="13">
        <f t="shared" si="1"/>
        <v>0</v>
      </c>
      <c r="O16" s="13">
        <f t="shared" si="1"/>
        <v>0</v>
      </c>
      <c r="P16" s="13">
        <f t="shared" si="1"/>
        <v>0</v>
      </c>
      <c r="Q16" s="13">
        <f t="shared" si="1"/>
        <v>137.6</v>
      </c>
      <c r="R16" s="13">
        <f t="shared" si="1"/>
        <v>0</v>
      </c>
      <c r="S16" s="13">
        <f t="shared" si="1"/>
        <v>0</v>
      </c>
      <c r="T16" s="13">
        <f t="shared" si="1"/>
        <v>0</v>
      </c>
      <c r="U16" s="13">
        <f t="shared" si="1"/>
        <v>0</v>
      </c>
      <c r="V16" s="13">
        <f t="shared" si="1"/>
        <v>0</v>
      </c>
    </row>
    <row r="17" spans="2:22" x14ac:dyDescent="0.25">
      <c r="B17" s="13"/>
      <c r="C17" s="13"/>
      <c r="D17" s="13"/>
      <c r="E17" s="13"/>
      <c r="F17" s="13"/>
      <c r="G17" s="13"/>
      <c r="H17" s="13"/>
      <c r="I17" s="13"/>
      <c r="J17" s="13"/>
      <c r="M17" s="157">
        <f>Inputs!A17</f>
        <v>0</v>
      </c>
      <c r="N17" s="13" t="e">
        <f t="shared" si="1"/>
        <v>#N/A</v>
      </c>
      <c r="O17" s="13" t="e">
        <f t="shared" si="1"/>
        <v>#N/A</v>
      </c>
      <c r="P17" s="13" t="e">
        <f t="shared" si="1"/>
        <v>#N/A</v>
      </c>
      <c r="Q17" s="13" t="e">
        <f t="shared" si="1"/>
        <v>#N/A</v>
      </c>
      <c r="R17" s="13" t="e">
        <f t="shared" si="1"/>
        <v>#N/A</v>
      </c>
      <c r="S17" s="13" t="e">
        <f t="shared" si="1"/>
        <v>#N/A</v>
      </c>
      <c r="T17" s="13" t="e">
        <f t="shared" si="1"/>
        <v>#N/A</v>
      </c>
      <c r="U17" s="13" t="e">
        <f t="shared" si="1"/>
        <v>#N/A</v>
      </c>
      <c r="V17" s="13" t="e">
        <f t="shared" si="1"/>
        <v>#N/A</v>
      </c>
    </row>
    <row r="18" spans="2:22" x14ac:dyDescent="0.25">
      <c r="B18" s="13"/>
      <c r="C18" s="13"/>
      <c r="D18" s="13"/>
      <c r="E18" s="13"/>
      <c r="F18" s="13"/>
      <c r="G18" s="13"/>
      <c r="H18" s="13"/>
      <c r="I18" s="13"/>
      <c r="J18" s="13"/>
      <c r="M18" s="157">
        <f>Inputs!A18</f>
        <v>0</v>
      </c>
      <c r="N18" s="13" t="e">
        <f t="shared" si="1"/>
        <v>#N/A</v>
      </c>
      <c r="O18" s="13" t="e">
        <f t="shared" si="1"/>
        <v>#N/A</v>
      </c>
      <c r="P18" s="13" t="e">
        <f t="shared" si="1"/>
        <v>#N/A</v>
      </c>
      <c r="Q18" s="13" t="e">
        <f t="shared" si="1"/>
        <v>#N/A</v>
      </c>
      <c r="R18" s="13" t="e">
        <f t="shared" si="1"/>
        <v>#N/A</v>
      </c>
      <c r="S18" s="13" t="e">
        <f t="shared" si="1"/>
        <v>#N/A</v>
      </c>
      <c r="T18" s="13" t="e">
        <f t="shared" si="1"/>
        <v>#N/A</v>
      </c>
      <c r="U18" s="13" t="e">
        <f t="shared" si="1"/>
        <v>#N/A</v>
      </c>
      <c r="V18" s="13" t="e">
        <f t="shared" si="1"/>
        <v>#N/A</v>
      </c>
    </row>
    <row r="19" spans="2:22" x14ac:dyDescent="0.25">
      <c r="B19" s="13"/>
      <c r="C19" s="13"/>
      <c r="D19" s="13"/>
      <c r="E19" s="13"/>
      <c r="F19" s="13"/>
      <c r="G19" s="13"/>
      <c r="H19" s="13"/>
      <c r="I19" s="13"/>
      <c r="J19" s="13"/>
      <c r="M19" s="157">
        <f>Inputs!A19</f>
        <v>0</v>
      </c>
      <c r="N19" s="13" t="e">
        <f t="shared" ref="N19:V47" si="2">VLOOKUP($M19,$A$2:$J$16,N$1,FALSE)</f>
        <v>#N/A</v>
      </c>
      <c r="O19" s="13" t="e">
        <f t="shared" si="2"/>
        <v>#N/A</v>
      </c>
      <c r="P19" s="13" t="e">
        <f t="shared" si="2"/>
        <v>#N/A</v>
      </c>
      <c r="Q19" s="13" t="e">
        <f t="shared" si="2"/>
        <v>#N/A</v>
      </c>
      <c r="R19" s="13" t="e">
        <f t="shared" si="2"/>
        <v>#N/A</v>
      </c>
      <c r="S19" s="13" t="e">
        <f t="shared" si="2"/>
        <v>#N/A</v>
      </c>
      <c r="T19" s="13" t="e">
        <f t="shared" si="2"/>
        <v>#N/A</v>
      </c>
      <c r="U19" s="13" t="e">
        <f t="shared" si="2"/>
        <v>#N/A</v>
      </c>
      <c r="V19" s="13" t="e">
        <f t="shared" si="2"/>
        <v>#N/A</v>
      </c>
    </row>
    <row r="20" spans="2:22" x14ac:dyDescent="0.25">
      <c r="B20" s="13"/>
      <c r="C20" s="13"/>
      <c r="D20" s="13"/>
      <c r="E20" s="13"/>
      <c r="F20" s="13"/>
      <c r="G20" s="13"/>
      <c r="H20" s="13"/>
      <c r="I20" s="13"/>
      <c r="J20" s="13"/>
      <c r="M20" s="157">
        <f>Inputs!A20</f>
        <v>0</v>
      </c>
      <c r="N20" s="13" t="e">
        <f t="shared" si="2"/>
        <v>#N/A</v>
      </c>
      <c r="O20" s="13" t="e">
        <f t="shared" si="2"/>
        <v>#N/A</v>
      </c>
      <c r="P20" s="13" t="e">
        <f t="shared" si="2"/>
        <v>#N/A</v>
      </c>
      <c r="Q20" s="13" t="e">
        <f t="shared" si="2"/>
        <v>#N/A</v>
      </c>
      <c r="R20" s="13" t="e">
        <f t="shared" si="2"/>
        <v>#N/A</v>
      </c>
      <c r="S20" s="13" t="e">
        <f t="shared" si="2"/>
        <v>#N/A</v>
      </c>
      <c r="T20" s="13" t="e">
        <f t="shared" si="2"/>
        <v>#N/A</v>
      </c>
      <c r="U20" s="13" t="e">
        <f t="shared" si="2"/>
        <v>#N/A</v>
      </c>
      <c r="V20" s="13" t="e">
        <f t="shared" si="2"/>
        <v>#N/A</v>
      </c>
    </row>
    <row r="21" spans="2:22" x14ac:dyDescent="0.25">
      <c r="B21" s="13"/>
      <c r="C21" s="13"/>
      <c r="D21" s="13"/>
      <c r="E21" s="13"/>
      <c r="F21" s="13"/>
      <c r="G21" s="13"/>
      <c r="H21" s="13"/>
      <c r="I21" s="13"/>
      <c r="J21" s="13"/>
      <c r="M21" s="157">
        <f>Inputs!A21</f>
        <v>0</v>
      </c>
      <c r="N21" s="13" t="e">
        <f t="shared" si="2"/>
        <v>#N/A</v>
      </c>
      <c r="O21" s="13" t="e">
        <f t="shared" si="2"/>
        <v>#N/A</v>
      </c>
      <c r="P21" s="13" t="e">
        <f t="shared" si="2"/>
        <v>#N/A</v>
      </c>
      <c r="Q21" s="13" t="e">
        <f t="shared" si="2"/>
        <v>#N/A</v>
      </c>
      <c r="R21" s="13" t="e">
        <f t="shared" si="2"/>
        <v>#N/A</v>
      </c>
      <c r="S21" s="13" t="e">
        <f t="shared" si="2"/>
        <v>#N/A</v>
      </c>
      <c r="T21" s="13" t="e">
        <f t="shared" si="2"/>
        <v>#N/A</v>
      </c>
      <c r="U21" s="13" t="e">
        <f t="shared" si="2"/>
        <v>#N/A</v>
      </c>
      <c r="V21" s="13" t="e">
        <f t="shared" si="2"/>
        <v>#N/A</v>
      </c>
    </row>
    <row r="22" spans="2:22" x14ac:dyDescent="0.25">
      <c r="B22" s="13"/>
      <c r="C22" s="13"/>
      <c r="D22" s="13"/>
      <c r="E22" s="13"/>
      <c r="F22" s="13"/>
      <c r="G22" s="13"/>
      <c r="H22" s="13"/>
      <c r="I22" s="13"/>
      <c r="J22" s="13"/>
      <c r="M22" s="157">
        <f>Inputs!A22</f>
        <v>0</v>
      </c>
      <c r="N22" s="13" t="e">
        <f t="shared" si="2"/>
        <v>#N/A</v>
      </c>
      <c r="O22" s="13" t="e">
        <f t="shared" si="2"/>
        <v>#N/A</v>
      </c>
      <c r="P22" s="13" t="e">
        <f t="shared" si="2"/>
        <v>#N/A</v>
      </c>
      <c r="Q22" s="13" t="e">
        <f t="shared" si="2"/>
        <v>#N/A</v>
      </c>
      <c r="R22" s="13" t="e">
        <f t="shared" si="2"/>
        <v>#N/A</v>
      </c>
      <c r="S22" s="13" t="e">
        <f t="shared" si="2"/>
        <v>#N/A</v>
      </c>
      <c r="T22" s="13" t="e">
        <f t="shared" si="2"/>
        <v>#N/A</v>
      </c>
      <c r="U22" s="13" t="e">
        <f t="shared" si="2"/>
        <v>#N/A</v>
      </c>
      <c r="V22" s="13" t="e">
        <f t="shared" si="2"/>
        <v>#N/A</v>
      </c>
    </row>
    <row r="23" spans="2:22" x14ac:dyDescent="0.25">
      <c r="B23" s="13"/>
      <c r="C23" s="13"/>
      <c r="D23" s="13"/>
      <c r="E23" s="13"/>
      <c r="F23" s="13"/>
      <c r="G23" s="13"/>
      <c r="H23" s="13"/>
      <c r="I23" s="13"/>
      <c r="J23" s="13"/>
      <c r="M23" s="157">
        <f>Inputs!A23</f>
        <v>0</v>
      </c>
      <c r="N23" s="13" t="e">
        <f t="shared" si="2"/>
        <v>#N/A</v>
      </c>
      <c r="O23" s="13" t="e">
        <f t="shared" si="2"/>
        <v>#N/A</v>
      </c>
      <c r="P23" s="13" t="e">
        <f t="shared" si="2"/>
        <v>#N/A</v>
      </c>
      <c r="Q23" s="13" t="e">
        <f t="shared" si="2"/>
        <v>#N/A</v>
      </c>
      <c r="R23" s="13" t="e">
        <f t="shared" si="2"/>
        <v>#N/A</v>
      </c>
      <c r="S23" s="13" t="e">
        <f t="shared" si="2"/>
        <v>#N/A</v>
      </c>
      <c r="T23" s="13" t="e">
        <f t="shared" si="2"/>
        <v>#N/A</v>
      </c>
      <c r="U23" s="13" t="e">
        <f t="shared" si="2"/>
        <v>#N/A</v>
      </c>
      <c r="V23" s="13" t="e">
        <f t="shared" si="2"/>
        <v>#N/A</v>
      </c>
    </row>
    <row r="24" spans="2:22" x14ac:dyDescent="0.25">
      <c r="B24" s="13"/>
      <c r="C24" s="13"/>
      <c r="D24" s="13"/>
      <c r="E24" s="13"/>
      <c r="F24" s="13"/>
      <c r="G24" s="13"/>
      <c r="H24" s="13"/>
      <c r="I24" s="13"/>
      <c r="J24" s="13"/>
      <c r="M24" s="157">
        <f>Inputs!A24</f>
        <v>0</v>
      </c>
      <c r="N24" s="13" t="e">
        <f t="shared" si="2"/>
        <v>#N/A</v>
      </c>
      <c r="O24" s="13" t="e">
        <f t="shared" si="2"/>
        <v>#N/A</v>
      </c>
      <c r="P24" s="13" t="e">
        <f t="shared" si="2"/>
        <v>#N/A</v>
      </c>
      <c r="Q24" s="13" t="e">
        <f t="shared" si="2"/>
        <v>#N/A</v>
      </c>
      <c r="R24" s="13" t="e">
        <f t="shared" si="2"/>
        <v>#N/A</v>
      </c>
      <c r="S24" s="13" t="e">
        <f t="shared" si="2"/>
        <v>#N/A</v>
      </c>
      <c r="T24" s="13" t="e">
        <f t="shared" si="2"/>
        <v>#N/A</v>
      </c>
      <c r="U24" s="13" t="e">
        <f t="shared" si="2"/>
        <v>#N/A</v>
      </c>
      <c r="V24" s="13" t="e">
        <f t="shared" si="2"/>
        <v>#N/A</v>
      </c>
    </row>
    <row r="25" spans="2:22" x14ac:dyDescent="0.25">
      <c r="B25" s="13"/>
      <c r="C25" s="13"/>
      <c r="D25" s="13"/>
      <c r="E25" s="13"/>
      <c r="F25" s="13"/>
      <c r="G25" s="13"/>
      <c r="H25" s="13"/>
      <c r="I25" s="13"/>
      <c r="J25" s="13"/>
      <c r="M25" s="157">
        <f>Inputs!A25</f>
        <v>0</v>
      </c>
      <c r="N25" s="13" t="e">
        <f t="shared" si="2"/>
        <v>#N/A</v>
      </c>
      <c r="O25" s="13" t="e">
        <f t="shared" si="2"/>
        <v>#N/A</v>
      </c>
      <c r="P25" s="13" t="e">
        <f t="shared" si="2"/>
        <v>#N/A</v>
      </c>
      <c r="Q25" s="13" t="e">
        <f t="shared" si="2"/>
        <v>#N/A</v>
      </c>
      <c r="R25" s="13" t="e">
        <f t="shared" si="2"/>
        <v>#N/A</v>
      </c>
      <c r="S25" s="13" t="e">
        <f t="shared" si="2"/>
        <v>#N/A</v>
      </c>
      <c r="T25" s="13" t="e">
        <f t="shared" si="2"/>
        <v>#N/A</v>
      </c>
      <c r="U25" s="13" t="e">
        <f t="shared" si="2"/>
        <v>#N/A</v>
      </c>
      <c r="V25" s="13" t="e">
        <f t="shared" si="2"/>
        <v>#N/A</v>
      </c>
    </row>
    <row r="26" spans="2:22" x14ac:dyDescent="0.25">
      <c r="B26" s="13"/>
      <c r="C26" s="13"/>
      <c r="D26" s="13"/>
      <c r="E26" s="13"/>
      <c r="F26" s="13"/>
      <c r="G26" s="13"/>
      <c r="H26" s="13"/>
      <c r="I26" s="13"/>
      <c r="J26" s="13"/>
      <c r="M26" s="157">
        <f>Inputs!A26</f>
        <v>0</v>
      </c>
      <c r="N26" s="13" t="e">
        <f t="shared" si="2"/>
        <v>#N/A</v>
      </c>
      <c r="O26" s="13" t="e">
        <f t="shared" si="2"/>
        <v>#N/A</v>
      </c>
      <c r="P26" s="13" t="e">
        <f t="shared" si="2"/>
        <v>#N/A</v>
      </c>
      <c r="Q26" s="13" t="e">
        <f t="shared" si="2"/>
        <v>#N/A</v>
      </c>
      <c r="R26" s="13" t="e">
        <f t="shared" si="2"/>
        <v>#N/A</v>
      </c>
      <c r="S26" s="13" t="e">
        <f t="shared" si="2"/>
        <v>#N/A</v>
      </c>
      <c r="T26" s="13" t="e">
        <f t="shared" si="2"/>
        <v>#N/A</v>
      </c>
      <c r="U26" s="13" t="e">
        <f t="shared" si="2"/>
        <v>#N/A</v>
      </c>
      <c r="V26" s="13" t="e">
        <f t="shared" si="2"/>
        <v>#N/A</v>
      </c>
    </row>
    <row r="27" spans="2:22" x14ac:dyDescent="0.25">
      <c r="B27" s="13"/>
      <c r="C27" s="13"/>
      <c r="D27" s="13"/>
      <c r="E27" s="13"/>
      <c r="F27" s="13"/>
      <c r="G27" s="13"/>
      <c r="H27" s="13"/>
      <c r="I27" s="13"/>
      <c r="J27" s="13"/>
      <c r="M27" s="157">
        <f>Inputs!A27</f>
        <v>0</v>
      </c>
      <c r="N27" s="13" t="e">
        <f t="shared" si="2"/>
        <v>#N/A</v>
      </c>
      <c r="O27" s="13" t="e">
        <f t="shared" si="2"/>
        <v>#N/A</v>
      </c>
      <c r="P27" s="13" t="e">
        <f t="shared" si="2"/>
        <v>#N/A</v>
      </c>
      <c r="Q27" s="13" t="e">
        <f t="shared" si="2"/>
        <v>#N/A</v>
      </c>
      <c r="R27" s="13" t="e">
        <f t="shared" si="2"/>
        <v>#N/A</v>
      </c>
      <c r="S27" s="13" t="e">
        <f t="shared" si="2"/>
        <v>#N/A</v>
      </c>
      <c r="T27" s="13" t="e">
        <f t="shared" si="2"/>
        <v>#N/A</v>
      </c>
      <c r="U27" s="13" t="e">
        <f t="shared" si="2"/>
        <v>#N/A</v>
      </c>
      <c r="V27" s="13" t="e">
        <f t="shared" si="2"/>
        <v>#N/A</v>
      </c>
    </row>
    <row r="28" spans="2:22" x14ac:dyDescent="0.25">
      <c r="B28" s="13"/>
      <c r="C28" s="13"/>
      <c r="D28" s="13"/>
      <c r="E28" s="13"/>
      <c r="F28" s="13"/>
      <c r="G28" s="13"/>
      <c r="H28" s="13"/>
      <c r="I28" s="13"/>
      <c r="J28" s="13"/>
      <c r="M28" s="157">
        <f>Inputs!A28</f>
        <v>0</v>
      </c>
      <c r="N28" s="13" t="e">
        <f t="shared" si="2"/>
        <v>#N/A</v>
      </c>
      <c r="O28" s="13" t="e">
        <f t="shared" si="2"/>
        <v>#N/A</v>
      </c>
      <c r="P28" s="13" t="e">
        <f t="shared" si="2"/>
        <v>#N/A</v>
      </c>
      <c r="Q28" s="13" t="e">
        <f t="shared" si="2"/>
        <v>#N/A</v>
      </c>
      <c r="R28" s="13" t="e">
        <f t="shared" si="2"/>
        <v>#N/A</v>
      </c>
      <c r="S28" s="13" t="e">
        <f t="shared" si="2"/>
        <v>#N/A</v>
      </c>
      <c r="T28" s="13" t="e">
        <f t="shared" si="2"/>
        <v>#N/A</v>
      </c>
      <c r="U28" s="13" t="e">
        <f t="shared" si="2"/>
        <v>#N/A</v>
      </c>
      <c r="V28" s="13" t="e">
        <f t="shared" si="2"/>
        <v>#N/A</v>
      </c>
    </row>
    <row r="29" spans="2:22" x14ac:dyDescent="0.25">
      <c r="B29" s="13"/>
      <c r="C29" s="13"/>
      <c r="D29" s="13"/>
      <c r="E29" s="13"/>
      <c r="F29" s="13"/>
      <c r="G29" s="13"/>
      <c r="H29" s="13"/>
      <c r="I29" s="13"/>
      <c r="J29" s="13"/>
      <c r="M29" s="157">
        <f>Inputs!A29</f>
        <v>0</v>
      </c>
      <c r="N29" s="13" t="e">
        <f t="shared" si="2"/>
        <v>#N/A</v>
      </c>
      <c r="O29" s="13" t="e">
        <f t="shared" si="2"/>
        <v>#N/A</v>
      </c>
      <c r="P29" s="13" t="e">
        <f t="shared" si="2"/>
        <v>#N/A</v>
      </c>
      <c r="Q29" s="13" t="e">
        <f t="shared" si="2"/>
        <v>#N/A</v>
      </c>
      <c r="R29" s="13" t="e">
        <f t="shared" si="2"/>
        <v>#N/A</v>
      </c>
      <c r="S29" s="13" t="e">
        <f t="shared" si="2"/>
        <v>#N/A</v>
      </c>
      <c r="T29" s="13" t="e">
        <f t="shared" si="2"/>
        <v>#N/A</v>
      </c>
      <c r="U29" s="13" t="e">
        <f t="shared" si="2"/>
        <v>#N/A</v>
      </c>
      <c r="V29" s="13" t="e">
        <f t="shared" si="2"/>
        <v>#N/A</v>
      </c>
    </row>
    <row r="30" spans="2:22" x14ac:dyDescent="0.25">
      <c r="B30" s="13"/>
      <c r="C30" s="13"/>
      <c r="D30" s="13"/>
      <c r="E30" s="13"/>
      <c r="F30" s="13"/>
      <c r="G30" s="13"/>
      <c r="H30" s="13"/>
      <c r="I30" s="13"/>
      <c r="J30" s="13"/>
      <c r="M30" s="157">
        <f>Inputs!A30</f>
        <v>0</v>
      </c>
      <c r="N30" s="13" t="e">
        <f t="shared" si="2"/>
        <v>#N/A</v>
      </c>
      <c r="O30" s="13" t="e">
        <f t="shared" si="2"/>
        <v>#N/A</v>
      </c>
      <c r="P30" s="13" t="e">
        <f t="shared" si="2"/>
        <v>#N/A</v>
      </c>
      <c r="Q30" s="13" t="e">
        <f t="shared" si="2"/>
        <v>#N/A</v>
      </c>
      <c r="R30" s="13" t="e">
        <f t="shared" si="2"/>
        <v>#N/A</v>
      </c>
      <c r="S30" s="13" t="e">
        <f t="shared" si="2"/>
        <v>#N/A</v>
      </c>
      <c r="T30" s="13" t="e">
        <f t="shared" si="2"/>
        <v>#N/A</v>
      </c>
      <c r="U30" s="13" t="e">
        <f t="shared" si="2"/>
        <v>#N/A</v>
      </c>
      <c r="V30" s="13" t="e">
        <f t="shared" si="2"/>
        <v>#N/A</v>
      </c>
    </row>
    <row r="31" spans="2:22" x14ac:dyDescent="0.25">
      <c r="B31" s="13"/>
      <c r="C31" s="13"/>
      <c r="D31" s="13"/>
      <c r="E31" s="13"/>
      <c r="F31" s="13"/>
      <c r="G31" s="13"/>
      <c r="H31" s="13"/>
      <c r="I31" s="13"/>
      <c r="J31" s="13"/>
      <c r="M31" s="157">
        <f>Inputs!A31</f>
        <v>0</v>
      </c>
      <c r="N31" s="13" t="e">
        <f t="shared" si="2"/>
        <v>#N/A</v>
      </c>
      <c r="O31" s="13" t="e">
        <f t="shared" si="2"/>
        <v>#N/A</v>
      </c>
      <c r="P31" s="13" t="e">
        <f t="shared" si="2"/>
        <v>#N/A</v>
      </c>
      <c r="Q31" s="13" t="e">
        <f t="shared" si="2"/>
        <v>#N/A</v>
      </c>
      <c r="R31" s="13" t="e">
        <f t="shared" si="2"/>
        <v>#N/A</v>
      </c>
      <c r="S31" s="13" t="e">
        <f t="shared" si="2"/>
        <v>#N/A</v>
      </c>
      <c r="T31" s="13" t="e">
        <f t="shared" si="2"/>
        <v>#N/A</v>
      </c>
      <c r="U31" s="13" t="e">
        <f t="shared" si="2"/>
        <v>#N/A</v>
      </c>
      <c r="V31" s="13" t="e">
        <f t="shared" si="2"/>
        <v>#N/A</v>
      </c>
    </row>
    <row r="32" spans="2:22" x14ac:dyDescent="0.25">
      <c r="B32" s="13"/>
      <c r="C32" s="13"/>
      <c r="D32" s="13"/>
      <c r="E32" s="13"/>
      <c r="F32" s="13"/>
      <c r="G32" s="13"/>
      <c r="H32" s="13"/>
      <c r="I32" s="13"/>
      <c r="J32" s="13"/>
      <c r="M32" s="157">
        <f>Inputs!A32</f>
        <v>0</v>
      </c>
      <c r="N32" s="13" t="e">
        <f t="shared" si="2"/>
        <v>#N/A</v>
      </c>
      <c r="O32" s="13" t="e">
        <f t="shared" si="2"/>
        <v>#N/A</v>
      </c>
      <c r="P32" s="13" t="e">
        <f t="shared" si="2"/>
        <v>#N/A</v>
      </c>
      <c r="Q32" s="13" t="e">
        <f t="shared" si="2"/>
        <v>#N/A</v>
      </c>
      <c r="R32" s="13" t="e">
        <f t="shared" si="2"/>
        <v>#N/A</v>
      </c>
      <c r="S32" s="13" t="e">
        <f t="shared" si="2"/>
        <v>#N/A</v>
      </c>
      <c r="T32" s="13" t="e">
        <f t="shared" si="2"/>
        <v>#N/A</v>
      </c>
      <c r="U32" s="13" t="e">
        <f t="shared" si="2"/>
        <v>#N/A</v>
      </c>
      <c r="V32" s="13" t="e">
        <f t="shared" si="2"/>
        <v>#N/A</v>
      </c>
    </row>
    <row r="33" spans="2:22" x14ac:dyDescent="0.25">
      <c r="B33" s="13"/>
      <c r="C33" s="13"/>
      <c r="D33" s="13"/>
      <c r="E33" s="13"/>
      <c r="F33" s="13"/>
      <c r="G33" s="13"/>
      <c r="H33" s="13"/>
      <c r="I33" s="13"/>
      <c r="J33" s="13"/>
      <c r="M33" s="157">
        <f>Inputs!A33</f>
        <v>0</v>
      </c>
      <c r="N33" s="13" t="e">
        <f t="shared" si="2"/>
        <v>#N/A</v>
      </c>
      <c r="O33" s="13" t="e">
        <f t="shared" si="2"/>
        <v>#N/A</v>
      </c>
      <c r="P33" s="13" t="e">
        <f t="shared" si="2"/>
        <v>#N/A</v>
      </c>
      <c r="Q33" s="13" t="e">
        <f t="shared" si="2"/>
        <v>#N/A</v>
      </c>
      <c r="R33" s="13" t="e">
        <f t="shared" si="2"/>
        <v>#N/A</v>
      </c>
      <c r="S33" s="13" t="e">
        <f t="shared" si="2"/>
        <v>#N/A</v>
      </c>
      <c r="T33" s="13" t="e">
        <f t="shared" si="2"/>
        <v>#N/A</v>
      </c>
      <c r="U33" s="13" t="e">
        <f t="shared" si="2"/>
        <v>#N/A</v>
      </c>
      <c r="V33" s="13" t="e">
        <f t="shared" si="2"/>
        <v>#N/A</v>
      </c>
    </row>
    <row r="34" spans="2:22" x14ac:dyDescent="0.25">
      <c r="B34" s="13"/>
      <c r="C34" s="13"/>
      <c r="D34" s="13"/>
      <c r="E34" s="13"/>
      <c r="F34" s="13"/>
      <c r="G34" s="13"/>
      <c r="H34" s="13"/>
      <c r="I34" s="13"/>
      <c r="J34" s="13"/>
      <c r="M34" s="157">
        <f>Inputs!A34</f>
        <v>0</v>
      </c>
      <c r="N34" s="13" t="e">
        <f t="shared" si="2"/>
        <v>#N/A</v>
      </c>
      <c r="O34" s="13" t="e">
        <f t="shared" si="2"/>
        <v>#N/A</v>
      </c>
      <c r="P34" s="13" t="e">
        <f t="shared" si="2"/>
        <v>#N/A</v>
      </c>
      <c r="Q34" s="13" t="e">
        <f t="shared" si="2"/>
        <v>#N/A</v>
      </c>
      <c r="R34" s="13" t="e">
        <f t="shared" si="2"/>
        <v>#N/A</v>
      </c>
      <c r="S34" s="13" t="e">
        <f t="shared" si="2"/>
        <v>#N/A</v>
      </c>
      <c r="T34" s="13" t="e">
        <f t="shared" si="2"/>
        <v>#N/A</v>
      </c>
      <c r="U34" s="13" t="e">
        <f t="shared" si="2"/>
        <v>#N/A</v>
      </c>
      <c r="V34" s="13" t="e">
        <f t="shared" si="2"/>
        <v>#N/A</v>
      </c>
    </row>
    <row r="35" spans="2:22" x14ac:dyDescent="0.25">
      <c r="B35" s="13"/>
      <c r="C35" s="13"/>
      <c r="D35" s="13"/>
      <c r="E35" s="13"/>
      <c r="F35" s="13"/>
      <c r="G35" s="13"/>
      <c r="H35" s="13"/>
      <c r="I35" s="13"/>
      <c r="J35" s="13"/>
      <c r="M35" s="157">
        <f>Inputs!A35</f>
        <v>0</v>
      </c>
      <c r="N35" s="13" t="e">
        <f t="shared" si="2"/>
        <v>#N/A</v>
      </c>
      <c r="O35" s="13" t="e">
        <f t="shared" si="2"/>
        <v>#N/A</v>
      </c>
      <c r="P35" s="13" t="e">
        <f t="shared" si="2"/>
        <v>#N/A</v>
      </c>
      <c r="Q35" s="13" t="e">
        <f t="shared" si="2"/>
        <v>#N/A</v>
      </c>
      <c r="R35" s="13" t="e">
        <f t="shared" si="2"/>
        <v>#N/A</v>
      </c>
      <c r="S35" s="13" t="e">
        <f t="shared" si="2"/>
        <v>#N/A</v>
      </c>
      <c r="T35" s="13" t="e">
        <f t="shared" si="2"/>
        <v>#N/A</v>
      </c>
      <c r="U35" s="13" t="e">
        <f t="shared" si="2"/>
        <v>#N/A</v>
      </c>
      <c r="V35" s="13" t="e">
        <f t="shared" si="2"/>
        <v>#N/A</v>
      </c>
    </row>
    <row r="36" spans="2:22" x14ac:dyDescent="0.25">
      <c r="B36" s="13"/>
      <c r="C36" s="13"/>
      <c r="D36" s="13"/>
      <c r="E36" s="13"/>
      <c r="F36" s="13"/>
      <c r="G36" s="13"/>
      <c r="H36" s="13"/>
      <c r="I36" s="13"/>
      <c r="J36" s="13"/>
      <c r="M36" s="157">
        <f>Inputs!A36</f>
        <v>0</v>
      </c>
      <c r="N36" s="13" t="e">
        <f t="shared" si="2"/>
        <v>#N/A</v>
      </c>
      <c r="O36" s="13" t="e">
        <f t="shared" si="2"/>
        <v>#N/A</v>
      </c>
      <c r="P36" s="13" t="e">
        <f t="shared" si="2"/>
        <v>#N/A</v>
      </c>
      <c r="Q36" s="13" t="e">
        <f t="shared" si="2"/>
        <v>#N/A</v>
      </c>
      <c r="R36" s="13" t="e">
        <f t="shared" si="2"/>
        <v>#N/A</v>
      </c>
      <c r="S36" s="13" t="e">
        <f t="shared" si="2"/>
        <v>#N/A</v>
      </c>
      <c r="T36" s="13" t="e">
        <f t="shared" si="2"/>
        <v>#N/A</v>
      </c>
      <c r="U36" s="13" t="e">
        <f t="shared" si="2"/>
        <v>#N/A</v>
      </c>
      <c r="V36" s="13" t="e">
        <f t="shared" si="2"/>
        <v>#N/A</v>
      </c>
    </row>
    <row r="37" spans="2:22" x14ac:dyDescent="0.25">
      <c r="B37" s="13"/>
      <c r="C37" s="13"/>
      <c r="D37" s="13"/>
      <c r="E37" s="13"/>
      <c r="F37" s="13"/>
      <c r="G37" s="13"/>
      <c r="H37" s="13"/>
      <c r="I37" s="13"/>
      <c r="J37" s="13"/>
      <c r="M37" s="157">
        <f>Inputs!A37</f>
        <v>0</v>
      </c>
      <c r="N37" s="13" t="e">
        <f t="shared" si="2"/>
        <v>#N/A</v>
      </c>
      <c r="O37" s="13" t="e">
        <f t="shared" si="2"/>
        <v>#N/A</v>
      </c>
      <c r="P37" s="13" t="e">
        <f t="shared" si="2"/>
        <v>#N/A</v>
      </c>
      <c r="Q37" s="13" t="e">
        <f t="shared" si="2"/>
        <v>#N/A</v>
      </c>
      <c r="R37" s="13" t="e">
        <f t="shared" si="2"/>
        <v>#N/A</v>
      </c>
      <c r="S37" s="13" t="e">
        <f t="shared" si="2"/>
        <v>#N/A</v>
      </c>
      <c r="T37" s="13" t="e">
        <f t="shared" si="2"/>
        <v>#N/A</v>
      </c>
      <c r="U37" s="13" t="e">
        <f t="shared" si="2"/>
        <v>#N/A</v>
      </c>
      <c r="V37" s="13" t="e">
        <f t="shared" si="2"/>
        <v>#N/A</v>
      </c>
    </row>
    <row r="38" spans="2:22" x14ac:dyDescent="0.25">
      <c r="B38" s="13"/>
      <c r="C38" s="13"/>
      <c r="D38" s="13"/>
      <c r="E38" s="13"/>
      <c r="F38" s="13"/>
      <c r="G38" s="13"/>
      <c r="H38" s="13"/>
      <c r="I38" s="13"/>
      <c r="J38" s="13"/>
      <c r="M38" s="157">
        <f>Inputs!A38</f>
        <v>0</v>
      </c>
      <c r="N38" s="13" t="e">
        <f t="shared" si="2"/>
        <v>#N/A</v>
      </c>
      <c r="O38" s="13" t="e">
        <f t="shared" si="2"/>
        <v>#N/A</v>
      </c>
      <c r="P38" s="13" t="e">
        <f t="shared" si="2"/>
        <v>#N/A</v>
      </c>
      <c r="Q38" s="13" t="e">
        <f t="shared" si="2"/>
        <v>#N/A</v>
      </c>
      <c r="R38" s="13" t="e">
        <f t="shared" si="2"/>
        <v>#N/A</v>
      </c>
      <c r="S38" s="13" t="e">
        <f t="shared" si="2"/>
        <v>#N/A</v>
      </c>
      <c r="T38" s="13" t="e">
        <f t="shared" si="2"/>
        <v>#N/A</v>
      </c>
      <c r="U38" s="13" t="e">
        <f t="shared" si="2"/>
        <v>#N/A</v>
      </c>
      <c r="V38" s="13" t="e">
        <f t="shared" si="2"/>
        <v>#N/A</v>
      </c>
    </row>
    <row r="39" spans="2:22" x14ac:dyDescent="0.25">
      <c r="B39" s="13"/>
      <c r="C39" s="13"/>
      <c r="D39" s="13"/>
      <c r="E39" s="13"/>
      <c r="F39" s="13"/>
      <c r="G39" s="13"/>
      <c r="H39" s="13"/>
      <c r="I39" s="13"/>
      <c r="J39" s="13"/>
      <c r="M39" s="157">
        <f>Inputs!A39</f>
        <v>0</v>
      </c>
      <c r="N39" s="13" t="e">
        <f t="shared" si="2"/>
        <v>#N/A</v>
      </c>
      <c r="O39" s="13" t="e">
        <f t="shared" si="2"/>
        <v>#N/A</v>
      </c>
      <c r="P39" s="13" t="e">
        <f t="shared" si="2"/>
        <v>#N/A</v>
      </c>
      <c r="Q39" s="13" t="e">
        <f t="shared" si="2"/>
        <v>#N/A</v>
      </c>
      <c r="R39" s="13" t="e">
        <f t="shared" si="2"/>
        <v>#N/A</v>
      </c>
      <c r="S39" s="13" t="e">
        <f t="shared" si="2"/>
        <v>#N/A</v>
      </c>
      <c r="T39" s="13" t="e">
        <f t="shared" si="2"/>
        <v>#N/A</v>
      </c>
      <c r="U39" s="13" t="e">
        <f t="shared" si="2"/>
        <v>#N/A</v>
      </c>
      <c r="V39" s="13" t="e">
        <f t="shared" si="2"/>
        <v>#N/A</v>
      </c>
    </row>
    <row r="40" spans="2:22" x14ac:dyDescent="0.25">
      <c r="B40" s="13"/>
      <c r="C40" s="13"/>
      <c r="D40" s="13"/>
      <c r="E40" s="13"/>
      <c r="F40" s="13"/>
      <c r="G40" s="13"/>
      <c r="H40" s="13"/>
      <c r="I40" s="13"/>
      <c r="J40" s="13"/>
      <c r="M40" s="157">
        <f>Inputs!A40</f>
        <v>0</v>
      </c>
      <c r="N40" s="13" t="e">
        <f t="shared" si="2"/>
        <v>#N/A</v>
      </c>
      <c r="O40" s="13" t="e">
        <f t="shared" si="2"/>
        <v>#N/A</v>
      </c>
      <c r="P40" s="13" t="e">
        <f t="shared" si="2"/>
        <v>#N/A</v>
      </c>
      <c r="Q40" s="13" t="e">
        <f t="shared" si="2"/>
        <v>#N/A</v>
      </c>
      <c r="R40" s="13" t="e">
        <f t="shared" si="2"/>
        <v>#N/A</v>
      </c>
      <c r="S40" s="13" t="e">
        <f t="shared" si="2"/>
        <v>#N/A</v>
      </c>
      <c r="T40" s="13" t="e">
        <f t="shared" si="2"/>
        <v>#N/A</v>
      </c>
      <c r="U40" s="13" t="e">
        <f t="shared" si="2"/>
        <v>#N/A</v>
      </c>
      <c r="V40" s="13" t="e">
        <f t="shared" si="2"/>
        <v>#N/A</v>
      </c>
    </row>
    <row r="41" spans="2:22" x14ac:dyDescent="0.25">
      <c r="B41" s="13"/>
      <c r="C41" s="13"/>
      <c r="D41" s="13"/>
      <c r="E41" s="13"/>
      <c r="F41" s="13"/>
      <c r="G41" s="13"/>
      <c r="H41" s="13"/>
      <c r="I41" s="13"/>
      <c r="J41" s="13"/>
      <c r="M41" s="157">
        <f>Inputs!A41</f>
        <v>0</v>
      </c>
      <c r="N41" s="13" t="e">
        <f t="shared" si="2"/>
        <v>#N/A</v>
      </c>
      <c r="O41" s="13" t="e">
        <f t="shared" si="2"/>
        <v>#N/A</v>
      </c>
      <c r="P41" s="13" t="e">
        <f t="shared" si="2"/>
        <v>#N/A</v>
      </c>
      <c r="Q41" s="13" t="e">
        <f t="shared" si="2"/>
        <v>#N/A</v>
      </c>
      <c r="R41" s="13" t="e">
        <f t="shared" si="2"/>
        <v>#N/A</v>
      </c>
      <c r="S41" s="13" t="e">
        <f t="shared" si="2"/>
        <v>#N/A</v>
      </c>
      <c r="T41" s="13" t="e">
        <f t="shared" si="2"/>
        <v>#N/A</v>
      </c>
      <c r="U41" s="13" t="e">
        <f t="shared" si="2"/>
        <v>#N/A</v>
      </c>
      <c r="V41" s="13" t="e">
        <f t="shared" si="2"/>
        <v>#N/A</v>
      </c>
    </row>
    <row r="42" spans="2:22" x14ac:dyDescent="0.25">
      <c r="B42" s="13"/>
      <c r="C42" s="13"/>
      <c r="D42" s="13"/>
      <c r="E42" s="13"/>
      <c r="F42" s="13"/>
      <c r="G42" s="13"/>
      <c r="H42" s="13"/>
      <c r="I42" s="13"/>
      <c r="J42" s="13"/>
      <c r="M42" s="157">
        <f>Inputs!A42</f>
        <v>0</v>
      </c>
      <c r="N42" s="13" t="e">
        <f t="shared" si="2"/>
        <v>#N/A</v>
      </c>
      <c r="O42" s="13" t="e">
        <f t="shared" si="2"/>
        <v>#N/A</v>
      </c>
      <c r="P42" s="13" t="e">
        <f t="shared" si="2"/>
        <v>#N/A</v>
      </c>
      <c r="Q42" s="13" t="e">
        <f t="shared" si="2"/>
        <v>#N/A</v>
      </c>
      <c r="R42" s="13" t="e">
        <f t="shared" si="2"/>
        <v>#N/A</v>
      </c>
      <c r="S42" s="13" t="e">
        <f t="shared" si="2"/>
        <v>#N/A</v>
      </c>
      <c r="T42" s="13" t="e">
        <f t="shared" si="2"/>
        <v>#N/A</v>
      </c>
      <c r="U42" s="13" t="e">
        <f t="shared" si="2"/>
        <v>#N/A</v>
      </c>
      <c r="V42" s="13" t="e">
        <f t="shared" si="2"/>
        <v>#N/A</v>
      </c>
    </row>
    <row r="43" spans="2:22" x14ac:dyDescent="0.25">
      <c r="B43" s="13"/>
      <c r="C43" s="13"/>
      <c r="D43" s="13"/>
      <c r="E43" s="13"/>
      <c r="F43" s="13"/>
      <c r="G43" s="13"/>
      <c r="H43" s="13"/>
      <c r="I43" s="13"/>
      <c r="J43" s="13"/>
      <c r="M43" s="157">
        <f>Inputs!A43</f>
        <v>0</v>
      </c>
      <c r="N43" s="13" t="e">
        <f t="shared" si="2"/>
        <v>#N/A</v>
      </c>
      <c r="O43" s="13" t="e">
        <f t="shared" si="2"/>
        <v>#N/A</v>
      </c>
      <c r="P43" s="13" t="e">
        <f t="shared" si="2"/>
        <v>#N/A</v>
      </c>
      <c r="Q43" s="13" t="e">
        <f t="shared" si="2"/>
        <v>#N/A</v>
      </c>
      <c r="R43" s="13" t="e">
        <f t="shared" si="2"/>
        <v>#N/A</v>
      </c>
      <c r="S43" s="13" t="e">
        <f t="shared" si="2"/>
        <v>#N/A</v>
      </c>
      <c r="T43" s="13" t="e">
        <f t="shared" si="2"/>
        <v>#N/A</v>
      </c>
      <c r="U43" s="13" t="e">
        <f t="shared" si="2"/>
        <v>#N/A</v>
      </c>
      <c r="V43" s="13" t="e">
        <f t="shared" si="2"/>
        <v>#N/A</v>
      </c>
    </row>
    <row r="44" spans="2:22" x14ac:dyDescent="0.25">
      <c r="B44" s="13"/>
      <c r="C44" s="13"/>
      <c r="D44" s="13"/>
      <c r="E44" s="13"/>
      <c r="F44" s="13"/>
      <c r="G44" s="13"/>
      <c r="H44" s="13"/>
      <c r="I44" s="13"/>
      <c r="J44" s="13"/>
      <c r="M44" s="157">
        <f>Inputs!A44</f>
        <v>0</v>
      </c>
      <c r="N44" s="13" t="e">
        <f t="shared" si="2"/>
        <v>#N/A</v>
      </c>
      <c r="O44" s="13" t="e">
        <f t="shared" si="2"/>
        <v>#N/A</v>
      </c>
      <c r="P44" s="13" t="e">
        <f t="shared" si="2"/>
        <v>#N/A</v>
      </c>
      <c r="Q44" s="13" t="e">
        <f t="shared" si="2"/>
        <v>#N/A</v>
      </c>
      <c r="R44" s="13" t="e">
        <f t="shared" si="2"/>
        <v>#N/A</v>
      </c>
      <c r="S44" s="13" t="e">
        <f t="shared" si="2"/>
        <v>#N/A</v>
      </c>
      <c r="T44" s="13" t="e">
        <f t="shared" si="2"/>
        <v>#N/A</v>
      </c>
      <c r="U44" s="13" t="e">
        <f t="shared" si="2"/>
        <v>#N/A</v>
      </c>
      <c r="V44" s="13" t="e">
        <f t="shared" si="2"/>
        <v>#N/A</v>
      </c>
    </row>
    <row r="45" spans="2:22" x14ac:dyDescent="0.25">
      <c r="B45" s="13"/>
      <c r="C45" s="13"/>
      <c r="D45" s="13"/>
      <c r="E45" s="13"/>
      <c r="F45" s="13"/>
      <c r="G45" s="13"/>
      <c r="H45" s="13"/>
      <c r="I45" s="13"/>
      <c r="J45" s="13"/>
      <c r="M45" s="157">
        <f>Inputs!A45</f>
        <v>0</v>
      </c>
      <c r="N45" s="13" t="e">
        <f t="shared" si="2"/>
        <v>#N/A</v>
      </c>
      <c r="O45" s="13" t="e">
        <f t="shared" si="2"/>
        <v>#N/A</v>
      </c>
      <c r="P45" s="13" t="e">
        <f t="shared" si="2"/>
        <v>#N/A</v>
      </c>
      <c r="Q45" s="13" t="e">
        <f t="shared" si="2"/>
        <v>#N/A</v>
      </c>
      <c r="R45" s="13" t="e">
        <f t="shared" si="2"/>
        <v>#N/A</v>
      </c>
      <c r="S45" s="13" t="e">
        <f t="shared" si="2"/>
        <v>#N/A</v>
      </c>
      <c r="T45" s="13" t="e">
        <f t="shared" si="2"/>
        <v>#N/A</v>
      </c>
      <c r="U45" s="13" t="e">
        <f t="shared" si="2"/>
        <v>#N/A</v>
      </c>
      <c r="V45" s="13" t="e">
        <f t="shared" si="2"/>
        <v>#N/A</v>
      </c>
    </row>
    <row r="46" spans="2:22" x14ac:dyDescent="0.25">
      <c r="B46" s="13"/>
      <c r="C46" s="13"/>
      <c r="D46" s="13"/>
      <c r="E46" s="13"/>
      <c r="F46" s="13"/>
      <c r="G46" s="13"/>
      <c r="H46" s="13"/>
      <c r="I46" s="13"/>
      <c r="J46" s="13"/>
      <c r="M46" s="157">
        <f>Inputs!A46</f>
        <v>0</v>
      </c>
      <c r="N46" s="13" t="e">
        <f t="shared" si="2"/>
        <v>#N/A</v>
      </c>
      <c r="O46" s="13" t="e">
        <f t="shared" si="2"/>
        <v>#N/A</v>
      </c>
      <c r="P46" s="13" t="e">
        <f t="shared" si="2"/>
        <v>#N/A</v>
      </c>
      <c r="Q46" s="13" t="e">
        <f t="shared" si="2"/>
        <v>#N/A</v>
      </c>
      <c r="R46" s="13" t="e">
        <f t="shared" si="2"/>
        <v>#N/A</v>
      </c>
      <c r="S46" s="13" t="e">
        <f t="shared" si="2"/>
        <v>#N/A</v>
      </c>
      <c r="T46" s="13" t="e">
        <f t="shared" si="2"/>
        <v>#N/A</v>
      </c>
      <c r="U46" s="13" t="e">
        <f t="shared" si="2"/>
        <v>#N/A</v>
      </c>
      <c r="V46" s="13" t="e">
        <f t="shared" si="2"/>
        <v>#N/A</v>
      </c>
    </row>
    <row r="47" spans="2:22" x14ac:dyDescent="0.25">
      <c r="B47" s="13"/>
      <c r="C47" s="13"/>
      <c r="D47" s="13"/>
      <c r="E47" s="13"/>
      <c r="F47" s="13"/>
      <c r="G47" s="13"/>
      <c r="H47" s="13"/>
      <c r="I47" s="13"/>
      <c r="J47" s="13"/>
      <c r="M47" s="157">
        <f>Inputs!A47</f>
        <v>0</v>
      </c>
      <c r="N47" s="13" t="e">
        <f t="shared" si="2"/>
        <v>#N/A</v>
      </c>
      <c r="O47" s="13" t="e">
        <f t="shared" si="2"/>
        <v>#N/A</v>
      </c>
      <c r="P47" s="13" t="e">
        <f t="shared" si="2"/>
        <v>#N/A</v>
      </c>
      <c r="Q47" s="13" t="e">
        <f t="shared" ref="N47:V52" si="3">VLOOKUP($M47,$A$2:$J$16,Q$1,FALSE)</f>
        <v>#N/A</v>
      </c>
      <c r="R47" s="13" t="e">
        <f t="shared" si="3"/>
        <v>#N/A</v>
      </c>
      <c r="S47" s="13" t="e">
        <f t="shared" si="3"/>
        <v>#N/A</v>
      </c>
      <c r="T47" s="13" t="e">
        <f t="shared" si="3"/>
        <v>#N/A</v>
      </c>
      <c r="U47" s="13" t="e">
        <f t="shared" si="3"/>
        <v>#N/A</v>
      </c>
      <c r="V47" s="13" t="e">
        <f t="shared" si="3"/>
        <v>#N/A</v>
      </c>
    </row>
    <row r="48" spans="2:22" x14ac:dyDescent="0.25">
      <c r="B48" s="13"/>
      <c r="C48" s="13"/>
      <c r="D48" s="13"/>
      <c r="E48" s="13"/>
      <c r="F48" s="13"/>
      <c r="G48" s="13"/>
      <c r="H48" s="13"/>
      <c r="I48" s="13"/>
      <c r="J48" s="13"/>
      <c r="M48" s="157">
        <f>Inputs!A48</f>
        <v>0</v>
      </c>
      <c r="N48" s="13" t="e">
        <f t="shared" si="3"/>
        <v>#N/A</v>
      </c>
      <c r="O48" s="13" t="e">
        <f t="shared" si="3"/>
        <v>#N/A</v>
      </c>
      <c r="P48" s="13" t="e">
        <f t="shared" si="3"/>
        <v>#N/A</v>
      </c>
      <c r="Q48" s="13" t="e">
        <f t="shared" si="3"/>
        <v>#N/A</v>
      </c>
      <c r="R48" s="13" t="e">
        <f t="shared" si="3"/>
        <v>#N/A</v>
      </c>
      <c r="S48" s="13" t="e">
        <f t="shared" si="3"/>
        <v>#N/A</v>
      </c>
      <c r="T48" s="13" t="e">
        <f t="shared" si="3"/>
        <v>#N/A</v>
      </c>
      <c r="U48" s="13" t="e">
        <f t="shared" si="3"/>
        <v>#N/A</v>
      </c>
      <c r="V48" s="13" t="e">
        <f t="shared" si="3"/>
        <v>#N/A</v>
      </c>
    </row>
    <row r="49" spans="2:22" x14ac:dyDescent="0.25">
      <c r="B49" s="13"/>
      <c r="C49" s="13"/>
      <c r="D49" s="13"/>
      <c r="E49" s="13"/>
      <c r="F49" s="13"/>
      <c r="G49" s="13"/>
      <c r="H49" s="13"/>
      <c r="I49" s="13"/>
      <c r="J49" s="13"/>
      <c r="M49" s="157">
        <f>Inputs!A49</f>
        <v>0</v>
      </c>
      <c r="N49" s="13" t="e">
        <f t="shared" si="3"/>
        <v>#N/A</v>
      </c>
      <c r="O49" s="13" t="e">
        <f t="shared" si="3"/>
        <v>#N/A</v>
      </c>
      <c r="P49" s="13" t="e">
        <f t="shared" si="3"/>
        <v>#N/A</v>
      </c>
      <c r="Q49" s="13" t="e">
        <f t="shared" si="3"/>
        <v>#N/A</v>
      </c>
      <c r="R49" s="13" t="e">
        <f t="shared" si="3"/>
        <v>#N/A</v>
      </c>
      <c r="S49" s="13" t="e">
        <f t="shared" si="3"/>
        <v>#N/A</v>
      </c>
      <c r="T49" s="13" t="e">
        <f t="shared" si="3"/>
        <v>#N/A</v>
      </c>
      <c r="U49" s="13" t="e">
        <f t="shared" si="3"/>
        <v>#N/A</v>
      </c>
      <c r="V49" s="13" t="e">
        <f t="shared" si="3"/>
        <v>#N/A</v>
      </c>
    </row>
    <row r="50" spans="2:22" x14ac:dyDescent="0.25">
      <c r="B50" s="13"/>
      <c r="C50" s="13"/>
      <c r="D50" s="13"/>
      <c r="E50" s="13"/>
      <c r="F50" s="13"/>
      <c r="G50" s="13"/>
      <c r="H50" s="13"/>
      <c r="I50" s="13"/>
      <c r="J50" s="13"/>
      <c r="M50" s="157">
        <f>Inputs!A50</f>
        <v>0</v>
      </c>
      <c r="N50" s="13" t="e">
        <f t="shared" si="3"/>
        <v>#N/A</v>
      </c>
      <c r="O50" s="13" t="e">
        <f t="shared" si="3"/>
        <v>#N/A</v>
      </c>
      <c r="P50" s="13" t="e">
        <f t="shared" si="3"/>
        <v>#N/A</v>
      </c>
      <c r="Q50" s="13" t="e">
        <f t="shared" si="3"/>
        <v>#N/A</v>
      </c>
      <c r="R50" s="13" t="e">
        <f t="shared" si="3"/>
        <v>#N/A</v>
      </c>
      <c r="S50" s="13" t="e">
        <f t="shared" si="3"/>
        <v>#N/A</v>
      </c>
      <c r="T50" s="13" t="e">
        <f t="shared" si="3"/>
        <v>#N/A</v>
      </c>
      <c r="U50" s="13" t="e">
        <f t="shared" si="3"/>
        <v>#N/A</v>
      </c>
      <c r="V50" s="13" t="e">
        <f t="shared" si="3"/>
        <v>#N/A</v>
      </c>
    </row>
    <row r="51" spans="2:22" x14ac:dyDescent="0.25">
      <c r="B51" s="13"/>
      <c r="C51" s="13"/>
      <c r="D51" s="13"/>
      <c r="E51" s="13"/>
      <c r="F51" s="13"/>
      <c r="G51" s="13"/>
      <c r="H51" s="13"/>
      <c r="I51" s="13"/>
      <c r="J51" s="13"/>
      <c r="M51" s="157">
        <f>Inputs!A51</f>
        <v>0</v>
      </c>
      <c r="N51" s="13" t="e">
        <f t="shared" si="3"/>
        <v>#N/A</v>
      </c>
      <c r="O51" s="13" t="e">
        <f t="shared" si="3"/>
        <v>#N/A</v>
      </c>
      <c r="P51" s="13" t="e">
        <f t="shared" si="3"/>
        <v>#N/A</v>
      </c>
      <c r="Q51" s="13" t="e">
        <f t="shared" si="3"/>
        <v>#N/A</v>
      </c>
      <c r="R51" s="13" t="e">
        <f t="shared" si="3"/>
        <v>#N/A</v>
      </c>
      <c r="S51" s="13" t="e">
        <f t="shared" si="3"/>
        <v>#N/A</v>
      </c>
      <c r="T51" s="13" t="e">
        <f t="shared" si="3"/>
        <v>#N/A</v>
      </c>
      <c r="U51" s="13" t="e">
        <f t="shared" si="3"/>
        <v>#N/A</v>
      </c>
      <c r="V51" s="13" t="e">
        <f t="shared" si="3"/>
        <v>#N/A</v>
      </c>
    </row>
    <row r="52" spans="2:22" x14ac:dyDescent="0.25">
      <c r="B52" s="13"/>
      <c r="C52" s="13"/>
      <c r="D52" s="13"/>
      <c r="E52" s="13"/>
      <c r="F52" s="13"/>
      <c r="G52" s="13"/>
      <c r="H52" s="13"/>
      <c r="I52" s="13"/>
      <c r="J52" s="13"/>
      <c r="M52" s="157">
        <f>Inputs!A52</f>
        <v>0</v>
      </c>
      <c r="N52" s="13" t="e">
        <f t="shared" si="3"/>
        <v>#N/A</v>
      </c>
      <c r="O52" s="13" t="e">
        <f t="shared" si="3"/>
        <v>#N/A</v>
      </c>
      <c r="P52" s="13" t="e">
        <f t="shared" si="3"/>
        <v>#N/A</v>
      </c>
      <c r="Q52" s="13" t="e">
        <f t="shared" si="3"/>
        <v>#N/A</v>
      </c>
      <c r="R52" s="13" t="e">
        <f t="shared" si="3"/>
        <v>#N/A</v>
      </c>
      <c r="S52" s="13" t="e">
        <f t="shared" si="3"/>
        <v>#N/A</v>
      </c>
      <c r="T52" s="13" t="e">
        <f t="shared" si="3"/>
        <v>#N/A</v>
      </c>
      <c r="U52" s="13" t="e">
        <f t="shared" si="3"/>
        <v>#N/A</v>
      </c>
      <c r="V52" s="13" t="e">
        <f t="shared" si="3"/>
        <v>#N/A</v>
      </c>
    </row>
  </sheetData>
  <conditionalFormatting sqref="M2:V52">
    <cfRule type="expression" dxfId="0" priority="1">
      <formula>$M2=0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SKUS</vt:lpstr>
      <vt:lpstr>Shifts</vt:lpstr>
      <vt:lpstr>Inputs</vt:lpstr>
      <vt:lpstr>D!VIDER</vt:lpstr>
      <vt:lpstr>Model</vt:lpstr>
      <vt:lpstr>MonteValues</vt:lpstr>
      <vt:lpstr>PivotTables</vt:lpstr>
      <vt:lpstr>DIV!DER</vt:lpstr>
      <vt:lpstr>MonteCarlo</vt:lpstr>
      <vt:lpstr>CurrentScheduleCosts</vt:lpstr>
      <vt:lpstr>DIVIDER</vt:lpstr>
      <vt:lpstr>DemandOptions</vt:lpstr>
      <vt:lpstr>RandNums</vt:lpstr>
      <vt:lpstr>VecMat</vt:lpstr>
      <vt:lpstr>SKUsList</vt:lpstr>
      <vt:lpstr>Rearrange Current</vt:lpstr>
      <vt:lpstr>CurMCCost</vt:lpstr>
      <vt:lpstr>demands</vt:lpstr>
      <vt:lpstr>DynDem</vt:lpstr>
      <vt:lpstr>MonteDemand</vt:lpstr>
      <vt:lpstr>SugMCCost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Lupton, William M</dc:creator>
  <cp:lastModifiedBy>Lupton, William M</cp:lastModifiedBy>
  <dcterms:created xsi:type="dcterms:W3CDTF">2012-10-24T16:10:09Z</dcterms:created>
  <dcterms:modified xsi:type="dcterms:W3CDTF">2012-12-10T06:42:27Z</dcterms:modified>
</cp:coreProperties>
</file>